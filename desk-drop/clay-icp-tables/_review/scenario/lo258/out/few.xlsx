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styles.xml" ContentType="application/vnd.openxmlformats-officedocument.spreadsheetml.style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Offices" sheetId="1" state="visible" r:id="rId3"/>
    <sheet name="Brands" sheetId="2" state="visible" r:id="rId4"/>
    <sheet name="Daily view - Offices" sheetId="3" state="visible" r:id="rId5"/>
    <sheet name="Daily view - Brands" sheetId="4" state="visible" r:id="rId6"/>
    <sheet name="Dictionary" sheetId="5" state="visible" r:id="rId7"/>
    <sheet name="Scoring" sheetId="6" state="visible" r:id="rId8"/>
    <sheet name="Routine" sheetId="7" state="visible" r:id="rId9"/>
  </sheets>
  <definedNames>
    <definedName function="false" hidden="true" localSheetId="1" name="_xlnm._FilterDatabase" vbProcedure="false">Brands!$A$1:$ED$312</definedName>
    <definedName function="false" hidden="true" localSheetId="0" name="_xlnm._FilterDatabase" vbProcedure="false">Offices!$A$1:$EW$309</definedName>
    <definedName function="false" hidden="false" name="company_name" vbProcedure="false">Routine!$B$1</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workstream A</author>
  </authors>
  <commentList>
    <comment ref="A1" authorId="0">
      <text>
        <r>
          <rPr>
            <sz val="10"/>
            <rFont val="Arial"/>
            <family val="2"/>
          </rPr>
          <t xml:space="preserve">Live view: the 10 best-scored rows of Offices with status = new, do_not_contact = N, ready_for_outreach = Y, no opt-out and nobody in their company_group in flight; one row per group. It updates when you edit those columns. Uses SORT and FILTER (Google Sheets).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105</xdr:colOff>
                <xdr:row>4</xdr:row>
                <xdr:rowOff>1</xdr:rowOff>
              </xdr:to>
            </anchor>
          </commentPr>
        </mc:Choice>
        <mc:Fallback/>
      </mc:AlternateContent>
    </comment>
  </commentList>
</comments>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workstream A</author>
  </authors>
  <commentList>
    <comment ref="A1" authorId="0">
      <text>
        <r>
          <rPr>
            <sz val="10"/>
            <rFont val="Arial"/>
            <family val="2"/>
          </rPr>
          <t xml:space="preserve">Live view: the 10 best-scored rows of Brands with status = new, do_not_contact = N, ready_for_outreach = Y, no opt-out and nobody in their company_group in flight; one row per group. It updates when you edit those columns. Uses SORT and FILTER (Google Sheets).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105</xdr:colOff>
                <xdr:row>4</xdr:row>
                <xdr:rowOff>1</xdr:rowOff>
              </xdr:to>
            </anchor>
          </commentPr>
        </mc:Choice>
        <mc:Fallback/>
      </mc:AlternateContent>
    </comment>
  </commentList>
</comments>
</file>

<file path=xl/sharedStrings.xml><?xml version="1.0" encoding="utf-8"?>
<sst xmlns="http://schemas.openxmlformats.org/spreadsheetml/2006/main" count="42264" uniqueCount="11287">
  <si>
    <t xml:space="preserve">row_id</t>
  </si>
  <si>
    <t xml:space="preserve">company</t>
  </si>
  <si>
    <t xml:space="preserve">first_name</t>
  </si>
  <si>
    <t xml:space="preserve">last_name</t>
  </si>
  <si>
    <t xml:space="preserve">title</t>
  </si>
  <si>
    <t xml:space="preserve">contact_linkedin_url</t>
  </si>
  <si>
    <t xml:space="preserve">work_email</t>
  </si>
  <si>
    <t xml:space="preserve">email_status</t>
  </si>
  <si>
    <t xml:space="preserve">channel</t>
  </si>
  <si>
    <t xml:space="preserve">score</t>
  </si>
  <si>
    <t xml:space="preserve">score_reason</t>
  </si>
  <si>
    <t xml:space="preserve">onsite_band</t>
  </si>
  <si>
    <t xml:space="preserve">nearest_stocked_retailer</t>
  </si>
  <si>
    <t xml:space="preserve">nearest_retailer_grade</t>
  </si>
  <si>
    <t xml:space="preserve">why_now</t>
  </si>
  <si>
    <t xml:space="preserve">why_now_url</t>
  </si>
  <si>
    <t xml:space="preserve">why_now_date</t>
  </si>
  <si>
    <t xml:space="preserve">known_to_founder</t>
  </si>
  <si>
    <t xml:space="preserve">startup_cpg_member</t>
  </si>
  <si>
    <t xml:space="preserve">do_not_contact</t>
  </si>
  <si>
    <t xml:space="preserve">status</t>
  </si>
  <si>
    <t xml:space="preserve">source_url</t>
  </si>
  <si>
    <t xml:space="preserve">found_date</t>
  </si>
  <si>
    <t xml:space="preserve">side</t>
  </si>
  <si>
    <t xml:space="preserve">daily_view_rank</t>
  </si>
  <si>
    <t xml:space="preserve">rank</t>
  </si>
  <si>
    <t xml:space="preserve">top50</t>
  </si>
  <si>
    <t xml:space="preserve">check_before_send</t>
  </si>
  <si>
    <t xml:space="preserve">contact_role</t>
  </si>
  <si>
    <t xml:space="preserve">contact_status</t>
  </si>
  <si>
    <t xml:space="preserve">contact_evidence</t>
  </si>
  <si>
    <t xml:space="preserve">contact_source_url</t>
  </si>
  <si>
    <t xml:space="preserve">contact_source_date</t>
  </si>
  <si>
    <t xml:space="preserve">title_match</t>
  </si>
  <si>
    <t xml:space="preserve">street_address</t>
  </si>
  <si>
    <t xml:space="preserve">floor</t>
  </si>
  <si>
    <t xml:space="preserve">lease_status</t>
  </si>
  <si>
    <t xml:space="preserve">onsite_low</t>
  </si>
  <si>
    <t xml:space="preserve">onsite_high</t>
  </si>
  <si>
    <t xml:space="preserve">onsite_confidence</t>
  </si>
  <si>
    <t xml:space="preserve">attendance_signal</t>
  </si>
  <si>
    <t xml:space="preserve">company_group</t>
  </si>
  <si>
    <t xml:space="preserve">hold_before_outreach</t>
  </si>
  <si>
    <t xml:space="preserve">hold_reason</t>
  </si>
  <si>
    <t xml:space="preserve">opt_out_date</t>
  </si>
  <si>
    <t xml:space="preserve">ready_for_outreach</t>
  </si>
  <si>
    <t xml:space="preserve">ready_reason</t>
  </si>
  <si>
    <t xml:space="preserve">founder_ok_to_queue</t>
  </si>
  <si>
    <t xml:space="preserve">onsite_founder_call</t>
  </si>
  <si>
    <t xml:space="preserve">gate_result</t>
  </si>
  <si>
    <t xml:space="preserve">gate_reason</t>
  </si>
  <si>
    <t xml:space="preserve">org_type</t>
  </si>
  <si>
    <t xml:space="preserve">b_id</t>
  </si>
  <si>
    <t xml:space="preserve">website</t>
  </si>
  <si>
    <t xml:space="preserve">industry</t>
  </si>
  <si>
    <t xml:space="preserve">employee_count</t>
  </si>
  <si>
    <t xml:space="preserve">employee_count_second</t>
  </si>
  <si>
    <t xml:space="preserve">headcount_band</t>
  </si>
  <si>
    <t xml:space="preserve">headcount_scope</t>
  </si>
  <si>
    <t xml:space="preserve">headcount_check</t>
  </si>
  <si>
    <t xml:space="preserve">headcount_source_url</t>
  </si>
  <si>
    <t xml:space="preserve">headcount_second_source_url</t>
  </si>
  <si>
    <t xml:space="preserve">size_class</t>
  </si>
  <si>
    <t xml:space="preserve">hq_city</t>
  </si>
  <si>
    <t xml:space="preserve">hq_in_nyc</t>
  </si>
  <si>
    <t xml:space="preserve">parent_company</t>
  </si>
  <si>
    <t xml:space="preserve">linkedin_company_url</t>
  </si>
  <si>
    <t xml:space="preserve">zip</t>
  </si>
  <si>
    <t xml:space="preserve">lat</t>
  </si>
  <si>
    <t xml:space="preserve">lon</t>
  </si>
  <si>
    <t xml:space="preserve">in_boundary</t>
  </si>
  <si>
    <t xml:space="preserve">blocks_outside</t>
  </si>
  <si>
    <t xml:space="preserve">building_id</t>
  </si>
  <si>
    <t xml:space="preserve">building_name</t>
  </si>
  <si>
    <t xml:space="preserve">address_source_url</t>
  </si>
  <si>
    <t xml:space="preserve">address_source_date</t>
  </si>
  <si>
    <t xml:space="preserve">address_source_type</t>
  </si>
  <si>
    <t xml:space="preserve">second_source_url</t>
  </si>
  <si>
    <t xml:space="preserve">second_source_date</t>
  </si>
  <si>
    <t xml:space="preserve">source_note</t>
  </si>
  <si>
    <t xml:space="preserve">confidence</t>
  </si>
  <si>
    <t xml:space="preserve">move_in_date</t>
  </si>
  <si>
    <t xml:space="preserve">in_coworking</t>
  </si>
  <si>
    <t xml:space="preserve">coworking_id</t>
  </si>
  <si>
    <t xml:space="preserve">pantry_control</t>
  </si>
  <si>
    <t xml:space="preserve">lobby_type</t>
  </si>
  <si>
    <t xml:space="preserve">lobby_source_url</t>
  </si>
  <si>
    <t xml:space="preserve">coi_required</t>
  </si>
  <si>
    <t xml:space="preserve">tuesday_named_in_policy</t>
  </si>
  <si>
    <t xml:space="preserve">attendance_evidence</t>
  </si>
  <si>
    <t xml:space="preserve">attendance_source_url</t>
  </si>
  <si>
    <t xml:space="preserve">attendance_source_date</t>
  </si>
  <si>
    <t xml:space="preserve">onsite_central</t>
  </si>
  <si>
    <t xml:space="preserve">onsite_flags</t>
  </si>
  <si>
    <t xml:space="preserve">onsite_basis</t>
  </si>
  <si>
    <t xml:space="preserve">onsite_label</t>
  </si>
  <si>
    <t xml:space="preserve">onsite_fit_share</t>
  </si>
  <si>
    <t xml:space="preserve">score_raw</t>
  </si>
  <si>
    <t xml:space="preserve">score_onsite</t>
  </si>
  <si>
    <t xml:space="preserve">score_size</t>
  </si>
  <si>
    <t xml:space="preserve">score_attendance</t>
  </si>
  <si>
    <t xml:space="preserve">score_address</t>
  </si>
  <si>
    <t xml:space="preserve">score_title</t>
  </si>
  <si>
    <t xml:space="preserve">score_known</t>
  </si>
  <si>
    <t xml:space="preserve">backup_first_name</t>
  </si>
  <si>
    <t xml:space="preserve">backup_last_name</t>
  </si>
  <si>
    <t xml:space="preserve">backup_title</t>
  </si>
  <si>
    <t xml:space="preserve">backup_linkedin_url</t>
  </si>
  <si>
    <t xml:space="preserve">backup_work_email</t>
  </si>
  <si>
    <t xml:space="preserve">backup_email_status</t>
  </si>
  <si>
    <t xml:space="preserve">b_candidate_status</t>
  </si>
  <si>
    <t xml:space="preserve">near_miss_class</t>
  </si>
  <si>
    <t xml:space="preserve">nyc_office_may_fit</t>
  </si>
  <si>
    <t xml:space="preserve">leased_sf_mentioned</t>
  </si>
  <si>
    <t xml:space="preserve">b_notes</t>
  </si>
  <si>
    <t xml:space="preserve">a_corrections</t>
  </si>
  <si>
    <t xml:space="preserve">contact_name_as_found</t>
  </si>
  <si>
    <t xml:space="preserve">contact_record_date</t>
  </si>
  <si>
    <t xml:space="preserve">contact_note</t>
  </si>
  <si>
    <t xml:space="preserve">linkedin_status</t>
  </si>
  <si>
    <t xml:space="preserve">backup_contact_role</t>
  </si>
  <si>
    <t xml:space="preserve">backup_contact_name_as_found</t>
  </si>
  <si>
    <t xml:space="preserve">backup_contact_status</t>
  </si>
  <si>
    <t xml:space="preserve">backup_contact_evidence</t>
  </si>
  <si>
    <t xml:space="preserve">backup_contact_source_url</t>
  </si>
  <si>
    <t xml:space="preserve">backup_contact_record_date</t>
  </si>
  <si>
    <t xml:space="preserve">backup_contact_note</t>
  </si>
  <si>
    <t xml:space="preserve">contacts_researched</t>
  </si>
  <si>
    <t xml:space="preserve">contact_ny_base</t>
  </si>
  <si>
    <t xml:space="preserve">company_group_reason</t>
  </si>
  <si>
    <t xml:space="preserve">sequence</t>
  </si>
  <si>
    <t xml:space="preserve">touch_1_date</t>
  </si>
  <si>
    <t xml:space="preserve">touch_2_date</t>
  </si>
  <si>
    <t xml:space="preserve">touch_3_date</t>
  </si>
  <si>
    <t xml:space="preserve">last_reply_date</t>
  </si>
  <si>
    <t xml:space="preserve">reply_type</t>
  </si>
  <si>
    <t xml:space="preserve">call_date</t>
  </si>
  <si>
    <t xml:space="preserve">call_notes</t>
  </si>
  <si>
    <t xml:space="preserve">yes_in_principle</t>
  </si>
  <si>
    <t xml:space="preserve">next_action</t>
  </si>
  <si>
    <t xml:space="preserve">next_action_date</t>
  </si>
  <si>
    <t xml:space="preserve">referral_from</t>
  </si>
  <si>
    <t xml:space="preserve">street_short</t>
  </si>
  <si>
    <t xml:space="preserve">why_now_hook</t>
  </si>
  <si>
    <t xml:space="preserve">call_note_hook</t>
  </si>
  <si>
    <t xml:space="preserve">how_we_know</t>
  </si>
  <si>
    <t xml:space="preserve">referrer_ok_to_name</t>
  </si>
  <si>
    <t xml:space="preserve">in_flight</t>
  </si>
  <si>
    <t xml:space="preserve">group_blocked</t>
  </si>
  <si>
    <t xml:space="preserve">eligible</t>
  </si>
  <si>
    <t xml:space="preserve">view_pick</t>
  </si>
  <si>
    <t xml:space="preserve">in_daily_view</t>
  </si>
  <si>
    <t xml:space="preserve">row_order</t>
  </si>
  <si>
    <t xml:space="preserve">AO-C-035</t>
  </si>
  <si>
    <t xml:space="preserve">Global Strategy Group</t>
  </si>
  <si>
    <t xml:space="preserve">Joan</t>
  </si>
  <si>
    <t xml:space="preserve">McHugh-Ward</t>
  </si>
  <si>
    <t xml:space="preserve">Manager, HQ-Office Services</t>
  </si>
  <si>
    <t xml:space="preserve">none</t>
  </si>
  <si>
    <t xml:space="preserve">linkedin</t>
  </si>
  <si>
    <t xml:space="preserve">Tuesday estimate 63 to 125 (low confidence), under 500 staff company-wide, on-site 5 days a week per its profile, occupied at a high-confidence address; contact in the target titles named (Manager, HQ-Office Services).</t>
  </si>
  <si>
    <t xml:space="preserve">76-150</t>
  </si>
  <si>
    <t xml:space="preserve">N</t>
  </si>
  <si>
    <t xml:space="preserve">unknown</t>
  </si>
  <si>
    <t xml:space="preserve">contacted</t>
  </si>
  <si>
    <t xml:space="preserve">https://www.globalstrategygroup.com/locations/</t>
  </si>
  <si>
    <t xml:space="preserve">2026-10-23</t>
  </si>
  <si>
    <t xml:space="preserve">office</t>
  </si>
  <si>
    <t xml:space="preserve">Y</t>
  </si>
  <si>
    <t xml:space="preserve">find Joan McHugh-Ward at Global Strategy Group on LinkedIn and paste the profile URL</t>
  </si>
  <si>
    <t xml:space="preserve">pantry or office lead (primary)</t>
  </si>
  <si>
    <t xml:space="preserve">verified-page</t>
  </si>
  <si>
    <t xml:space="preserve">employer's own site</t>
  </si>
  <si>
    <t xml:space="preserve">https://globalstrategygroup.com/team/</t>
  </si>
  <si>
    <t xml:space="preserve">2026-10-24</t>
  </si>
  <si>
    <t xml:space="preserve">exact</t>
  </si>
  <si>
    <t xml:space="preserve">215 Park Avenue South</t>
  </si>
  <si>
    <t xml:space="preserve">15</t>
  </si>
  <si>
    <t xml:space="preserve">occupied</t>
  </si>
  <si>
    <t xml:space="preserve">low</t>
  </si>
  <si>
    <t xml:space="preserve">in-office-5</t>
  </si>
  <si>
    <t xml:space="preserve">pass</t>
  </si>
  <si>
    <t xml:space="preserve">passes all hard gates</t>
  </si>
  <si>
    <t xml:space="preserve">B-C-035</t>
  </si>
  <si>
    <t xml:space="preserve">https://www.globalstrategygroup.com</t>
  </si>
  <si>
    <t xml:space="preserve">public affairs, research and communications consulting</t>
  </si>
  <si>
    <t xml:space="preserve">187</t>
  </si>
  <si>
    <t xml:space="preserve">151-250</t>
  </si>
  <si>
    <t xml:space="preserve">whole-company</t>
  </si>
  <si>
    <t xml:space="preserve">single-source</t>
  </si>
  <si>
    <t xml:space="preserve">https://www.builtinnyc.com/company/global-strategy-group</t>
  </si>
  <si>
    <t xml:space="preserve">le500</t>
  </si>
  <si>
    <t xml:space="preserve">New York</t>
  </si>
  <si>
    <t xml:space="preserve">10003</t>
  </si>
  <si>
    <t xml:space="preserve">B-B-016</t>
  </si>
  <si>
    <t xml:space="preserve">215 Park Avenue South (SL Green managed)</t>
  </si>
  <si>
    <t xml:space="preserve">company-site</t>
  </si>
  <si>
    <t xml:space="preserve">https://www.sec.gov/Archives/edgar/data/1013454/000153949726000704/n5676_x5-424h.htm</t>
  </si>
  <si>
    <t xml:space="preserve">2026-02</t>
  </si>
  <si>
    <t xml:space="preserve">cites a sec.gov filing: agents do not open it (EDGAR demands a contact email); the founder may open it in a browser</t>
  </si>
  <si>
    <t xml:space="preserve">high</t>
  </si>
  <si>
    <t xml:space="preserve">security desk</t>
  </si>
  <si>
    <t xml:space="preserve">https://www.metro-manhattan.com/buildings/215-park-avenue-south/</t>
  </si>
  <si>
    <t xml:space="preserve">Built In workplace type: OnSite Workplace; typical time on-site: 5 days a week; recent job tags: 1 Hybrid</t>
  </si>
  <si>
    <t xml:space="preserve">https://www.builtinnyc.com/company/global-strategy-group/offices</t>
  </si>
  <si>
    <t xml:space="preserve">187 (Built In) staff (whole-company count) x 50% to 100% of them in the New York office (HQ New York; share assumed) x 67% (Partnership for NYC, firms under 500) in on a weekday = 63 to 125, central 89; low confidence; estimate until intake replaces it.</t>
  </si>
  <si>
    <t xml:space="preserve">estimate until intake replaces it</t>
  </si>
  <si>
    <t xml:space="preserve">Liana</t>
  </si>
  <si>
    <t xml:space="preserve">Kane</t>
  </si>
  <si>
    <t xml:space="preserve">Senior Executive Assistant to the CEO</t>
  </si>
  <si>
    <t xml:space="preserve">https://www.linkedin.com/in/liana-kane-ba771b29/</t>
  </si>
  <si>
    <t xml:space="preserve">candidate</t>
  </si>
  <si>
    <t xml:space="preserve">21,974 sf</t>
  </si>
  <si>
    <t xml:space="preserve">Locations page: '215 Park Avenue South, 15th Floor'. SEC rent roll 2026-02-05: 21,974 sf, lease to 2032-08-31. Built In NYC: 187 total employees across 8 offices, HQ New York.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</si>
  <si>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Joan McHugh-Ward</t>
  </si>
  <si>
    <t xml:space="preserve">ny_base=confirmed; title_fit=family (office services manager). Company team page lists 'Manager, HQ-Office Services'; her profile page https://globalstrategygroup.com/team/joan-mchugh/ is titled 'HQ Office Services'. GSG HQ is New York (215 Park Avenue South). No LinkedIn URL on the company page.</t>
  </si>
  <si>
    <t xml:space="preserve">pantry or office lead (backup)</t>
  </si>
  <si>
    <t xml:space="preserve">Liana Kane</t>
  </si>
  <si>
    <t xml:space="preserve">https://globalstrategygroup.com/team/liana-kane/</t>
  </si>
  <si>
    <t xml:space="preserve">2026-09-07</t>
  </si>
  <si>
    <t xml:space="preserve">ny_base=confirmed; title_fit=family (EA to CEO). Company profile page gives the title and links this LinkedIn profile (LinkedIn not opened). The Org (https://theorg.com/org/global-strategy-group/person/liana-kane, updated 2026-09-07) attaches her to the New York HQ office. Bio lists office organization among her duties.</t>
  </si>
  <si>
    <t xml:space="preserve">confirmed</t>
  </si>
  <si>
    <t xml:space="preserve">AO-C-160</t>
  </si>
  <si>
    <t xml:space="preserve">K Health</t>
  </si>
  <si>
    <t xml:space="preserve">Naomy</t>
  </si>
  <si>
    <t xml:space="preserve">Ambroise</t>
  </si>
  <si>
    <t xml:space="preserve">People Operations Generalist</t>
  </si>
  <si>
    <t xml:space="preserve">Tuesday estimate 122 to 281 (low confidence), under 500 staff company-wide, on-site 5 days a week per its profile, occupied at a high-confidence address; contact in the target titles named (People Operations Generalist).</t>
  </si>
  <si>
    <t xml:space="preserve">https://www.connectcre.com/stories/ai-native-hanover-park-leases-full-floor-at-387-park-ave-south/</t>
  </si>
  <si>
    <t xml:space="preserve">find Naomy Ambroise at K Health on LinkedIn and paste the profile URL (this also confirms the name: The Org is crowd-edited)</t>
  </si>
  <si>
    <t xml:space="preserve">The Org (crowd-edited org chart)</t>
  </si>
  <si>
    <t xml:space="preserve">https://theorg.com/org/k-health/person/naomy-ambroise</t>
  </si>
  <si>
    <t xml:space="preserve">387 Park Avenue South</t>
  </si>
  <si>
    <t xml:space="preserve">9</t>
  </si>
  <si>
    <t xml:space="preserve">B-C-160</t>
  </si>
  <si>
    <t xml:space="preserve">https://khealth.com</t>
  </si>
  <si>
    <t xml:space="preserve">healthtech (AI primary care)</t>
  </si>
  <si>
    <t xml:space="preserve">363</t>
  </si>
  <si>
    <t xml:space="preserve">419</t>
  </si>
  <si>
    <t xml:space="preserve">251-500</t>
  </si>
  <si>
    <t xml:space="preserve">agree</t>
  </si>
  <si>
    <t xml:space="preserve">https://www.builtinnyc.com/company/k-health/offices</t>
  </si>
  <si>
    <t xml:space="preserve">https://www.reveliolabs.com/companies/k-health/employees</t>
  </si>
  <si>
    <t xml:space="preserve">10016</t>
  </si>
  <si>
    <t xml:space="preserve">B-B-073</t>
  </si>
  <si>
    <t xml:space="preserve">387 Park Avenue South (TF Cornerstone)</t>
  </si>
  <si>
    <t xml:space="preserve">2026-08-14</t>
  </si>
  <si>
    <t xml:space="preserve">leasing-press</t>
  </si>
  <si>
    <t xml:space="preserve">https://khealth.com/terms-of-use/</t>
  </si>
  <si>
    <t xml:space="preserve">completed a long-term renewal at 387 PAS in late 2025. CONFLICT: Built In (363 employees, on-site 5 days) lists HQ at 298 5th Ave, 7th</t>
  </si>
  <si>
    <t xml:space="preserve">may exceed 250</t>
  </si>
  <si>
    <t xml:space="preserve">363 (Built In) and 419 (Revelio Labs) staff (whole-company count) x 50% to 100% of them in the New York office (HQ New York; share assumed) x 67% (Partnership for NYC, firms under 500) in on a weekday = 122 to 281, central 185; low confidence; estimate until intake replaces it.</t>
  </si>
  <si>
    <t xml:space="preserve">Ana</t>
  </si>
  <si>
    <t xml:space="preserve">Ramos</t>
  </si>
  <si>
    <t xml:space="preserve">VP of Operations</t>
  </si>
  <si>
    <t xml:space="preserve">Connect CRE says K Health completed a long-term renewal at 387 PAS in late 2025. CONFLICT: Built In (363 employees, on-site 5 days) lists HQ at 298 5th Ave, 7th Floor (30th-31st St, margin). Founder to confirm which office is current. | Assembly 2026-10-24: Conflict resolved at assembly: K Health's own terms of use (opened 2026-10-24) give 'Company's Legal Department, 387 Park Ave South, 9th Floor, NY, NY 10016', which agrees with the Connect CRE renewal at 387 PAS (late 2025). Built In's 298 Fifth Ave, 7th floor is stale. Upgraded to high. Review round 2: a second count agrees with the band: Revelio Labs (K Health, Inc., HQ New York City): about 419 employees worldwide as of March 2026. Review round 2: corner lot: the lot-centroid pin sat 24 m from E 27 ST but 34 m from PARK AVE S, so it was moved to the PARK AVE S frontage near the corner (13 m from the PARK AVE S centreline, 26 m from E 27 ST; 21 m from the old pin). Tax lot unchanged.</t>
  </si>
  <si>
    <t xml:space="preserve">Naomy Ambroise</t>
  </si>
  <si>
    <t xml:space="preserve">2026-02-14</t>
  </si>
  <si>
    <t xml:space="preserve">ny_base=likely (The Org gives a New York location, no office attached); title_fit=family (people operations). The Org updated 2026-02-14. Search results showed a temporary 'Executive Assistant and Office Manager' New York posting (2026-09-04, job boards, not opened); it no longer appears on K Health's Greenhouse board (opened 2026-10-24), so an office manager may have just joined: ask for them by name.</t>
  </si>
  <si>
    <t xml:space="preserve">Ana Ramos</t>
  </si>
  <si>
    <t xml:space="preserve">https://theorg.com/org/k-health/person/ana-ramos</t>
  </si>
  <si>
    <t xml:space="preserve">2026-01-19</t>
  </si>
  <si>
    <t xml:space="preserve">ny_base=confirmed (The Org attaches the role to K Health's New York HQ office); title_fit=adjacent (operations lead, team 'Finance and Operations'). The Org updated 2026-01-19.</t>
  </si>
  <si>
    <t xml:space="preserve">likely</t>
  </si>
  <si>
    <t xml:space="preserve">AO-C-037</t>
  </si>
  <si>
    <t xml:space="preserve">Nayya</t>
  </si>
  <si>
    <t xml:space="preserve">Phoebe</t>
  </si>
  <si>
    <t xml:space="preserve">Waxman</t>
  </si>
  <si>
    <t xml:space="preserve">Senior People Operations Analyst</t>
  </si>
  <si>
    <t xml:space="preserve">Tuesday estimate 50 to 134 (low confidence), under 500 staff company-wide, hybrid 3 days, occupied at a high-confidence address; contact in the target titles named (Senior People Operations Analyst).</t>
  </si>
  <si>
    <t xml:space="preserve">find Phoebe Waxman at Nayya on LinkedIn and paste the profile URL (this also confirms the name: The Org is crowd-edited)</t>
  </si>
  <si>
    <t xml:space="preserve">https://theorg.com/org/nayya/person/phoebe-waxman</t>
  </si>
  <si>
    <t xml:space="preserve">4</t>
  </si>
  <si>
    <t xml:space="preserve">hybrid-3</t>
  </si>
  <si>
    <t xml:space="preserve">B-C-037</t>
  </si>
  <si>
    <t xml:space="preserve">https://www.nayya.com</t>
  </si>
  <si>
    <t xml:space="preserve">benefits software (health tech)</t>
  </si>
  <si>
    <t xml:space="preserve">150</t>
  </si>
  <si>
    <t xml:space="preserve">200</t>
  </si>
  <si>
    <t xml:space="preserve">disagree</t>
  </si>
  <si>
    <t xml:space="preserve">https://www.builtinnyc.com/company/nayya</t>
  </si>
  <si>
    <t xml:space="preserve">https://www.reveliolabs.com/companies/nayya-health/employees</t>
  </si>
  <si>
    <t xml:space="preserve">other</t>
  </si>
  <si>
    <t xml:space="preserve">https://www.nyrej.com/sl-green-signs-29-915-s-f-lease-with-nayya-health-at-215-park-ave-south</t>
  </si>
  <si>
    <t xml:space="preserve">2024-12-10</t>
  </si>
  <si>
    <t xml:space="preserve">Built In workplace type: Hybrid Workplace; typical time on-site: 3 days a week; recent job tags: 3 Hybrid</t>
  </si>
  <si>
    <t xml:space="preserve">https://www.builtinnyc.com/company/nayya/offices</t>
  </si>
  <si>
    <t xml:space="preserve">150 (Built In) and 200 (Revelio Labs) staff (whole-company count) x 50% to 100% of them in the New York office (HQ New York; share assumed) x 67% (Partnership for NYC, firms under 500) in on a weekday = 50 to 134, central 82; low confidence; estimate until intake replaces it.</t>
  </si>
  <si>
    <t xml:space="preserve">Amber</t>
  </si>
  <si>
    <t xml:space="preserve">Hewko</t>
  </si>
  <si>
    <t xml:space="preserve">Executive Assistant</t>
  </si>
  <si>
    <t xml:space="preserve">29,915 sf;12,660 sf</t>
  </si>
  <si>
    <t xml:space="preserve">SEC CMBS prospectus (Benchmark 2026-B42), rent roll dated 2026-02-05: Nayya Health Inc. 29,915 sf, lease to 2029-12-31, subleases its 18th-floor part (12,660 sf) to BaseTen Labs. NYREJ 2024-12-10: entire 4th floor plus part of 18th. Built In NYC: 150 total employees, HQ New York. | Assembly 2026-10-24: SEC EDGAR source (sec.gov): this agent will not re-open it, because EDGAR serves only requests that carry a contact email and the project rule forbids sending one; the founder may open it in a browser. Review round 2: band changed from 76-150 to unknown. Sources disagree: Built In shows 150 (76-150) and Revelio Labs (Nayya Health, Inc., HQ New York City): about 200 employees worldwide as of March 2026 (151-250). Band left unknown; founder to confirm at intake. Review round 2: corner lot: the lot-centroid pin sat 20 m from E 18 ST but 39 m from PARK AVE S, so it was moved to the PARK AVE S frontage near the corner (14 m from the PARK AVE S centreline, 26 m from E 18 ST; 26 m from the old pin). Tax lot unchanged.</t>
  </si>
  <si>
    <t xml:space="preserve">Phoebe Waxman</t>
  </si>
  <si>
    <t xml:space="preserve">2026-01-24</t>
  </si>
  <si>
    <t xml:space="preserve">ny_base=likely (The Org gives a New York location, no office attached); title_fit=family (people operations). The Org updated 2026-01-24. Nayya has advertised a 5-days-in-office NYC Office Manager role (search results: builtinnyc.com/job/office-manager/297301, venturefizz, not opened); no name found for that seat.</t>
  </si>
  <si>
    <t xml:space="preserve">Amber Hewko</t>
  </si>
  <si>
    <t xml:space="preserve">https://theorg.com/org/nayya/person/amber-hewko</t>
  </si>
  <si>
    <t xml:space="preserve">2025-05-30</t>
  </si>
  <si>
    <t xml:space="preserve">ny_base=unconfirmed (no location or office on The Org); title_fit=variant (The Org shows her reporting to the CEO, Sarah Liebel). The Org updated 2025-05-30.</t>
  </si>
  <si>
    <t xml:space="preserve">AO-C-034</t>
  </si>
  <si>
    <t xml:space="preserve">Cognitiv</t>
  </si>
  <si>
    <t xml:space="preserve">Jason</t>
  </si>
  <si>
    <t xml:space="preserve">Pellegrino</t>
  </si>
  <si>
    <t xml:space="preserve">SVP, People</t>
  </si>
  <si>
    <t xml:space="preserve">Tuesday estimate 56 to 114 (low confidence), under 500 staff company-wide, hybrid 3 days with Tuesday named as an office day, occupied at a high-confidence address; adjacent contact named (SVP, People).</t>
  </si>
  <si>
    <t xml:space="preserve">https://cognitiv.ai/contact/</t>
  </si>
  <si>
    <t xml:space="preserve">find Jason Pellegrino at Cognitiv on LinkedIn and paste the profile URL; adjacent title: ask who runs the pantry</t>
  </si>
  <si>
    <t xml:space="preserve">https://cognitiv.ai/about-us</t>
  </si>
  <si>
    <t xml:space="preserve">adjacent</t>
  </si>
  <si>
    <t xml:space="preserve">16</t>
  </si>
  <si>
    <t xml:space="preserve">B-C-034</t>
  </si>
  <si>
    <t xml:space="preserve">https://cognitiv.ai</t>
  </si>
  <si>
    <t xml:space="preserve">adtech (AI advertising)</t>
  </si>
  <si>
    <t xml:space="preserve">170</t>
  </si>
  <si>
    <t xml:space="preserve">166</t>
  </si>
  <si>
    <t xml:space="preserve">https://www.builtinnyc.com/company/cognitiv</t>
  </si>
  <si>
    <t xml:space="preserve">https://www.reveliolabs.com/companies/cognitiv/employees</t>
  </si>
  <si>
    <t xml:space="preserve">https://www.builtinnyc.com/company/cognitiv/offices</t>
  </si>
  <si>
    <t xml:space="preserve">170 (Built In) and 166 (Revelio Labs) staff (whole-company count) x 50% to 100% of them in the New York office (HQ New York; share assumed) x 67% (Partnership for NYC, firms under 500) in on a weekday = 56 to 114, central 80; low confidence; estimate until intake replaces it.</t>
  </si>
  <si>
    <t xml:space="preserve">Rebecca</t>
  </si>
  <si>
    <t xml:space="preserve">Aliab D.</t>
  </si>
  <si>
    <t xml:space="preserve">Vice President, Business Operations</t>
  </si>
  <si>
    <t xml:space="preserve">16,612 sf</t>
  </si>
  <si>
    <t xml:space="preserve">Contact page: '215 Park Ave S, Floor 16 New York, NY 10003'. SEC prospectus: Cognitiv Corp. subleases Stellar Health's 16th floor (16,612 sf) through 2027-01-31, so the space may change after January 2027. Built In NYC: 170 total employees, 4 offices, HQ New York. | Assembly 2026-10-24: SEC EDGAR source (sec.gov): this agent will not re-open it, because EDGAR serves only requests that carry a contact email and the project rule forbids sending one; the founder may open it in a browser. Review round 2: a second count agrees with the band: Revelio Labs (Cognitiv Corp., HQ New York City): about 166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</si>
  <si>
    <t xml:space="preserve">Jason Pellegrino</t>
  </si>
  <si>
    <t xml:space="preserve">2026-03-04</t>
  </si>
  <si>
    <t xml:space="preserve">ny_base=confirmed; title_fit=variant (people lead). Listed on the company's Meet Our Team section. The Org (https://theorg.com/org/cognitiv/person/jason-pellegrino-phr, updated 2026-03-04) attaches him to Cognitiv's New York HQ office. No office manager found; Cognitiv's office-manager posting found in search was for Tel Aviv.</t>
  </si>
  <si>
    <t xml:space="preserve">Rebecca Aliab D.</t>
  </si>
  <si>
    <t xml:space="preserve">https://theorg.com/org/cognitiv/person/rebecca-aliab-d</t>
  </si>
  <si>
    <t xml:space="preserve">ny_base=confirmed; title_fit=adjacent (business operations lead). The Org attaches the role to Cognitiv's New York HQ office (updated 2026-01-19). Surname appears truncated on The Org ('Aliab D.'); founder to confirm the full name before outreach.</t>
  </si>
  <si>
    <t xml:space="preserve">AO-C-085</t>
  </si>
  <si>
    <t xml:space="preserve">Empathy</t>
  </si>
  <si>
    <t xml:space="preserve">Nafissatou</t>
  </si>
  <si>
    <t xml:space="preserve">Babylas Ndiaye</t>
  </si>
  <si>
    <t xml:space="preserve">Head of People, US</t>
  </si>
  <si>
    <t xml:space="preserve">Tuesday estimate 67 to 134 (low confidence), under 500 staff company-wide, hybrid 3 days with Tuesday named as an office day, occupied at a high-confidence address; adjacent contact named (Head of People, US).</t>
  </si>
  <si>
    <t xml:space="preserve">https://www.empathy.com/</t>
  </si>
  <si>
    <t xml:space="preserve">find Nafissatou Babylas Ndiaye at Empathy on LinkedIn and paste the profile URL (this also confirms the name: The Org is crowd-edited); adjacent title: ask who runs the pantry</t>
  </si>
  <si>
    <t xml:space="preserve">https://theorg.com/org/empathy/person/nafissatou-babylas-ndiaye</t>
  </si>
  <si>
    <t xml:space="preserve">56 West 22nd Street</t>
  </si>
  <si>
    <t xml:space="preserve">PH</t>
  </si>
  <si>
    <t xml:space="preserve">B-C-085</t>
  </si>
  <si>
    <t xml:space="preserve">https://www.empathy.com</t>
  </si>
  <si>
    <t xml:space="preserve">software and services (bereavement support, insurtech)</t>
  </si>
  <si>
    <t xml:space="preserve">https://www.builtinnyc.com/company/empathy</t>
  </si>
  <si>
    <t xml:space="preserve">10010</t>
  </si>
  <si>
    <t xml:space="preserve">B-B-039</t>
  </si>
  <si>
    <t xml:space="preserve">56 West 22nd Street (Kaufman Organization)</t>
  </si>
  <si>
    <t xml:space="preserve">https://commercialobserver.com/2024/03/nyu-langones-empathy-project-takes-6k-sf-in-flatiron-district/</t>
  </si>
  <si>
    <t xml:space="preserve">2024-03-06</t>
  </si>
  <si>
    <t xml:space="preserve">Built In workplace type: Hybrid Workplace; typical time on-site: 3 days a week; recent job tags: 2 Hybrid, 1 Remote</t>
  </si>
  <si>
    <t xml:space="preserve">https://www.builtinnyc.com/company/empathy/offices</t>
  </si>
  <si>
    <t xml:space="preserve">200 (Built In) staff (whole-company count) x 50% to 100% of them in the New York office (HQ New York; share assumed) x 67% (Partnership for NYC, firms under 500) in on a weekday = 67 to 134, central 95; low confidence; estimate until intake replaces it.</t>
  </si>
  <si>
    <t xml:space="preserve">5,508 sf</t>
  </si>
  <si>
    <t xml:space="preserve">Built In lists HQ at 56 W 22nd St; CO Mar 2024 reported the HQ move to the 5,508 sf penthouse. Built In shows 200 total employees. | Assembly 2026-10-24: Review round 1: Empathy's own homepage structured data (opened 2026-10-24) gives streetAddress '56 W 22nd Street', 10010, so the row stays high on its own page plus Built In. The CO 2024-03-06 lease is the older third source. Review round 3: Built In is an employer-editable profile, so it no longer counts as the independent confirmation of the company's own page. The independent source is now CO 2024-03-06 (opened 2026-10-24; headline 'Loss Support Organization Empathy Takes 6K SF in Flatiron District'): 'moving its headquarters to the top floor of Kaufman Organization's 56 West 22nd Street'. The row stays high.</t>
  </si>
  <si>
    <t xml:space="preserve">Nafissatou Babylas Ndiaye</t>
  </si>
  <si>
    <t xml:space="preserve">2026-09-01</t>
  </si>
  <si>
    <t xml:space="preserve">ny_base=confirmed; title_fit=variant (people lead). The Org attaches the role to Empathy's New York HQ office (updated 2026-09-01; The Org's office record shows 1178 Broadway, B's company-site address is 56 West 22nd Street). Empathy is hiring a 'Workplace Experience Associate, People Operations | New York' to own the NYC office experience, posted 2026-10-06 (opened https://jobs.generalcatalyst.com/companies/empathy/jobs/95904631-workplace-experience-associate and https://www.empathy.com/careers): the pantry seat is vacant, so the Head of People is the right first contact.</t>
  </si>
  <si>
    <t xml:space="preserve">AO-C-031</t>
  </si>
  <si>
    <t xml:space="preserve">Dashlane</t>
  </si>
  <si>
    <t xml:space="preserve">Caroline</t>
  </si>
  <si>
    <t xml:space="preserve">Lee</t>
  </si>
  <si>
    <t xml:space="preserve">Workplace Experience Specialist</t>
  </si>
  <si>
    <t xml:space="preserve">Tuesday estimate 95 to 214 (low confidence), under 500 staff company-wide, hybrid (days not stated), occupied at a high-confidence address; contact in the target titles named (Workplace Experience Specialist).</t>
  </si>
  <si>
    <t xml:space="preserve">https://www.dashlane.com/terms</t>
  </si>
  <si>
    <t xml:space="preserve">find Caroline Lee at Dashlane on LinkedIn and paste the profile URL (this also confirms the name: The Org is crowd-edited)</t>
  </si>
  <si>
    <t xml:space="preserve">https://theorg.com/org/dashlane/person/caroline-lee</t>
  </si>
  <si>
    <t xml:space="preserve">44 West 18th Street</t>
  </si>
  <si>
    <t xml:space="preserve">hybrid-unspecified</t>
  </si>
  <si>
    <t xml:space="preserve">B-C-031</t>
  </si>
  <si>
    <t xml:space="preserve">https://www.dashlane.com</t>
  </si>
  <si>
    <t xml:space="preserve">software (password management / security)</t>
  </si>
  <si>
    <t xml:space="preserve">284</t>
  </si>
  <si>
    <t xml:space="preserve">319</t>
  </si>
  <si>
    <t xml:space="preserve">https://www.builtinnyc.com/company/dashlane</t>
  </si>
  <si>
    <t xml:space="preserve">https://www.reveliolabs.com/companies/dashlane/employees</t>
  </si>
  <si>
    <t xml:space="preserve">10011</t>
  </si>
  <si>
    <t xml:space="preserve">B-B-013</t>
  </si>
  <si>
    <t xml:space="preserve">https://commercialobserver.com/2019/04/dashlane-lease-44-west-18th-street-forty-four-eighteen-associates/</t>
  </si>
  <si>
    <t xml:space="preserve">2019-04-22</t>
  </si>
  <si>
    <t xml:space="preserve">Built In workplace type: Hybrid Workplace; typical time on-site: Flexible; recent job tags: 3 Hybrid</t>
  </si>
  <si>
    <t xml:space="preserve">https://www.builtinnyc.com/company/dashlane/offices</t>
  </si>
  <si>
    <t xml:space="preserve">284 (Built In) and 319 (Revelio Labs) staff (whole-company count) x 50% to 100% of them in the New York office (HQ New York; share assumed) x 67% (Partnership for NYC, firms under 500) in on a weekday = 95 to 214, central 143; low confidence; estimate until intake replaces it.</t>
  </si>
  <si>
    <t xml:space="preserve">Terms and privacy pages give Dashlane USA, Inc., 44 West 18th Street, 4th Floor; Built In lists HQ at 44 W 18th Street. Built In shows 284 total employees (Paris and NYC). Same building Hex lists as its prior NYC office. | Assembly 2026-10-24: Review round 3: Built In is an employer-editable profile, so it no longer counts as the independent confirmation of the company's own page. The independent source is now CO 2019-04-22 (opened 2026-10-24): 'signed a 10-year lease for the entire fourth floor' of 44 West 18th Street; Mann Report 2019-10-03 adds the third floor on a second 10-year lease. The row stays high. Review round 2: a second count agrees with the band: Revelio Labs (Dashlane, Inc., HQ New York City): about 319 employees worldwide as of March 2026. Pin moved to frontage at review round 1: the lot-centroid pin failed the block-face test (38 m from W 18 ST but 37 m from W 17 ST); pin moved to frontage: the lot's position along W 18 ST kept, set 21 m from the centreline on the side CSCL gives house number 44 (17 m from the old pin). Tax lot unchanged. New pin: 21 m from W 18 ST, 54 m from W 17 ST.</t>
  </si>
  <si>
    <t xml:space="preserve">Caroline Lee</t>
  </si>
  <si>
    <t xml:space="preserve">2026-01-17</t>
  </si>
  <si>
    <t xml:space="preserve">ny_base=likely (The Org gives a New York location, no office attached); title_fit=family (workplace experience). The Org updated 2026-01-17. One name search found no LinkedIn URL.</t>
  </si>
  <si>
    <t xml:space="preserve">AO-C-083</t>
  </si>
  <si>
    <t xml:space="preserve">CompStak</t>
  </si>
  <si>
    <t xml:space="preserve">Maxine</t>
  </si>
  <si>
    <t xml:space="preserve">Swick</t>
  </si>
  <si>
    <t xml:space="preserve">VP, Head of People</t>
  </si>
  <si>
    <t xml:space="preserve">Tuesday estimate 50 to 105 (low confidence), under 500 staff company-wide, hybrid 3 days, occupied at a high-confidence address; adjacent contact named (VP, Head of People).</t>
  </si>
  <si>
    <t xml:space="preserve">40-75</t>
  </si>
  <si>
    <t xml:space="preserve">https://compstak.com/about</t>
  </si>
  <si>
    <t xml:space="preserve">find Maxine Swick at CompStak on LinkedIn and paste the profile URL (this also confirms the name: The Org is crowd-edited); adjacent title: ask who runs the pantry</t>
  </si>
  <si>
    <t xml:space="preserve">https://theorg.com/org/compstak/person/maxine-swick</t>
  </si>
  <si>
    <t xml:space="preserve">675 Avenue of the Americas</t>
  </si>
  <si>
    <t xml:space="preserve">B-C-083</t>
  </si>
  <si>
    <t xml:space="preserve">https://compstak.com</t>
  </si>
  <si>
    <t xml:space="preserve">software (commercial real estate data)</t>
  </si>
  <si>
    <t xml:space="preserve">157</t>
  </si>
  <si>
    <t xml:space="preserve">https://www.builtinnyc.com/company/compstak</t>
  </si>
  <si>
    <t xml:space="preserve">https://www.reveliolabs.com/companies/compstak/employees</t>
  </si>
  <si>
    <t xml:space="preserve">B-B-038</t>
  </si>
  <si>
    <t xml:space="preserve">Adams Dry Goods / Mattel Building (GFP Real Estate)</t>
  </si>
  <si>
    <t xml:space="preserve">https://commercialobserver.com/2022/12/compstak-leases-27k-sf-at-675-avenue-of-the-americas/</t>
  </si>
  <si>
    <t xml:space="preserve">2022-12-20</t>
  </si>
  <si>
    <t xml:space="preserve">https://www.builtinnyc.com/company/compstak/offices</t>
  </si>
  <si>
    <t xml:space="preserve">150 (Built In) and 157 (Revelio Labs) staff (whole-company count) x 50% to 100% of them in the New York office (HQ New York; share assumed) x 67% (Partnership for NYC, firms under 500) in on a weekday = 50 to 105, central 72; low confidence; estimate until intake replaces it.</t>
  </si>
  <si>
    <t xml:space="preserve">Alyssa</t>
  </si>
  <si>
    <t xml:space="preserve">Murrett</t>
  </si>
  <si>
    <t xml:space="preserve">VP, Operations</t>
  </si>
  <si>
    <t xml:space="preserve">25,644 sf</t>
  </si>
  <si>
    <t xml:space="preserve">Built In lists HQ at 675 6th Ave, 4th Floor; CO Dec 2022 reported the five-year, 25,644 sf HQ lease (term runs to about 2027). Built In shows 150 total employees. | Assembly 2026-10-24: Review round 1: CompStak's own About page (opened 2026-10-24) prints '675 6th Ave, Floor 4, New York, NY 10010', so the row stays high on its own page plus Built In. The CO 2022-12-20 lease is the older third source. Review round 3: Built In is an employer-editable profile, so it no longer counts as the independent confirmation of the company's own page. The independent source is now CO 2022-12-20 (opened 2026-10-24): 'signed a five-year lease to relocate its global headquarters to 25,644 square feet at 675 Avenue of the Americas'. The row stays high. Review round 2: band changed from 76-150 to unknown. Sources disagree: Built In shows 150 (76-150) and Revelio Labs (CompStak, Inc., HQ New York City): about 157 employees worldwide as of March 2026 (151-250). Band left unknown; founder to confirm at intake. Review round 2: corner lot: the lot-centroid pin sat 39 m from W 21 ST but 46 m from AVE OF THE AMERICAS, so it was moved to the AVE OF THE AMERICAS frontage near the corner (18 m from the AVE OF THE AMERICAS centreline, 39 m from W 21 ST; 28 m from the old pin). Tax lot unchanged.</t>
  </si>
  <si>
    <t xml:space="preserve">Maxine Swick</t>
  </si>
  <si>
    <t xml:space="preserve">2026-08-12</t>
  </si>
  <si>
    <t xml:space="preserve">ny_base=confirmed (The Org attaches the role to CompStak's New York HQ office); title_fit=variant (people lead). The Org updated 2026-08-12. CompStak has advertised a part-time New York Office Manager (search results: builtin.com/job/part-time-office-manager/7262140 and jobs.lever.co/compstak, not opened); no name found for that seat.</t>
  </si>
  <si>
    <t xml:space="preserve">Alyssa Murrett</t>
  </si>
  <si>
    <t xml:space="preserve">https://theorg.com/org/compstak/person/alyssa-murrett</t>
  </si>
  <si>
    <t xml:space="preserve">2023-02-26</t>
  </si>
  <si>
    <t xml:space="preserve">ny_base=unconfirmed (no location or office on The Org); title_fit=adjacent (operations lead). This The Org record was last updated 2023-02-26 and may be stale. A newer record (https://theorg.com/org/compstak/person/alyssa-m, 'Alyssa M.', 'SVP, Operations &amp; Marketing', updated 2025-06-27) may be the same person; founder to confirm.</t>
  </si>
  <si>
    <t xml:space="preserve">AO-C-052</t>
  </si>
  <si>
    <t xml:space="preserve">Bombas</t>
  </si>
  <si>
    <t xml:space="preserve">Carlos</t>
  </si>
  <si>
    <t xml:space="preserve">Arellano</t>
  </si>
  <si>
    <t xml:space="preserve">Workplace Coordinator</t>
  </si>
  <si>
    <t xml:space="preserve">Tuesday estimate 75 to 203 (low confidence), under 500 staff company-wide, on-site 5 days a week per its profile, occupancy-unconfirmed at a low-confidence address; contact in the target titles named (Workplace Coordinator).</t>
  </si>
  <si>
    <t xml:space="preserve">https://www.builtinnyc.com/company/bombas/offices</t>
  </si>
  <si>
    <t xml:space="preserve">find Carlos Arellano at Bombas on LinkedIn and paste the profile URL (this also confirms the name: The Org is crowd-edited); the source is dated 2024-11-14: check Carlos still holds the role</t>
  </si>
  <si>
    <t xml:space="preserve">https://theorg.com/org/bombas/person/carlos-arellano</t>
  </si>
  <si>
    <t xml:space="preserve">881 Broadway</t>
  </si>
  <si>
    <t xml:space="preserve">2</t>
  </si>
  <si>
    <t xml:space="preserve">occupancy-unconfirmed</t>
  </si>
  <si>
    <t xml:space="preserve">B-C-052</t>
  </si>
  <si>
    <t xml:space="preserve">https://bombas.com</t>
  </si>
  <si>
    <t xml:space="preserve">apparel brand (socks and basics)</t>
  </si>
  <si>
    <t xml:space="preserve">223</t>
  </si>
  <si>
    <t xml:space="preserve">303</t>
  </si>
  <si>
    <t xml:space="preserve">https://www.builtinnyc.com/company/bombas</t>
  </si>
  <si>
    <t xml:space="preserve">https://www.reveliolabs.com/companies/bombas/employees</t>
  </si>
  <si>
    <t xml:space="preserve">B-B-023</t>
  </si>
  <si>
    <t xml:space="preserve">115 Fifth Avenue / 881 Broadway (Arnold Constable block)</t>
  </si>
  <si>
    <t xml:space="preserve">builtin</t>
  </si>
  <si>
    <t xml:space="preserve">https://commercialobserver.com/2019/04/bombas-lease-881-broadway-the-winter-organization/</t>
  </si>
  <si>
    <t xml:space="preserve">2019-04-10</t>
  </si>
  <si>
    <t xml:space="preserve">https://www.metro-manhattan.com/buildings/115-fifth-avenue/</t>
  </si>
  <si>
    <t xml:space="preserve">Built In workplace type: OnSite Workplace; typical time on-site: 5 days a week; recent job tags: 3 In-Office</t>
  </si>
  <si>
    <t xml:space="preserve">223 (Built In) and 303 (Revelio Labs) staff (whole-company count) x 50% to 100% of them in the New York office (HQ New York; share assumed) x 67% (Partnership for NYC, firms under 500) in on a weekday = 75 to 203, central 123; low confidence; estimate until intake replaces it.</t>
  </si>
  <si>
    <t xml:space="preserve">Melissa</t>
  </si>
  <si>
    <t xml:space="preserve">King</t>
  </si>
  <si>
    <t xml:space="preserve">33,300 sf</t>
  </si>
  <si>
    <t xml:space="preserve">Built In (opened 2026-10-23) lists HQ at 881 Broadway, which shares tax lot 1008470062 with 115 Fifth Avenue. CO Apr 2019 reported a 10-year lease of the entire 2nd floor (33,300 sf), running to about 2029. Company site returned HTTP 429 to our fetches. Built In shows 223 total employees. Consumer brand. | Assembly 2026-10-24: Review round 1: lowered from high to medium. Built In is undated and the CO lease is 2019-04-10; bombas.com returned HTTP 429 again on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band changed from 151-250 to unknown. Sources disagree: Built In shows 223 (151-250) and Revelio Labs (Bombas LLC, HQ New York City): about 303 employees worldwide as of March 2026 (251-500). Band left unknown; founder to confirm at intake. Review round 2: corner lot: the lot-centroid pin sat 21 m from E 19 ST but 57 m from BROADWAY, so it was moved to the BROADWAY frontage near the corner (15 m from the BROADWAY centreline, 26 m from E 19 ST; 46 m from the old pin). Tax lot unchanged.</t>
  </si>
  <si>
    <t xml:space="preserve">Carlos Arellano</t>
  </si>
  <si>
    <t xml:space="preserve">2024-11-14</t>
  </si>
  <si>
    <t xml:space="preserve">ny_base=likely (The Org gives a New York location, no office attached); title_fit=variant (workplace coordinator). The Org updated 2024-11-14, so the role may be stale: founder to confirm.</t>
  </si>
  <si>
    <t xml:space="preserve">Melissa King</t>
  </si>
  <si>
    <t xml:space="preserve">https://theorg.com/org/bombas/person/melissa-king</t>
  </si>
  <si>
    <t xml:space="preserve">2025-05-15</t>
  </si>
  <si>
    <t xml:space="preserve">ny_base=confirmed (The Org attaches the role to the 881 Broadway HQ office); title_fit=variant (The Org shows her reporting to the CEO, Jason Larose). The Org updated 2025-05-15. Alternate: Timothy Meola, Executive Assistant, also reporting to the CEO (https://theorg.com/org/bombas/person/timothy-meola).</t>
  </si>
  <si>
    <t xml:space="preserve">AO-C-091</t>
  </si>
  <si>
    <t xml:space="preserve">1stDibs</t>
  </si>
  <si>
    <t xml:space="preserve">Lindsay</t>
  </si>
  <si>
    <t xml:space="preserve">Cusatis</t>
  </si>
  <si>
    <t xml:space="preserve">Executive Assistant to Chief Executive Officer; Manager</t>
  </si>
  <si>
    <t xml:space="preserve">Tuesday estimate 94 to 305 (low confidence), under 500 staff company-wide, hybrid (days not stated), occupied at a high-confidence address; contact in the target titles named (Executive Assistant to Chief Executive Officer; Manager).</t>
  </si>
  <si>
    <t xml:space="preserve">https://www.1stdibs.com/about/user-agreement/</t>
  </si>
  <si>
    <t xml:space="preserve">find Lindsay Cusatis at 1stDibs on LinkedIn and paste the profile URL (this also confirms the name: The Org is crowd-edited); the source is dated 2024-11-24: check Lindsay still holds the role</t>
  </si>
  <si>
    <t xml:space="preserve">https://theorg.com/org/1stdibs/person/lindsay-cusatis</t>
  </si>
  <si>
    <t xml:space="preserve">300 Park Avenue South</t>
  </si>
  <si>
    <t xml:space="preserve">10</t>
  </si>
  <si>
    <t xml:space="preserve">B-C-091</t>
  </si>
  <si>
    <t xml:space="preserve">https://www.1stdibs.com/</t>
  </si>
  <si>
    <t xml:space="preserve">Online marketplace (design, art, antiques)</t>
  </si>
  <si>
    <t xml:space="preserve">455</t>
  </si>
  <si>
    <t xml:space="preserve">281</t>
  </si>
  <si>
    <t xml:space="preserve">https://www.builtinnyc.com/company/1stdibs/offices</t>
  </si>
  <si>
    <t xml:space="preserve">https://www.reveliolabs.com/companies/1stdibs/employees</t>
  </si>
  <si>
    <t xml:space="preserve">B-B-044</t>
  </si>
  <si>
    <t xml:space="preserve">300 Park Avenue South (Rockrose); also addressed 290 Park Avenue South</t>
  </si>
  <si>
    <t xml:space="preserve">https://commercialobserver.com/2025/08/flexible-finance-relocating-41k-sf-300-park-avenue-south/</t>
  </si>
  <si>
    <t xml:space="preserve">2025-08-18</t>
  </si>
  <si>
    <t xml:space="preserve">https://rockrose.com/office/300-park-ave-s/</t>
  </si>
  <si>
    <t xml:space="preserve">Built In workplace type: OnSite Workplace; typical time on-site: 5 days a week (box) but policy text: teams set their own in-office days</t>
  </si>
  <si>
    <t xml:space="preserve">455 (Built In) and 281 (Revelio Labs) staff (whole-company count) x 50% to 100% of them in the New York office (HQ New York; share assumed) x 67% (Partnership for NYC, firms under 500) in on a weekday = 94 to 305, central 169; low confidence; estimate until intake replaces it.</t>
  </si>
  <si>
    <t xml:space="preserve">Maura</t>
  </si>
  <si>
    <t xml:space="preserve">Bermingham</t>
  </si>
  <si>
    <t xml:space="preserve">People Business Partner</t>
  </si>
  <si>
    <t xml:space="preserve">13,671 sf</t>
  </si>
  <si>
    <t xml:space="preserve">Company user agreement and privacy policy (live) give 300 Park Avenue South, 10th Floor. CO Mar 2024: HQ move from 51 Astor Place, 13,671 sf; CO Aug 2025 lists 1stDibs as a current tenant. Built In: 455 total employees (profile still shows 51 Astor Place). | Assembly 2026-10-24: Review round 2: a second count agrees with the band: Revelio Labs (1stdibs.com, Inc., HQ New York City): about 281 employees worldwide as of March 2026. Review round 2: corner lot: the lot-centroid pin sat 24 m from E 22 ST but 25 m from PARK AVE S, so it was moved to the PARK AVE S frontage near the corner (13 m from the PARK AVE S centreline, 27 m from E 22 ST; 12 m from the old pin). Tax lot unchanged.</t>
  </si>
  <si>
    <t xml:space="preserve">Lindsay Cusatis</t>
  </si>
  <si>
    <t xml:space="preserve">2024-11-24</t>
  </si>
  <si>
    <t xml:space="preserve">ny_base=confirmed (The Org attaches the role to 1stDibs's New York HQ office and shows her reporting to the CEO, David Rosenblatt); title_fit=family (EA to CEO). The Org updated 2024-11-24.</t>
  </si>
  <si>
    <t xml:space="preserve">Maura Bermingham</t>
  </si>
  <si>
    <t xml:space="preserve">https://theorg.com/org/1stdibs/person/maura-bermingham</t>
  </si>
  <si>
    <t xml:space="preserve">2025-05-23</t>
  </si>
  <si>
    <t xml:space="preserve">ny_base=likely (The Org gives a New York location, no office attached); title_fit=variant (people). The Org updated 2025-05-23.</t>
  </si>
  <si>
    <t xml:space="preserve">AO-C-096</t>
  </si>
  <si>
    <t xml:space="preserve">Inspiren</t>
  </si>
  <si>
    <t xml:space="preserve">Jared</t>
  </si>
  <si>
    <t xml:space="preserve">Zimmer</t>
  </si>
  <si>
    <t xml:space="preserve">Chief of Staff to CCO</t>
  </si>
  <si>
    <t xml:space="preserve">Tuesday estimate 50 to 100 (low confidence), under 500 staff company-wide, hybrid (days not stated), occupied at a high-confidence address; adjacent contact named (Chief of Staff to CCO).</t>
  </si>
  <si>
    <t xml:space="preserve">New or renewed lease at 61 West 23rd Street reported 2026-09-21</t>
  </si>
  <si>
    <t xml:space="preserve">https://commercialobserver.com/2026/09/normal-computing-inspiren-leases-61-west-23rd-street/</t>
  </si>
  <si>
    <t xml:space="preserve">2026-09-21</t>
  </si>
  <si>
    <t xml:space="preserve">find Jared Zimmer at Inspiren on LinkedIn and paste the profile URL (this also confirms the name: The Org is crowd-edited); adjacent title: ask who runs the pantry</t>
  </si>
  <si>
    <t xml:space="preserve">https://theorg.com/org/inspiren/person/jared-zimmer</t>
  </si>
  <si>
    <t xml:space="preserve">61 West 23rd Street</t>
  </si>
  <si>
    <t xml:space="preserve">full floor (floor number not stated)</t>
  </si>
  <si>
    <t xml:space="preserve">B-C-096</t>
  </si>
  <si>
    <t xml:space="preserve">https://www.inspiren.com/</t>
  </si>
  <si>
    <t xml:space="preserve">Healthcare technology (AI for senior living)</t>
  </si>
  <si>
    <t xml:space="preserve">https://www.builtinnyc.com/company/inspiren/offices</t>
  </si>
  <si>
    <t xml:space="preserve">B-B-047</t>
  </si>
  <si>
    <t xml:space="preserve">61 West 23rd Street (Zegna family; Taconic development partner)</t>
  </si>
  <si>
    <t xml:space="preserve">Built In workplace type: Hybrid Workplace; typical time on-site: Flexible; recent job tags: 3 In-Office</t>
  </si>
  <si>
    <t xml:space="preserve">150 (Built In) staff (whole-company count) x 50% to 100% of them in the New York office (HQ New York; share assumed) x 67% (Partnership for NYC, firms under 500) in on a weekday = 50 to 100, central 71; low confidence; estimate until intake replaces it.</t>
  </si>
  <si>
    <t xml:space="preserve">8,367 sf</t>
  </si>
  <si>
    <t xml:space="preserve">CO: moved into 8,367 sf in early Sept 2026, first permanent NYC office (previously Brooklyn Navy Yard). Built In lists HQ 61 W 23rd St and 150 total employees (live profile, undated).</t>
  </si>
  <si>
    <t xml:space="preserve">Jared Zimmer</t>
  </si>
  <si>
    <t xml:space="preserve">2026-03-09</t>
  </si>
  <si>
    <t xml:space="preserve">ny_base=likely (The Org gives a New York location, no office attached); title_fit=adjacent (chief of staff at a small firm, but to the chief commercial officer, not the CEO). The Org updated 2026-03-09. Inspiren's HR coordinator on The Org is not placed in New York.</t>
  </si>
  <si>
    <t xml:space="preserve">AO-C-038</t>
  </si>
  <si>
    <t xml:space="preserve">Stellar Health</t>
  </si>
  <si>
    <t xml:space="preserve">Stavroula</t>
  </si>
  <si>
    <t xml:space="preserve">Zimaras</t>
  </si>
  <si>
    <t xml:space="preserve">Chief of Staff to CEO</t>
  </si>
  <si>
    <t xml:space="preserve">Tuesday estimate 55 to 126 (low confidence), under 500 staff company-wide, hybrid (days not stated), occupied at a high-confidence address; adjacent contact named (Chief of Staff to CEO).</t>
  </si>
  <si>
    <t xml:space="preserve">find Stavroula Zimaras at Stellar Health on LinkedIn and paste the profile URL (this also confirms the name: The Org is crowd-edited); adjacent title: ask who runs the pantry</t>
  </si>
  <si>
    <t xml:space="preserve">https://theorg.com/org/stellar-health/person/stavroula-zimaras</t>
  </si>
  <si>
    <t xml:space="preserve">B-C-038</t>
  </si>
  <si>
    <t xml:space="preserve">https://www.stellarhealth.net</t>
  </si>
  <si>
    <t xml:space="preserve">health tech (value-based care software)</t>
  </si>
  <si>
    <t xml:space="preserve">165</t>
  </si>
  <si>
    <t xml:space="preserve">188</t>
  </si>
  <si>
    <t xml:space="preserve">https://www.builtinnyc.com/company/stellar-health</t>
  </si>
  <si>
    <t xml:space="preserve">https://www.reveliolabs.com/companies/stellar-health-group/employees</t>
  </si>
  <si>
    <t xml:space="preserve">Built In workplace type: Hybrid Workplace; typical time on-site: Not Specified</t>
  </si>
  <si>
    <t xml:space="preserve">https://www.builtinnyc.com/company/stellar-health/offices</t>
  </si>
  <si>
    <t xml:space="preserve">165 (Built In) and 188 (Revelio Labs) staff (whole-company count) x 50% to 100% of them in the New York office (HQ New York; share assumed) x 67% (Partnership for NYC, firms under 500) in on a weekday = 55 to 126, central 83; low confidence; estimate until intake replaces it.</t>
  </si>
  <si>
    <t xml:space="preserve">Paul</t>
  </si>
  <si>
    <t xml:space="preserve">Savary</t>
  </si>
  <si>
    <t xml:space="preserve">Director HR Business Partner</t>
  </si>
  <si>
    <t xml:space="preserve">33,224 sf</t>
  </si>
  <si>
    <t xml:space="preserve">SEC rent roll 2026-02-05: The Stellar Health Group, Inc. 33,224 sf over two floors, lease to 2030-12-31; it subleases its 16th floor to Cognitiv, so it occupies one floor (floor number not stated). NYREJ 2024-12 lists Stellar Health Group as a tenant. Built In NYC: 165 total employees, HQ New York. | Assembly 2026-10-24: SEC EDGAR source (sec.gov): this agent will not re-open it, because EDGAR serves only requests that carry a contact email and the project rule forbids sending one; the founder may open it in a browser. Review round 2: a second count agrees with the band: Revelio Labs (The Stellar Health Group, Inc., HQ New York City): about 188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</si>
  <si>
    <t xml:space="preserve">Stavroula Zimaras</t>
  </si>
  <si>
    <t xml:space="preserve">2026-06-30</t>
  </si>
  <si>
    <t xml:space="preserve">ny_base=confirmed (The Org attaches the role to Stellar Health's New York HQ office; that record shows 127 West 26th Street while B has 215 Park Avenue South); title_fit=variant (chief of staff to the CEO at a 76-150 office). The Org updated 2026-06-30.</t>
  </si>
  <si>
    <t xml:space="preserve">Paul Savary</t>
  </si>
  <si>
    <t xml:space="preserve">https://theorg.com/org/stellar-health/person/paul-savary-1</t>
  </si>
  <si>
    <t xml:space="preserve">2026-09-19</t>
  </si>
  <si>
    <t xml:space="preserve">ny_base=likely (The Org gives a New York location, no office attached); title_fit=variant (HR). The Org updated 2026-09-19. Alternate: Katy Huber, Chief Human Resources Officer (https://theorg.com/org/stellar-health/person/katy-huber, NY HQ office, but last updated 2024-10-29).</t>
  </si>
  <si>
    <t xml:space="preserve">AO-C-171</t>
  </si>
  <si>
    <t xml:space="preserve">Signal AI</t>
  </si>
  <si>
    <t xml:space="preserve">Hannah</t>
  </si>
  <si>
    <t xml:space="preserve">Grow</t>
  </si>
  <si>
    <t xml:space="preserve">Senior People Operations Coordinator</t>
  </si>
  <si>
    <t xml:space="preserve">Tuesday estimate 8 to 151 (low confidence), under 500 staff company-wide, on-site 5 days a week per its profile, occupied at a high-confidence address; contact in the target titles named (Senior People Operations Coordinator).</t>
  </si>
  <si>
    <t xml:space="preserve">under-40</t>
  </si>
  <si>
    <t xml:space="preserve">new</t>
  </si>
  <si>
    <t xml:space="preserve">https://www.signal-ai.com/</t>
  </si>
  <si>
    <t xml:space="preserve">find Hannah Grow at Signal AI on LinkedIn and paste the profile URL (this also confirms the name: The Org is crowd-edited); Tuesday estimate band under-40: founder's call (set founder_ok_to_queue = Y to queue)</t>
  </si>
  <si>
    <t xml:space="preserve">https://theorg.com/org/signal-ai/person/hannah-grow</t>
  </si>
  <si>
    <t xml:space="preserve">440 Park Avenue South</t>
  </si>
  <si>
    <t xml:space="preserve">14</t>
  </si>
  <si>
    <t xml:space="preserve">B-C-171</t>
  </si>
  <si>
    <t xml:space="preserve">https://www.signal-ai.com</t>
  </si>
  <si>
    <t xml:space="preserve">software (AI risk and reputation intelligence)</t>
  </si>
  <si>
    <t xml:space="preserve">226</t>
  </si>
  <si>
    <t xml:space="preserve">https://www.builtinnyc.com/company/signal-ai/offices</t>
  </si>
  <si>
    <t xml:space="preserve">London</t>
  </si>
  <si>
    <t xml:space="preserve">B-B-080</t>
  </si>
  <si>
    <t xml:space="preserve">440 Park Avenue South (Samco Properties)</t>
  </si>
  <si>
    <t xml:space="preserve">https://commercialobserver.com/2022/12/signal-ai-doubles-offices-in-move-to-440-park-avenue-south/</t>
  </si>
  <si>
    <t xml:space="preserve">2022-12-19</t>
  </si>
  <si>
    <t xml:space="preserve">Built In workplace type: OnSite Workplace; typical time on-site: 5 days a week</t>
  </si>
  <si>
    <t xml:space="preserve">may be under 30;30 to 39 is the founder's call</t>
  </si>
  <si>
    <t xml:space="preserve">226 (Built In) staff (whole-company count) x 5% to 100% of them in the New York office (HQ outside New York; share assumed) x 67% (Partnership for NYC, firms under 500) in on a weekday = 8 to 151, central 35; low confidence; estimate until intake replaces it.</t>
  </si>
  <si>
    <t xml:space="preserve">Lauren</t>
  </si>
  <si>
    <t xml:space="preserve">Stone</t>
  </si>
  <si>
    <t xml:space="preserve">Head Of People</t>
  </si>
  <si>
    <t xml:space="preserve">11,140 sf</t>
  </si>
  <si>
    <t xml:space="preserve">Built In lists New York office at 440 Park Avenue South, 14th Floor; 226 total employees (HQ London). CO 2022: 11,140 SF US HQ. | Assembly 2026-10-24: Review round 1: Signal AI's own site footer (opened 2026-10-24) lists 'United States 440 Park Avenue South, 14th floor, New York NY 10016' beside its London office, so the row stays high on its own page plus Built In. Review round 3: Built In is an employer-editable profile, so it no longer counts as the independent confirmation of the company's own page. The independent source is now CO 2022-12-19 (opened 2026-10-24): 'signed a lease for space at Samco Properties at 440 Park Avenue South' (11,140 sf; lease length not disclosed). The row stays high. Review round 2: corner lot: the lot-centroid pin sat 23 m from E 30 ST but 24 m from PARK AVE S, so it was moved to the PARK AVE S frontage near the corner (13 m from the PARK AVE S centreline, 27 m from E 30 ST; 12 m from the old pin). Tax lot unchanged.</t>
  </si>
  <si>
    <t xml:space="preserve">Hannah Grow</t>
  </si>
  <si>
    <t xml:space="preserve">2026-02-09</t>
  </si>
  <si>
    <t xml:space="preserve">ny_base=confirmed (The Org attaches the role to Signal AI's New York office; that record shows 154 W 14th St while B's company-site address is 440 Park Avenue South); title_fit=family (people operations). The Org updated 2026-02-09.</t>
  </si>
  <si>
    <t xml:space="preserve">Lauren Stone</t>
  </si>
  <si>
    <t xml:space="preserve">https://theorg.com/org/signal-ai/person/lauren-stone</t>
  </si>
  <si>
    <t xml:space="preserve">2025-05-01</t>
  </si>
  <si>
    <t xml:space="preserve">ny_base=confirmed (same New York office record); title_fit=variant (people lead). The Org updated 2025-05-01.</t>
  </si>
  <si>
    <t xml:space="preserve">AO-C-047</t>
  </si>
  <si>
    <t xml:space="preserve">The Vita Coco Company</t>
  </si>
  <si>
    <t xml:space="preserve">walk-in</t>
  </si>
  <si>
    <t xml:space="preserve">Tuesday estimate 113 to 247 (low confidence), under 500 staff company-wide, no attendance signal, occupied at a high-confidence address; contact seen only in a search snippet.</t>
  </si>
  <si>
    <t xml:space="preserve">https://www.sec.gov/Archives/edgar/data/1482981/000148298126000022/coco-20251231.htm</t>
  </si>
  <si>
    <t xml:space="preserve">no named contact: walk in and ask for whoever runs the pantry, or use the company contact form</t>
  </si>
  <si>
    <t xml:space="preserve">unverified</t>
  </si>
  <si>
    <t xml:space="preserve">search snippet only (not opened)</t>
  </si>
  <si>
    <t xml:space="preserve">https://www.datanyze.com/people/Andy-Ng/2966944280</t>
  </si>
  <si>
    <t xml:space="preserve">111 Fifth Avenue</t>
  </si>
  <si>
    <t xml:space="preserve">B-C-047</t>
  </si>
  <si>
    <t xml:space="preserve">https://thevitacococompany.com</t>
  </si>
  <si>
    <t xml:space="preserve">beverage brand (coconut water)</t>
  </si>
  <si>
    <t xml:space="preserve">336</t>
  </si>
  <si>
    <t xml:space="preserve">368</t>
  </si>
  <si>
    <t xml:space="preserve">https://www.reveliolabs.com/companies/vita-coco/employees</t>
  </si>
  <si>
    <t xml:space="preserve">B-B-018</t>
  </si>
  <si>
    <t xml:space="preserve">111 Fifth Avenue (Winter Organization)</t>
  </si>
  <si>
    <t xml:space="preserve">2026-02-18</t>
  </si>
  <si>
    <t xml:space="preserve">https://commercialobserver.com/2024/09/vita-coco-111-fifth-avenue/</t>
  </si>
  <si>
    <t xml:space="preserve">2024-09-10</t>
  </si>
  <si>
    <t xml:space="preserve">336 (sec.gov) and 368 (Revelio Labs) staff (whole-company count) x 50% to 100% of them in the New York office (HQ New York; share assumed) x 67% (Partnership for NYC, firms under 500) in on a weekday = 113 to 247, central 167; low confidence; estimate until intake replaces it.</t>
  </si>
  <si>
    <t xml:space="preserve">22,530 sf</t>
  </si>
  <si>
    <t xml:space="preserve">FY2025 10-K cover lists principal executive offices at 111 Fifth Avenue, Second Floor; it reports 336 full-time employees at 2025-12-31, 235 of them in the U.S. CO Sept 2024 reported the 22,530 sf, 10-year HQ lease (moved from 250 Park Ave S). Built In shows 613, which conflicts with the 10-K; the 10-K is used. Beverage brand: possible brand-side contact as well as an office. | Assembly 2026-10-24: SEC EDGAR source (sec.gov): this agent will not re-open it, because EDGAR serves only requests that carry a contact email and the project rule forbids sending one; the founder may open it in a browser. Review round 2: a second count agrees with the band: Revelio Labs (The Vita Coco Co, HQ New York City): about 368 employees worldwide as of March 2026. Review round 2: corner lot: the lot-centroid pin sat 24 m from E 18 ST but 45 m from 5 AVE, so it was moved to the 5 AVE frontage near the corner (17 m from the 5 AVE centreline, 27 m from E 18 ST; 29 m from the old pin). Tax lot unchanged.</t>
  </si>
  <si>
    <t xml:space="preserve">Andy Ng</t>
  </si>
  <si>
    <t xml:space="preserve">ny_base=unconfirmed (search snippet only: a third-party profile listing an Operations Administrator at the New York headquarters; the page returned HTTP 403 and was not opened); title_fit=variant (office administration). The Org has no Vita Coco contact in the target titles placed in New York (its HR Director and People Coordinator records are outside New York).</t>
  </si>
  <si>
    <t xml:space="preserve">unconfirmed</t>
  </si>
  <si>
    <t xml:space="preserve">AO-C-050</t>
  </si>
  <si>
    <t xml:space="preserve">Global Trading Systems (GTS)</t>
  </si>
  <si>
    <t xml:space="preserve">Tuesday estimate 137 to 281 (low confidence), under 500 staff company-wide, on-site 5 days a week per its profile, occupied at a high-confidence address; no contact found in public sources (walk-in).</t>
  </si>
  <si>
    <t xml:space="preserve">https://commercialobserver.com/2024/11/trading-firm-gts-lease-625-avenue-of-the-americas/</t>
  </si>
  <si>
    <t xml:space="preserve">625 Avenue of the Americas</t>
  </si>
  <si>
    <t xml:space="preserve">3</t>
  </si>
  <si>
    <t xml:space="preserve">B-C-050</t>
  </si>
  <si>
    <t xml:space="preserve">https://gtsx.com</t>
  </si>
  <si>
    <t xml:space="preserve">electronic trading / market making</t>
  </si>
  <si>
    <t xml:space="preserve">420</t>
  </si>
  <si>
    <t xml:space="preserve">410</t>
  </si>
  <si>
    <t xml:space="preserve">https://www.builtinnyc.com/company/gts</t>
  </si>
  <si>
    <t xml:space="preserve">https://www.reveliolabs.com/companies/global-trading-systems/employees</t>
  </si>
  <si>
    <t xml:space="preserve">B-B-020</t>
  </si>
  <si>
    <t xml:space="preserve">625 Avenue of the Americas (Taub family)</t>
  </si>
  <si>
    <t xml:space="preserve">2024-11-21</t>
  </si>
  <si>
    <t xml:space="preserve">https://gtsx.com/locations/</t>
  </si>
  <si>
    <t xml:space="preserve">https://www.builtinnyc.com/company/gts/offices</t>
  </si>
  <si>
    <t xml:space="preserve">420 (Built In) and 410 (Revelio Labs) staff (whole-company count) x 50% to 100% of them in the New York office (HQ New York; share assumed) x 67% (Partnership for NYC, firms under 500) in on a weekday = 137 to 281, central 196; low confidence; estimate until intake replaces it.</t>
  </si>
  <si>
    <t xml:space="preserve">35,156 sf</t>
  </si>
  <si>
    <t xml:space="preserve">15-year, 35,156 sf lease of the 3rd floor (CO Nov 2024), relocating from 545 Madison Ave; keeps 40 Wall St. Company locations page (opened 2026-10-24) lists New York at 625 Sixth Avenue, NY 10011. Built In shows 420 total employees and still lists 545 Madison Ave. | Assembly 2026-10-24: Review round 2: a second count agrees with the band: Revelio Labs (Global Trading Systems LLC, HQ New York City): about 410 employees worldwide as of March 2026. Review round 2: corner lot: the lot-centroid pin sat 37 m from W 19 ST but 38 m from AVE OF THE AMERICAS, so it was moved to the AVE OF THE AMERICAS frontage near the corner (18 m from the AVE OF THE AMERICAS centreline, 37 m from W 19 ST; 20 m from the old pin). Tax lot unchanged.</t>
  </si>
  <si>
    <t xml:space="preserve">AO-C-009</t>
  </si>
  <si>
    <t xml:space="preserve">Alpine Investors</t>
  </si>
  <si>
    <t xml:space="preserve">Jake</t>
  </si>
  <si>
    <t xml:space="preserve">Jones</t>
  </si>
  <si>
    <t xml:space="preserve">Office Coordinator, New York office</t>
  </si>
  <si>
    <t xml:space="preserve">Tuesday estimate 7 to 136 (low confidence), under 500 staff company-wide, on-site 5 days a week per its profile, occupied at a high-confidence address; contact in the target titles named (Office Coordinator, New York office).</t>
  </si>
  <si>
    <t xml:space="preserve">https://www.alpineinvestors.com/contact/</t>
  </si>
  <si>
    <t xml:space="preserve">find Jake Jones at Alpine Investors on LinkedIn and paste the profile URL; the source is dated 2025-09-15: check Jake still holds the role; Tuesday estimate band under-40: founder's call (set founder_ok_to_queue = Y to queue)</t>
  </si>
  <si>
    <t xml:space="preserve">https://alpineinvestors.com/group/alpine-management/page/4/</t>
  </si>
  <si>
    <t xml:space="preserve">124 East 14th Street</t>
  </si>
  <si>
    <t xml:space="preserve">12</t>
  </si>
  <si>
    <t xml:space="preserve">B-C-009</t>
  </si>
  <si>
    <t xml:space="preserve">https://www.alpineinvestors.com</t>
  </si>
  <si>
    <t xml:space="preserve">private equity</t>
  </si>
  <si>
    <t xml:space="preserve">203</t>
  </si>
  <si>
    <t xml:space="preserve">https://www.builtinnyc.com/company/alpine-investors</t>
  </si>
  <si>
    <t xml:space="preserve">San Francisco</t>
  </si>
  <si>
    <t xml:space="preserve">B-B-002</t>
  </si>
  <si>
    <t xml:space="preserve">Zero Irving</t>
  </si>
  <si>
    <t xml:space="preserve">https://commercialobserver.com/2022/11/alpine-investors-lease-zero-irving/</t>
  </si>
  <si>
    <t xml:space="preserve">2022-11-17</t>
  </si>
  <si>
    <t xml:space="preserve">https://www.builtinnyc.com/company/alpine-investors/offices</t>
  </si>
  <si>
    <t xml:space="preserve">203 (Built In) staff (whole-company count) x 5% to 100% of them in the New York office (HQ outside New York; share assumed) x 67% (Partnership for NYC, firms under 500) in on a weekday = 7 to 136, central 31; low confidence; estimate until intake replaces it.</t>
  </si>
  <si>
    <t xml:space="preserve">Katira</t>
  </si>
  <si>
    <t xml:space="preserve">Getzen</t>
  </si>
  <si>
    <t xml:space="preserve">Office Coordinator, New York City office</t>
  </si>
  <si>
    <t xml:space="preserve">22,000 sf</t>
  </si>
  <si>
    <t xml:space="preserve">Site: 'NEW YORK Zero Irving, 124 East 14th St., 12th Floor New York, NY 10003'. CO 2022-11-17: five-year lease, 22,000 sf on the entire 12th floor and part of the 14th. Zero Irving is on the south side of 14th between Irving Pl and Third Ave (same tax block as Trader Joe's 142 E 14th), so margin. Built In NYC: 203 total employees, HQ San Francisco; NYC share unknown.</t>
  </si>
  <si>
    <t xml:space="preserve">Jake Jones</t>
  </si>
  <si>
    <t xml:space="preserve">2025-09-15</t>
  </si>
  <si>
    <t xml:space="preserve">title_match=target; Alpine team page bio: "Jake is an Office Coordinator at Alpine’s New York office"; bio posted 2025-09-15; also listed under Finance &amp; Operations on alpineinvestors.com/team/. LinkedIn profile not searched.</t>
  </si>
  <si>
    <t xml:space="preserve">Katira Getzen</t>
  </si>
  <si>
    <t xml:space="preserve">2025-03-11</t>
  </si>
  <si>
    <t xml:space="preserve">title_match=target; Alpine team page bio: "Katira is an Office Coordinator at Alpine's New York City office"; bio posted 2025-03-11. Darween Edouard (Executive Assistant, New York office, alpine-management/page/6, 2024-02-05) is a third option. A search snippet named a Harry Garcia as NYC Office Manager and EA (2023) but he is not on the current team page, so not recorded.</t>
  </si>
  <si>
    <t xml:space="preserve">AO-C-048</t>
  </si>
  <si>
    <t xml:space="preserve">Aterian</t>
  </si>
  <si>
    <t xml:space="preserve">Tuesday estimate 31 to 82 (low confidence), under 500 staff company-wide, on-site 5 days a week per its profile, occupied at a high-confidence address; no contact found in public sources (walk-in).</t>
  </si>
  <si>
    <t xml:space="preserve">https://www.builtinnyc.com/company/aterian/offices</t>
  </si>
  <si>
    <t xml:space="preserve">37 East 18th Street</t>
  </si>
  <si>
    <t xml:space="preserve">B-C-048</t>
  </si>
  <si>
    <t xml:space="preserve">https://aterian.io</t>
  </si>
  <si>
    <t xml:space="preserve">consumer products (e-commerce brands)</t>
  </si>
  <si>
    <t xml:space="preserve">122</t>
  </si>
  <si>
    <t xml:space="preserve">94</t>
  </si>
  <si>
    <t xml:space="preserve">https://www.builtinnyc.com/company/aterian</t>
  </si>
  <si>
    <t xml:space="preserve">https://www.reveliolabs.com/companies/aterian-group/employees</t>
  </si>
  <si>
    <t xml:space="preserve">B-B-019</t>
  </si>
  <si>
    <t xml:space="preserve">37 East 18th Street (Zar Property NY)</t>
  </si>
  <si>
    <t xml:space="preserve">https://commercialobserver.com/2026/06/phia-lease-zar-property-37-east-18th-street/</t>
  </si>
  <si>
    <t xml:space="preserve">2026-06-03</t>
  </si>
  <si>
    <t xml:space="preserve">122 (Built In) and 94 (Revelio Labs) staff (whole-company count) x 50% to 100% of them in the New York office (HQ New York; share assumed) x 67% (Partnership for NYC, firms under 500) in on a weekday = 31 to 82, central 50; low confidence; estimate until intake replaces it.</t>
  </si>
  <si>
    <t xml:space="preserve">Built In HQ address 37 E 18th Street; CO June 2026 lists e-commerce services company Mohawk Group (Aterian's former name) as a current tenant. Built In shows 122 total employees. | Assembly 2026-10-24: Review round 2: a second count agrees with the band: Revelio Labs (Aterian Group, Inc., HQ New York City): about 94 employees worldwide as of March 2026.</t>
  </si>
  <si>
    <t xml:space="preserve">AO-C-151</t>
  </si>
  <si>
    <t xml:space="preserve">Carbyne</t>
  </si>
  <si>
    <t xml:space="preserve">Tami</t>
  </si>
  <si>
    <t xml:space="preserve">Golan</t>
  </si>
  <si>
    <t xml:space="preserve">Chief People Officer</t>
  </si>
  <si>
    <t xml:space="preserve">Tuesday estimate 49 to 121 (low confidence), under 500 staff company-wide with a named parent (Axon Enterprise), hybrid (days not stated), occupied at a high-confidence address; adjacent contact named (Chief People Officer).</t>
  </si>
  <si>
    <t xml:space="preserve">https://carbyne.com/company/about-us/</t>
  </si>
  <si>
    <t xml:space="preserve">find Tami Golan at Carbyne on LinkedIn and paste the profile URL; check Tami works from the New York office; adjacent title: ask who runs the pantry</t>
  </si>
  <si>
    <t xml:space="preserve">https://carbyne.com/company/our-team/</t>
  </si>
  <si>
    <t xml:space="preserve">45 West 27th Street</t>
  </si>
  <si>
    <t xml:space="preserve">grp-C030-C151</t>
  </si>
  <si>
    <t xml:space="preserve">B-C-151</t>
  </si>
  <si>
    <t xml:space="preserve">https://carbyne.com</t>
  </si>
  <si>
    <t xml:space="preserve">public safety software (emergency communications)</t>
  </si>
  <si>
    <t xml:space="preserve">180</t>
  </si>
  <si>
    <t xml:space="preserve">146</t>
  </si>
  <si>
    <t xml:space="preserve">https://www.builtinnyc.com/company/carbyne/offices</t>
  </si>
  <si>
    <t xml:space="preserve">https://www.reveliolabs.com/companies/carbyne/employees</t>
  </si>
  <si>
    <t xml:space="preserve">Axon Enterprise</t>
  </si>
  <si>
    <t xml:space="preserve">10001</t>
  </si>
  <si>
    <t xml:space="preserve">B-B-069</t>
  </si>
  <si>
    <t xml:space="preserve">https://www.connectcre.com/stories/software-company-carbyne-911-inks-downtown-lease/</t>
  </si>
  <si>
    <t xml:space="preserve">2023-08-18</t>
  </si>
  <si>
    <t xml:space="preserve">Built In workplace type: Hybrid Workplace; typical time on-site: Flexible</t>
  </si>
  <si>
    <t xml:space="preserve">180 (Built In) and 146 (Revelio Labs) staff (whole-company count) x 50% to 100% of them in the New York office (HQ New York; share assumed) x 67% (Partnership for NYC, firms under 500) in on a weekday = 49 to 121, central 77; low confidence; estimate until intake replaces it.</t>
  </si>
  <si>
    <t xml:space="preserve">5,700 sf;5,702 sf</t>
  </si>
  <si>
    <t xml:space="preserve">Company page lists USA office at 45 W 27th Street, 2nd Floor; Built In lists 45 W 27th St and 180 total employees. NYC HQ lease of 5,700 SF reported Aug 2023 (FNP roundup 2023-09-06). | Assembly 2026-10-24: Review round 3: Built In is an employer-editable profile, so it no longer counts as the independent confirmation of the company's own page. The independent source is now Connect CRE 2023-08-18 (opened 2026-10-24): 'signed a lease for 5,702 square feet of space at 45 West 27th Street ... will occupy the second floor ... as its headquarters'. The row stays high. Review round 2: band changed from 151-250 to unknown. Sources disagree: Built In shows 180 (151-250) and Revelio Labs (Carbyne Ltd., HQ Tel Aviv): about 146 employees worldwide as of March 2026 (76-150). Band left unknown; founder to confirm at intake.</t>
  </si>
  <si>
    <t xml:space="preserve">parent_company &lt;- https://vectorshift.ai/research/deals/axon-enterprise-carbyne-2026.html (2026-10-24): Stage 2 saw Axon 911 co-branding on carbyne.com; this deal tracker (opened 2026-10-24, updated 2026-07-08) records Axon's full acquisition of Carbyne Ltd. in February 2026. Axon's own filings sit on sec.gov, which agents do not open. A named parent costs 4 points (the pantry decision may sit with the parent).</t>
  </si>
  <si>
    <t xml:space="preserve">Tami Golan</t>
  </si>
  <si>
    <t xml:space="preserve">ny_base=unconfirmed (the company page gives no location; Carbyne's office manager on The Org is in Tel Aviv, so the people team may sit there); title_fit=variant (people lead). Use to ask who runs the New York office. Carbyne's site carries Axon 911 co-branding and one The Org title reads 'Acquired by Axon': ownership change, founder to confirm.</t>
  </si>
  <si>
    <t xml:space="preserve">parent 'axon enterprise' shared with AO-C-030</t>
  </si>
  <si>
    <t xml:space="preserve">AO-C-007</t>
  </si>
  <si>
    <t xml:space="preserve">Personetics</t>
  </si>
  <si>
    <t xml:space="preserve">Tuesday estimate 113 to 249 (low confidence), under 500 staff company-wide, on-site 5 days a week per its profile, occupancy-unconfirmed at a medium-confidence address; no contact found in public sources (walk-in).</t>
  </si>
  <si>
    <t xml:space="preserve">https://nyrej.com/print/54591</t>
  </si>
  <si>
    <t xml:space="preserve">853 Broadway</t>
  </si>
  <si>
    <t xml:space="preserve">19</t>
  </si>
  <si>
    <t xml:space="preserve">B-C-007</t>
  </si>
  <si>
    <t xml:space="preserve">https://personetics.com</t>
  </si>
  <si>
    <t xml:space="preserve">fintech software (banking AI)</t>
  </si>
  <si>
    <t xml:space="preserve">371</t>
  </si>
  <si>
    <t xml:space="preserve">https://www.builtinnyc.com/company/personetics</t>
  </si>
  <si>
    <t xml:space="preserve">https://www.reveliolabs.com/companies/personetics/employees</t>
  </si>
  <si>
    <t xml:space="preserve">B-B-001</t>
  </si>
  <si>
    <t xml:space="preserve">853 Broadway (Union Building)</t>
  </si>
  <si>
    <t xml:space="preserve">2025-04-08</t>
  </si>
  <si>
    <t xml:space="preserve">medium</t>
  </si>
  <si>
    <t xml:space="preserve">https://853broadway.sharplaunch.com/</t>
  </si>
  <si>
    <t xml:space="preserve">https://www.builtinnyc.com/company/personetics/offices</t>
  </si>
  <si>
    <t xml:space="preserve">371 (Built In) and 336 (Revelio Labs) staff (whole-company count) x 50% to 100% of them in the New York office (HQ New York; share assumed) x 67% (Partnership for NYC, firms under 500) in on a weekday = 113 to 249, central 168; low confidence; estimate until intake replaces it.</t>
  </si>
  <si>
    <t xml:space="preserve">7,004 sf</t>
  </si>
  <si>
    <t xml:space="preserve">NYREJ 2025-04-08: Personetics signed a three-year lease for the entire 19th floor, 7,004 sf, the previous October (about 2024-10). Built In NYC: 371 total employees (global; large R&amp;D outside US). Contact page lists New York with no street. | Assembly 2026-10-24: Review round 2: a second count agrees with the band: Revelio Labs (Personetics Technologies, Inc., HQ New York City): about 336 employees worldwide as of March 2026.</t>
  </si>
  <si>
    <t xml:space="preserve">AO-C-130</t>
  </si>
  <si>
    <t xml:space="preserve">Butterfly Network</t>
  </si>
  <si>
    <t xml:space="preserve">Katie</t>
  </si>
  <si>
    <t xml:space="preserve">Gowryluk</t>
  </si>
  <si>
    <t xml:space="preserve">Chief Of Staff</t>
  </si>
  <si>
    <t xml:space="preserve">Tuesday estimate 8 to 297 (low confidence), under 500 staff company-wide, on-site 5 days a week per its profile, occupied at a high-confidence address; adjacent contact named (Chief Of Staff).</t>
  </si>
  <si>
    <t xml:space="preserve">https://commercialobserver.com/2025/09/activate-consulting-doubles-its-nomad-footprint/</t>
  </si>
  <si>
    <t xml:space="preserve">find Katie Gowryluk at Butterfly Network on LinkedIn and paste the profile URL (this also confirms the name: The Org is crowd-edited); the source is dated 2025-05-22: check Katie still holds the role; adjacent title: ask who runs the pantry</t>
  </si>
  <si>
    <t xml:space="preserve">https://theorg.com/org/butterfly-network/person/katie-gowryluk</t>
  </si>
  <si>
    <t xml:space="preserve">11 East 26th Street</t>
  </si>
  <si>
    <t xml:space="preserve">7-8</t>
  </si>
  <si>
    <t xml:space="preserve">B-C-130</t>
  </si>
  <si>
    <t xml:space="preserve">https://www.butterflynetwork.com</t>
  </si>
  <si>
    <t xml:space="preserve">medical devices (handheld ultrasound)</t>
  </si>
  <si>
    <t xml:space="preserve">443</t>
  </si>
  <si>
    <t xml:space="preserve">236</t>
  </si>
  <si>
    <t xml:space="preserve">https://www.builtinnyc.com/company/butterfly-network-inc/offices</t>
  </si>
  <si>
    <t xml:space="preserve">https://www.reveliolabs.com/companies/butterfly-network/employees</t>
  </si>
  <si>
    <t xml:space="preserve">Burlington</t>
  </si>
  <si>
    <t xml:space="preserve">B-B-065</t>
  </si>
  <si>
    <t xml:space="preserve">11 East 26th Street (Rockrose; joined to 15 East 26th Street)</t>
  </si>
  <si>
    <t xml:space="preserve">2025-09-30</t>
  </si>
  <si>
    <t xml:space="preserve">w York office at '11 E 26th Street, Floor 7 &amp; 8' (HQ Burlington MA), 443 total employees, on-site 5 days a week. CO lists it among building t</t>
  </si>
  <si>
    <t xml:space="preserve">may be under 30;may exceed 250</t>
  </si>
  <si>
    <t xml:space="preserve">443 (Built In) and 236 (Revelio Labs) staff (whole-company count) x 5% to 100% of them in the New York office (HQ outside New York; share assumed) x 67% (Partnership for NYC, firms under 500) in on a weekday = 8 to 297, central 49; low confidence; estimate until intake replaces it.</t>
  </si>
  <si>
    <t xml:space="preserve">Built In lists New York office at '11 E 26th Street, Floor 7 &amp; 8' (HQ Burlington MA), 443 total employees, on-site 5 days a week. CO lists it among building tenants. | Assembly 2026-10-24: Review round 2: band changed from 251-500 to unknown. Sources disagree: Built In shows 443 (251-500) and Revelio Labs (Butterfly Network, Inc., HQ Burlington, Massachusetts): about 236 employees worldwide as of March 2026 (151-250). Band left unknown; founder to confirm at intake.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</si>
  <si>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Katie Gowryluk</t>
  </si>
  <si>
    <t xml:space="preserve">2025-05-22</t>
  </si>
  <si>
    <t xml:space="preserve">ny_base=likely (The Org gives the New York metro area, no office attached); title_fit=adjacent (chief of staff at a firm of several hundred). The Org updated 2025-05-22. Butterfly advertised an 'Office Operations Manager &amp; Executive Assistant' role, 5 days in the New York office (search result, Welcome to the Jungle, marked no longer available); that seat is probably filled, name not found.</t>
  </si>
  <si>
    <t xml:space="preserve">AO-C-098</t>
  </si>
  <si>
    <t xml:space="preserve">BrainPOP</t>
  </si>
  <si>
    <t xml:space="preserve">Lilly</t>
  </si>
  <si>
    <t xml:space="preserve">Santiago</t>
  </si>
  <si>
    <t xml:space="preserve">Executive Assistant to Chief Executive Officer/Office Coordinator</t>
  </si>
  <si>
    <t xml:space="preserve">Tuesday estimate 75 to 151 (low confidence), under 500 staff company-wide with a named parent (Kirkbi A/S), hybrid (days not stated), occupied at a medium-confidence address; adjacent contact named (Executive Assistant to Chief Executive Officer/Office Coordinator).</t>
  </si>
  <si>
    <t xml:space="preserve">https://www.brainpop.com/discover/terms-of-use</t>
  </si>
  <si>
    <t xml:space="preserve">find Lilly Santiago at BrainPOP on LinkedIn and paste the profile URL (this also confirms the name: The Org is crowd-edited); check Lilly works from the New York office; adjacent title: ask who runs the pantry</t>
  </si>
  <si>
    <t xml:space="preserve">https://theorg.com/org/brainpop/person/lilly-santiago</t>
  </si>
  <si>
    <t xml:space="preserve">71 West 23rd Street</t>
  </si>
  <si>
    <t xml:space="preserve">17</t>
  </si>
  <si>
    <t xml:space="preserve">B-C-098</t>
  </si>
  <si>
    <t xml:space="preserve">https://www.brainpop.com/</t>
  </si>
  <si>
    <t xml:space="preserve">Education technology</t>
  </si>
  <si>
    <t xml:space="preserve">225</t>
  </si>
  <si>
    <t xml:space="preserve">https://www.builtinnyc.com/company/brainpop/offices</t>
  </si>
  <si>
    <t xml:space="preserve">Kirkbi A/S</t>
  </si>
  <si>
    <t xml:space="preserve">B-B-048</t>
  </si>
  <si>
    <t xml:space="preserve">225 (Built In) staff (whole-company count) x 50% to 100% of them in the New York office (HQ New York; share assumed) x 67% (Partnership for NYC, firms under 500) in on a weekday = 75 to 151, central 106; low confidence; estimate until intake replaces it.</t>
  </si>
  <si>
    <t xml:space="preserve">Crystal</t>
  </si>
  <si>
    <t xml:space="preserve">Spence</t>
  </si>
  <si>
    <t xml:space="preserve">Operations Lead, Office of CEO</t>
  </si>
  <si>
    <t xml:space="preserve">Terms of use and privacy policy (live) give '71 W 23rd St., 17th Fl. New York, NY 10010'. Built In (independent): HQ New York, office in the Flatiron district 'down the street from the iconic landmark Flatiron Building and Madison Square Park'; 225 total employees. | Assembly 2026-10-24: Review round 3: Built In is an employer-editable profile, so it no longer counts as the independent confirmation of the company's own page. The only independent source found is CO 2010-08-10 (opened 2026-10-24): a 15-year lease for the entire 17th floor, so its stated term ended about 2025 and it cannot confirm the office today. The row is medium on its own live page. Confidence lowered at assembly from high to medium: review round 3: the second source is an employer-editable profile (Built In), which does not independently confirm the company's own page.</t>
  </si>
  <si>
    <t xml:space="preserve">Lilly Santiago</t>
  </si>
  <si>
    <t xml:space="preserve">2026-02-12</t>
  </si>
  <si>
    <t xml:space="preserve">ny_base=unconfirmed (The Org location says only 'United States', no office attached; BrainPOP HQ is New York); title_fit=family (EA to CEO and office coordinator; The Org shows her reporting to the CEO, Lorin Thomas-Tavel). The Org updated 2026-02-12.</t>
  </si>
  <si>
    <t xml:space="preserve">Crystal Spence</t>
  </si>
  <si>
    <t xml:space="preserve">https://theorg.com/org/brainpop/person/crystal-spence</t>
  </si>
  <si>
    <t xml:space="preserve">2026-01-20</t>
  </si>
  <si>
    <t xml:space="preserve">ny_base=confirmed (The Org attaches the role to BrainPOP's New York HQ office); title_fit=variant (office of the CEO). The Org updated 2026-01-20.</t>
  </si>
  <si>
    <t xml:space="preserve">AO-C-061</t>
  </si>
  <si>
    <t xml:space="preserve">Daily Harvest</t>
  </si>
  <si>
    <t xml:space="preserve">Jessica</t>
  </si>
  <si>
    <t xml:space="preserve">Lawson</t>
  </si>
  <si>
    <t xml:space="preserve">Chief of Staff</t>
  </si>
  <si>
    <t xml:space="preserve">Tuesday estimate 89 to 179 (low confidence), under 500 staff company-wide with a named parent (Chobani), on-site 5 days a week per its profile, occupancy-unconfirmed at a low-confidence address; adjacent contact named (Chief of Staff).</t>
  </si>
  <si>
    <t xml:space="preserve">https://www.builtinnyc.com/company/daily-harvest/offices</t>
  </si>
  <si>
    <t xml:space="preserve">find Jessica Lawson at Daily Harvest on LinkedIn and paste the profile URL (this also confirms the name: The Org is crowd-edited); the source is dated 2024-03-04: check Jessica still holds the role; check Jessica works from the New York office; adjacent title: ask who runs the pantry</t>
  </si>
  <si>
    <t xml:space="preserve">https://theorg.com/org/daily-harvest/person/jessica-lawson</t>
  </si>
  <si>
    <t xml:space="preserve">37 West 20th Street</t>
  </si>
  <si>
    <t xml:space="preserve">B-C-061</t>
  </si>
  <si>
    <t xml:space="preserve">https://www.daily-harvest.com</t>
  </si>
  <si>
    <t xml:space="preserve">food brand (frozen meals, DTC)</t>
  </si>
  <si>
    <t xml:space="preserve">267</t>
  </si>
  <si>
    <t xml:space="preserve">https://www.builtinnyc.com/company/daily-harvest</t>
  </si>
  <si>
    <t xml:space="preserve">Chobani</t>
  </si>
  <si>
    <t xml:space="preserve">B-B-030</t>
  </si>
  <si>
    <t xml:space="preserve">https://www.metro-manhattan.com/buildings/37-west-20th-street-office-space-for-lease/</t>
  </si>
  <si>
    <t xml:space="preserve">Built In lists HQ at 37 West 20th Street and an on-site workplace, typical time on-site 5 days a week. Built In shows 267 total emp</t>
  </si>
  <si>
    <t xml:space="preserve">267 (Built In) staff (whole-company count) x 50% to 100% of them in the New York office (HQ New York; share assumed) x 67% (Partnership for NYC, firms under 500) in on a weekday = 89 to 179, central 126; low confidence; estimate until intake replaces it.</t>
  </si>
  <si>
    <t xml:space="preserve">Built In lists HQ at 37 West 20th Street and an on-site workplace, typical time on-site 5 days a week. Built In shows 267 total employees. Company terms/privacy URLs returned 404, so not cross-checked. Food company: possible brand-side contact too (frozen, so not an eligible product: refrigerated and frozen goods are excluded).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</si>
  <si>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Jessica Lawson</t>
  </si>
  <si>
    <t xml:space="preserve">2024-03-04</t>
  </si>
  <si>
    <t xml:space="preserve">ny_base=unconfirmed (no location or office on The Org); title_fit=variant (chief of staff). The Org last updated 2024-03-04, so this may be stale: founder to confirm. The Org's Daily Harvest office record is 1115 Broadway; B has 37 West 20th Street (occupancy-unconfirmed).</t>
  </si>
  <si>
    <t xml:space="preserve">AO-C-111</t>
  </si>
  <si>
    <t xml:space="preserve">Wellcom Worldwide</t>
  </si>
  <si>
    <t xml:space="preserve">Jillian</t>
  </si>
  <si>
    <t xml:space="preserve">Cruz</t>
  </si>
  <si>
    <t xml:space="preserve">Executive Assistant to Global CEO</t>
  </si>
  <si>
    <t xml:space="preserve">Tuesday estimate 113 to 225 (low confidence), under 500 staff company-wide with a named parent (Innocean Worldwide), on-site 5 days a week per its profile, occupancy-unconfirmed at a low-confidence address; adjacent contact named (Executive Assistant to Global CEO).</t>
  </si>
  <si>
    <t xml:space="preserve">https://commercialobserver.com/2024/08/wellcom-worldwide-signs-24k-sf-lease-16-madison-square-west-manhattan/</t>
  </si>
  <si>
    <t xml:space="preserve">find Jillian Cruz at Wellcom Worldwide on LinkedIn and paste the profile URL (this also confirms the name: The Org is crowd-edited); check Jillian works from the New York office; adjacent title: ask who runs the pantry</t>
  </si>
  <si>
    <t xml:space="preserve">https://theorg.com/org/wellcom-worldwide/person/jillian-cruz</t>
  </si>
  <si>
    <t xml:space="preserve">16 Madison Square West</t>
  </si>
  <si>
    <t xml:space="preserve">B-C-111</t>
  </si>
  <si>
    <t xml:space="preserve">https://www.wellcomworldwide.com/</t>
  </si>
  <si>
    <t xml:space="preserve">Creative production agency</t>
  </si>
  <si>
    <t xml:space="preserve">https://www.builtinnyc.com/company/wellcom-worldwide/offices</t>
  </si>
  <si>
    <t xml:space="preserve">Innocean Worldwide</t>
  </si>
  <si>
    <t xml:space="preserve">B-B-056</t>
  </si>
  <si>
    <t xml:space="preserve">16 Madison Square West / 1115 Broadway (Adams &amp; Company)</t>
  </si>
  <si>
    <t xml:space="preserve">2024-08-27</t>
  </si>
  <si>
    <t xml:space="preserve">https://www.adamsre.com/collections/madison-square-park/products/16-madison-square-west</t>
  </si>
  <si>
    <t xml:space="preserve">Built In workplace type: OnSite Workplace; typical time on-site: 5 days a week; recent job tags: 2 Hybrid, 1 In-Office</t>
  </si>
  <si>
    <t xml:space="preserve">336 (Built In) staff (whole-company count) x 50% to 100% of them in the New York office (HQ New York; share assumed) x 67% (Partnership for NYC, firms under 500) in on a weekday = 113 to 225, central 159; low confidence; estimate until intake replaces it.</t>
  </si>
  <si>
    <t xml:space="preserve">24,005 sf</t>
  </si>
  <si>
    <t xml:space="preserve">CO Aug 2024: 10-yr, 24,005 sf lease at 16 Madison Square West (1115 Broadway), moving from 175 Pearl St, Dumbo; owned by Innocean Worldwide since 2019. Lease article is older than 24 months, so current confirmation is the live Built In profile (HQ 1115 Broadway; 336 total employees). Company site showed no street address.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</si>
  <si>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Jillian Cruz</t>
  </si>
  <si>
    <t xml:space="preserve">ny_base=unconfirmed (The Org places her in the New York commuting region but outside the city, no office attached; Wellcom's HQ is New York per Built In, and Global CEO David Bridges was the tenant contact on the 16 Madison Square West lease per Traded, both search results not opened); title_fit=family (EA to CEO). The Org updated 2026-08-12.</t>
  </si>
  <si>
    <t xml:space="preserve">AO-C-101</t>
  </si>
  <si>
    <t xml:space="preserve">TripleLift</t>
  </si>
  <si>
    <t xml:space="preserve">Abby</t>
  </si>
  <si>
    <t xml:space="preserve">Hamilton</t>
  </si>
  <si>
    <t xml:space="preserve">Tuesday estimate 112 to 278 (low confidence), under 500 staff company-wide, hybrid 2 days or fewer, occupied at a medium-confidence address; adjacent contact named (Chief People Officer).</t>
  </si>
  <si>
    <t xml:space="preserve">https://triplelift.com/contact-us/</t>
  </si>
  <si>
    <t xml:space="preserve">find Abby Hamilton at TripleLift on LinkedIn and paste the profile URL; adjacent title: ask who runs the pantry</t>
  </si>
  <si>
    <t xml:space="preserve">https://triplelift.com/about/</t>
  </si>
  <si>
    <t xml:space="preserve">53 West 23rd Street</t>
  </si>
  <si>
    <t xml:space="preserve">hybrid-2-or-less</t>
  </si>
  <si>
    <t xml:space="preserve">B-C-101</t>
  </si>
  <si>
    <t xml:space="preserve">https://triplelift.com/</t>
  </si>
  <si>
    <t xml:space="preserve">Advertising technology</t>
  </si>
  <si>
    <t xml:space="preserve">335</t>
  </si>
  <si>
    <t xml:space="preserve">415</t>
  </si>
  <si>
    <t xml:space="preserve">https://www.builtinnyc.com/company/triplelift/offices</t>
  </si>
  <si>
    <t xml:space="preserve">https://www.reveliolabs.com/companies/triple-lift/employees</t>
  </si>
  <si>
    <t xml:space="preserve">B-B-050</t>
  </si>
  <si>
    <t xml:space="preserve">49-53 West 23rd Street (Adams &amp; Company)</t>
  </si>
  <si>
    <t xml:space="preserve">https://www.adamsre.com/collections/madison-square-park/products/53-west-23rd</t>
  </si>
  <si>
    <t xml:space="preserve">Built In workplace type: Hybrid Workplace; typical time on-site: 0 days a week; recent job tags: 3 In-Office</t>
  </si>
  <si>
    <t xml:space="preserve">335 (Built In) and 415 (Revelio Labs) staff (whole-company count) x 50% to 100% of them in the New York office (HQ New York; share assumed) x 67% (Partnership for NYC, firms under 500) in on a weekday = 112 to 278, central 176; low confidence; estimate until intake replaces it.</t>
  </si>
  <si>
    <t xml:space="preserve">Company site footer and contact page (live, (c) 2026): '53 W. 23rd St., 12th Floor New York, NY 10010'. Built In lists HQ 53 W 23rd St and 335 total employees; the contact page says '400+ Talented Workers' across 8+ locations (whole company). Building has 24/7 guard and turnstiles (Adams &amp; Co). | Assembly 2026-10-24: Review round 3: Built In is an employer-editable profile, so it no longer counts as the independent confirmation of the company's own page. No press, landlord or filing source naming TripleLift at 53 West 23rd Street was found (one web search on 2026-10-24 returned only directory aggregators and other tenants' leases), so the row is medium. Confidence lowered at assembly from high to medium: review round 3: the second source is an employer-editable profile (Built In), which does not independently confirm the company's own page. Review round 2: a second count agrees with the band: Revelio Labs (Triple Lift, Inc., HQ New York City): about 415 employees worldwide as of March 2026.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</si>
  <si>
    <t xml:space="preserve">Abby Hamilton</t>
  </si>
  <si>
    <t xml:space="preserve">title_match=adjacent; Leadership bio on TripleLift's About page says she lives in the NYC area (HQ is 53 W 23rd St). Senior; use to ask who owns the NY pantry. TripleLift posted a Team Lead, Employee Experience role on 2026-09-05 that owns the NY HQ workplace, 5 days in office (https://jobs.edisonpartners.com/companies/triplelift/jobs/92367110-team-lead-employee-experience, opened 2026-10-24): that seat may be vacant or newly filled; once filled it is the better primary.</t>
  </si>
  <si>
    <t xml:space="preserve">AO-C-105</t>
  </si>
  <si>
    <t xml:space="preserve">Orbital</t>
  </si>
  <si>
    <t xml:space="preserve">Naomi</t>
  </si>
  <si>
    <t xml:space="preserve">Simpson</t>
  </si>
  <si>
    <t xml:space="preserve">Tuesday estimate 32 to 100 (low confidence), under 500 staff company-wide, on-site 5 days a week per its profile, signed-not-occupied at a medium-confidence address (hold: lease signed, move not confirmed); adjacent contact named (Chief of Staff).</t>
  </si>
  <si>
    <t xml:space="preserve">New or renewed lease at 40 West 25th Street reported 2026-09-09</t>
  </si>
  <si>
    <t xml:space="preserve">https://commercialobserver.com/2026/09/orbital-ai-lease-kaufman-organization-40-west-25th-street/</t>
  </si>
  <si>
    <t xml:space="preserve">2026-09-09</t>
  </si>
  <si>
    <t xml:space="preserve">find Naomi Simpson at Orbital on LinkedIn and paste the profile URL (this also confirms the name: The Org is crowd-edited); check Naomi works from the New York office; adjacent title: ask who runs the pantry</t>
  </si>
  <si>
    <t xml:space="preserve">https://theorg.com/org/orbital-4/org-chart/naomi-simpson</t>
  </si>
  <si>
    <t xml:space="preserve">40 West 25th Street</t>
  </si>
  <si>
    <t xml:space="preserve">6</t>
  </si>
  <si>
    <t xml:space="preserve">signed-not-occupied</t>
  </si>
  <si>
    <t xml:space="preserve">lease signed, move not confirmed: check the lobby directory before outreach (B)</t>
  </si>
  <si>
    <t xml:space="preserve">B-C-105</t>
  </si>
  <si>
    <t xml:space="preserve">https://www.orbital.tech/</t>
  </si>
  <si>
    <t xml:space="preserve">Software (AI for real estate legal due diligence)</t>
  </si>
  <si>
    <t xml:space="preserve">96</t>
  </si>
  <si>
    <t xml:space="preserve">150+</t>
  </si>
  <si>
    <t xml:space="preserve">https://www.builtinnyc.com/company/orbital</t>
  </si>
  <si>
    <t xml:space="preserve">https://www.orbital.tech/about</t>
  </si>
  <si>
    <t xml:space="preserve">B-B-053</t>
  </si>
  <si>
    <t xml:space="preserve">40 West 25th Street (Kaufman Investments / Two Sigma Real Estate)</t>
  </si>
  <si>
    <t xml:space="preserve">Built In workplace type: OnSite Workplace; typical time on-site: 5 days a week; recent job tags: 3 Hybrid</t>
  </si>
  <si>
    <t xml:space="preserve">https://www.builtinnyc.com/company/orbital/offices</t>
  </si>
  <si>
    <t xml:space="preserve">96 (Built In) and 150+ (orbital.tech) staff (whole-company count) x 50% to 100% of them in the New York office (HQ New York; share assumed) x 67% (Partnership for NYC, firms under 500) in on a weekday = 32 to 100, central 57; low confidence; estimate until intake replaces it.</t>
  </si>
  <si>
    <t xml:space="preserve">11,185 sf</t>
  </si>
  <si>
    <t xml:space="preserve">CO Sep 2026: 11,185 sf, entire 6th floor, moving from a temporary office at 18 West 18th Street; offices also in LA and London; CEO calls New York its headquarters. Move-in date not stated. Built In 'orbital' profile (AI real estate software, founded 2018): 96 total employees; NY office still listed at 33 Irving Place. | Assembly 2026-10-24: Review round 2: band changed from 76-150 to unknown. Sources disagree: Built In shows 96 (76-150) and Orbital's own About page (opened 2026-10-24): '150+ employees' (151-250). Band left unknown; founder to confirm at intake.</t>
  </si>
  <si>
    <t xml:space="preserve">Naomi Simpson</t>
  </si>
  <si>
    <t xml:space="preserve">title_match=target; theorg position page opened 2026-10-24: Chief Of Staff at Orbital (theorg org links to orbital.tech); location NOT stated, and Orbital began in London, so she may not sit in New York: founder to confirm before using. The COO on the same chart is in London. The NY Office Lead &amp; EA to CEO seat (posting removed 2026-07-31) remains the real target.</t>
  </si>
  <si>
    <t xml:space="preserve">AO-C-082</t>
  </si>
  <si>
    <t xml:space="preserve">Candid Health</t>
  </si>
  <si>
    <t xml:space="preserve">Tuesday estimate 44 to 172 (low confidence), under 500 staff company-wide, on-site 5 days a week per its profile, signed-not-occupied at a medium-confidence address (hold: lease signed, move not confirmed); no contact found in public sources (walk-in).</t>
  </si>
  <si>
    <t xml:space="preserve">New or renewed lease at 675 Avenue of the Americas reported 2026-01-27</t>
  </si>
  <si>
    <t xml:space="preserve">https://commercialobserver.com/2026/01/candid-health-lease-675-avenue-of-the-americas/</t>
  </si>
  <si>
    <t xml:space="preserve">2026-01-27</t>
  </si>
  <si>
    <t xml:space="preserve">B-C-082</t>
  </si>
  <si>
    <t xml:space="preserve">https://www.candidhealth.com</t>
  </si>
  <si>
    <t xml:space="preserve">software (healthcare billing)</t>
  </si>
  <si>
    <t xml:space="preserve">256</t>
  </si>
  <si>
    <t xml:space="preserve">130+</t>
  </si>
  <si>
    <t xml:space="preserve">https://www.builtinnyc.com/company/candid</t>
  </si>
  <si>
    <t xml:space="preserve">https://www.candidhealth.com/about</t>
  </si>
  <si>
    <t xml:space="preserve">https://rebusinessonline.com/candid-health-signs-28687-sf-office-lease-in-midtown-manhattan/</t>
  </si>
  <si>
    <t xml:space="preserve">2026-04-13</t>
  </si>
  <si>
    <t xml:space="preserve">6 total employees) still lists 44 W 28th St and Columbus OH. CMO quoted on an intentional in-office culture. | Assembly 2026-10-24: Revie</t>
  </si>
  <si>
    <t xml:space="preserve">256 (Built In) and 130+ (candidhealth.com) staff (whole-company count) x 50% to 100% of them in the New York office (HQ New York; share assumed) x 67% (Partnership for NYC, firms under 500) in on a weekday = 44 to 172, central 87; low confidence; estimate until intake replaces it.</t>
  </si>
  <si>
    <t xml:space="preserve">28,687 sf</t>
  </si>
  <si>
    <t xml:space="preserve">Seven-year, 28,687 sf lease on the 3rd floor, relocating from 44 W 28th St. Built In (slug 'candid', 256 total employees) still lists 44 W 28th St and Columbus OH. CMO quoted on an intentional in-office culture. | Assembly 2026-10-24: Review round 2: band changed from 251-500 to unknown. Sources disagree: Built In shows 256 (251-500) and Candid Health's own About page timeline, 2025 entry: 'Grew team to 130+ employees' (opened 2026-10-24) (76-150). Band left unknown; founder to confirm at intake. Review round 3: headcount_second_source_date left blank (date not stated): the About page timeline puts 'Grew team to 130+ employees' under 2025 with no month; the page was opened 2026-10-24. Review round 2: corner lot: the lot-centroid pin sat 39 m from W 21 ST but 46 m from AVE OF THE AMERICAS, so it was moved to the AVE OF THE AMERICAS frontage near the corner (18 m from the AVE OF THE AMERICAS centreline, 39 m from W 21 ST; 28 m from the old pin). Tax lot unchanged.</t>
  </si>
  <si>
    <t xml:space="preserve">AO-C-127</t>
  </si>
  <si>
    <t xml:space="preserve">accessiBe</t>
  </si>
  <si>
    <t xml:space="preserve">Tuesday estimate 70 to 180 (low confidence), under 500 staff company-wide, on-site 5 days a week per its profile, occupancy-unconfirmed at a low-confidence address; no contact found in public sources (walk-in).</t>
  </si>
  <si>
    <t xml:space="preserve">https://www.builtinnyc.com/company/accessibe/offices</t>
  </si>
  <si>
    <t xml:space="preserve">1140 Broadway</t>
  </si>
  <si>
    <t xml:space="preserve">B-C-127</t>
  </si>
  <si>
    <t xml:space="preserve">https://accessibe.com</t>
  </si>
  <si>
    <t xml:space="preserve">software (web accessibility)</t>
  </si>
  <si>
    <t xml:space="preserve">210</t>
  </si>
  <si>
    <t xml:space="preserve">268</t>
  </si>
  <si>
    <t xml:space="preserve">https://www.reveliolabs.com/companies/accessibe/employees</t>
  </si>
  <si>
    <t xml:space="preserve">B-B-063</t>
  </si>
  <si>
    <t xml:space="preserve">1140 Broadway (Williams Equities)</t>
  </si>
  <si>
    <t xml:space="preserve">https://commercialobserver.com/2022/07/acessibe-1140-broadway/</t>
  </si>
  <si>
    <t xml:space="preserve">2022-07-07</t>
  </si>
  <si>
    <t xml:space="preserve">https://www.metro-manhattan.com/buildings/1140-broadway-office-space-for-lease/</t>
  </si>
  <si>
    <t xml:space="preserve">210 (Built In) and 268 (Revelio Labs) staff (whole-company count) x 50% to 100% of them in the New York office (HQ New York; share assumed) x 67% (Partnership for NYC, firms under 500) in on a weekday = 70 to 180, central 112; low confidence; estimate until intake replaces it.</t>
  </si>
  <si>
    <t xml:space="preserve">8,700 sf</t>
  </si>
  <si>
    <t xml:space="preserve">Built In lists New York HQ at 1140 Broadway (zip shown as 11106 on Built In, a typo); 210 total employees, also Israel. CO 2022: seven-year 8,700 SF deal at corner of W 26th St. | Assembly 2026-10-24: Review round 1: lowered from high to medium. Built In is undated and the CO lease is 2022-07-07; accessibe.com's terms and privacy pages print no street address (opened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band changed from 151-250 to unknown. Sources disagree: Built In shows 210 (151-250) and Revelio Labs (accessiBe Ltd., HQ Tel Aviv): about 268 employees worldwide as of March 2026 (251-500). Band left unknown; founder to confirm at intake.</t>
  </si>
  <si>
    <t xml:space="preserve">AO-C-157</t>
  </si>
  <si>
    <t xml:space="preserve">Primary Venture Partners</t>
  </si>
  <si>
    <t xml:space="preserve">Alexandra</t>
  </si>
  <si>
    <t xml:space="preserve">Lappas</t>
  </si>
  <si>
    <t xml:space="preserve">Office Manager</t>
  </si>
  <si>
    <t xml:space="preserve">Tuesday estimate 13 to 204 (low confidence), under 500 staff company-wide, no attendance signal, occupied at a medium-confidence address; contact in the target titles named (Office Manager).</t>
  </si>
  <si>
    <t xml:space="preserve">New or renewed lease at 386 Park Avenue South reported 2026-02-27</t>
  </si>
  <si>
    <t xml:space="preserve">https://commercialobserver.com/2026/02/primary-ventures-sigma-computing-leases-386-park-avenue-south/</t>
  </si>
  <si>
    <t xml:space="preserve">2026-02-27</t>
  </si>
  <si>
    <t xml:space="preserve">find Alexandra Lappas at Primary Venture Partners on LinkedIn and paste the profile URL</t>
  </si>
  <si>
    <t xml:space="preserve">https://www.primary.vc/people</t>
  </si>
  <si>
    <t xml:space="preserve">386 Park Avenue South</t>
  </si>
  <si>
    <t xml:space="preserve">13-14</t>
  </si>
  <si>
    <t xml:space="preserve">B-C-157</t>
  </si>
  <si>
    <t xml:space="preserve">https://www.primary.vc</t>
  </si>
  <si>
    <t xml:space="preserve">venture capital</t>
  </si>
  <si>
    <t xml:space="preserve">40</t>
  </si>
  <si>
    <t xml:space="preserve">304</t>
  </si>
  <si>
    <t xml:space="preserve">https://commercialobserver.com/2023/07/primary-vc-sublease-386-park-avenue-south/</t>
  </si>
  <si>
    <t xml:space="preserve">https://www.reveliolabs.com/companies/primary-venture-partners/employees</t>
  </si>
  <si>
    <t xml:space="preserve">B-B-072</t>
  </si>
  <si>
    <t xml:space="preserve">386 Park Avenue South (HSR Corporation)</t>
  </si>
  <si>
    <t xml:space="preserve">2023-07-10</t>
  </si>
  <si>
    <t xml:space="preserve">may be under 30</t>
  </si>
  <si>
    <t xml:space="preserve">40 (Commercial Observer) and 304 (Revelio Labs) staff (whole-company count) x 50% to 100% of them in the New York office (HQ New York; share assumed) x 67% (Partnership for NYC, firms under 500) in on a weekday = 13 to 204, central 51; low confidence; estimate until intake replaces it.</t>
  </si>
  <si>
    <t xml:space="preserve">Emma</t>
  </si>
  <si>
    <t xml:space="preserve">Balin</t>
  </si>
  <si>
    <t xml:space="preserve">VP Strategy, Chief of Staff</t>
  </si>
  <si>
    <t xml:space="preserve">26,252 sf</t>
  </si>
  <si>
    <t xml:space="preserve">2026 CO: direct 26,252 SF lease on floors 13-14 (it already occupied them via a 2023 sublease from MullenLowe). Headcount is the 2023 CO figure '40 employees' relocated; older than 24 months. Second source is the same publication and older, so not counted as independent confirmation. | Assembly 2026-10-24: Review round 2: band changed from 40-75 to unknown. Sources disagree: Commercial Observer shows 40 (40-75) and Revelio Labs (Primary Venture Management LLC, HQ New York City): about 304 employees worldwide as of March 2026 (251-500). Band left unknown; founder to confirm at intake.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</si>
  <si>
    <t xml:space="preserve">Alexandra Lappas</t>
  </si>
  <si>
    <t xml:space="preserve">title_match=target; Listed under Operations on Primary's People page (opened 2026-10-24). Primary is a New York firm; page does not state each person's city. Note: Primary's Talent team recruits for portfolio companies, so those titles were not used.</t>
  </si>
  <si>
    <t xml:space="preserve">Emma Balin</t>
  </si>
  <si>
    <t xml:space="preserve">title_match=target; Operations section, same page (opened 2026-10-24). Other Operations staff on the page: Lily Moran, Receptionist, and five Executive Assistants (none labelled EA to the managing partner).</t>
  </si>
  <si>
    <t xml:space="preserve">AO-C-129</t>
  </si>
  <si>
    <t xml:space="preserve">Activate Consulting</t>
  </si>
  <si>
    <t xml:space="preserve">Laura</t>
  </si>
  <si>
    <t xml:space="preserve">Miller</t>
  </si>
  <si>
    <t xml:space="preserve">Tuesday estimate 25 to 51 (low confidence), under 500 staff company-wide, on-site 5 days a week per its profile, occupied at a high-confidence address; adjacent contact named (Chief of Staff).</t>
  </si>
  <si>
    <t xml:space="preserve">find Laura Miller at Activate Consulting on LinkedIn and paste the profile URL (this also confirms the name: The Org is crowd-edited); adjacent title: ask who runs the pantry; Tuesday estimate band under-40: founder's call (set founder_ok_to_queue = Y to queue)</t>
  </si>
  <si>
    <t xml:space="preserve">https://theorg.com/org/activate/org-chart/laura-miller</t>
  </si>
  <si>
    <t xml:space="preserve">17-18</t>
  </si>
  <si>
    <t xml:space="preserve">B-C-129</t>
  </si>
  <si>
    <t xml:space="preserve">https://www.activate.com</t>
  </si>
  <si>
    <t xml:space="preserve">management consulting (tech, media, telecom)</t>
  </si>
  <si>
    <t xml:space="preserve">76</t>
  </si>
  <si>
    <t xml:space="preserve">https://www.builtinnyc.com/company/activate-consulting/offices</t>
  </si>
  <si>
    <t xml:space="preserve">e North, 18th floor' (vanity address of 11 E 26th St, same building), 76 total employees, on-site 5 days a week. Sublet half the added space</t>
  </si>
  <si>
    <t xml:space="preserve">76 (Built In) staff (whole-company count) x 50% to 100% of them in the New York office (HQ New York; share assumed) x 67% (Partnership for NYC, firms under 500) in on a weekday = 25 to 51, central 36; low confidence; estimate until intake replaces it.</t>
  </si>
  <si>
    <t xml:space="preserve">Frank</t>
  </si>
  <si>
    <t xml:space="preserve">Noto</t>
  </si>
  <si>
    <t xml:space="preserve">Chief Administrative Officer</t>
  </si>
  <si>
    <t xml:space="preserve">24,144 sf</t>
  </si>
  <si>
    <t xml:space="preserve">11-year early renewal of 18th floor plus equal space on 17th, 24,144 SF total. Built In lists HQ at '11 Madison Square North, 18th floor' (vanity address of 11 E 26th St, same building), 76 total employees, on-site 5 days a week. Sublet half the added space to Order.co (CO 2026-02-05).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</si>
  <si>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Laura Miller</t>
  </si>
  <si>
    <t xml:space="preserve">title_match=target; theorg position page opened 2026-10-24: Chief of Staff at Activate (theorg org links to activate.com), location New York City; bio says Chief of Staff at Activate Consulting. Crowd-edited, marked Unverified: founder to confirm. Chief of Staff at a ~76-person firm counts per the brief. activate.com itself has no staff page.</t>
  </si>
  <si>
    <t xml:space="preserve">Frank Noto</t>
  </si>
  <si>
    <t xml:space="preserve">https://theorg.com/org/activate/org-chart/frank-noto</t>
  </si>
  <si>
    <t xml:space="preserve">title_match=adjacent; theorg position page opened 2026-10-24: Chief Administrative Officer since January 2017, location New York (crowd-edited, Unverified). Adjacent title: likely owns office spend. theorg also lists an Executive Assistant in New York (executive not named).</t>
  </si>
  <si>
    <t xml:space="preserve">AO-C-128</t>
  </si>
  <si>
    <t xml:space="preserve">Simplebet</t>
  </si>
  <si>
    <t xml:space="preserve">Tuesday estimate 32 to 64 (low confidence), under 500 staff company-wide with a named parent (DraftKings), on-site 5 days a week per its profile, occupied at a high-confidence address; no contact found in public sources (walk-in).</t>
  </si>
  <si>
    <t xml:space="preserve">https://commercialobserver.com/2025/05/empire-capital-buys-373-381-park-avenue-south/</t>
  </si>
  <si>
    <t xml:space="preserve">373 Park Avenue South</t>
  </si>
  <si>
    <t xml:space="preserve">B-C-128</t>
  </si>
  <si>
    <t xml:space="preserve">https://simplebet.io</t>
  </si>
  <si>
    <t xml:space="preserve">sports betting technology</t>
  </si>
  <si>
    <t xml:space="preserve">95</t>
  </si>
  <si>
    <t xml:space="preserve">https://www.builtinnyc.com/company/simplebet/offices</t>
  </si>
  <si>
    <t xml:space="preserve">DraftKings</t>
  </si>
  <si>
    <t xml:space="preserve">B-B-064</t>
  </si>
  <si>
    <t xml:space="preserve">373 Park Avenue South (Olmstead Properties and Vertex)</t>
  </si>
  <si>
    <t xml:space="preserve">95 (Built In) staff (whole-company count) x 50% to 100% of them in the New York office (HQ New York; share assumed) x 67% (Partnership for NYC, firms under 500) in on a weekday = 32 to 64, central 45; low confidence; estimate until intake replaces it.</t>
  </si>
  <si>
    <t xml:space="preserve">8,732 sf</t>
  </si>
  <si>
    <t xml:space="preserve">Built In lists HQ at 373 Park Ave S, FL 9; 95 total employees. CO 2023: renewal of 8,732 SF on floor 9, in the building since July 2021. | Assembly 2026-10-24: Review round 1: CO 2025-05-22 (opened 2026-10-24): 'Current tenants at 373 Park Avenue South include sports betting firm Simplebet', a dated source under 24 months, so the row stays high with Built In as the independent second source. The company site failed TLS from this environment. Review round 2: corner lot: the lot-centroid pin sat 29 m from E 26 ST but 36 m from PARK AVE S, so it was moved to the PARK AVE S frontage near the corner (13 m from the PARK AVE S centreline, 29 m from E 26 ST; 23 m from the old pin). Tax lot unchanged.</t>
  </si>
  <si>
    <t xml:space="preserve">parent_company &lt;- https://earningsandmore.substack.com/i/148004041/flight-risk (2026-10-24): Earnings+More, 2024-08-30 (opened 2026-10-24): DraftKings 'has finally bought the ~85% of micro-betting supplier Simplebet it didn't already own'. The closing date (2024-12-03 per a search summary of DraftKings' filings) is on sec.gov and was not opened. A named parent costs 4 points.</t>
  </si>
  <si>
    <t xml:space="preserve">AO-C-155</t>
  </si>
  <si>
    <t xml:space="preserve">Primary Wave</t>
  </si>
  <si>
    <t xml:space="preserve">Sophia</t>
  </si>
  <si>
    <t xml:space="preserve">Popovits</t>
  </si>
  <si>
    <t xml:space="preserve">NY Facilities and Culture Manager</t>
  </si>
  <si>
    <t xml:space="preserve">Tuesday estimate 37 to 90 (low confidence), under 500 staff company-wide, remote-first signal, occupied at a high-confidence address; contact in the target titles named (NY Facilities and Culture Manager).</t>
  </si>
  <si>
    <t xml:space="preserve">https://commercialobserver.com/2026/03/thor-equities-buys-1165-broadway/</t>
  </si>
  <si>
    <t xml:space="preserve">find Sophia Popovits at Primary Wave on LinkedIn and paste the profile URL</t>
  </si>
  <si>
    <t xml:space="preserve">https://primarywave.com/team/?filter=human-resources</t>
  </si>
  <si>
    <t xml:space="preserve">1165 Broadway</t>
  </si>
  <si>
    <t xml:space="preserve">5 (per site; CO 2024: top two floors)</t>
  </si>
  <si>
    <t xml:space="preserve">remote</t>
  </si>
  <si>
    <t xml:space="preserve">B-C-155</t>
  </si>
  <si>
    <t xml:space="preserve">https://www.primarywave.com</t>
  </si>
  <si>
    <t xml:space="preserve">music publishing and marketing</t>
  </si>
  <si>
    <t xml:space="preserve">109</t>
  </si>
  <si>
    <t xml:space="preserve">134</t>
  </si>
  <si>
    <t xml:space="preserve">https://www.builtinnyc.com/company/primary-wave/offices</t>
  </si>
  <si>
    <t xml:space="preserve">https://www.reveliolabs.com/companies/primary-wave-entmt/employees</t>
  </si>
  <si>
    <t xml:space="preserve">B-B-071</t>
  </si>
  <si>
    <t xml:space="preserve">1165 Broadway (Thor Equities, bought 2026)</t>
  </si>
  <si>
    <t xml:space="preserve">2026-03-25</t>
  </si>
  <si>
    <t xml:space="preserve">https://primarywave.com/contact/</t>
  </si>
  <si>
    <t xml:space="preserve">Built In workplace type: Remote Workplace</t>
  </si>
  <si>
    <t xml:space="preserve">109 (Built In) and 134 (Revelio Labs) staff (whole-company count) x 50% to 100% of them in the New York office (HQ New York; share assumed) x 67% (Partnership for NYC, firms under 500) in on a weekday = 37 to 90, central 58; low confidence; estimate until intake replaces it.</t>
  </si>
  <si>
    <t xml:space="preserve">Shevonne</t>
  </si>
  <si>
    <t xml:space="preserve">James</t>
  </si>
  <si>
    <t xml:space="preserve">Senior Human Resources Manager</t>
  </si>
  <si>
    <t xml:space="preserve">12,884 sf</t>
  </si>
  <si>
    <t xml:space="preserve">Contact page lists 1165 Broadway, 5th Floor. CO 2026 (building sale) names Primary Wave as a current tenant; CO 2024: 10-year 12,884 SF lease on the top two floors. Built In: 109 total employees. | Assembly 2026-10-24: Review round 2: a second count agrees with the band: Revelio Labs (Primary Wave Entertainment LLC, HQ New York City): about 134 employees worldwide as of March 2026.</t>
  </si>
  <si>
    <t xml:space="preserve">Sophia Popovits</t>
  </si>
  <si>
    <t xml:space="preserve">title_match=target; Human Resources &amp; Operations tab of Primary Wave's team page (opened 2026-10-24). Strong fit: the title names the NY office. Built In calls Primary Wave a Remote Workplace, but a NY facilities role suggests a staffed office; confirm Tuesday headcount on the call.</t>
  </si>
  <si>
    <t xml:space="preserve">Shevonne James</t>
  </si>
  <si>
    <t xml:space="preserve">title_match=target; Same page (opened 2026-10-24); city not stated. Also on the tab: Mike Chorny, Operations Manager / IT, and Jessica Wilkins, Senior Executive Assistant (executive not named).</t>
  </si>
  <si>
    <t xml:space="preserve">AO-C-095</t>
  </si>
  <si>
    <t xml:space="preserve">Foursquare</t>
  </si>
  <si>
    <t xml:space="preserve">Kristin</t>
  </si>
  <si>
    <t xml:space="preserve">Vera</t>
  </si>
  <si>
    <t xml:space="preserve">Senior Manager, Executive &amp; Office Operations | EA to the CEO</t>
  </si>
  <si>
    <t xml:space="preserve">Tuesday estimate 12 to 288 (low confidence), under 500 staff company-wide with a named parent (Infillion (acquisition announced 2026-09-18)), hybrid (days not stated), occupied at a high-confidence address; contact in the target titles named (Senior Manager, Executive &amp; Office Operations | EA to the CEO).</t>
  </si>
  <si>
    <t xml:space="preserve">https://www.builtinnyc.com/company/foursquare/offices</t>
  </si>
  <si>
    <t xml:space="preserve">find Kristin Vera at Foursquare on LinkedIn and paste the profile URL (this also confirms the name: The Org is crowd-edited)</t>
  </si>
  <si>
    <t xml:space="preserve">https://theorg.com/org/foursquare/org-chart/kristin-vera</t>
  </si>
  <si>
    <t xml:space="preserve">50 West 23rd Street</t>
  </si>
  <si>
    <t xml:space="preserve">B-C-095</t>
  </si>
  <si>
    <t xml:space="preserve">https://foursquare.com/</t>
  </si>
  <si>
    <t xml:space="preserve">Location technology / software</t>
  </si>
  <si>
    <t xml:space="preserve">350</t>
  </si>
  <si>
    <t xml:space="preserve">430</t>
  </si>
  <si>
    <t xml:space="preserve">https://www.reveliolabs.com/companies/foursquare-labs/employees</t>
  </si>
  <si>
    <t xml:space="preserve">Infillion (acquisition announced 2026-09-18)</t>
  </si>
  <si>
    <t xml:space="preserve">B-B-046</t>
  </si>
  <si>
    <t xml:space="preserve">50 West 23rd Street (Two Trees Management)</t>
  </si>
  <si>
    <t xml:space="preserve">https://nyrej.com/index.php/two-new-leases-signed-at-50-west-23rd-st</t>
  </si>
  <si>
    <t xml:space="preserve">2025-10-14</t>
  </si>
  <si>
    <t xml:space="preserve">350 (Built In) and 430 (Revelio Labs) staff (whole-company count) x 5% to 100% of them in the New York office (HQ city unknown; share assumed) x 67% (Partnership for NYC, firms under 500) in on a weekday = 12 to 288, central 59; low confidence; estimate until intake replaces it.</t>
  </si>
  <si>
    <t xml:space="preserve">Pam</t>
  </si>
  <si>
    <t xml:space="preserve">Thomas</t>
  </si>
  <si>
    <t xml:space="preserve">Built In lists HQ 50 West 23rd Street and 350 total employees (live profile, undated). NYREJ Oct 2025 (Two Trees release) names Foursquare as an existing tenant. | Assembly 2026-10-24: Review round 3: HQ city set to unknown because the sources conflict: the Built In offices page says HQ New York (50 West 23rd Street) and the Revelio Labs page cited for the second count says HQ San Francisco. Review round 2: a second count agrees with the band: Revelio Labs (Foursquare Labs, Inc., HQ San Francisco): about 430 employees worldwide as of March 2026.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</si>
  <si>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Kristin Vera</t>
  </si>
  <si>
    <t xml:space="preserve">title_match=target; theorg.com position page opened 2026-10-24: title as shown, location New York. theorg is a third-party, crowd-edited org chart and marks the entry Unverified; Foursquare's own leadership page (rendered 2026-10-24) shows only three executives. Founder to confirm she is current before outreach. Strong fit: owns office operations and is EA to the CEO.</t>
  </si>
  <si>
    <t xml:space="preserve">Pam Thomas</t>
  </si>
  <si>
    <t xml:space="preserve">https://theorg.com/org/foursquare/org-chart/pam-thomas</t>
  </si>
  <si>
    <t xml:space="preserve">title_match=adjacent; theorg.com position page opened 2026-10-24: Chief Of Staff, location New York City (crowd-edited, marked Unverified). A search snippet says Foursquare's own team page lists her as VP, Chief of Staff (snippet-unverified; the rendered page did not show her).</t>
  </si>
  <si>
    <t xml:space="preserve">AO-C-133</t>
  </si>
  <si>
    <t xml:space="preserve">Order.co</t>
  </si>
  <si>
    <t xml:space="preserve">Karen</t>
  </si>
  <si>
    <t xml:space="preserve">Bedell</t>
  </si>
  <si>
    <t xml:space="preserve">VP, People</t>
  </si>
  <si>
    <t xml:space="preserve">Tuesday estimate 55 to 111 (low confidence), under 500 staff company-wide, hybrid (days not stated), signed-not-occupied at a medium-confidence address (hold: lease signed, move not confirmed); adjacent contact named (VP, People).</t>
  </si>
  <si>
    <t xml:space="preserve">New or renewed lease at 11 East 26th Street reported 2026-02-05</t>
  </si>
  <si>
    <t xml:space="preserve">https://commercialobserver.com/2026/02/order-co-sublease-11-east-26th-street/</t>
  </si>
  <si>
    <t xml:space="preserve">2026-02-05</t>
  </si>
  <si>
    <t xml:space="preserve">find Karen Bedell at Order.co on LinkedIn and paste the profile URL (this also confirms the name: The Org is crowd-edited); adjacent title: ask who runs the pantry</t>
  </si>
  <si>
    <t xml:space="preserve">https://theorg.com/org/order-negotiatus/org-chart/karen-bedell</t>
  </si>
  <si>
    <t xml:space="preserve">B-C-133</t>
  </si>
  <si>
    <t xml:space="preserve">https://www.order.co</t>
  </si>
  <si>
    <t xml:space="preserve">software (B2B procurement)</t>
  </si>
  <si>
    <t xml:space="preserve">https://www.builtinnyc.com/company/orderco/offices</t>
  </si>
  <si>
    <t xml:space="preserve">165 (Built In) staff (whole-company count) x 50% to 100% of them in the New York office (HQ New York; share assumed) x 67% (Partnership for NYC, firms under 500) in on a weekday = 55 to 111, central 78; low confidence; estimate until intake replaces it.</t>
  </si>
  <si>
    <t xml:space="preserve">Ali</t>
  </si>
  <si>
    <t xml:space="preserve">Sardinia</t>
  </si>
  <si>
    <t xml:space="preserve">12,134 sf</t>
  </si>
  <si>
    <t xml:space="preserve">12,134 SF sublease from Activate Consulting; relocating from 156 Fifth Ave (move date not stated). Built In: HQ New York, 165 total employees, describes a 'Flatiron office' without street address, so not used as address confirmation.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</si>
  <si>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Karen Bedell</t>
  </si>
  <si>
    <t xml:space="preserve">title_match=adjacent; theorg position page opened 2026-10-24: VP, People at Order (theorg org links to order.co), location New York (crowd-edited, marked Unverified; founder to confirm). The Office Manager seat (owns kitchen stocking, reports to the Director of People Operations) was advertised on Built In and the posting was removed 2026-07-31 (opened), so ask her for the new Office Manager. Row is on hold until the 11 E 26th St move is confirmed. Built In NYC HR Business Partner posting (opened 2026-10-24, posted about 12 days earlier) reports to an "SVP of People" (not named): the theorg title may be stale or she may have been promoted, or someone else holds it. A ChartHop piece (snippet, about 2022) named a different Senior Director of People Operations. Confirm who leads People before outreach.</t>
  </si>
  <si>
    <t xml:space="preserve">Ali Sardinia</t>
  </si>
  <si>
    <t xml:space="preserve">https://theorg.com/org/order-negotiatus/org-chart/ali-sardinia</t>
  </si>
  <si>
    <t xml:space="preserve">title_match=target; theorg position page opened 2026-10-24: Chief of Staff, location New York (crowd-edited, marked Unverified, no bio). An Executive Assistant to the CEO role was open on Built In NYC (teams page opened 2026-10-24).</t>
  </si>
  <si>
    <t xml:space="preserve">AO-C-051</t>
  </si>
  <si>
    <t xml:space="preserve">Morning Brew</t>
  </si>
  <si>
    <t xml:space="preserve">Tuesday estimate 96 to 231 (low confidence), under 500 staff company-wide with a named parent (Insider Inc; (majority owner)), on-site 5 days a week per its profile, occupancy-unconfirmed at a low-confidence address; no contact found in public sources (walk-in).</t>
  </si>
  <si>
    <t xml:space="preserve">https://www.builtinnyc.com/company/morning-brew/offices</t>
  </si>
  <si>
    <t xml:space="preserve">22 West 19th Street</t>
  </si>
  <si>
    <t xml:space="preserve">3-4</t>
  </si>
  <si>
    <t xml:space="preserve">B-C-051</t>
  </si>
  <si>
    <t xml:space="preserve">https://www.morningbrew.com</t>
  </si>
  <si>
    <t xml:space="preserve">digital media (business newsletters)</t>
  </si>
  <si>
    <t xml:space="preserve">345</t>
  </si>
  <si>
    <t xml:space="preserve">286</t>
  </si>
  <si>
    <t xml:space="preserve">https://www.builtinnyc.com/company/morning-brew</t>
  </si>
  <si>
    <t xml:space="preserve">https://www.reveliolabs.com/companies/morning-brew/employees</t>
  </si>
  <si>
    <t xml:space="preserve">Insider Inc. (majority owner)</t>
  </si>
  <si>
    <t xml:space="preserve">B-B-022</t>
  </si>
  <si>
    <t xml:space="preserve">Cluett Building (Kaufman Organization)</t>
  </si>
  <si>
    <t xml:space="preserve">https://commercialobserver.com/2022/02/morning-brew-lease-flatiron-district-22-west-19th-street-kaufman-organization/</t>
  </si>
  <si>
    <t xml:space="preserve">2022-02-24</t>
  </si>
  <si>
    <t xml:space="preserve">Built In workplace type: OnSite Workplace; typical time on-site: 5 days a week; recent job tags: 2 In-Office, 1 Hybrid</t>
  </si>
  <si>
    <t xml:space="preserve">345 (Built In) and 286 (Revelio Labs) staff (whole-company count) x 50% to 100% of them in the New York office (HQ New York; share assumed) x 67% (Partnership for NYC, firms under 500) in on a weekday = 96 to 231, central 149; low confidence; estimate until intake replaces it.</t>
  </si>
  <si>
    <t xml:space="preserve">37,650 sf</t>
  </si>
  <si>
    <t xml:space="preserve">Built In lists HQ at 22 W 19th Street; CO Feb 2022 reported an eight-year lease of floors 3 and 4 (37,650 sf) at the Cluett Building. Built In shows 345 total employees. Majority-owned by Insider Inc. | Assembly 2026-10-24: Review round 1: lowered from high to medium. Built In is undated and the only other source is the CO 2022-02-24 lease (older than 24 months); morningbrew.com's contact and legal pages print no address (opened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a second count agrees with the band: Revelio Labs (Morning Brew, Inc., HQ New York City): about 286 employees worldwide as of March 2026. Pin moved to frontage at review round 1: the lot-centroid pin failed the block-face test (33 m from W 19 ST but 41 m from W 18 ST); pin moved to frontage: the lot's position along W 19 ST kept, set 21 m from the centreline on the side CSCL gives house number 22 (11 m from the old pin). Tax lot unchanged. New pin: 22 m from W 19 ST, 53 m from W 18 ST.</t>
  </si>
  <si>
    <t xml:space="preserve">AO-C-030</t>
  </si>
  <si>
    <t xml:space="preserve">Prepared 911</t>
  </si>
  <si>
    <t xml:space="preserve">Miranda</t>
  </si>
  <si>
    <t xml:space="preserve">Tuesday estimate 26 to 90 (low confidence), under 500 staff company-wide with a named parent (Axon Enterprise), on-site 5 days a week per its profile, occupancy-unconfirmed at a medium-confidence address; adjacent contact named (Chief of Staff).</t>
  </si>
  <si>
    <t xml:space="preserve">https://commercialobserver.com/2025/08/prepared-911-101-fifth-avenue/</t>
  </si>
  <si>
    <t xml:space="preserve">find Miranda Lee at Prepared 911 on LinkedIn and paste the profile URL (this also confirms the name: The Org is crowd-edited); the source is dated 2025-09-23: check Miranda still holds the role; adjacent title: ask who runs the pantry</t>
  </si>
  <si>
    <t xml:space="preserve">https://theorg.com/org/prepared/org-chart/miranda-lee</t>
  </si>
  <si>
    <t xml:space="preserve">101 Fifth Avenue</t>
  </si>
  <si>
    <t xml:space="preserve">one full floor (not named)</t>
  </si>
  <si>
    <t xml:space="preserve">B-C-030</t>
  </si>
  <si>
    <t xml:space="preserve">https://www.prepared911.com</t>
  </si>
  <si>
    <t xml:space="preserve">public safety software (AI for 911 centers)</t>
  </si>
  <si>
    <t xml:space="preserve">77</t>
  </si>
  <si>
    <t xml:space="preserve">135</t>
  </si>
  <si>
    <t xml:space="preserve">https://www.builtinnyc.com/company/prepared</t>
  </si>
  <si>
    <t xml:space="preserve">https://www.reveliolabs.com/companies/prepared/employees</t>
  </si>
  <si>
    <t xml:space="preserve">B-B-012</t>
  </si>
  <si>
    <t xml:space="preserve">2025-08-04</t>
  </si>
  <si>
    <t xml:space="preserve">https://www.builtinnyc.com/company/prepared/offices</t>
  </si>
  <si>
    <t xml:space="preserve">77 (Built In) and 135 (Revelio Labs) staff (whole-company count) x 50% to 100% of them in the New York office (HQ New York; share assumed) x 67% (Partnership for NYC, firms under 500) in on a weekday = 26 to 90, central 48; low confidence; estimate until intake replaces it.</t>
  </si>
  <si>
    <t xml:space="preserve">7,080 sf</t>
  </si>
  <si>
    <t xml:space="preserve">CO 2025-08-04: five-year 7,080 sf full-floor lease at 101 Fifth Ave; at the time LinkedIn listed 575 Lexington Ave, so it was a relocation. Built In NYC profile titled 'Prepared' (HQ New York, founded 2019): 77 total employees. | Assembly 2026-10-24: Review round 2: a second count agrees with the band: Revelio Labs (Prepared LLC, HQ Wilmington, Delaware): about 135 employees worldwide as of March 2026. Review round 2: corner lot: the lot-centroid pin sat 27 m from E 17 ST but 30 m from 5 AVE, so it was moved to the 5 AVE frontage near the corner (17 m from the 5 AVE centreline, 27 m from E 17 ST; 13 m from the old pin). Tax lot unchanged.</t>
  </si>
  <si>
    <t xml:space="preserve">parent_company &lt;- https://vectorshift.ai/research/deals/axon-enterprise-carbyne-2026.html (2026-10-24): Stage 2 opened prepared911.com/company ('The Intelligence Layer of Axon 911') and found prepared911.com/careers redirecting to Axon's job board; the deal tracker (opened 2026-10-24) names Prepared as already part of Axon when Axon bought Carbyne. A named parent costs 4 points.</t>
  </si>
  <si>
    <t xml:space="preserve">Miranda Lee</t>
  </si>
  <si>
    <t xml:space="preserve">2025-09-23</t>
  </si>
  <si>
    <t xml:space="preserve">title_match=target; theorg.com position page opened 2026-10-24: Chief of Staff at Prepared, location New York (crowd-edited, marked Unverified; may predate Prepared becoming part of Axon). FLAG for founder: prepared911.com/company (opened 2026-10-24) calls Prepared "The Intelligence Layer of Axon 911", and prepared911.com/careers redirects to Axon's Greenhouse board, which lists "New York-Office(27th St)" for Axon 911 roles: re-check the address (row says 101 Fifth Avenue) and the parent before outreach. Latham &amp; Watkins release dated 2025-09-23 (opened 2026-10-24, https://www.lw.com/en/news/2025/09/latham-watkins-advises-prepared-in-acquisition-by-axon) says Axon entered a definitive agreement to acquire Prepared. A corroborating search did not confirm her current role.</t>
  </si>
  <si>
    <t xml:space="preserve">parent 'axon enterprise' shared with AO-C-151</t>
  </si>
  <si>
    <t xml:space="preserve">AO-C-001</t>
  </si>
  <si>
    <t xml:space="preserve">HUMAN Security</t>
  </si>
  <si>
    <t xml:space="preserve">Jackie</t>
  </si>
  <si>
    <t xml:space="preserve">Orris</t>
  </si>
  <si>
    <t xml:space="preserve">Tuesday estimate 132 to 263 (low confidence), under 500 staff company-wide, hybrid (days not stated), occupancy-unconfirmed at a low-confidence address; adjacent contact named (Chief People Officer).</t>
  </si>
  <si>
    <t xml:space="preserve">https://commercialobserver.com/2024/06/movable-ink-lease-841-broadway/</t>
  </si>
  <si>
    <t xml:space="preserve">find Jackie Orris at HUMAN Security on LinkedIn and paste the profile URL (this also confirms the name: The Org is crowd-edited); adjacent title: ask who runs the pantry</t>
  </si>
  <si>
    <t xml:space="preserve">https://theorg.com/org/human-security/org-chart/jackie-orris</t>
  </si>
  <si>
    <t xml:space="preserve">841 Broadway</t>
  </si>
  <si>
    <t xml:space="preserve">B-C-001</t>
  </si>
  <si>
    <t xml:space="preserve">https://www.humansecurity.com</t>
  </si>
  <si>
    <t xml:space="preserve">cybersecurity</t>
  </si>
  <si>
    <t xml:space="preserve">393</t>
  </si>
  <si>
    <t xml:space="preserve">https://www.builtinnyc.com/company/human</t>
  </si>
  <si>
    <t xml:space="preserve">2024-06</t>
  </si>
  <si>
    <t xml:space="preserve">https://builtinnyc.com/articles/nyc-tech-headquarters-openings-2023</t>
  </si>
  <si>
    <t xml:space="preserve">2023-03-23</t>
  </si>
  <si>
    <t xml:space="preserve">https://www.builtinnyc.com/company/human/offices</t>
  </si>
  <si>
    <t xml:space="preserve">393 (Built In) staff (whole-company count) x 50% to 100% of them in the New York office (HQ New York; share assumed) x 67% (Partnership for NYC, firms under 500) in on a weekday = 132 to 263, central 186; low confidence; estimate until intake replaces it.</t>
  </si>
  <si>
    <t xml:space="preserve">13,809 sf</t>
  </si>
  <si>
    <t xml:space="preserve">CO 2024-06 says HUMAN Security relocated to 841 Broadway, taking 13,809 sf in 2023; Built In NYC 2023 article says it planned to move from 111 W 33rd St to 841 Broadway on a seven-year lease. Both older than 24 months and the company site is blocked (403), so low; founder to confirm. Built In NYC: 393 total employees, HQ New York, 4 offices. | Assembly 2026-10-24: Review round 3: second_source_date set from '2023' to 2023-03-23, the Built In article's datePublished (opened 2026-10-24). Review round 2: corner lot: the lot-centroid pin sat 21 m from E 13 ST but 30 m from BROADWAY, so it was moved to the BROADWAY frontage near the corner (15 m from the BROADWAY centreline, 26 m from E 13 ST; 15 m from the old pin). Tax lot unchanged.</t>
  </si>
  <si>
    <t xml:space="preserve">Jackie Orris</t>
  </si>
  <si>
    <t xml:space="preserve">title_match=adjacent; theorg.com position page opened 2026-10-24: Chief People Officer, location New York City (crowd-edited, marked Unverified). humansecurity.com returned 403 to a plain GET, so not confirmed on the company site. Senior: ask who runs the 841 Broadway office. Founder to confirm. A corroborating search (2026-10-24) found nothing; humansecurity.com blocks automated access, so the leadership page was not checked.</t>
  </si>
  <si>
    <t xml:space="preserve">AO-C-059</t>
  </si>
  <si>
    <t xml:space="preserve">Christie's International Real Estate Group</t>
  </si>
  <si>
    <t xml:space="preserve">True</t>
  </si>
  <si>
    <t xml:space="preserve">Team Leader, Christie's Flatiron Office</t>
  </si>
  <si>
    <t xml:space="preserve">Tuesday estimate 50 to 50 (medium confidence), company size unknown, no attendance signal, occupancy-unconfirmed at a low-confidence address; adjacent contact named (Team Leader, Christie's Flatiron Office).</t>
  </si>
  <si>
    <t xml:space="preserve">https://commercialobserver.com/2024/08/christies-international-real-estate-group-lease-156-fifth-avenue/</t>
  </si>
  <si>
    <t xml:space="preserve">find Melissa True at Christie's International Real Estate Group on LinkedIn and paste the profile URL; the source is dated 2025-09-15: check Melissa still holds the role; adjacent title: ask who runs the pantry</t>
  </si>
  <si>
    <t xml:space="preserve">press, event or podcast page</t>
  </si>
  <si>
    <t xml:space="preserve">https://www.mannpublications.com/mannreport/2025/09/15/christies-international-real-estate-group-welcomes-veteran-agent-filippa-edberg-manuel-as-founder-of-the-luxury-advisory-team/</t>
  </si>
  <si>
    <t xml:space="preserve">156 Fifth Avenue</t>
  </si>
  <si>
    <t xml:space="preserve">B-C-059</t>
  </si>
  <si>
    <t xml:space="preserve">residential real estate brokerage</t>
  </si>
  <si>
    <t xml:space="preserve">75</t>
  </si>
  <si>
    <t xml:space="preserve">nyc-office</t>
  </si>
  <si>
    <t xml:space="preserve">B-B-029</t>
  </si>
  <si>
    <t xml:space="preserve">Presbyterian Building / Flatiron Suites (HRC)</t>
  </si>
  <si>
    <t xml:space="preserve">2024-08-21</t>
  </si>
  <si>
    <t xml:space="preserve">75 in the New York office (Commercial Observer) staff (New York office count) x the count is for the New York office x 67% (Partnership for NYC, firms under 500) in on a weekday = 50 to 50, central 50; medium confidence; estimate until intake replaces it.</t>
  </si>
  <si>
    <t xml:space="preserve">Brett</t>
  </si>
  <si>
    <t xml:space="preserve">Forman</t>
  </si>
  <si>
    <t xml:space="preserve">Managing Director, Manhattan</t>
  </si>
  <si>
    <t xml:space="preserve">8,000 sf</t>
  </si>
  <si>
    <t xml:space="preserve">Five-year, 8,000 sf lease on the 9th floor 'to open a 75-person office' (company spokesperson via CO). Source predates 2024-10-23 and the company site did not load, so low. Agents may not keep regular office hours. christiesrealestategroup.com did not connect (2026-10-24), so website left blank. Review round 2: corner lot: the lot-centroid pin sat 16 m from W 20 ST but 53 m from 5 AVE, so it was moved to the 5 AVE frontage near the corner (17 m from the 5 AVE centreline, 26 m from W 20 ST; 37 m from the old pin). Tax lot unchanged.</t>
  </si>
  <si>
    <t xml:space="preserve">Melissa True</t>
  </si>
  <si>
    <t xml:space="preserve">title_match=adjacent; Opened 2026-10-24. Mann Report 2025-09-15 quotes her as "Team Leader, Christie's Flatiron Office"; Mann Report 2025-01-17 (opened) announced her as Team Leader of the new Flatiron office, focused on agent development. Adjacent title, not an office manager: at a brokerage the office leader decides what goes in the office. Source is over a year old; founder to confirm she is current. Agents may not keep regular office hours, so check the Tuesday count.</t>
  </si>
  <si>
    <t xml:space="preserve">Brett Forman</t>
  </si>
  <si>
    <t xml:space="preserve">title_match=adjacent; Opened 2026-10-24. Commercial Observer 2024-08-21 caption: managing director of Christie's International Real Estate Group for Manhattan, about the 156 Fifth Avenue office. Source is two years old: founder to confirm. A Brokerage Office Administrator posting (selectleaders.com, snippet, undated) reports to a Business Operations Manager; no names. christiesrealestategroup.com is refused by the session proxy.</t>
  </si>
  <si>
    <t xml:space="preserve">AO-C-072</t>
  </si>
  <si>
    <t xml:space="preserve">Actively AI</t>
  </si>
  <si>
    <t xml:space="preserve">Tuesday estimate 22 to 56 (low confidence), under 500 staff company-wide, on-site 5 days a week per its profile, occupied at a high-confidence address; no contact found in public sources (walk-in).</t>
  </si>
  <si>
    <t xml:space="preserve">https://commercialobserver.com/2025/04/actively-ai-lease-30-west-21st-street/</t>
  </si>
  <si>
    <t xml:space="preserve">no named contact: walk in and ask for whoever runs the pantry, or use the company contact form; Tuesday estimate band under-40: founder's call (set founder_ok_to_queue = Y to queue)</t>
  </si>
  <si>
    <t xml:space="preserve">30 West 21st Street</t>
  </si>
  <si>
    <t xml:space="preserve">9-10</t>
  </si>
  <si>
    <t xml:space="preserve">B-C-072</t>
  </si>
  <si>
    <t xml:space="preserve">https://www.actively.ai</t>
  </si>
  <si>
    <t xml:space="preserve">software (AI sales platform)</t>
  </si>
  <si>
    <t xml:space="preserve">65</t>
  </si>
  <si>
    <t xml:space="preserve">83</t>
  </si>
  <si>
    <t xml:space="preserve">https://www.builtinnyc.com/company/actively-ai</t>
  </si>
  <si>
    <t xml:space="preserve">https://www.reveliolabs.com/companies/actively/employees</t>
  </si>
  <si>
    <t xml:space="preserve">B-B-033</t>
  </si>
  <si>
    <t xml:space="preserve">30 West 21st Street (Skyway Development Group)</t>
  </si>
  <si>
    <t xml:space="preserve">2025-04-14</t>
  </si>
  <si>
    <t xml:space="preserve">https://www.actively.ai/</t>
  </si>
  <si>
    <t xml:space="preserve">https://www.builtinnyc.com/company/actively-ai/offices</t>
  </si>
  <si>
    <t xml:space="preserve">65 (Built In) and 83 (Revelio Labs) staff (whole-company count) x 50% to 100% of them in the New York office (HQ New York; share assumed) x 67% (Partnership for NYC, firms under 500) in on a weekday = 22 to 56, central 35; low confidence; estimate until intake replaces it.</t>
  </si>
  <si>
    <t xml:space="preserve">10,722 sf</t>
  </si>
  <si>
    <t xml:space="preserve">Five-year lease, 10,722 sf on floors 9 and 10. Company site lists 30 West 21st Street, 9th Floor; Built In offices page also lists 30 W 21st St. Built In shows 65 total employees. | Assembly 2026-10-24: Review round 2: band changed from 40-75 to unknown. Sources disagree: Built In shows 65 (40-75) and Revelio Labs (Taurus Labs, Inc., whose page describes Actively, HQ New York City): about 83 employees worldwide as of March 2026 (76-150). Band left unknown; founder to confirm at intake.</t>
  </si>
  <si>
    <t xml:space="preserve">AO-C-109</t>
  </si>
  <si>
    <t xml:space="preserve">Green Mountain Energy</t>
  </si>
  <si>
    <t xml:space="preserve">Tuesday estimate 9 to 224 (low confidence), under 500 staff company-wide with a named parent (NRG Energy), on-site 5 days a week per its profile, occupied at a medium-confidence address; no contact found in public sources (walk-in).</t>
  </si>
  <si>
    <t xml:space="preserve">https://commercialobserver.com/2026/01/purple-lease-16-madison-square-west/</t>
  </si>
  <si>
    <t xml:space="preserve">B-C-109</t>
  </si>
  <si>
    <t xml:space="preserve">https://www.greenmountainenergy.com/</t>
  </si>
  <si>
    <t xml:space="preserve">Energy retailer (renewable electricity)</t>
  </si>
  <si>
    <t xml:space="preserve">334</t>
  </si>
  <si>
    <t xml:space="preserve">257</t>
  </si>
  <si>
    <t xml:space="preserve">https://www.builtinnyc.com/company/green-mountain-energy/offices</t>
  </si>
  <si>
    <t xml:space="preserve">https://www.reveliolabs.com/companies/green-mountain-energy/employees</t>
  </si>
  <si>
    <t xml:space="preserve">Houston</t>
  </si>
  <si>
    <t xml:space="preserve">NRG Energy</t>
  </si>
  <si>
    <t xml:space="preserve">2026-01-08</t>
  </si>
  <si>
    <t xml:space="preserve">334 (Built In) and 257 (Revelio Labs) staff (whole-company count) x 5% to 100% of them in the New York office (HQ outside New York; share assumed) x 67% (Partnership for NYC, firms under 500) in on a weekday = 9 to 224, central 45; low confidence; estimate until intake replaces it.</t>
  </si>
  <si>
    <t xml:space="preserve">CO Jan 2026 lists 'the New York City offices of Green Mountain Energy' as a current tenant. HQ Houston; Built In shows 334 total employees for Green Mountain (it is part of NRG Energy, which is much larger). NYC office size unknown. | Assembly 2026-10-24: Review round 2: a second count agrees with the band: Revelio Labs (Green Mountain Energy Co., HQ Houston): about 257 employees worldwide as of March 2026.</t>
  </si>
  <si>
    <t xml:space="preserve">AO-C-013</t>
  </si>
  <si>
    <t xml:space="preserve">Rockwell Group</t>
  </si>
  <si>
    <t xml:space="preserve">Yazmin</t>
  </si>
  <si>
    <t xml:space="preserve">Ramirez</t>
  </si>
  <si>
    <t xml:space="preserve">Director of Human Resources</t>
  </si>
  <si>
    <t xml:space="preserve">Tuesday estimate 100 to 309 (low confidence), 501 to 1,000 staff company-wide, no attendance signal, occupied at a high-confidence address; adjacent contact named (Director of Human Resources).</t>
  </si>
  <si>
    <t xml:space="preserve">https://www.rockwellgroup.com/about</t>
  </si>
  <si>
    <t xml:space="preserve">find Yazmin Ramirez at Rockwell Group on LinkedIn and paste the profile URL; adjacent title: ask who runs the pantry</t>
  </si>
  <si>
    <t xml:space="preserve">https://www.rockwellgroup.com/people</t>
  </si>
  <si>
    <t xml:space="preserve">5 Union Square West</t>
  </si>
  <si>
    <t xml:space="preserve">8</t>
  </si>
  <si>
    <t xml:space="preserve">B-C-013</t>
  </si>
  <si>
    <t xml:space="preserve">https://www.rockwellgroup.com</t>
  </si>
  <si>
    <t xml:space="preserve">architecture and design</t>
  </si>
  <si>
    <t xml:space="preserve">542</t>
  </si>
  <si>
    <t xml:space="preserve">https://www.reveliolabs.com/companies/rockwell-group/employees</t>
  </si>
  <si>
    <t xml:space="preserve">501-1000</t>
  </si>
  <si>
    <t xml:space="preserve">B-B-003</t>
  </si>
  <si>
    <t xml:space="preserve">Spingler Building (5-9 Union Square West)</t>
  </si>
  <si>
    <t xml:space="preserve">https://commercialobserver.com/2026/05/profound-lease-gfp-5-9-union-square-west/</t>
  </si>
  <si>
    <t xml:space="preserve">2026-05-18</t>
  </si>
  <si>
    <t xml:space="preserve">350 (rockwellgroup.com) and 542 (Revelio Labs) staff (whole-company count) x 50% to 100% of them in the New York office (HQ New York; share assumed) x 57% (Partnership for NYC, all Manhattan firms; no figure for 500 to 4,999) in on a weekday = 100 to 309, central 176; low confidence; estimate until intake replaces it.</t>
  </si>
  <si>
    <t xml:space="preserve">Site footer: 5 Union Square West, 8th Floor; site says '350-person firm' (offices also in LA and Madrid, so firm-wide). CO 2026-05-18 says Rockwell's firm remains elsewhere in 5-9 USW after giving up space to Profound. | Assembly 2026-10-24: Review round 2: band changed from 251-500 to unknown. Sources disagree: the company's own page shows 350 (251-500) and Revelio Labs (Rockwell Group, HQ New York City): about 542 employees worldwide as of March 2026 (over-500). Band left unknown; founder to confirm at intake.</t>
  </si>
  <si>
    <t xml:space="preserve">Yazmin Ramirez</t>
  </si>
  <si>
    <t xml:space="preserve">title_match=adjacent; Senior Staff list on Rockwell Group's People page (opened 2026-10-24); the page footer lists the New York office at 5 Union Square West, 8th Floor (HQ). City of this person not stated. HR, not office ops: ask her who runs the studio pantry.</t>
  </si>
  <si>
    <t xml:space="preserve">AO-C-033</t>
  </si>
  <si>
    <t xml:space="preserve">Baseten</t>
  </si>
  <si>
    <t xml:space="preserve">Tuesday estimate 10 to 234 (low confidence), under 500 staff company-wide, hybrid 3 days, occupied at a medium-confidence address; no contact found in public sources (walk-in).</t>
  </si>
  <si>
    <t xml:space="preserve">18</t>
  </si>
  <si>
    <t xml:space="preserve">B-C-033</t>
  </si>
  <si>
    <t xml:space="preserve">https://www.baseten.co</t>
  </si>
  <si>
    <t xml:space="preserve">AI infrastructure software</t>
  </si>
  <si>
    <t xml:space="preserve">285</t>
  </si>
  <si>
    <t xml:space="preserve">https://www.builtinnyc.com/company/baseten</t>
  </si>
  <si>
    <t xml:space="preserve">https://www.reveliolabs.com/companies/baseten-labs/employees</t>
  </si>
  <si>
    <t xml:space="preserve">https://www.builtinnyc.com/company/baseten/offices</t>
  </si>
  <si>
    <t xml:space="preserve">350 (Built In) and 285 (Revelio Labs) staff (whole-company count) x 5% to 100% of them in the New York office (HQ outside New York; share assumed) x 67% (Partnership for NYC, firms under 500) in on a weekday = 10 to 234, central 48; low confidence; estimate until intake replaces it.</t>
  </si>
  <si>
    <t xml:space="preserve">12,660 sf</t>
  </si>
  <si>
    <t xml:space="preserve">SEC prospectus: BaseTen Labs, Inc. subleases 12,660 sf of Nayya's 18th floor through 2029-12-30. Built In NYC: 350 total employees, HQ San Francisco, 2 offices; NYC share unknown. | Assembly 2026-10-24: SEC EDGAR source (sec.gov): this agent will not re-open it, because EDGAR serves only requests that carry a contact email and the project rule forbids sending one; the founder may open it in a browser. Review round 2: a second count agrees with the band: Revelio Labs (Baseten Labs, Inc., HQ San Francisco): about 285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</si>
  <si>
    <t xml:space="preserve">AO-C-055</t>
  </si>
  <si>
    <t xml:space="preserve">Stash</t>
  </si>
  <si>
    <t xml:space="preserve">Tuesday estimate 58 to 255 (low confidence), under 500 staff company-wide, hybrid (days not stated), signed-not-occupied at a medium-confidence address (hold: lease signed, move not confirmed); no contact found in public sources (walk-in).</t>
  </si>
  <si>
    <t xml:space="preserve">New or renewed lease at 641 Avenue of the Americas reported 2026-09-02</t>
  </si>
  <si>
    <t xml:space="preserve">https://commercialobserver.com/2026/09/stash-financial-lease-641-avenue-of-the-americas/</t>
  </si>
  <si>
    <t xml:space="preserve">2026-09-02</t>
  </si>
  <si>
    <t xml:space="preserve">641 Avenue of the Americas</t>
  </si>
  <si>
    <t xml:space="preserve">lease signed, move not confirmed: check the lobby directory before outreach (B); still in a coworking space until the move</t>
  </si>
  <si>
    <t xml:space="preserve">B-C-055</t>
  </si>
  <si>
    <t xml:space="preserve">https://www.stash.com</t>
  </si>
  <si>
    <t xml:space="preserve">fintech (consumer investing)</t>
  </si>
  <si>
    <t xml:space="preserve">380</t>
  </si>
  <si>
    <t xml:space="preserve">174</t>
  </si>
  <si>
    <t xml:space="preserve">https://www.builtinnyc.com/company/stash</t>
  </si>
  <si>
    <t xml:space="preserve">https://www.reveliolabs.com/companies/stash-financial/employees</t>
  </si>
  <si>
    <t xml:space="preserve">B-B-026</t>
  </si>
  <si>
    <t xml:space="preserve">635-641 Avenue of the Americas (Spear Street Capital)</t>
  </si>
  <si>
    <t xml:space="preserve">https://www.builtinnyc.com/company/stash/offices</t>
  </si>
  <si>
    <t xml:space="preserve">380 (Built In) and 174 (Revelio Labs) staff (whole-company count) x 50% to 100% of them in the New York office (HQ New York; share assumed) x 67% (Partnership for NYC, firms under 500) in on a weekday = 58 to 255, central 122; low confidence; estimate until intake replaces it.</t>
  </si>
  <si>
    <t xml:space="preserve">12,322 sf</t>
  </si>
  <si>
    <t xml:space="preserve">12,322 sf on part of the 6th floor, signed mid-Aug 2026; moving from a WeWork at 450 Park Avenue South; move date unknown. Built In shows 380 total employees and lists an older 75 Varick St address. | Assembly 2026-10-24: Review round 2: band changed from 251-500 to unknown. Sources disagree: Built In shows 380 (251-500) and Revelio Labs (Stash Financial, Inc., HQ New York City): about 174 employees worldwide as of March 2026 (151-250). Band left unknown; founder to confirm at intake. Review round 2: corner lot: the lot-centroid pin sat 28 m from W 20 ST but 42 m from AVE OF THE AMERICAS, so it was moved to the AVE OF THE AMERICAS frontage near the corner (18 m from the AVE OF THE AMERICAS centreline, 28 m from W 20 ST; 24 m from the old pin). Tax lot unchanged.</t>
  </si>
  <si>
    <t xml:space="preserve">AO-C-028</t>
  </si>
  <si>
    <t xml:space="preserve">Valon</t>
  </si>
  <si>
    <t xml:space="preserve">Marisa</t>
  </si>
  <si>
    <t xml:space="preserve">Rackson</t>
  </si>
  <si>
    <t xml:space="preserve">Head of People</t>
  </si>
  <si>
    <t xml:space="preserve">Tuesday estimate 142 to 302 (low confidence), 501 to 1,000 staff company-wide, hybrid (days not stated), occupied at a high-confidence address; adjacent contact named (Head of People).</t>
  </si>
  <si>
    <t xml:space="preserve">https://commercialobserver.com/2026/08/selldorf-architects-renews-14k-sf-860-broadway-lease-for-10-years/</t>
  </si>
  <si>
    <t xml:space="preserve">find Marisa Rackson at Valon on LinkedIn and paste the profile URL; adjacent title: ask who runs the pantry</t>
  </si>
  <si>
    <t xml:space="preserve">https://www.valon.ai/about</t>
  </si>
  <si>
    <t xml:space="preserve">860 Broadway</t>
  </si>
  <si>
    <t xml:space="preserve">B-C-028</t>
  </si>
  <si>
    <t xml:space="preserve">https://valon.ai</t>
  </si>
  <si>
    <t xml:space="preserve">fintech (mortgage servicing software)</t>
  </si>
  <si>
    <t xml:space="preserve">529</t>
  </si>
  <si>
    <t xml:space="preserve">500</t>
  </si>
  <si>
    <t xml:space="preserve">over-500</t>
  </si>
  <si>
    <t xml:space="preserve">over-500-second-source</t>
  </si>
  <si>
    <t xml:space="preserve">https://www.reveliolabs.com/companies/valon-mortgage/employees</t>
  </si>
  <si>
    <t xml:space="preserve">https://www.builtinnyc.com/company/valon</t>
  </si>
  <si>
    <t xml:space="preserve">B-B-011</t>
  </si>
  <si>
    <t xml:space="preserve">2026-08-07</t>
  </si>
  <si>
    <t xml:space="preserve">https://rebusinessonline.com/?p=388206</t>
  </si>
  <si>
    <t xml:space="preserve">2023-12-22</t>
  </si>
  <si>
    <t xml:space="preserve">Built In workplace type: Hybrid Workplace; typical time on-site: Flexible; recent job tags: 2 Hybrid, 1 Remote</t>
  </si>
  <si>
    <t xml:space="preserve">https://www.builtinnyc.com/company/valon/offices</t>
  </si>
  <si>
    <t xml:space="preserve">529 (Revelio Labs) and 500 (Built In) staff (whole-company count) x 50% to 100% of them in the New York office (HQ New York; share assumed) x 57% (Partnership for NYC, all Manhattan firms; no figure for 500 to 4,999) in on a weekday = 142 to 302, central 207; low confidence; estimate until intake replaces it.</t>
  </si>
  <si>
    <t xml:space="preserve">Ariel</t>
  </si>
  <si>
    <t xml:space="preserve">Brito</t>
  </si>
  <si>
    <t xml:space="preserve">near-miss-over-500</t>
  </si>
  <si>
    <t xml:space="preserve">just-over-500 (501 to 1,000)</t>
  </si>
  <si>
    <t xml:space="preserve">13,815 sf</t>
  </si>
  <si>
    <t xml:space="preserve">Built In NYC: 500 total employees, HQ New York, 3 offices (also Phoenix). REBusiness 2023-12-22: entire 4th floor, 13,815 sf. CO and Connect CRE 2026-08-07 list Valon as a current tenant. CO 2024-04 (Industrious article) also names Valon as an 860 Broadway tenant. | Assembly 2026-10-24: Review round 2: band moved from 251-500 to over-500, so the row moves to Near-miss. Revelio Labs (Valon Mortgage, Inc., HQ Chandler, Arizona): about 529 employees worldwide as of March 2026. Built In shows 500 total employees (stale against Revelio; it is now the second source). Its office here is one 13,815 sf floor (REBusiness 2023-12-22); Built In also lists a Phoenix office; the NYC office alone may fit the 40-250 band, founder to confirm.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</si>
  <si>
    <t xml:space="preserve">Marisa Rackson</t>
  </si>
  <si>
    <t xml:space="preserve">title_match=adjacent; Leadership list on Valon's About page (opened 2026-10-24). Valon is headquartered in New York (Built In); the page does not state her city. Senior for a ~500-person firm: ask her who owns the 860 Broadway office pantry.</t>
  </si>
  <si>
    <t xml:space="preserve">Ariel Brito</t>
  </si>
  <si>
    <t xml:space="preserve">title_match=adjacent; Same page (opened 2026-10-24); city not stated.</t>
  </si>
  <si>
    <t xml:space="preserve">AO-C-197</t>
  </si>
  <si>
    <t xml:space="preserve">Rakuten USA</t>
  </si>
  <si>
    <t xml:space="preserve">Tuesday estimate 28 to 559 (low confidence), 501 to 1,000 staff company-wide, on-site 5 days a week per its profile, occupied at a high-confidence address; no contact found in public sources (walk-in).</t>
  </si>
  <si>
    <t xml:space="preserve">B-C-197</t>
  </si>
  <si>
    <t xml:space="preserve">e-commerce and internet services</t>
  </si>
  <si>
    <t xml:space="preserve">980</t>
  </si>
  <si>
    <t xml:space="preserve">https://www.builtinnyc.com/company/rakuten-advertising</t>
  </si>
  <si>
    <t xml:space="preserve">San Mateo</t>
  </si>
  <si>
    <t xml:space="preserve">https://www.builtinnyc.com/company/rakuten-advertising/offices</t>
  </si>
  <si>
    <t xml:space="preserve">980 (Built In) staff (whole-company count) x 5% to 100% of them in the New York office (HQ outside New York; share assumed) x 57% (Partnership for NYC, all Manhattan firms; no figure for 500 to 4,999) in on a weekday = 28 to 559, central 125; low confidence; estimate until intake replaces it.</t>
  </si>
  <si>
    <t xml:space="preserve">34,510 sf</t>
  </si>
  <si>
    <t xml:space="preserve">Near-miss: over 500. SEC rent roll 2026-02-05: Rakuten USA, Inc. 34,510 sf, lease to 2027-12-31. Which Rakuten unit sits here is not stated; Built In NYC shows Rakuten Advertising with 980 total employees (HQ San Mateo). Lease expires end of 2027. Website left blank: rakuten.com is a consumer site and the operating unit at this address is not stated.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</si>
  <si>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AO-C-263</t>
  </si>
  <si>
    <t xml:space="preserve">PMG Worldwide</t>
  </si>
  <si>
    <t xml:space="preserve">Tina</t>
  </si>
  <si>
    <t xml:space="preserve">McCarthy</t>
  </si>
  <si>
    <t xml:space="preserve">New York Managing Director</t>
  </si>
  <si>
    <t xml:space="preserve">Tuesday estimate 28 to 570 (low confidence), 501 to 1,000 staff company-wide, hybrid 3 days, occupied at a high-confidence address; adjacent contact named (New York Managing Director).</t>
  </si>
  <si>
    <t xml:space="preserve">https://commercialobserver.com/2026/08/hanover-park-lease-tf-cornerstone-387-park-avenue-south/</t>
  </si>
  <si>
    <t xml:space="preserve">find Tina McCarthy at PMG Worldwide on LinkedIn and paste the profile URL; the source is dated 2022-04-29: check Tina still holds the role; adjacent title: ask who runs the pantry</t>
  </si>
  <si>
    <t xml:space="preserve">https://www.pmg.com/insights-and-news/tina-mccarthy-joins-pmg-as-new-york-managing-director</t>
  </si>
  <si>
    <t xml:space="preserve">2-3</t>
  </si>
  <si>
    <t xml:space="preserve">B-C-263</t>
  </si>
  <si>
    <t xml:space="preserve">https://www.pmg.com</t>
  </si>
  <si>
    <t xml:space="preserve">marketing agency</t>
  </si>
  <si>
    <t xml:space="preserve">1000</t>
  </si>
  <si>
    <t xml:space="preserve">https://www.builtinnyc.com/company/pmg/offices</t>
  </si>
  <si>
    <t xml:space="preserve">Dallas</t>
  </si>
  <si>
    <t xml:space="preserve">Built In workplace type: Hybrid Workplace; typical time on-site: 3 days a week; recent job tags: 3 In-Office</t>
  </si>
  <si>
    <t xml:space="preserve">1000 (Built In) staff (whole-company count) x 5% to 100% of them in the New York office (HQ outside New York; share assumed) x 57% (Partnership for NYC, all Manhattan firms; no figure for 500 to 4,999) in on a weekday = 28 to 570, central 126; low confidence; estimate until intake replaces it.</t>
  </si>
  <si>
    <t xml:space="preserve">38,744 sf</t>
  </si>
  <si>
    <t xml:space="preserve">Renewed floor 2 and expanded into floor 3, 38,744 SF total. Built In lists New York office at 387 Park Avenue South, 2nd Fl; 1,000 total employees (HQ Dallas). Over 500 company-wide: near-miss. Review round 2: corner lot: the lot-centroid pin sat 24 m from E 27 ST but 34 m from PARK AVE S, so it was moved to the PARK AVE S frontage near the corner (13 m from the PARK AVE S centreline, 26 m from E 27 ST; 21 m from the old pin). Tax lot unchanged.</t>
  </si>
  <si>
    <t xml:space="preserve">Tina McCarthy</t>
  </si>
  <si>
    <t xml:space="preserve">2022-04-29</t>
  </si>
  <si>
    <t xml:space="preserve">title_match=adjacent; PMG release dated 2022-04-29 (opened 2026-10-24) names her New York Managing Director, overseeing the regional presence. Adjacent title (office leader, not office manager), and the source is over two years old: founder to confirm she is current and ask who runs the NY office. FLAG: the same release puts PMG NY in a 19,000 sf office on Fifth Avenue, and a search snippet says PMG's careers page still describes the NYC office as on Fifth Avenue, while the row uses 387 Park Avenue South (Built In): re-check the address. No office manager found; PMG's Chief People and Culture Officer and the EA to the Founder/CEO are in Dallas and Fort Worth per theorg (opened 2026-10-24), not used.</t>
  </si>
  <si>
    <t xml:space="preserve">AO-C-216</t>
  </si>
  <si>
    <t xml:space="preserve">Reaktor</t>
  </si>
  <si>
    <t xml:space="preserve">Tuesday estimate 18 to 367 (low confidence), 501 to 1,000 staff company-wide, on-site 5 days a week per its profile, occupied at a high-confidence address; no contact found in public sources (walk-in).</t>
  </si>
  <si>
    <t xml:space="preserve">https://www.builtinnyc.com/company/reaktor/offices</t>
  </si>
  <si>
    <t xml:space="preserve">B-C-216</t>
  </si>
  <si>
    <t xml:space="preserve">https://www.reaktor.com</t>
  </si>
  <si>
    <t xml:space="preserve">software and design consultancy</t>
  </si>
  <si>
    <t xml:space="preserve">644</t>
  </si>
  <si>
    <t xml:space="preserve">https://www.builtinnyc.com/company/reaktor</t>
  </si>
  <si>
    <t xml:space="preserve">644 (Built In) staff (whole-company count) x 5% to 100% of them in the New York office (HQ city unknown; share assumed) x 57% (Partnership for NYC, all Manhattan firms; no figure for 500 to 4,999) in on a weekday = 18 to 367, central 81; low confidence; estimate until intake replaces it.</t>
  </si>
  <si>
    <t xml:space="preserve">Built In lists New York office at 30 W 21st Street, 14th floor; CO Apr 2025 names software company Reaktor as a tenant. Built In shows 644 total employees (Helsinki-based); NYC office headcount not sourced.</t>
  </si>
  <si>
    <t xml:space="preserve">AO-C-046</t>
  </si>
  <si>
    <t xml:space="preserve">Radar</t>
  </si>
  <si>
    <t xml:space="preserve">Tuesday estimate 21 to 66 (low confidence), under 500 staff company-wide, hybrid 4 days with Tuesday named as an office day, occupancy-unconfirmed at a medium-confidence address; no contact found in public sources (walk-in).</t>
  </si>
  <si>
    <t xml:space="preserve">https://commercialobserver.com/2026/04/adyen-lease-111-115-fifth-avenue/</t>
  </si>
  <si>
    <t xml:space="preserve">hybrid-4</t>
  </si>
  <si>
    <t xml:space="preserve">B-C-046</t>
  </si>
  <si>
    <t xml:space="preserve">https://radar.com</t>
  </si>
  <si>
    <t xml:space="preserve">location data software</t>
  </si>
  <si>
    <t xml:space="preserve">64</t>
  </si>
  <si>
    <t xml:space="preserve">99</t>
  </si>
  <si>
    <t xml:space="preserve">https://www.builtinnyc.com/company/radar</t>
  </si>
  <si>
    <t xml:space="preserve">https://www.reveliolabs.com/companies/radar-labs/employees</t>
  </si>
  <si>
    <t xml:space="preserve">2026-04-07</t>
  </si>
  <si>
    <t xml:space="preserve">Built In workplace type: OnSite Workplace; typical time on-site: 5 days a week (box) but policy text: Monday to Thursday in office; recent job tags: 3 In-Office</t>
  </si>
  <si>
    <t xml:space="preserve">https://www.builtinnyc.com/company/radar/offices</t>
  </si>
  <si>
    <t xml:space="preserve">64 (Built In) and 99 (Revelio Labs) staff (whole-company count) x 50% to 100% of them in the New York office (HQ New York; share assumed) x 67% (Partnership for NYC, firms under 500) in on a weekday = 21 to 66, central 37; low confidence; estimate until intake replaces it.</t>
  </si>
  <si>
    <t xml:space="preserve">111 Fifth Ave is between E 18th and E 19th, so margin. CO 2026-04-07 names 'geolocation platform Radar Labs' as a corporate tenant of 111 Fifth. Built In NYC 'Radar' (HQ New York, founded 2016): 64 total employees. | Assembly 2026-10-24: Review round 2: band changed from 40-75 to unknown. Sources disagree: Built In shows 64 (40-75) and Revelio Labs (Radar Labs, Inc., HQ New York City): about 99 employees worldwide as of March 2026 (76-150). Band left unknown; founder to confirm at intake. Review round 2: corner lot: the lot-centroid pin sat 24 m from E 18 ST but 45 m from 5 AVE, so it was moved to the 5 AVE frontage near the corner (17 m from the 5 AVE centreline, 27 m from E 18 ST; 29 m from the old pin). Tax lot unchanged.</t>
  </si>
  <si>
    <t xml:space="preserve">AO-C-079</t>
  </si>
  <si>
    <t xml:space="preserve">PlayPlay</t>
  </si>
  <si>
    <t xml:space="preserve">Tuesday estimate 6 to 154 (low confidence), under 500 staff company-wide, hybrid 3 days, occupied at a medium-confidence address; no contact found in public sources (walk-in).</t>
  </si>
  <si>
    <t xml:space="preserve">https://commercialobserver.com/2025/05/instant-lease-moinian-53-55-west-21st-street/</t>
  </si>
  <si>
    <t xml:space="preserve">53 West 21st Street</t>
  </si>
  <si>
    <t xml:space="preserve">B-C-079</t>
  </si>
  <si>
    <t xml:space="preserve">https://playplay.com</t>
  </si>
  <si>
    <t xml:space="preserve">software (video creation)</t>
  </si>
  <si>
    <t xml:space="preserve">230</t>
  </si>
  <si>
    <t xml:space="preserve">181</t>
  </si>
  <si>
    <t xml:space="preserve">https://www.builtinnyc.com/company/playplay</t>
  </si>
  <si>
    <t xml:space="preserve">https://www.reveliolabs.com/companies/playplay/employees</t>
  </si>
  <si>
    <t xml:space="preserve">Paris</t>
  </si>
  <si>
    <t xml:space="preserve">B-B-036</t>
  </si>
  <si>
    <t xml:space="preserve">53-55 West 21st Street (Moinian Group)</t>
  </si>
  <si>
    <t xml:space="preserve">2025-05-14</t>
  </si>
  <si>
    <t xml:space="preserve">Built In workplace type: OnSite Workplace; typical time on-site: 5 days a week (box) but policy text: 3 days in the office</t>
  </si>
  <si>
    <t xml:space="preserve">https://www.builtinnyc.com/company/playplay/offices</t>
  </si>
  <si>
    <t xml:space="preserve">230 (Built In) and 181 (Revelio Labs) staff (whole-company count) x 5% to 100% of them in the New York office (HQ outside New York; share assumed) x 67% (Partnership for NYC, firms under 500) in on a weekday = 6 to 154, central 30; low confidence; estimate until intake replaces it.</t>
  </si>
  <si>
    <t xml:space="preserve">CO names 'French tech firm PlayPlay' as a tenant of 53-55 W 21st St. Built In shows 230 total employees (Paris-based; NYC team size unknown); Built In office entry shows only a Delaware registered address. | Assembly 2026-10-24: Review round 2: a second count agrees with the band: Revelio Labs (PlayPlay SASU, HQ Paris): about 181 employees worldwide as of March 2026.</t>
  </si>
  <si>
    <t xml:space="preserve">AO-C-213</t>
  </si>
  <si>
    <t xml:space="preserve">Fenwick &amp; West</t>
  </si>
  <si>
    <t xml:space="preserve">Tuesday estimate 34 to 670 (low confidence), 1,001 to 4,999 staff company-wide, on-site 5 days a week per its profile, occupied at a high-confidence address; no contact found in public sources (walk-in).</t>
  </si>
  <si>
    <t xml:space="preserve">New or renewed lease at 902 Broadway reported 2026-06-16</t>
  </si>
  <si>
    <t xml:space="preserve">https://commercialobserver.com/2026/06/fenwick-west-lease-expansion-rosen-902-broadway/</t>
  </si>
  <si>
    <t xml:space="preserve">2026-06-16</t>
  </si>
  <si>
    <t xml:space="preserve">902 Broadway</t>
  </si>
  <si>
    <t xml:space="preserve">13-15, 18</t>
  </si>
  <si>
    <t xml:space="preserve">B-C-213</t>
  </si>
  <si>
    <t xml:space="preserve">https://www.fenwick.com</t>
  </si>
  <si>
    <t xml:space="preserve">law firm</t>
  </si>
  <si>
    <t xml:space="preserve">1176</t>
  </si>
  <si>
    <t xml:space="preserve">https://www.builtinnyc.com/company/fenwick-west</t>
  </si>
  <si>
    <t xml:space="preserve">1001-4999</t>
  </si>
  <si>
    <t xml:space="preserve">Mountain View</t>
  </si>
  <si>
    <t xml:space="preserve">B-B-031</t>
  </si>
  <si>
    <t xml:space="preserve">902 Broadway (Rosen family / Koeppel Rosen)</t>
  </si>
  <si>
    <t xml:space="preserve">https://www.builtinnyc.com/company/fenwick-west/offices</t>
  </si>
  <si>
    <t xml:space="preserve">https://www.metro-manhattan.com/buildings/902-broadway/</t>
  </si>
  <si>
    <t xml:space="preserve">1176 (Built In) staff (whole-company count) x 5% to 100% of them in the New York office (HQ outside New York; share assumed) x 57% (Partnership for NYC, all Manhattan firms; no figure for 500 to 4,999) in on a weekday = 34 to 670, central 151; low confidence; estimate until intake replaces it.</t>
  </si>
  <si>
    <t xml:space="preserve">over-1,000 (1,001 to 4,999)</t>
  </si>
  <si>
    <t xml:space="preserve">72,800 sf</t>
  </si>
  <si>
    <t xml:space="preserve">June 2026 renewal adds the full 13th floor to floors 14, 15 and 18, about 72,800 sf on four floors (re-verified 2026-10-24). Built In lists New York office at 902 Broadway, 18th Floor, and 1,176 total employees. Over 500. Review round 2: corner lot: the lot-centroid pin sat 27 m from E 20 ST but 31 m from BROADWAY, so it was moved to the BROADWAY frontage near the corner (15 m from the BROADWAY centreline, 27 m from E 20 ST; 16 m from the old pin). Tax lot unchanged.</t>
  </si>
  <si>
    <t xml:space="preserve">AO-C-153</t>
  </si>
  <si>
    <t xml:space="preserve">Seedtag</t>
  </si>
  <si>
    <t xml:space="preserve">Tuesday estimate 13 to 467 (low confidence), 501 to 1,000 staff company-wide, on-site 5 days a week per its profile, occupied at a medium-confidence address; no contact found in public sources (walk-in).</t>
  </si>
  <si>
    <t xml:space="preserve">https://www.seedtag.com/contact</t>
  </si>
  <si>
    <t xml:space="preserve">15 West 27th Street</t>
  </si>
  <si>
    <t xml:space="preserve">B-C-153</t>
  </si>
  <si>
    <t xml:space="preserve">https://www.seedtag.com</t>
  </si>
  <si>
    <t xml:space="preserve">adtech (contextual advertising)</t>
  </si>
  <si>
    <t xml:space="preserve">819</t>
  </si>
  <si>
    <t xml:space="preserve">446</t>
  </si>
  <si>
    <t xml:space="preserve">https://www.reveliolabs.com/companies/seedtag-advertising/employees</t>
  </si>
  <si>
    <t xml:space="preserve">https://www.builtinnyc.com/company/seedtag/offices</t>
  </si>
  <si>
    <t xml:space="preserve">Madrid</t>
  </si>
  <si>
    <t xml:space="preserve">B-B-070</t>
  </si>
  <si>
    <t xml:space="preserve">15 West 27th Street (Kaufman Organization)</t>
  </si>
  <si>
    <t xml:space="preserve">https://commercialobserver.com/2023/03/kaufman-organization-seedtag-advertising-15-west-27th-street/</t>
  </si>
  <si>
    <t xml:space="preserve">2023-03-28</t>
  </si>
  <si>
    <t xml:space="preserve">819 (Revelio Labs) and 446 (Built In) staff (whole-company count) x 5% to 100% of them in the New York office (HQ outside New York; share assumed) x 57% (Partnership for NYC, all Manhattan firms; no figure for 500 to 4,999) in on a weekday = 13 to 467, central 78; low confidence; estimate until intake replaces it.</t>
  </si>
  <si>
    <t xml:space="preserve">5,909 sf</t>
  </si>
  <si>
    <t xml:space="preserve">Contact page lists US HQ, New York at 15 West 27th Street, 3rd Floor. CO 2023: three-year 5,909 SF lease on the full 3rd floor (first US office), so the lease may have been renewed or be near its end. Built In (446 employees, HQ Madrid) lists only Chicago and Sterling Heights MI, so Built In is stale here. | Assembly 2026-10-24: Review round 3: lowered from high to medium. The independent source (CO 2023-03-28) reports a three-year lease, so its stated term ended about 2026-03 and it cannot confirm the office today; the company's own contact page is the one current source. Review round 2: band moved from 251-500 to over-500, so the row moves to Near-miss. Revelio Labs (Seedtag Advertising SL, HQ Madrid): about 819 employees worldwide as of March 2026. Built In shows 446 total employees (stale against Revelio; it is now the second source). Its NYC office is its first US office, 5,909 sf on one floor (CO 2023) against an HQ in Madrid; the NYC office alone may fit the 40-250 band, founder to confirm.</t>
  </si>
  <si>
    <t xml:space="preserve">AO-C-253</t>
  </si>
  <si>
    <t xml:space="preserve">Optiver</t>
  </si>
  <si>
    <t xml:space="preserve">Tuesday estimate 46 to 912 (low confidence), 1,001 to 4,999 staff company-wide, on-site 5 days a week per its profile, occupied at a high-confidence address; no contact found in public sources (walk-in).</t>
  </si>
  <si>
    <t xml:space="preserve">https://commercialobserver.com/2025/05/optiver-lease-360-park-avenue-south/</t>
  </si>
  <si>
    <t xml:space="preserve">360 Park Avenue South</t>
  </si>
  <si>
    <t xml:space="preserve">12 (Suite 1200)</t>
  </si>
  <si>
    <t xml:space="preserve">B-C-253</t>
  </si>
  <si>
    <t xml:space="preserve">https://optiver.com</t>
  </si>
  <si>
    <t xml:space="preserve">proprietary trading</t>
  </si>
  <si>
    <t xml:space="preserve">1600</t>
  </si>
  <si>
    <t xml:space="preserve">https://www.builtinnyc.com/company/optiver/offices</t>
  </si>
  <si>
    <t xml:space="preserve">B-B-059</t>
  </si>
  <si>
    <t xml:space="preserve">360 Park Avenue South (BXP)</t>
  </si>
  <si>
    <t xml:space="preserve">2025-05-20</t>
  </si>
  <si>
    <t xml:space="preserve">1600 (Built In) staff (whole-company count) x 5% to 100% of them in the New York office (HQ city unknown; share assumed) x 57% (Partnership for NYC, all Manhattan firms; no figure for 500 to 4,999) in on a weekday = 46 to 912, central 205; low confidence; estimate until intake replaces it.</t>
  </si>
  <si>
    <t xml:space="preserve">23,038 sf</t>
  </si>
  <si>
    <t xml:space="preserve">First NYC office: 23,038 SF prebuilt full 12th floor. Built In lists New York office at 360 Park Avenue South Suite 1200; 1,600 total employees. Over 500: near-miss. Review round 2: corner lot: the lot-centroid pin sat 22 m from E 26 ST but 36 m from PARK AVE S, so it was moved to the PARK AVE S frontage near the corner (13 m from the PARK AVE S centreline, 27 m from E 26 ST; 23 m from the old pin). Tax lot unchanged.</t>
  </si>
  <si>
    <t xml:space="preserve">AO-C-017</t>
  </si>
  <si>
    <t xml:space="preserve">Biohub (Chan Zuckerberg Biohub)</t>
  </si>
  <si>
    <t xml:space="preserve">Tuesday estimate 15 to 314 (low confidence), under 500 staff company-wide with a named parent (Chan Zuckerberg Initiative), on-site 5 days a week per its profile, signed-not-occupied at a medium-confidence address (hold: lease signed, move not confirmed); contacts not researched yet (below the top 50).</t>
  </si>
  <si>
    <t xml:space="preserve">New or renewed lease at 100 Fifth Avenue reported 2026-08-26</t>
  </si>
  <si>
    <t xml:space="preserve">https://commercialobserver.com/2026/08/biohub-fundraise-up-leases-100-104-fifth-avenue/</t>
  </si>
  <si>
    <t xml:space="preserve">2026-08-26</t>
  </si>
  <si>
    <t xml:space="preserve">100 Fifth Avenue</t>
  </si>
  <si>
    <t xml:space="preserve">B-C-017</t>
  </si>
  <si>
    <t xml:space="preserve">https://biohub.org</t>
  </si>
  <si>
    <t xml:space="preserve">nonprofit biomedical research</t>
  </si>
  <si>
    <t xml:space="preserve">468</t>
  </si>
  <si>
    <t xml:space="preserve">436</t>
  </si>
  <si>
    <t xml:space="preserve">https://www.builtinnyc.com/company/biohub</t>
  </si>
  <si>
    <t xml:space="preserve">https://www.reveliolabs.com/companies/biohub/employees</t>
  </si>
  <si>
    <t xml:space="preserve">Chan Zuckerberg Initiative</t>
  </si>
  <si>
    <t xml:space="preserve">B-B-006</t>
  </si>
  <si>
    <t xml:space="preserve">100-104 Fifth Avenue</t>
  </si>
  <si>
    <t xml:space="preserve">Built In workplace type: OnSite Workplace; typical time on-site: 5 days a week; recent job tags: 1 Hybrid, 2 In-Office</t>
  </si>
  <si>
    <t xml:space="preserve">https://www.builtinnyc.com/company/biohub/offices</t>
  </si>
  <si>
    <t xml:space="preserve">468 (Built In) and 436 (Revelio Labs) staff (whole-company count) x 5% to 100% of them in the New York office (HQ outside New York; share assumed) x 67% (Partnership for NYC, firms under 500) in on a weekday = 15 to 314, central 69; low confidence; estimate until intake replaces it.</t>
  </si>
  <si>
    <t xml:space="preserve">10,666 sf</t>
  </si>
  <si>
    <t xml:space="preserve">CO 2026-08-26: 10,666 sf, entire 9th floor of 100-104 Fifth Ave (SW corner Fifth and W 15th); move-in timing not stated. Built In NYC 'Biohub' profile: 468 total employees, HQ San Francisco; a second profile 'Chan Zuckerberg Biohub' shows 180. NYC team size unknown. | Assembly 2026-10-24: Review round 2: a second count agrees with the band: Revelio Labs (Chan Zuckerberg Biohub, HQ San Francisco): about 436 employees worldwide as of March 2026. Review round 2: corner lot: the lot-centroid pin sat 24 m from W 15 ST but 36 m from 5 AVE, so it was moved to the 5 AVE frontage near the corner (17 m from the 5 AVE centreline, 26 m from W 15 ST; 20 m from the old pin). Tax lot unchanged.</t>
  </si>
  <si>
    <t xml:space="preserve">AO-C-124</t>
  </si>
  <si>
    <t xml:space="preserve">At-Bay</t>
  </si>
  <si>
    <t xml:space="preserve">Tuesday estimate 8 to 224 (low confidence), under 500 staff company-wide, hybrid 2 days or fewer, occupied at a medium-confidence address; contacts not researched yet (below the top 50).</t>
  </si>
  <si>
    <t xml:space="preserve">https://www.at-bay.com/about/</t>
  </si>
  <si>
    <t xml:space="preserve">220 Fifth Avenue</t>
  </si>
  <si>
    <t xml:space="preserve">B-C-124</t>
  </si>
  <si>
    <t xml:space="preserve">https://www.at-bay.com/</t>
  </si>
  <si>
    <t xml:space="preserve">Cyber insurance / insurtech</t>
  </si>
  <si>
    <t xml:space="preserve">https://www.builtinnyc.com/company/at-bay/offices</t>
  </si>
  <si>
    <t xml:space="preserve">https://www.reveliolabs.com/companies/at-bay/employees</t>
  </si>
  <si>
    <t xml:space="preserve">B-B-060</t>
  </si>
  <si>
    <t xml:space="preserve">Built In workplace type: Hybrid Workplace; typical time on-site: 2 days a week; recent job tags: 2 Remote, 1 Hybrid</t>
  </si>
  <si>
    <t xml:space="preserve">230 (Built In) and 335 (Revelio Labs) staff (whole-company count) x 5% to 100% of them in the New York office (HQ outside New York; share assumed) x 67% (Partnership for NYC, firms under 500) in on a weekday = 8 to 224, central 42; low confidence; estimate until intake replaces it.</t>
  </si>
  <si>
    <t xml:space="preserve">Company About page (live) gives '220 5th Ave, 8th Floor New York, NY 10001' (Fifth Ave at 26th St, the block just north of the slice). Built In still lists the NY office at 19 West 24th Street (CO Mar 2022 lease there) and 230 total employees; HQ Mountain View. One current source, so medium. | Assembly 2026-10-24: Review round 2: band changed from 151-250 to unknown. Sources disagree: Built In shows 230 (151-250) and Revelio Labs (At-Bay, Inc., HQ San Francisco): about 335 employees worldwide as of March 2026 (251-500). Band left unknown; founder to confirm at intake. Review round 2: corner lot: the lot-centroid pin sat 17 m from W 26 ST but 33 m from 5 AVE, so it was moved to the 5 AVE frontage near the corner (17 m from the 5 AVE centreline, 26 m from W 26 ST; 18 m from the old pin). Tax lot unchanged. Review round 3: the pin sat 2.0 m outside its own tax lot (NYC MapPLUTO (Department of City Planning) tax-lot polygons), so it was moved to the middle of the lot's 17 m 5 AVE frontage, 3 m inside the lot line (11 m from the old pin). Tax lot unchanged.</t>
  </si>
  <si>
    <t xml:space="preserve">AO-C-267</t>
  </si>
  <si>
    <t xml:space="preserve">MiQ Digital USA</t>
  </si>
  <si>
    <t xml:space="preserve">Tuesday estimate 39 to 789 (low confidence), 1,001 to 4,999 staff company-wide, on-site 5 days a week per its profile, occupied at a medium-confidence address; contacts not researched yet (below the top 50).</t>
  </si>
  <si>
    <t xml:space="preserve">https://nyrej.com/print/57401</t>
  </si>
  <si>
    <t xml:space="preserve">261 Fifth Avenue</t>
  </si>
  <si>
    <t xml:space="preserve">25-26 now; moving to 19-21</t>
  </si>
  <si>
    <t xml:space="preserve">B-C-267</t>
  </si>
  <si>
    <t xml:space="preserve">https://www.wearemiq.com</t>
  </si>
  <si>
    <t xml:space="preserve">adtech (programmatic media)</t>
  </si>
  <si>
    <t xml:space="preserve">1385</t>
  </si>
  <si>
    <t xml:space="preserve">https://www.builtinnyc.com/company/miq-digital/offices</t>
  </si>
  <si>
    <t xml:space="preserve">B-B-077</t>
  </si>
  <si>
    <t xml:space="preserve">261 Fifth Avenue (Feil Organization)</t>
  </si>
  <si>
    <t xml:space="preserve">2026-04-14</t>
  </si>
  <si>
    <t xml:space="preserve">https://www.metro-manhattan.com/buildings/261-fifth-avenue-office-space-for-lease/</t>
  </si>
  <si>
    <t xml:space="preserve">Built In workplace type: OnSite Workplace</t>
  </si>
  <si>
    <t xml:space="preserve">1385 (Built In) staff (whole-company count) x 5% to 100% of them in the New York office (HQ city unknown; share assumed) x 57% (Partnership for NYC, all Manhattan firms; no figure for 500 to 4,999) in on a weekday = 39 to 789, central 175; low confidence; estimate until intake replaces it.</t>
  </si>
  <si>
    <t xml:space="preserve">23,400 sf;42,000 sf</t>
  </si>
  <si>
    <t xml:space="preserve">Tenant since 2018 on floors 25-26 (23,400 SF); 12-year 42,000 SF expansion lease to move to floors 19-21 in the same building. Built In: 1,385 total employees. Over 500: near-miss. Review round 2: corner lot: the lot-centroid pin sat 24 m from E 29 ST but 39 m from 5 AVE, so it was moved to the 5 AVE frontage near the corner (17 m from the 5 AVE centreline, 27 m from E 29 ST; 23 m from the old pin). Tax lot unchanged.</t>
  </si>
  <si>
    <t xml:space="preserve">AO-C-075</t>
  </si>
  <si>
    <t xml:space="preserve">Retool</t>
  </si>
  <si>
    <t xml:space="preserve">Tuesday estimate 12 to 249 (low confidence), under 500 staff company-wide, hybrid 3 days, occupancy-unconfirmed at a low-confidence address; contacts not researched yet (below the top 50).</t>
  </si>
  <si>
    <t xml:space="preserve">https://www.builtinnyc.com/company/retool/offices</t>
  </si>
  <si>
    <t xml:space="preserve">915 Broadway</t>
  </si>
  <si>
    <t xml:space="preserve">B-C-075</t>
  </si>
  <si>
    <t xml:space="preserve">https://retool.com</t>
  </si>
  <si>
    <t xml:space="preserve">software (internal tools platform)</t>
  </si>
  <si>
    <t xml:space="preserve">372</t>
  </si>
  <si>
    <t xml:space="preserve">https://www.builtinnyc.com/company/retool</t>
  </si>
  <si>
    <t xml:space="preserve">https://www.reveliolabs.com/companies/retool/employees</t>
  </si>
  <si>
    <t xml:space="preserve">B-B-034</t>
  </si>
  <si>
    <t xml:space="preserve">915 Broadway (ABS Partners)</t>
  </si>
  <si>
    <t xml:space="preserve">https://www.metro-manhattan.com/buildings/915-broadway-office-space-for-lease/</t>
  </si>
  <si>
    <t xml:space="preserve">350 (Built In) and 372 (Revelio Labs) staff (whole-company count) x 5% to 100% of them in the New York office (HQ outside New York; share assumed) x 67% (Partnership for NYC, firms under 500) in on a weekday = 12 to 249, central 55; low confidence; estimate until intake replaces it.</t>
  </si>
  <si>
    <t xml:space="preserve">Built In lists a New York office at 915 Broadway (HQ San Francisco). Built In shows 350 total employees; NYC office size not sourced.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a second count agrees with the band: Revelio Labs (Retool, Inc., HQ San Francisco): about 372 employees worldwide as of March 2026. Review round 2: corner lot: the lot-centroid pin sat 22 m from E 21 ST but 34 m from BROADWAY, so it was moved to the BROADWAY frontage near the corner (15 m from the BROADWAY centreline, 27 m from E 21 ST; 21 m from the old pin). Tax lot unchanged.</t>
  </si>
  <si>
    <t xml:space="preserve">AO-C-106</t>
  </si>
  <si>
    <t xml:space="preserve">Ellevest</t>
  </si>
  <si>
    <t xml:space="preserve">Tuesday estimate 13 to 86 (low confidence), under 500 staff company-wide, on-site 5 days a week per its profile, occupancy-unconfirmed at a low-confidence address; contacts not researched yet (below the top 50).</t>
  </si>
  <si>
    <t xml:space="preserve">https://www.builtinnyc.com/company/ellevest/offices</t>
  </si>
  <si>
    <t xml:space="preserve">Tuesday estimate band under-40: founder's call (set founder_ok_to_queue = Y to queue)</t>
  </si>
  <si>
    <t xml:space="preserve">48 West 25th Street</t>
  </si>
  <si>
    <t xml:space="preserve">B-C-106</t>
  </si>
  <si>
    <t xml:space="preserve">https://www.ellevest.com/</t>
  </si>
  <si>
    <t xml:space="preserve">Fintech / wealth management</t>
  </si>
  <si>
    <t xml:space="preserve">129</t>
  </si>
  <si>
    <t xml:space="preserve">38</t>
  </si>
  <si>
    <t xml:space="preserve">https://www.reveliolabs.com/companies/ellevest/employees</t>
  </si>
  <si>
    <t xml:space="preserve">B-B-054</t>
  </si>
  <si>
    <t xml:space="preserve">48 West 25th Street (Kaufman Organization; part of former Savanna 'Madison Square Collection')</t>
  </si>
  <si>
    <t xml:space="preserve">129 (Built In) and 38 (Revelio Labs) staff (whole-company count) x 50% to 100% of them in the New York office (HQ New York; share assumed) x 67% (Partnership for NYC, firms under 500) in on a weekday = 13 to 86, central 33; low confidence; estimate until intake replaces it.</t>
  </si>
  <si>
    <t xml:space="preserve">Built In only: HQ 48 West 25th Street; 129 total employees. Company disclosures page shows no street address; not named in the 2026 CO articles about 48 W 25th. Built In addresses are sometimes stale (see notes_S3.md), so founder to confirm. | Assembly 2026-10-24: Confidence lowered at assembly from medium to low: review round 2: the only source dated within 24 months is an undated third-party profile (Built In, Deskpass or LiquidSpace), which can only confirm a dated or own-site source. Review round 2: band changed from 76-150 to unknown. Sources disagree: Built In shows 129 (76-150) and Revelio Labs (Ellevest, Inc., HQ New York City): about 38 employees worldwide as of March 2026 (under-40). Band left unknown; founder to confirm at intake.</t>
  </si>
  <si>
    <t xml:space="preserve">AO-C-169</t>
  </si>
  <si>
    <t xml:space="preserve">Pumpkin Pet Insurance</t>
  </si>
  <si>
    <t xml:space="preserve">Tuesday estimate 59 to 117 (low confidence), under 500 staff company-wide, hybrid 2 days or fewer, occupancy-unconfirmed at a low-confidence address (hold: address conflict in B's sources); contacts not researched yet (below the top 50).</t>
  </si>
  <si>
    <t xml:space="preserve">https://www.builtinnyc.com/company/pumpkin/offices</t>
  </si>
  <si>
    <t xml:space="preserve">432 Park Avenue South</t>
  </si>
  <si>
    <t xml:space="preserve">address conflict in B's sources: check the lobby directory before outreach (B)</t>
  </si>
  <si>
    <t xml:space="preserve">B-C-169</t>
  </si>
  <si>
    <t xml:space="preserve">https://www.pumpkin.care</t>
  </si>
  <si>
    <t xml:space="preserve">insurtech (pet insurance)</t>
  </si>
  <si>
    <t xml:space="preserve">175</t>
  </si>
  <si>
    <t xml:space="preserve">B-B-079</t>
  </si>
  <si>
    <t xml:space="preserve">432 Park Avenue South (Samco Properties)</t>
  </si>
  <si>
    <t xml:space="preserve">https://commercialobserver.com/2023/01/pumpkin-pet-insurance-takes-10k-sf-at-432-park-avenue/</t>
  </si>
  <si>
    <t xml:space="preserve">2023-01-06</t>
  </si>
  <si>
    <t xml:space="preserve">Built In workplace type: Hybrid Workplace; typical time on-site: Flexible (box) but policy text: 2 to 3 days in person (lower figure used)</t>
  </si>
  <si>
    <t xml:space="preserve">175 (Built In) staff (whole-company count) x 50% to 100% of them in the New York office (HQ New York; share assumed) x 67% (Partnership for NYC, firms under 500) in on a weekday = 59 to 117, central 83; low confidence; estimate until intake replaces it.</t>
  </si>
  <si>
    <t xml:space="preserve">10,000 sf</t>
  </si>
  <si>
    <t xml:space="preserve">Built In lists New York office at 432 Park Avenue S; 175 total employees. CO 2023: 10,000 SF lease. | Assembly 2026-10-24: Review round 1: CONFLICT, lowered from high to low. Pumpkin's own homepage (opened 2026-10-24) says the agency is 'Domiciled in New York with offices at 666 3rd Avenue, Floor 23, New York, NY 10017' and gives that as its mailing address, which is outside the boundary. Against it: CO 2026-06-08 (https://commercialobserver.com/2026/06/mediaplus-group-lease-432-park-avenue-south/) lists Pumpkin among 432 Park Ave S tenants, citing its January 2023 lease, and Built In lists 432 PAS. Check the 432 PAS lobby directory on the walk before any outreach.</t>
  </si>
  <si>
    <t xml:space="preserve">AO-C-265</t>
  </si>
  <si>
    <t xml:space="preserve">Prosek Partners</t>
  </si>
  <si>
    <t xml:space="preserve">Tuesday estimate 156 to 313 (low confidence), 501 to 1,000 staff company-wide, hybrid (days not stated), occupied at a high-confidence address; contacts not researched yet (below the top 50).</t>
  </si>
  <si>
    <t xml:space="preserve">https://www.prosek.com/contact-us/</t>
  </si>
  <si>
    <t xml:space="preserve">28 East 28th Street</t>
  </si>
  <si>
    <t xml:space="preserve">B-C-265</t>
  </si>
  <si>
    <t xml:space="preserve">https://www.prosek.com</t>
  </si>
  <si>
    <t xml:space="preserve">communications and marketing agency</t>
  </si>
  <si>
    <t xml:space="preserve">549</t>
  </si>
  <si>
    <t xml:space="preserve">https://www.builtinnyc.com/company/prosek-partners/offices</t>
  </si>
  <si>
    <t xml:space="preserve">https://commercialobserver.com/2022/06/communication-firm-prosek-partners-leases-34k-sf-at-28-east-28th-street/</t>
  </si>
  <si>
    <t xml:space="preserve">2022-06-14</t>
  </si>
  <si>
    <t xml:space="preserve">Built In workplace type: Hybrid Workplace; typical time on-site: None; recent job tags: 3 Hybrid</t>
  </si>
  <si>
    <t xml:space="preserve">549 (Built In) staff (whole-company count) x 50% to 100% of them in the New York office (HQ New York; share assumed) x 57% (Partnership for NYC, all Manhattan firms; no figure for 500 to 4,999) in on a weekday = 156 to 313, central 221; low confidence; estimate until intake replaces it.</t>
  </si>
  <si>
    <t xml:space="preserve">34,000 sf</t>
  </si>
  <si>
    <t xml:space="preserve">Contact page lists New York HQ at 28 E 28th St 15th Floor. CO 2022: 13-year 34,000 SF lease, full 15th floor of the building also known as 63 Madison. Built In: 549 employees, just over 500: near-miss. Pin moved to frontage at review round 1: the lot-centroid pin failed the block-face test (39 m from E 28 ST but 39 m from E 27 ST); pin moved to frontage: the lot's position along E 28 ST kept, set 23 m from the centreline on the side CSCL gives house number 28 (16 m from the old pin). Tax lot unchanged. New pin: 23 m from E 28 ST, 56 m from E 27 ST.</t>
  </si>
  <si>
    <t xml:space="preserve">AO-C-215</t>
  </si>
  <si>
    <t xml:space="preserve">AngelList</t>
  </si>
  <si>
    <t xml:space="preserve">Tuesday estimate 15 to 295 (low confidence), 501 to 1,000 staff company-wide, on-site 5 days a week per its profile, occupancy-unconfirmed at a medium-confidence address; contacts not researched yet (below the top 50).</t>
  </si>
  <si>
    <t xml:space="preserve">https://commercialobserver.com/2025/09/angellist-lease-257-park-avenue-south/</t>
  </si>
  <si>
    <t xml:space="preserve">257 Park Avenue South</t>
  </si>
  <si>
    <t xml:space="preserve">B-C-215</t>
  </si>
  <si>
    <t xml:space="preserve">https://www.angellist.com</t>
  </si>
  <si>
    <t xml:space="preserve">fintech (venture fund infrastructure)</t>
  </si>
  <si>
    <t xml:space="preserve">518</t>
  </si>
  <si>
    <t xml:space="preserve">https://www.builtinnyc.com/company/angellist</t>
  </si>
  <si>
    <t xml:space="preserve">B-B-032</t>
  </si>
  <si>
    <t xml:space="preserve">Gramercy Park Building (Feil Organization)</t>
  </si>
  <si>
    <t xml:space="preserve">2025-09-12</t>
  </si>
  <si>
    <t xml:space="preserve">https://www.builtinnyc.com/company/angellist/offices</t>
  </si>
  <si>
    <t xml:space="preserve">518 (Built In) staff (whole-company count) x 5% to 100% of them in the New York office (HQ outside New York; share assumed) x 57% (Partnership for NYC, all Manhattan firms; no figure for 500 to 4,999) in on a weekday = 15 to 295, central 67; low confidence; estimate until intake replaces it.</t>
  </si>
  <si>
    <t xml:space="preserve">12,900 sf</t>
  </si>
  <si>
    <t xml:space="preserve">Seven-year lease of the full 18th floor (12,900 sf). Built In shows 518 total employees (just over 500), HQ San Francisco, NYC office listed without a street. Near-miss on size.</t>
  </si>
  <si>
    <t xml:space="preserve">AO-C-003</t>
  </si>
  <si>
    <t xml:space="preserve">First Look Media</t>
  </si>
  <si>
    <t xml:space="preserve">Tuesday estimate 11 to 86 (low confidence), under 500 staff company-wide, on-site 5 days a week per its profile, occupancy-unconfirmed at a low-confidence address; contacts not researched yet (below the top 50).</t>
  </si>
  <si>
    <t xml:space="preserve">https://rebusinessonline.com/first-look-media-signs-7896-sf-office-lease-at-853-broadway-in-manhattan/</t>
  </si>
  <si>
    <t xml:space="preserve">B-C-003</t>
  </si>
  <si>
    <t xml:space="preserve">nonprofit media (streaming and production)</t>
  </si>
  <si>
    <t xml:space="preserve">32</t>
  </si>
  <si>
    <t xml:space="preserve">https://www.builtinnyc.com/company/first-look-media</t>
  </si>
  <si>
    <t xml:space="preserve">https://www.reveliolabs.com/companies/first-look-media/employees</t>
  </si>
  <si>
    <t xml:space="preserve">2023-06-07</t>
  </si>
  <si>
    <t xml:space="preserve">https://www.builtinnyc.com/company/first-look-media/offices</t>
  </si>
  <si>
    <t xml:space="preserve">129 (Built In) and 32 (Revelio Labs) staff (whole-company count) x 50% to 100% of them in the New York office (HQ New York; share assumed) x 67% (Partnership for NYC, firms under 500) in on a weekday = 11 to 86, central 31; low confidence; estimate until intake replaces it.</t>
  </si>
  <si>
    <t xml:space="preserve">7,896 sf</t>
  </si>
  <si>
    <t xml:space="preserve">REBusiness 2023-06-07: five-year 7,896 sf lease, entire 10th floor. Not in the 2026 CO list of 841-853 tenants; source older than 24 months, so low until confirmed. Built In NYC: 129 total employees (profile may be stale). | Assembly 2026-10-24: Review round 2: band changed from 76-150 to unknown. Sources disagree: Built In shows 129 (76-150) and Revelio Labs (First Look Media, Inc., HQ Los Angeles): about 32 employees worldwide as of March 2026 (under-40). Band left unknown; founder to confirm at intake.</t>
  </si>
  <si>
    <t xml:space="preserve">AO-C-172</t>
  </si>
  <si>
    <t xml:space="preserve">Agentio</t>
  </si>
  <si>
    <t xml:space="preserve">Tuesday estimate 22 to 48 (low confidence), under 500 staff company-wide, on-site 5 days a week per its profile, occupancy-unconfirmed at a medium-confidence address (hold: still in a coworking space until the move); contacts not researched yet (below the top 50).</t>
  </si>
  <si>
    <t xml:space="preserve">New or renewed lease at 295 Fifth Avenue reported 2026-03-31</t>
  </si>
  <si>
    <t xml:space="preserve">https://commercialobserver.com/2026/03/agentio-lease-295-fifth-avenue/</t>
  </si>
  <si>
    <t xml:space="preserve">2026-03-31</t>
  </si>
  <si>
    <t xml:space="preserve">295 Fifth Avenue</t>
  </si>
  <si>
    <t xml:space="preserve">11 (part)</t>
  </si>
  <si>
    <t xml:space="preserve">still in a coworking space until the move</t>
  </si>
  <si>
    <t xml:space="preserve">B-C-172</t>
  </si>
  <si>
    <t xml:space="preserve">adtech (AI creator advertising)</t>
  </si>
  <si>
    <t xml:space="preserve">71</t>
  </si>
  <si>
    <t xml:space="preserve">https://www.builtinnyc.com/company/agentio/offices</t>
  </si>
  <si>
    <t xml:space="preserve">https://www.reveliolabs.com/companies/agentio/employees</t>
  </si>
  <si>
    <t xml:space="preserve">B-B-082</t>
  </si>
  <si>
    <t xml:space="preserve">Textile Building, 295 Fifth Avenue (Tribeca Investment Group, PGIM Real Estate, Meadow Partners)</t>
  </si>
  <si>
    <t xml:space="preserve">65 (Built In) and 71 (Revelio Labs) staff (whole-company count) x 50% to 100% of them in the New York office (HQ New York; share assumed) x 67% (Partnership for NYC, firms under 500) in on a weekday = 22 to 48, central 32; low confidence; estimate until intake replaces it.</t>
  </si>
  <si>
    <t xml:space="preserve">20,000 sf</t>
  </si>
  <si>
    <t xml:space="preserve">20,000 SF on part of floor 11, moving from a coworking space at 25 Kent Ave, Brooklyn. Built In: 65 total employees, HQ New York, office described as 'in the heart of NoMad ... close to Madison Square Park' (no street, so not a full confirmation). Margin row (30th-31st St). | Assembly 2026-10-24: Review round 2: a second count agrees with the band: Revelio Labs (Agentio Inc., HQ Brooklyn): about 71 employees worldwide as of March 2026. Review round 2: corner lot: the lot-centroid pin sat 36 m from E 31 ST but 45 m from 5 AVE, so it was moved to the 5 AVE frontage near the corner (17 m from the 5 AVE centreline, 36 m from E 31 ST; 29 m from the old pin). Tax lot unchanged.</t>
  </si>
  <si>
    <t xml:space="preserve">AO-C-240</t>
  </si>
  <si>
    <t xml:space="preserve">PitchBook</t>
  </si>
  <si>
    <t xml:space="preserve">Tuesday estimate 63 to 1256 (low confidence), 1,001 to 4,999 staff company-wide, on-site 5 days a week per its profile, occupied at a high-confidence address; contacts not researched yet (below the top 50).</t>
  </si>
  <si>
    <t xml:space="preserve">https://commercialobserver.com/2026/02/bluefish-lease-315-park-avenue-south/</t>
  </si>
  <si>
    <t xml:space="preserve">Tuesday estimate band 251-500: founder's call (set founder_ok_to_queue = Y to queue)</t>
  </si>
  <si>
    <t xml:space="preserve">315 Park Avenue South</t>
  </si>
  <si>
    <t xml:space="preserve">B-C-240</t>
  </si>
  <si>
    <t xml:space="preserve">https://pitchbook.com/</t>
  </si>
  <si>
    <t xml:space="preserve">Financial data / software</t>
  </si>
  <si>
    <t xml:space="preserve">2203</t>
  </si>
  <si>
    <t xml:space="preserve">https://www.builtinnyc.com/company/pitchbook/offices</t>
  </si>
  <si>
    <t xml:space="preserve">Seattle</t>
  </si>
  <si>
    <t xml:space="preserve">2203 (Built In) staff (whole-company count) x 5% to 100% of them in the New York office (HQ outside New York; share assumed) x 57% (Partnership for NYC, all Manhattan firms; no figure for 500 to 4,999) in on a weekday = 63 to 1256, central 281; low confidence; estimate until intake replaces it.</t>
  </si>
  <si>
    <t xml:space="preserve">CO Feb 2026 names PitchBook as an office tenant at 315 PAS. Built In lists New York office at 315 Park Avenue South; 2,203 total employees; HQ Seattle. Near-miss (over-500). Review round 2: corner lot: the lot-centroid pin sat 21 m from E 24 ST but 31 m from PARK AVE S, so it was moved to the PARK AVE S frontage near the corner (13 m from the PARK AVE S centreline, 27 m from E 24 ST; 19 m from the old pin). Tax lot unchanged.</t>
  </si>
  <si>
    <t xml:space="preserve">AO-C-228</t>
  </si>
  <si>
    <t xml:space="preserve">TileBar</t>
  </si>
  <si>
    <t xml:space="preserve">Tuesday estimate 16 to 328 (low confidence), 501 to 1,000 staff company-wide, hybrid (days not stated), occupied at a high-confidence address; contacts not researched yet (below the top 50).</t>
  </si>
  <si>
    <t xml:space="preserve">https://rebusinessonline.com/tilebar-signs-34000-sf-office-lease-in-manhattans-flatiron-district/</t>
  </si>
  <si>
    <t xml:space="preserve">3 and 4</t>
  </si>
  <si>
    <t xml:space="preserve">B-C-228</t>
  </si>
  <si>
    <t xml:space="preserve">https://www.tilebar.com/</t>
  </si>
  <si>
    <t xml:space="preserve">Consumer brand (tile and surfaces) / showroom</t>
  </si>
  <si>
    <t xml:space="preserve">575</t>
  </si>
  <si>
    <t xml:space="preserve">https://www.builtinnyc.com/company/tilebar/offices</t>
  </si>
  <si>
    <t xml:space="preserve">Inwood</t>
  </si>
  <si>
    <t xml:space="preserve">2025-04-18</t>
  </si>
  <si>
    <t xml:space="preserve">https://commercialobserver.com/2025/10/huge-lease-adams-53-west-23rd-street/</t>
  </si>
  <si>
    <t xml:space="preserve">2025-10-02</t>
  </si>
  <si>
    <t xml:space="preserve">Built In workplace type: Hybrid Workplace; typical time on-site: None</t>
  </si>
  <si>
    <t xml:space="preserve">575 (Built In) staff (whole-company count) x 5% to 100% of them in the New York office (HQ outside New York; share assumed) x 57% (Partnership for NYC, all Manhattan firms; no figure for 500 to 4,999) in on a weekday = 16 to 328, central 72; low confidence; estimate until intake replaces it.</t>
  </si>
  <si>
    <t xml:space="preserve">REBusiness Apr 2025: 34,000 sf office lease, entire 3rd and 4th floors. CO Oct 2025 names TileBar as a current tenant. Built In: 575 total employees, HQ Inwood NY (NYC office still shown as 45 W 21st St). Near-miss (over-500).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</si>
  <si>
    <t xml:space="preserve">AO-C-103</t>
  </si>
  <si>
    <t xml:space="preserve">Clay</t>
  </si>
  <si>
    <t xml:space="preserve">Tuesday estimate 27 to 405 (low confidence), 501 to 1,000 staff company-wide, on-site 5 days a week per its profile, signed-not-occupied at a medium-confidence address (hold: lease signed, move not confirmed); contacts not researched yet (below the top 50).</t>
  </si>
  <si>
    <t xml:space="preserve">New or renewed lease at 11 Madison Avenue reported 2026-03-09</t>
  </si>
  <si>
    <t xml:space="preserve">https://commercialobserver.com/2026/03/clay-ai-lease-sl-green-11-madison-avenue/</t>
  </si>
  <si>
    <t xml:space="preserve">11 Madison Avenue</t>
  </si>
  <si>
    <t xml:space="preserve">14, 16 and part of 15</t>
  </si>
  <si>
    <t xml:space="preserve">B-C-103</t>
  </si>
  <si>
    <t xml:space="preserve">https://www.clay.com/</t>
  </si>
  <si>
    <t xml:space="preserve">Software (AI sales / go-to-market)</t>
  </si>
  <si>
    <t xml:space="preserve">710</t>
  </si>
  <si>
    <t xml:space="preserve">93</t>
  </si>
  <si>
    <t xml:space="preserve">https://www.reveliolabs.com/companies/clay-labs/employees</t>
  </si>
  <si>
    <t xml:space="preserve">https://www.builtinnyc.com/company/clay/offices</t>
  </si>
  <si>
    <t xml:space="preserve">B-B-052</t>
  </si>
  <si>
    <t xml:space="preserve">11 Madison Avenue (SL Green); Sony Music uses 25 Madison Ave entrance</t>
  </si>
  <si>
    <t xml:space="preserve">https://www.metro-manhattan.com/neighborhoods/midtown-south/flatiron/</t>
  </si>
  <si>
    <t xml:space="preserve">2026-06</t>
  </si>
  <si>
    <t xml:space="preserve">loading dock</t>
  </si>
  <si>
    <t xml:space="preserve">https://en.wikipedia.org/wiki/11_Madison_Avenue</t>
  </si>
  <si>
    <t xml:space="preserve">710 (Revelio Labs) and 93 (Built In) staff (whole-company count) x 50% to 100% of them in the New York office (HQ New York; share assumed) x 57% (Partnership for NYC, all Manhattan firms; no figure for 500 to 4,999) in on a weekday = 27 to 405, central 105; low confidence; estimate until intake replaces it.</t>
  </si>
  <si>
    <t xml:space="preserve">163,095 sf;202,875 sf</t>
  </si>
  <si>
    <t xml:space="preserve">CO Mar 2026: 10-yr, 163,095 sf lease (14th, 16th and part of 15th floors); relocating from 111 W 19th St (Built In still lists 111 W 19 St). CO Apr 2026 (Colliers Q1 data) puts 'Clay Labs' deal at 202,875 sf, so the footprint may have grown. Move-in date unknown; founder to confirm which office staff use now. Built In shows 93 total employees (profile date unknown; CO quotes the CEO saying the team is growing fast, so the count may be stale). Metro Manhattan broker page (Jun 2026) repeats the CO report. | Assembly 2026-10-24: Review round 2: band moved from 76-150 to over-500, so the row moves to Near-miss. Revelio Labs (Clay Labs, Inc., HQ New York City): about 710 employees worldwide as of March 2026. Built In shows 93 total employees (stale against Revelio; it is now the second source).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</si>
  <si>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AO-C-032</t>
  </si>
  <si>
    <t xml:space="preserve">Roboflow</t>
  </si>
  <si>
    <t xml:space="preserve">Tuesday estimate 1 to 88 (low confidence), under 500 staff company-wide, on-site 5 days a week per its profile, occupancy-unconfirmed at a medium-confidence address; contacts not researched yet (below the top 50).</t>
  </si>
  <si>
    <t xml:space="preserve">https://www.mannpublications.com/mannreport/2025/08/25/moinian-signs-33000sf-across-flatiron-portfolio/</t>
  </si>
  <si>
    <t xml:space="preserve">10 West 18th Street</t>
  </si>
  <si>
    <t xml:space="preserve">B-C-032</t>
  </si>
  <si>
    <t xml:space="preserve">https://roboflow.com</t>
  </si>
  <si>
    <t xml:space="preserve">computer vision software</t>
  </si>
  <si>
    <t xml:space="preserve">44</t>
  </si>
  <si>
    <t xml:space="preserve">132</t>
  </si>
  <si>
    <t xml:space="preserve">https://www.builtinnyc.com/company/roboflow</t>
  </si>
  <si>
    <t xml:space="preserve">https://www.reveliolabs.com/companies/roboflow/employees</t>
  </si>
  <si>
    <t xml:space="preserve">B-B-015</t>
  </si>
  <si>
    <t xml:space="preserve">2025-08-25</t>
  </si>
  <si>
    <t xml:space="preserve">https://www.builtinnyc.com/company/roboflow/offices</t>
  </si>
  <si>
    <t xml:space="preserve">may be under 30;central estimate under 30</t>
  </si>
  <si>
    <t xml:space="preserve">44 (Built In) and 132 (Revelio Labs) staff (whole-company count) x 5% to 100% of them in the New York office (HQ outside New York; share assumed) x 67% (Partnership for NYC, firms under 500) in on a weekday = 1 to 88, central 9; low confidence; estimate until intake replaces it.</t>
  </si>
  <si>
    <t xml:space="preserve">Mann Report 2025-08-25: new Moinian lease at 10 West 18th St (size not stated). Built In NYC: 44 total employees, HQ San Francisco plus New York office; the whole company is 44 across two offices, so the NYC office is under 44 by arithmetic; its own count is not sourced. | Assembly 2026-10-24: Review round 2: band changed from 40-75 to unknown. Sources disagree: Built In shows 44 (40-75) and Revelio Labs (Roboflow, Inc., HQ Des Moines): about 132 employees worldwide as of March 2026 (76-150). Band left unknown; founder to confirm at intake.</t>
  </si>
  <si>
    <t xml:space="preserve">AO-C-260</t>
  </si>
  <si>
    <t xml:space="preserve">Grimshaw (New York studio)</t>
  </si>
  <si>
    <t xml:space="preserve">Tuesday estimate 17 to 342 (low confidence), 501 to 1,000 staff company-wide, no attendance signal, occupied at a high-confidence address; contacts not researched yet (below the top 50).</t>
  </si>
  <si>
    <t xml:space="preserve">https://grimshaw.global/contact/</t>
  </si>
  <si>
    <t xml:space="preserve">60 Madison Avenue</t>
  </si>
  <si>
    <t xml:space="preserve">B-C-260</t>
  </si>
  <si>
    <t xml:space="preserve">https://grimshaw.global</t>
  </si>
  <si>
    <t xml:space="preserve">architecture</t>
  </si>
  <si>
    <t xml:space="preserve">600</t>
  </si>
  <si>
    <t xml:space="preserve">https://en.wikipedia.org/wiki/Grimshaw_Architects</t>
  </si>
  <si>
    <t xml:space="preserve">B-B-066</t>
  </si>
  <si>
    <t xml:space="preserve">60 Madison Avenue (Moinian Group)</t>
  </si>
  <si>
    <t xml:space="preserve">https://commercialobserver.com/2022/12/grimshaw-architects-takes-19k-sf-offices-by-madison-square-park/</t>
  </si>
  <si>
    <t xml:space="preserve">2022-12-01</t>
  </si>
  <si>
    <t xml:space="preserve">600 (Wikipedia) staff (whole-company count) x 5% to 100% of them in the New York office (HQ city unknown; share assumed) x 57% (Partnership for NYC, all Manhattan firms; no figure for 500 to 4,999) in on a weekday = 17 to 342, central 76; low confidence; estimate until intake replaces it.</t>
  </si>
  <si>
    <t xml:space="preserve">18,800 sf</t>
  </si>
  <si>
    <t xml:space="preserve">Company contact page lists New York at 60 Madison Avenue, 4th Floor. CO 2022: 18,800 SF on floor 4. Headcount not sourced (Built In profile shows no count). | Assembly 2026-10-24: Band set at assembly to over-500 from Wikipedia body text: 'employing over 600 staff' (no infobox count). The NYC office size is unknown; the NYC office alone may fit, founder to confirm.</t>
  </si>
  <si>
    <t xml:space="preserve">AO-C-021</t>
  </si>
  <si>
    <t xml:space="preserve">Scale Microgrids</t>
  </si>
  <si>
    <t xml:space="preserve">Tuesday estimate 3 to 64 (low confidence), under 500 staff company-wide, on-site 5 days a week per its profile, occupancy-unconfirmed at a medium-confidence address; contacts not researched yet (below the top 50).</t>
  </si>
  <si>
    <t xml:space="preserve">https://commercialobserver.com/2025/03/faire-lease-26-west-17th-street/</t>
  </si>
  <si>
    <t xml:space="preserve">26 West 17th Street</t>
  </si>
  <si>
    <t xml:space="preserve">11</t>
  </si>
  <si>
    <t xml:space="preserve">B-C-021</t>
  </si>
  <si>
    <t xml:space="preserve">https://www.scalemicrogrids.com</t>
  </si>
  <si>
    <t xml:space="preserve">energy infrastructure finance</t>
  </si>
  <si>
    <t xml:space="preserve">https://www.builtinnyc.com/company/scale-microgrids</t>
  </si>
  <si>
    <t xml:space="preserve">Ridgewood</t>
  </si>
  <si>
    <t xml:space="preserve">B-B-008</t>
  </si>
  <si>
    <t xml:space="preserve">2025-03-27</t>
  </si>
  <si>
    <t xml:space="preserve">https://www.scalemicrogrids.com/contact</t>
  </si>
  <si>
    <t xml:space="preserve">https://www.builtinnyc.com/company/scale-microgrids/offices</t>
  </si>
  <si>
    <t xml:space="preserve">95 (Built In) staff (whole-company count) x 5% to 100% of them in the New York office (HQ outside New York; share assumed) x 67% (Partnership for NYC, firms under 500) in on a weekday = 3 to 64, central 14; low confidence; estimate until intake replaces it.</t>
  </si>
  <si>
    <t xml:space="preserve">CO 2025-03-27: 10,000 sf on the 11th floor. Built In NYC: 95 total employees, HQ Ridgewood NJ. Company contact page lists a New York regional office (city only, no street), so second source confirms NYC presence, not the street address.</t>
  </si>
  <si>
    <t xml:space="preserve">AO-C-193</t>
  </si>
  <si>
    <t xml:space="preserve">Chime</t>
  </si>
  <si>
    <t xml:space="preserve">Tuesday estimate 43 to 855 (low confidence), 1,001 to 4,999 staff company-wide, hybrid 4 days, occupied at a medium-confidence address; contacts not researched yet (below the top 50).</t>
  </si>
  <si>
    <t xml:space="preserve">https://commercialobserver.com/?p=521355</t>
  </si>
  <si>
    <t xml:space="preserve">122 Fifth Avenue</t>
  </si>
  <si>
    <t xml:space="preserve">B-C-193</t>
  </si>
  <si>
    <t xml:space="preserve">https://www.chime.com</t>
  </si>
  <si>
    <t xml:space="preserve">fintech (consumer banking)</t>
  </si>
  <si>
    <t xml:space="preserve">1500</t>
  </si>
  <si>
    <t xml:space="preserve">https://www.builtinnyc.com/company/chime</t>
  </si>
  <si>
    <t xml:space="preserve">2025-05-08</t>
  </si>
  <si>
    <t xml:space="preserve">https://commercialobserver.com/2026/06/ebay-lease-bromley-companies-122-fifth-avenue/</t>
  </si>
  <si>
    <t xml:space="preserve">2026-06-02</t>
  </si>
  <si>
    <t xml:space="preserve">Built In workplace type: Hybrid Workplace; typical time on-site: 4 days a week</t>
  </si>
  <si>
    <t xml:space="preserve">https://www.builtinnyc.com/company/chime/offices</t>
  </si>
  <si>
    <t xml:space="preserve">1500 (Built In) staff (whole-company count) x 5% to 100% of them in the New York office (HQ outside New York; share assumed) x 57% (Partnership for NYC, all Manhattan firms; no figure for 500 to 4,999) in on a weekday = 43 to 855, central 192; low confidence; estimate until intake replaces it.</t>
  </si>
  <si>
    <t xml:space="preserve">84,000 sf</t>
  </si>
  <si>
    <t xml:space="preserve">Near-miss: over 500 (Built In NYC: 1,500 total employees, HQ San Francisco). CO 2025-05-08: 84,000 sf lease, moving its NYC offices here. CO 2026-06-02: current roster includes Chime and Microsoft. Same publication for both sources, separate deal reports. | Assembly 2026-10-24: Confidence lowered at assembly from high to medium: second source is the same publisher or missing.</t>
  </si>
  <si>
    <t xml:space="preserve">AO-C-019</t>
  </si>
  <si>
    <t xml:space="preserve">Thinking Machines Lab</t>
  </si>
  <si>
    <t xml:space="preserve">Tuesday estimate 3 to 103 (low confidence), under 500 staff company-wide, on-site 5 days a week per its profile, signed-not-occupied at a medium-confidence address (hold: lease signed, move not confirmed); contacts not researched yet (below the top 50).</t>
  </si>
  <si>
    <t xml:space="preserve">New or renewed lease at 79 Fifth Avenue reported 2026-08-26</t>
  </si>
  <si>
    <t xml:space="preserve">https://commercialobserver.com/2026/08/thinking-machines-lab-79-fifth-avenue-lease/</t>
  </si>
  <si>
    <t xml:space="preserve">79 Fifth Avenue</t>
  </si>
  <si>
    <t xml:space="preserve">B-C-019</t>
  </si>
  <si>
    <t xml:space="preserve">https://thinkingmachines.ai</t>
  </si>
  <si>
    <t xml:space="preserve">AI research</t>
  </si>
  <si>
    <t xml:space="preserve">91</t>
  </si>
  <si>
    <t xml:space="preserve">153</t>
  </si>
  <si>
    <t xml:space="preserve">https://www.builtinnyc.com/company/thinking-machines-lab</t>
  </si>
  <si>
    <t xml:space="preserve">https://www.reveliolabs.com/companies/thinking-machines-lab/employees</t>
  </si>
  <si>
    <t xml:space="preserve">B-B-007</t>
  </si>
  <si>
    <t xml:space="preserve">https://www.builtinnyc.com/company/thinking-machines-lab/offices</t>
  </si>
  <si>
    <t xml:space="preserve">91 (Built In) and 153 (Revelio Labs) staff (whole-company count) x 5% to 100% of them in the New York office (HQ outside New York; share assumed) x 67% (Partnership for NYC, firms under 500) in on a weekday = 3 to 103, central 18; low confidence; estimate until intake replaces it.</t>
  </si>
  <si>
    <t xml:space="preserve">21,500 sf</t>
  </si>
  <si>
    <t xml:space="preserve">CO 2026-08-26: 21,500 sf, entire 4th floor of 79 Fifth Ave (between E 15th and E 16th), its first New York office; HQ San Francisco; move-in timing not stated. Built In NYC: 91 total employees (company-wide; NYC headcount not sourced). | Assembly 2026-10-24: Review round 2: band changed from 76-150 to unknown. Sources disagree: Built In shows 91 (76-150) and Revelio Labs (Thinking Machines Lab, Inc., HQ San Francisco): about 153 employees worldwide as of March 2026 (151-250). Band left unknown; founder to confirm at intake. Review round 2: corner lot: the lot-centroid pin sat 25 m from E 16 ST but 39 m from 5 AVE, so it was moved to the 5 AVE frontage near the corner (17 m from the 5 AVE centreline, 27 m from E 16 ST; 23 m from the old pin). Tax lot unchanged.</t>
  </si>
  <si>
    <t xml:space="preserve">AO-C-217</t>
  </si>
  <si>
    <t xml:space="preserve">Airtable</t>
  </si>
  <si>
    <t xml:space="preserve">Tuesday estimate 26 to 513 (low confidence), 501 to 1,000 staff company-wide, on-site 5 days a week per its profile, occupancy-unconfirmed at a low-confidence address; contacts not researched yet (below the top 50).</t>
  </si>
  <si>
    <t xml:space="preserve">https://www.builtinnyc.com/company/airtable/offices</t>
  </si>
  <si>
    <t xml:space="preserve">35 East 21st Street</t>
  </si>
  <si>
    <t xml:space="preserve">B-C-217</t>
  </si>
  <si>
    <t xml:space="preserve">https://www.airtable.com</t>
  </si>
  <si>
    <t xml:space="preserve">software (no-code database)</t>
  </si>
  <si>
    <t xml:space="preserve">900</t>
  </si>
  <si>
    <t xml:space="preserve">https://www.builtinnyc.com/company/airtable</t>
  </si>
  <si>
    <t xml:space="preserve">Built In workplace type: OnSite Workplace; typical time on-site: 5 days a week; recent job tags: 3 Remote</t>
  </si>
  <si>
    <t xml:space="preserve">900 (Built In) staff (whole-company count) x 5% to 100% of them in the New York office (HQ outside New York; share assumed) x 57% (Partnership for NYC, all Manhattan firms; no figure for 500 to 4,999) in on a weekday = 26 to 513, central 115; low confidence; estimate until intake replaces it.</t>
  </si>
  <si>
    <t xml:space="preserve">Built In lists a New York office at 35 E 21st St (zip shown as 11226, a Built In typo; the building is in 10010). HQ by WeWork took the whole building in 2018, but CO (Oct 2023) lists 35 E 21st St among WeWork's exits, so treated as not coworking. Built In shows 900 total employees. Over 500.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</si>
  <si>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AO-C-262</t>
  </si>
  <si>
    <t xml:space="preserve">Criteo</t>
  </si>
  <si>
    <t xml:space="preserve">Tuesday estimate 82 to 1635 (low confidence), 1,001 to 4,999 staff company-wide, on-site 5 days a week per its profile, occupied at a high-confidence address; contacts not researched yet (below the top 50).</t>
  </si>
  <si>
    <t xml:space="preserve">https://commercialobserver.com/2024/11/criteo-lease-387-park-avenue-south/</t>
  </si>
  <si>
    <t xml:space="preserve">top floor and penthouse</t>
  </si>
  <si>
    <t xml:space="preserve">B-C-262</t>
  </si>
  <si>
    <t xml:space="preserve">https://www.criteo.com</t>
  </si>
  <si>
    <t xml:space="preserve">adtech (commerce media)</t>
  </si>
  <si>
    <t xml:space="preserve">2868</t>
  </si>
  <si>
    <t xml:space="preserve">https://www.builtinnyc.com/company/criteo/offices</t>
  </si>
  <si>
    <t xml:space="preserve">2024-11-19</t>
  </si>
  <si>
    <t xml:space="preserve">2868 (Built In) staff (whole-company count) x 5% to 100% of them in the New York office (HQ city unknown; share assumed) x 57% (Partnership for NYC, all Manhattan firms; no figure for 500 to 4,999) in on a weekday = 82 to 1635, central 366; low confidence; estimate until intake replaces it.</t>
  </si>
  <si>
    <t xml:space="preserve">21,000 sf</t>
  </si>
  <si>
    <t xml:space="preserve">CO 2024-11-19: 10-year extension on the 21,000 SF penthouse it has leased since 2015 at the top of 387 PAS. Built In lists 387 Park Ave S and 100 Avenue of the Americas; 2,868 total employees. Over 500: near-miss. Review round 2: corner lot: the lot-centroid pin sat 24 m from E 27 ST but 34 m from PARK AVE S, so it was moved to the PARK AVE S frontage near the corner (13 m from the PARK AVE S centreline, 26 m from E 27 ST; 21 m from the old pin). Tax lot unchanged.</t>
  </si>
  <si>
    <t xml:space="preserve">AO-C-205</t>
  </si>
  <si>
    <t xml:space="preserve">Prophet</t>
  </si>
  <si>
    <t xml:space="preserve">Tuesday estimate 28 to 570 (low confidence), 501 to 1,000 staff company-wide, hybrid (days not stated), occupied at a medium-confidence address; contacts not researched yet (below the top 50).</t>
  </si>
  <si>
    <t xml:space="preserve">115 Fifth Avenue</t>
  </si>
  <si>
    <t xml:space="preserve">B-C-205</t>
  </si>
  <si>
    <t xml:space="preserve">https://www.prophet.com</t>
  </si>
  <si>
    <t xml:space="preserve">brand and marketing consulting</t>
  </si>
  <si>
    <t xml:space="preserve">https://www.builtinnyc.com/company/prophet</t>
  </si>
  <si>
    <t xml:space="preserve">Built In workplace type: Hybrid Workplace; typical time on-site: Not Specified; recent job tags: 2 In-Office</t>
  </si>
  <si>
    <t xml:space="preserve">https://www.builtinnyc.com/company/prophet/offices</t>
  </si>
  <si>
    <t xml:space="preserve">1000 (Built In) staff (whole-company count) x 5% to 100% of them in the New York office (HQ city unknown; share assumed) x 57% (Partnership for NYC, all Manhattan firms; no figure for 500 to 4,999) in on a weekday = 28 to 570, central 126; low confidence; estimate until intake replaces it.</t>
  </si>
  <si>
    <t xml:space="preserve">Near-miss: over 500 (Built In: 1,000 total employees) and margin (115 Fifth Ave at E 19th St). CO 2026-04-07 names Prophet as a 115 Fifth tenant; NYC office size unknown. Pin moved to frontage at review round 1: the lot-centroid pin failed the block-face test (85 m from 5 AVE but 57 m from BROADWAY); pin moved to frontage: the lot's position along 5 AVE kept, set 25 m from the centreline on the side CSCL gives house number 115 (60 m from the old pin). Tax lot unchanged. New pin: 25 m from 5 AVE, 114 m from BROADWAY. Review round 2: corner lot: the lot-centroid pin sat 22 m from E 19 ST but 25 m from 5 AVE, so it was moved to the 5 AVE frontage near the corner (17 m from the 5 AVE centreline, 27 m from E 19 ST; 9 m from the old pin). Tax lot unchanged.</t>
  </si>
  <si>
    <t xml:space="preserve">AO-C-186</t>
  </si>
  <si>
    <t xml:space="preserve">Similarweb</t>
  </si>
  <si>
    <t xml:space="preserve">Tuesday estimate 26 to 527 (low confidence), 501 to 1,000 staff company-wide, on-site 5 days a week per its profile, occupancy-unconfirmed at a low-confidence address; contacts not researched yet (below the top 50).</t>
  </si>
  <si>
    <t xml:space="preserve">https://www.builtinnyc.com/company/similarweb/offices</t>
  </si>
  <si>
    <t xml:space="preserve">50 West 17th Street</t>
  </si>
  <si>
    <t xml:space="preserve">B-C-186</t>
  </si>
  <si>
    <t xml:space="preserve">https://www.similarweb.com</t>
  </si>
  <si>
    <t xml:space="preserve">software (digital market data)</t>
  </si>
  <si>
    <t xml:space="preserve">925</t>
  </si>
  <si>
    <t xml:space="preserve">https://www.builtinnyc.com/company/similarweb</t>
  </si>
  <si>
    <t xml:space="preserve">925 (Built In) staff (whole-company count) x 5% to 100% of them in the New York office (HQ city unknown; share assumed) x 57% (Partnership for NYC, all Manhattan firms; no figure for 500 to 4,999) in on a weekday = 26 to 527, central 117; low confidence; estimate until intake replaces it.</t>
  </si>
  <si>
    <t xml:space="preserve">Built In lists a New York office at 50 W 17th St (one block south of this slice, so margin). Built In shows 925 total employees. Over 500.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</si>
  <si>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AO-C-207</t>
  </si>
  <si>
    <t xml:space="preserve">ZGF Architects</t>
  </si>
  <si>
    <t xml:space="preserve">Tuesday estimate 21 to 427 (low confidence), 501 to 1,000 staff company-wide, no attendance signal, occupied at a medium-confidence address; contacts not researched yet (below the top 50).</t>
  </si>
  <si>
    <t xml:space="preserve">https://www.zgf.com/contact</t>
  </si>
  <si>
    <t xml:space="preserve">39 West 19th Street</t>
  </si>
  <si>
    <t xml:space="preserve">B-C-207</t>
  </si>
  <si>
    <t xml:space="preserve">https://www.zgf.com</t>
  </si>
  <si>
    <t xml:space="preserve">750</t>
  </si>
  <si>
    <t xml:space="preserve">https://en.wikipedia.org/wiki/ZGF_Architects</t>
  </si>
  <si>
    <t xml:space="preserve">B-B-025</t>
  </si>
  <si>
    <t xml:space="preserve">39 West 19th Street (Rosen family)</t>
  </si>
  <si>
    <t xml:space="preserve">https://commercialobserver.com/2020/01/zgf-architects-lease-39-west-19th-street-rosen-family/</t>
  </si>
  <si>
    <t xml:space="preserve">2020-01-10</t>
  </si>
  <si>
    <t xml:space="preserve">750 (Wikipedia) staff (whole-company count) x 5% to 100% of them in the New York office (HQ city unknown; share assumed) x 57% (Partnership for NYC, all Manhattan firms; no figure for 500 to 4,999) in on a weekday = 21 to 427, central 95; low confidence; estimate until intake replaces it.</t>
  </si>
  <si>
    <t xml:space="preserve">11,502 sf</t>
  </si>
  <si>
    <t xml:space="preserve">Contact page lists New York office at 39 West 19th Street, 12th Floor (penthouse, 11,502 sf per CO 2020). Live site counts as current; the lease article is old, so medium. Portland-based firm; NYC headcount not sourced. | Assembly 2026-10-24: Band set at assembly to over-500 from Wikipedia infobox: 750 employees (footnote cites an October 2021 article). The NYC office size is unknown; the NYC office alone may fit, founder to confirm.</t>
  </si>
  <si>
    <t xml:space="preserve">AO-C-042</t>
  </si>
  <si>
    <t xml:space="preserve">VidMob</t>
  </si>
  <si>
    <t xml:space="preserve">Tuesday estimate 22 to 60 (low confidence), under 500 staff company-wide, hybrid (days not stated) with Tuesday named as an office day, occupancy-unconfirmed at a low-confidence address; contacts not researched yet (below the top 50).</t>
  </si>
  <si>
    <t xml:space="preserve">https://commercialobserver.com/2024/12/airbnb-lease-130-fifth-avenue/</t>
  </si>
  <si>
    <t xml:space="preserve">130 Fifth Avenue</t>
  </si>
  <si>
    <t xml:space="preserve">B-C-042</t>
  </si>
  <si>
    <t xml:space="preserve">https://vidmob.com</t>
  </si>
  <si>
    <t xml:space="preserve">software (creative analytics, adtech)</t>
  </si>
  <si>
    <t xml:space="preserve">67</t>
  </si>
  <si>
    <t xml:space="preserve">90</t>
  </si>
  <si>
    <t xml:space="preserve">https://www.builtinnyc.com/company/vidmob</t>
  </si>
  <si>
    <t xml:space="preserve">https://www.reveliolabs.com/companies/vidmob/employees</t>
  </si>
  <si>
    <t xml:space="preserve">B-B-017</t>
  </si>
  <si>
    <t xml:space="preserve">130 Fifth Avenue (Olnick Organization)</t>
  </si>
  <si>
    <t xml:space="preserve">2024-12-02</t>
  </si>
  <si>
    <t xml:space="preserve">Built In workplace type: Hybrid Workplace; typical time on-site: Flexible; recent job tags: 1 Hybrid, 1 Remote</t>
  </si>
  <si>
    <t xml:space="preserve">https://www.builtinnyc.com/company/vidmob/offices</t>
  </si>
  <si>
    <t xml:space="preserve">67 (Built In) and 90 (Revelio Labs) staff (whole-company count) x 50% to 100% of them in the New York office (HQ New York; share assumed) x 67% (Partnership for NYC, firms under 500) in on a weekday = 22 to 60, central 36; low confidence; estimate until intake replaces it.</t>
  </si>
  <si>
    <t xml:space="preserve">CO Dec 2024 names data company VidMob among 130 Fifth leases, but Built In (opened 2026-10-23) lists its HQ at 500 7th Ave in a WeWork. Conflicting sources, so low. Built In shows 67 total employees. | Assembly 2026-10-24: Review round 2: band changed from 40-75 to unknown. Sources disagree: Built In shows 67 (40-75) and Revelio Labs (VidMob, Inc., HQ New York City): about 90 employees worldwide as of March 2026 (76-150). Band left unknown; founder to confirm at intake. Review round 2: corner lot: the lot-centroid pin sat 21 m from W 18 ST but 36 m from 5 AVE, so it was moved to the 5 AVE frontage near the corner (17 m from the 5 AVE centreline, 26 m from W 18 ST; 19 m from the old pin). Tax lot unchanged.</t>
  </si>
  <si>
    <t xml:space="preserve">AO-C-090</t>
  </si>
  <si>
    <t xml:space="preserve">Hungryroot</t>
  </si>
  <si>
    <t xml:space="preserve">Tuesday estimate 67 to 218 (low confidence), under 500 staff company-wide, remote-first signal, occupancy-unconfirmed at a low-confidence address; contacts not researched yet (below the top 50).</t>
  </si>
  <si>
    <t xml:space="preserve">https://commercialobserver.com/2019/11/hungryroot-lease-7-west-22nd-street/</t>
  </si>
  <si>
    <t xml:space="preserve">7 West 22nd Street</t>
  </si>
  <si>
    <t xml:space="preserve">B-C-090</t>
  </si>
  <si>
    <t xml:space="preserve">https://www.hungryroot.com</t>
  </si>
  <si>
    <t xml:space="preserve">food delivery (grocery and meal kits)</t>
  </si>
  <si>
    <t xml:space="preserve">326</t>
  </si>
  <si>
    <t xml:space="preserve">https://www.builtinnyc.com/company/hungryroot</t>
  </si>
  <si>
    <t xml:space="preserve">https://www.reveliolabs.com/companies/hungryroot/employees</t>
  </si>
  <si>
    <t xml:space="preserve">B-B-043</t>
  </si>
  <si>
    <t xml:space="preserve">2019-11-25</t>
  </si>
  <si>
    <t xml:space="preserve">Built In workplace type: Remote Workplace; recent job tags: 3 Remote</t>
  </si>
  <si>
    <t xml:space="preserve">https://www.builtinnyc.com/company/hungryroot/offices</t>
  </si>
  <si>
    <t xml:space="preserve">200 (Built In) and 326 (Revelio Labs) staff (whole-company count) x 50% to 100% of them in the New York office (HQ New York; share assumed) x 67% (Partnership for NYC, firms under 500) in on a weekday = 67 to 218, central 121; low confidence; estimate until intake replaces it.</t>
  </si>
  <si>
    <t xml:space="preserve">Five-year lease (2019) of 10,000 sf on the 6th floor; a five-year term from 2019 ends about 2024 by arithmetic, and no current confirmation was found (Built In lists HQ New York without a street; site terms show no address). Built In shows 200 total employees. Food company: possible brand-side contact too. | Assembly 2026-10-24: Review round 2: band changed from 151-250 to unknown. Sources disagree: Built In shows 200 (151-250) and Revelio Labs (Hungryroot, Inc., HQ New York City): about 326 employees worldwide as of March 2026 (251-500). Band left unknown; founder to confirm at intake.</t>
  </si>
  <si>
    <t xml:space="preserve">AO-C-224</t>
  </si>
  <si>
    <t xml:space="preserve">Trustpilot</t>
  </si>
  <si>
    <t xml:space="preserve">Tuesday estimate 27 to 542 (low confidence), 501 to 1,000 staff company-wide, hybrid 2 days or fewer, occupied at a medium-confidence address; contacts not researched yet (below the top 50).</t>
  </si>
  <si>
    <t xml:space="preserve">B-C-224</t>
  </si>
  <si>
    <t xml:space="preserve">https://www.trustpilot.com/</t>
  </si>
  <si>
    <t xml:space="preserve">Consumer review platform</t>
  </si>
  <si>
    <t xml:space="preserve">950</t>
  </si>
  <si>
    <t xml:space="preserve">https://www.builtinnyc.com/company/trustpilot/offices</t>
  </si>
  <si>
    <t xml:space="preserve">Built In workplace type: Hybrid Workplace; typical time on-site: 2 days a week</t>
  </si>
  <si>
    <t xml:space="preserve">950 (Built In) staff (whole-company count) x 5% to 100% of them in the New York office (HQ city unknown; share assumed) x 57% (Partnership for NYC, all Manhattan firms; no figure for 500 to 4,999) in on a weekday = 27 to 542, central 121; low confidence; estimate until intake replaces it.</t>
  </si>
  <si>
    <t xml:space="preserve">NYREJ Oct 2025 lists Trustpilot as an existing tenant at 50 W 23rd (Two Trees release). Built In describes its New York office as near Madison Square Park (no street). Built In: 950 total employees; Wikipedia: c. 1,000 (2025). Near-miss (over-500).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</si>
  <si>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AO-C-249</t>
  </si>
  <si>
    <t xml:space="preserve">Persona</t>
  </si>
  <si>
    <t xml:space="preserve">Tuesday estimate 17 to 342 (low confidence), 501 to 1,000 staff company-wide, hybrid 3 days with Tuesday named as an office day, occupancy-unconfirmed at a low-confidence address; contacts not researched yet (below the top 50).</t>
  </si>
  <si>
    <t xml:space="preserve">https://www.builtinnyc.com/company/persona/offices</t>
  </si>
  <si>
    <t xml:space="preserve">41 West 25th Street</t>
  </si>
  <si>
    <t xml:space="preserve">B-C-249</t>
  </si>
  <si>
    <t xml:space="preserve">https://withpersona.com/</t>
  </si>
  <si>
    <t xml:space="preserve">Software (identity verification)</t>
  </si>
  <si>
    <t xml:space="preserve">Built In workplace type: Hybrid Workplace; typical time on-site: 3 days a week; recent job tags: 1 Hybrid, 1 Remote, 1 In-Office</t>
  </si>
  <si>
    <t xml:space="preserve">600 (Built In) staff (whole-company count) x 5% to 100% of them in the New York office (HQ outside New York; share assumed) x 57% (Partnership for NYC, all Manhattan firms; no figure for 500 to 4,999) in on a weekday = 17 to 342, central 76; low confidence; estimate until intake replaces it.</t>
  </si>
  <si>
    <t xml:space="preserve">Built In only: New York office '41 W 25th St, 2nd Floor'; HQ San Francisco; 600 total employees. Company site returned 403. Founder to confirm. Near-miss (over-500). | Assembly 2026-10-24: Confidence lowered at assembly from medium to low: review round 2: the only source dated within 24 months is an undated third-party profile (Built In, Deskpass or LiquidSpace), which can only confirm a dated or own-site source.</t>
  </si>
  <si>
    <t xml:space="preserve">AO-C-099</t>
  </si>
  <si>
    <t xml:space="preserve">Chalk</t>
  </si>
  <si>
    <t xml:space="preserve">Tuesday estimate 1 to 84 (low confidence), under 500 staff company-wide, on-site 5 days a week per its profile, signed-not-occupied at a medium-confidence address (hold: lease signed, move not confirmed); contacts not researched yet (below the top 50).</t>
  </si>
  <si>
    <t xml:space="preserve">New or renewed lease at 43 West 23rd Street reported 2026-07</t>
  </si>
  <si>
    <t xml:space="preserve">https://commercialobserver.com/2026/07/chalk-ai-lease-flatiron-43-west-23rd-street/</t>
  </si>
  <si>
    <t xml:space="preserve">2026-07</t>
  </si>
  <si>
    <t xml:space="preserve">43 West 23rd Street</t>
  </si>
  <si>
    <t xml:space="preserve">B-C-099</t>
  </si>
  <si>
    <t xml:space="preserve">https://chalk.ai/</t>
  </si>
  <si>
    <t xml:space="preserve">Software (data platform for AI)</t>
  </si>
  <si>
    <t xml:space="preserve">126</t>
  </si>
  <si>
    <t xml:space="preserve">https://www.builtinnyc.com/company/chalk/offices</t>
  </si>
  <si>
    <t xml:space="preserve">https://www.reveliolabs.com/companies/chalk-ai/employees</t>
  </si>
  <si>
    <t xml:space="preserve">B-B-049</t>
  </si>
  <si>
    <t xml:space="preserve">43 West 23rd Street (Castro Properties)</t>
  </si>
  <si>
    <t xml:space="preserve">40 (Built In) and 126 (Revelio Labs) staff (whole-company count) x 5% to 100% of them in the New York office (HQ outside New York; share assumed) x 67% (Partnership for NYC, firms under 500) in on a weekday = 1 to 84, central 9; low confidence; estimate until intake replaces it.</t>
  </si>
  <si>
    <t xml:space="preserve">26,607 sf</t>
  </si>
  <si>
    <t xml:space="preserve">CO: signed 26,607 sf at 43 W 23rd St; move-in date unclear. Current NYC office is 54 West 21st Street (CO). HQ San Francisco. Built In: 40 total employees (profile may predate the expansion). FNP roundup lists the address as 43 West 24th St; the CO article body says 43 West 23rd St. | Assembly 2026-10-24: Review round 2: band changed from 40-75 to unknown. Sources disagree: Built In shows 40 (40-75) and Revelio Labs (Chalk AI, Inc., HQ San Francisco): about 126 employees worldwide as of March 2026 (76-150). Band left unknown; founder to confirm at intake. Pin moved to frontage at review round 1: the lot-centroid pin failed the block-face test (44 m from W 23 ST but 40 m from W 24 ST); pin moved to frontage: the lot's position along W 23 ST kept, set 25 m from the centreline on the side CSCL gives house number 43 (18 m from the old pin). Tax lot unchanged. New pin: 25 m from W 23 ST, 58 m from W 24 ST.</t>
  </si>
  <si>
    <t xml:space="preserve">AO-C-084</t>
  </si>
  <si>
    <t xml:space="preserve">Synthesia</t>
  </si>
  <si>
    <t xml:space="preserve">Tuesday estimate 12 to 441 (low confidence), 501 to 1,000 staff company-wide, on-site 5 days a week per its profile, signed-not-occupied at a medium-confidence address (hold: lease signed, move not confirmed); contacts not researched yet (below the top 50).</t>
  </si>
  <si>
    <t xml:space="preserve">New or renewed lease at 675 Avenue of the Americas reported 2026-10-08</t>
  </si>
  <si>
    <t xml:space="preserve">https://commercialobserver.com/2026/10/synthesia-lease-gfp-675-avenue-of-the-americas/</t>
  </si>
  <si>
    <t xml:space="preserve">2026-10-08</t>
  </si>
  <si>
    <t xml:space="preserve">B-C-084</t>
  </si>
  <si>
    <t xml:space="preserve">https://www.synthesia.io</t>
  </si>
  <si>
    <t xml:space="preserve">software (AI video)</t>
  </si>
  <si>
    <t xml:space="preserve">774</t>
  </si>
  <si>
    <t xml:space="preserve">428</t>
  </si>
  <si>
    <t xml:space="preserve">https://www.reveliolabs.com/companies/synthesia/employees</t>
  </si>
  <si>
    <t xml:space="preserve">https://www.builtinnyc.com/company/synthesia</t>
  </si>
  <si>
    <t xml:space="preserve">https://www.builtinnyc.com/company/synthesia/offices</t>
  </si>
  <si>
    <t xml:space="preserve">774 (Revelio Labs) and 428 (Built In) staff (whole-company count) x 5% to 100% of them in the New York office (HQ outside New York; share assumed) x 57% (Partnership for NYC, all Manhattan firms; no figure for 500 to 4,999) in on a weekday = 12 to 441, central 73; low confidence; estimate until intake replaces it.</t>
  </si>
  <si>
    <t xml:space="preserve">50,000 sf;13,600 sf;6,490 sf</t>
  </si>
  <si>
    <t xml:space="preserve">50,000 sf lease for new U.S. HQ, signed Oct 2026; move date unknown. Current NYC office is 245 Fifth Avenue (NoMad, outside slice) per CO; Built In offices page lists 111 E 14th St (older). Built In shows 428 total employees; London-based company. | Assembly 2026-10-24: Review round 1 correction: the current office at 245 Fifth Ave is INSIDE the boundary (not 'outside slice'). CO 2025-08-14 (https://commercialobserver.com/2025/08/synthesia-lease-moinian-245-fifth-avenue/, opened 2026-10-24): a five-year direct lease of 13,600 sf at 245 Fifth Ave, expanding from 6,490 sf on the 16th floor taken in April 2023 when it left 111 E 14th St; CO 2026-10-08 says it will relocate from 245 Fifth to 675 Sixth Ave, date unclear. So Synthesia sits at 245 Fifth Ave today, until the move date. Built In's 111 E 14th St is stale (pre-2023). Review round 2: band moved from 251-500 to over-500, so the row moves to Near-miss. Revelio Labs (Synthesia Ltd., HQ London): about 774 employees worldwide as of March 2026. Built In shows 428 total employees (stale against Revelio; it is now the second source). Its NYC office is 13,600 sf at 245 Fifth Ave (CO 2025-08-14) against an HQ in London; the NYC office alone may fit the 40-250 band, founder to confirm. Review round 2: corner lot: the lot-centroid pin sat 39 m from W 21 ST but 46 m from AVE OF THE AMERICAS, so it was moved to the AVE OF THE AMERICAS frontage near the corner (18 m from the AVE OF THE AMERICAS centreline, 39 m from W 21 ST; 28 m from the old pin). Tax lot unchanged.</t>
  </si>
  <si>
    <t xml:space="preserve">AO-C-094</t>
  </si>
  <si>
    <t xml:space="preserve">BMF (We Are BMF)</t>
  </si>
  <si>
    <t xml:space="preserve">Tuesday estimate 23 to 47 (low confidence), under 500 staff company-wide, hybrid 2 days or fewer, occupied at a medium-confidence address; contacts not researched yet (below the top 50).</t>
  </si>
  <si>
    <t xml:space="preserve">https://commercialobserver.com/?p=544473</t>
  </si>
  <si>
    <t xml:space="preserve">B-C-094</t>
  </si>
  <si>
    <t xml:space="preserve">https://wearebmf.com/</t>
  </si>
  <si>
    <t xml:space="preserve">Marketing / experiential agency</t>
  </si>
  <si>
    <t xml:space="preserve">70</t>
  </si>
  <si>
    <t xml:space="preserve">https://www.builtinnyc.com/company/bmf/offices</t>
  </si>
  <si>
    <t xml:space="preserve">2025-09-09</t>
  </si>
  <si>
    <t xml:space="preserve">70 (Built In) staff (whole-company count) x 50% to 100% of them in the New York office (HQ New York; share assumed) x 67% (Partnership for NYC, firms under 500) in on a weekday = 23 to 47, central 33; low confidence; estimate until intake replaces it.</t>
  </si>
  <si>
    <t xml:space="preserve">CO and NYREJ both list 'marketing agency BMF' as a tenant; both derive from the same Two Trees announcement, so treated as one source. Company site shows no street address. Built In: 70 total employees, HQ New York (no street). Search snippets show '50 West 23rd Street, 7th Floor' in agency directories (not opened; floor unverified, founder to confirm).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</si>
  <si>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AO-C-225</t>
  </si>
  <si>
    <t xml:space="preserve">Ramp</t>
  </si>
  <si>
    <t xml:space="preserve">Tuesday estimate 34 to 684 (low confidence), 1,001 to 4,999 staff company-wide, no attendance signal, occupied at a high-confidence address; contacts not researched yet (below the top 50).</t>
  </si>
  <si>
    <t xml:space="preserve">https://commercialobserver.com/2026/04/manhattan-office-leasing-2026-class-a/</t>
  </si>
  <si>
    <t xml:space="preserve">28 West 23rd Street</t>
  </si>
  <si>
    <t xml:space="preserve">multiple (285,300 sf)</t>
  </si>
  <si>
    <t xml:space="preserve">B-C-225</t>
  </si>
  <si>
    <t xml:space="preserve">https://ramp.com/</t>
  </si>
  <si>
    <t xml:space="preserve">Fintech (corporate cards and spend)</t>
  </si>
  <si>
    <t xml:space="preserve">1200</t>
  </si>
  <si>
    <t xml:space="preserve">https://en.wikipedia.org/wiki/Ramp_(company)</t>
  </si>
  <si>
    <t xml:space="preserve">2026-04</t>
  </si>
  <si>
    <t xml:space="preserve">1200 (Wikipedia) staff (whole-company count) x 5% to 100% of them in the New York office (HQ city unknown; share assumed) x 57% (Partnership for NYC, all Manhattan firms; no figure for 500 to 4,999) in on a weekday = 34 to 684, central 152; low confidence; estimate until intake replaces it.</t>
  </si>
  <si>
    <t xml:space="preserve">285,303 sf</t>
  </si>
  <si>
    <t xml:space="preserve">CO Apr 2026 (Colliers Q1 data): Ramp's 285,303 sf lease at Williams Equities' 28 and 40 West 23rd Street was among the quarter's largest. Metro Manhattan broker page (Jun 2026) independently reports the same expansion. Ramp's site showed no street address. Wikipedia: 1,200 employees (2025), HQ New York City. Near-miss (over-500).</t>
  </si>
  <si>
    <t xml:space="preserve">AO-C-102</t>
  </si>
  <si>
    <t xml:space="preserve">Harvey</t>
  </si>
  <si>
    <t xml:space="preserve">Tuesday estimate 11 to 644 (low confidence), 1,001 to 4,999 staff company-wide, on-site 5 days a week per its profile, occupancy-unconfirmed at a high-confidence address; contacts not researched yet (below the top 50).</t>
  </si>
  <si>
    <t xml:space="preserve">New or renewed lease at 1 Madison Avenue reported 2026-03-09</t>
  </si>
  <si>
    <t xml:space="preserve">https://commercialobserver.com/2026/03/harvey-ai-expansion-lease-sl-green-one-madison-avenue/</t>
  </si>
  <si>
    <t xml:space="preserve">1 Madison Avenue</t>
  </si>
  <si>
    <t xml:space="preserve">6 plus expansion (185,326 sf total)</t>
  </si>
  <si>
    <t xml:space="preserve">B-C-102</t>
  </si>
  <si>
    <t xml:space="preserve">https://www.harvey.ai/</t>
  </si>
  <si>
    <t xml:space="preserve">Legal AI software</t>
  </si>
  <si>
    <t xml:space="preserve">1130</t>
  </si>
  <si>
    <t xml:space="preserve">373</t>
  </si>
  <si>
    <t xml:space="preserve">https://www.reveliolabs.com/companies/harvey-ai/employees</t>
  </si>
  <si>
    <t xml:space="preserve">https://www.builtinnyc.com/company/harvey/offices</t>
  </si>
  <si>
    <t xml:space="preserve">https://flatironnomad.nyc/newsletter/april-23-2026-flatiron-nomad-economic-development-snapshot-q1-2026/</t>
  </si>
  <si>
    <t xml:space="preserve">2026-04-23</t>
  </si>
  <si>
    <t xml:space="preserve">1130 (Revelio Labs) and 373 (Built In) staff (whole-company count) x 5% to 100% of them in the New York office (HQ outside New York; share assumed) x 57% (Partnership for NYC, all Manhattan firms; no figure for 500 to 4,999) in on a weekday = 11 to 644, central 84; low confidence; estimate until intake replaces it.</t>
  </si>
  <si>
    <t xml:space="preserve">92,663 sf;185,326 sf;34,100 sf</t>
  </si>
  <si>
    <t xml:space="preserve">CO Oct 2025: 10-yr lease, entire 6th floor (92,663 sf); CO Mar 2026: doubled to 185,326 sf at One Madison. Flatiron NoMad Partnership Q1 2026 snapshot confirms. Harvey also had 34,100 sf at 315 Park Ave S (CO, Oct 2024); unclear if kept. Built In: 373 total employees, NY office zip 10010 (live profile, undated; count may predate recent growth). HQ San Francisco. | Assembly 2026-10-24: Review round 2: band moved from 251-500 to over-500, so the row moves to Near-miss. Revelio Labs (Harvey AI Corp., HQ San Francisco): about 1,130 employees worldwide as of March 2026. Built In shows 373 total employees (stale against Revelio; it is now the second source).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</si>
  <si>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AO-C-123</t>
  </si>
  <si>
    <t xml:space="preserve">Trexquant</t>
  </si>
  <si>
    <t xml:space="preserve">Tuesday estimate 2 to 228 (low confidence), under 500 staff company-wide, hybrid (days not stated), signed-not-occupied at a high-confidence address (hold: lease signed, move not confirmed); contacts not researched yet (below the top 50).</t>
  </si>
  <si>
    <t xml:space="preserve">https://www.connectcre.com/stories/bxp-secures-230k-sf-of-leases-at-360-park-ave-south/</t>
  </si>
  <si>
    <t xml:space="preserve">B-C-123</t>
  </si>
  <si>
    <t xml:space="preserve">https://www.trexquant.com/</t>
  </si>
  <si>
    <t xml:space="preserve">Quantitative investment manager</t>
  </si>
  <si>
    <t xml:space="preserve">340</t>
  </si>
  <si>
    <t xml:space="preserve">https://www.builtinnyc.com/company/trexquant-investment/offices</t>
  </si>
  <si>
    <t xml:space="preserve">https://www.reveliolabs.com/companies/trexquant-management/employees</t>
  </si>
  <si>
    <t xml:space="preserve">Stamford</t>
  </si>
  <si>
    <t xml:space="preserve">2026-03-16</t>
  </si>
  <si>
    <t xml:space="preserve">https://commercialobserver.com/?p=563472</t>
  </si>
  <si>
    <t xml:space="preserve">Built In workplace type: Hybrid Workplace; typical time on-site: Not Specified; recent job tags: 3 In-Office</t>
  </si>
  <si>
    <t xml:space="preserve">67 (Built In) and 340 (Revelio Labs) staff (whole-company count) x 5% to 100% of them in the New York office (HQ outside New York; share assumed) x 67% (Partnership for NYC, firms under 500) in on a weekday = 2 to 228, central 21; low confidence; estimate until intake replaces it.</t>
  </si>
  <si>
    <t xml:space="preserve">23,000 sf</t>
  </si>
  <si>
    <t xml:space="preserve">ConnectCRE and CO Mar 2026: about 23,000 sf, its first New York City presence; HQ Stamford CT. Built In: 67 total employees (HQ Stamford). Move-in date not stated. | Assembly 2026-10-24: Review round 2: band changed from 40-75 to unknown. Sources disagree: Built In shows 67 (40-75) and Revelio Labs (Trexquant Investment LP, HQ Stamford): about 340 employees worldwide as of March 2026 (251-500). Band left unknown; founder to confirm at intake. Review round 2: corner lot: the lot-centroid pin sat 22 m from E 26 ST but 36 m from PARK AVE S, so it was moved to the PARK AVE S frontage near the corner (13 m from the PARK AVE S centreline, 27 m from E 26 ST; 23 m from the old pin). Tax lot unchanged.</t>
  </si>
  <si>
    <t xml:space="preserve">AO-C-255</t>
  </si>
  <si>
    <t xml:space="preserve">Vercel</t>
  </si>
  <si>
    <t xml:space="preserve">Tuesday estimate 16 to 314 (low confidence), 501 to 1,000 staff company-wide, no attendance signal, occupancy-unconfirmed at a high-confidence address; contacts not researched yet (below the top 50).</t>
  </si>
  <si>
    <t xml:space="preserve">9 plus expansion (46,076 sf)</t>
  </si>
  <si>
    <t xml:space="preserve">B-C-255</t>
  </si>
  <si>
    <t xml:space="preserve">https://vercel.com/</t>
  </si>
  <si>
    <t xml:space="preserve">Software (web development platform)</t>
  </si>
  <si>
    <t xml:space="preserve">550</t>
  </si>
  <si>
    <t xml:space="preserve">https://en.wikipedia.org/wiki/Vercel</t>
  </si>
  <si>
    <t xml:space="preserve">https://commercialobserver.com/2026/09/rogo-technologies-360-park-avenue-south-lease-expansion/</t>
  </si>
  <si>
    <t xml:space="preserve">2026-09-22</t>
  </si>
  <si>
    <t xml:space="preserve">550 (Wikipedia) staff (whole-company count) x 5% to 100% of them in the New York office (HQ city unknown; share assumed) x 57% (Partnership for NYC, all Manhattan firms; no figure for 500 to 4,999) in on a weekday = 16 to 314, central 71; low confidence; estimate until intake replaces it.</t>
  </si>
  <si>
    <t xml:space="preserve">23,000 sf;46,076 sf</t>
  </si>
  <si>
    <t xml:space="preserve">ConnectCRE Mar 2026 (BXP release): about 23,000 sf; CO Sep 2026: apparent expansion to 46,076 sf per a CBRE report. HQ San Francisco; Built In NY office still shows '47th Street' (stale). Wikipedia infobox: 550 employees (2025), just over 500. Near-miss (over-500). Review round 2: corner lot: the lot-centroid pin sat 22 m from E 26 ST but 36 m from PARK AVE S, so it was moved to the PARK AVE S frontage near the corner (13 m from the PARK AVE S centreline, 27 m from E 26 ST; 23 m from the old pin). Tax lot unchanged.</t>
  </si>
  <si>
    <t xml:space="preserve">AO-C-027</t>
  </si>
  <si>
    <t xml:space="preserve">Selldorf Architects</t>
  </si>
  <si>
    <t xml:space="preserve">Tuesday estimate 22 to 44 (low confidence), under 500 staff company-wide, no attendance signal, occupied at a medium-confidence address; contacts not researched yet (below the top 50).</t>
  </si>
  <si>
    <t xml:space="preserve">New or renewed lease at 860 Broadway reported 2026-08-07</t>
  </si>
  <si>
    <t xml:space="preserve">B-C-027</t>
  </si>
  <si>
    <t xml:space="preserve">https://www.selldorf.com</t>
  </si>
  <si>
    <t xml:space="preserve">https://en.wikipedia.org/wiki/Selldorf_Architects</t>
  </si>
  <si>
    <t xml:space="preserve">https://www.connectcre.com/stories/selldorf-architects-signs-long-term-renewal-at-860-broadway/</t>
  </si>
  <si>
    <t xml:space="preserve">65 (Wikipedia) staff (whole-company count) x 50% to 100% of them in the New York office (HQ New York; share assumed) x 67% (Partnership for NYC, firms under 500) in on a weekday = 22 to 44, central 31; low confidence; estimate until intake replaces it.</t>
  </si>
  <si>
    <t xml:space="preserve">10-year 13,815 sf renewal; at 860 Broadway about two decades. Both articles trace to the same Colliers deal announcement. Headcount not found in an opened source. Wikipedia (Annabelle Selldorf article): the practice 'today employs upwards of 65 employees'; undated statement, founder to confirm. | Assembly 2026-10-24: Confidence lowered at assembly from high to medium: both articles trace to one broker announcement.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</si>
  <si>
    <t xml:space="preserve">AO-C-219</t>
  </si>
  <si>
    <t xml:space="preserve">e.l.f. Beauty</t>
  </si>
  <si>
    <t xml:space="preserve">Tuesday estimate 31 to 625 (low confidence), 1,001 to 4,999 staff company-wide, on-site 5 days a week per its profile, occupancy-unconfirmed at a low-confidence address; contacts not researched yet (below the top 50).</t>
  </si>
  <si>
    <t xml:space="preserve">https://commercialobserver.com/2024/08/elf-beauty-lease-gfp-real-estate-16-west-22nd-street/</t>
  </si>
  <si>
    <t xml:space="preserve">16 West 22nd Street</t>
  </si>
  <si>
    <t xml:space="preserve">B-C-219</t>
  </si>
  <si>
    <t xml:space="preserve">https://www.elfcosmetics.com</t>
  </si>
  <si>
    <t xml:space="preserve">cosmetics brand (NYC office)</t>
  </si>
  <si>
    <t xml:space="preserve">1096</t>
  </si>
  <si>
    <t xml:space="preserve">https://www.builtinnyc.com/company/elf-beauty</t>
  </si>
  <si>
    <t xml:space="preserve">Oakland</t>
  </si>
  <si>
    <t xml:space="preserve">B-B-041</t>
  </si>
  <si>
    <t xml:space="preserve">16 West 22nd Street (Meysar Realty / GFP)</t>
  </si>
  <si>
    <t xml:space="preserve">Built In workplace type: OnSite Workplace; typical time on-site: 5 days a week; recent job tags: 2 Hybrid, 1 Remote</t>
  </si>
  <si>
    <t xml:space="preserve">https://www.builtinnyc.com/company/elf-beauty/offices</t>
  </si>
  <si>
    <t xml:space="preserve">1096 (Built In) staff (whole-company count) x 5% to 100% of them in the New York office (HQ outside New York; share assumed) x 57% (Partnership for NYC, all Manhattan firms; no figure for 500 to 4,999) in on a weekday = 31 to 625, central 139; low confidence; estimate until intake replaces it.</t>
  </si>
  <si>
    <t xml:space="preserve">26,000 sf;39,000 sf</t>
  </si>
  <si>
    <t xml:space="preserve">10-year lease adding 26,000 sf (39,000 sf total) in Aug 2024; in the building since 2020. Source predates 2024-10-23 and not re-confirmed. Built In shows 1,096 total employees, HQ Oakland CA. Over 500. | Assembly 2026-10-24: Review round 3: lease status set from occupied to occupancy-unconfirmed: no source under 24 months places it here. Check the lobby directory on the walk.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</si>
  <si>
    <t xml:space="preserve">AO-C-259</t>
  </si>
  <si>
    <t xml:space="preserve">Lutron Electronics</t>
  </si>
  <si>
    <t xml:space="preserve">Tuesday estimate 59 to 1176 (low confidence), 1,001 to 4,999 staff company-wide, on-site 5 days a week per its profile, occupancy-unconfirmed at a medium-confidence address; contacts not researched yet (below the top 50).</t>
  </si>
  <si>
    <t xml:space="preserve">https://commercialobserver.com/2025/10/lutron-electronics-office-lease-11-east-26th-street/</t>
  </si>
  <si>
    <t xml:space="preserve">21</t>
  </si>
  <si>
    <t xml:space="preserve">B-C-259</t>
  </si>
  <si>
    <t xml:space="preserve">https://www.lutron.com</t>
  </si>
  <si>
    <t xml:space="preserve">lighting controls manufacturer</t>
  </si>
  <si>
    <t xml:space="preserve">2063</t>
  </si>
  <si>
    <t xml:space="preserve">https://www.builtinnyc.com/company/lutron-electronics/offices</t>
  </si>
  <si>
    <t xml:space="preserve">Coopersburg</t>
  </si>
  <si>
    <t xml:space="preserve">2025-10-22</t>
  </si>
  <si>
    <t xml:space="preserve">2063 (Built In) staff (whole-company count) x 5% to 100% of them in the New York office (HQ outside New York; share assumed) x 57% (Partnership for NYC, all Manhattan firms; no figure for 500 to 4,999) in on a weekday = 59 to 1176, central 263; low confidence; estimate until intake replaces it.</t>
  </si>
  <si>
    <t xml:space="preserve">12,074 sf</t>
  </si>
  <si>
    <t xml:space="preserve">11-year lease, 12,074 SF, full 21st floor; relocation and expansion. CO says Lutron also has NYC offices or showrooms at 3 East 28th Street (in this slice), 979 Third Ave and 1 Penn Plaza. Built In: 2,063 total employees, HQ Coopersburg PA. Over 500: near-miss.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</si>
  <si>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AO-C-158</t>
  </si>
  <si>
    <t xml:space="preserve">Sigma Computing</t>
  </si>
  <si>
    <t xml:space="preserve">Tuesday estimate 9 to 549 (low confidence), 501 to 1,000 staff company-wide, on-site 5 days a week per its profile, signed-not-occupied at a medium-confidence address (hold: lease signed, move not confirmed); contacts not researched yet (below the top 50).</t>
  </si>
  <si>
    <t xml:space="preserve">5-6</t>
  </si>
  <si>
    <t xml:space="preserve">B-C-158</t>
  </si>
  <si>
    <t xml:space="preserve">https://www.sigmacomputing.com</t>
  </si>
  <si>
    <t xml:space="preserve">software (cloud analytics)</t>
  </si>
  <si>
    <t xml:space="preserve">964</t>
  </si>
  <si>
    <t xml:space="preserve">329</t>
  </si>
  <si>
    <t xml:space="preserve">https://www.reveliolabs.com/companies/sigma-computing/employees</t>
  </si>
  <si>
    <t xml:space="preserve">https://www.builtinnyc.com/company/sigma-computing</t>
  </si>
  <si>
    <t xml:space="preserve">hows 329 total employees, HQ San Francisco, a New York office without street address, NYC jobs marked In-Office. | Assembly 2026-10-24: Revie</t>
  </si>
  <si>
    <t xml:space="preserve">https://www.builtinnyc.com/company/sigma-computing/offices</t>
  </si>
  <si>
    <t xml:space="preserve">2026-08-31</t>
  </si>
  <si>
    <t xml:space="preserve">964 (Revelio Labs) and 329 (Built In) staff (whole-company count) x 5% to 100% of them in the New York office (HQ outside New York; share assumed) x 57% (Partnership for NYC, all Manhattan firms; no figure for 500 to 4,999) in on a weekday = 9 to 549, central 70; low confidence; estimate until intake replaces it.</t>
  </si>
  <si>
    <t xml:space="preserve">Signed 26,252 SF on floors 5-6; relocating from Zero Irving (move-in date not stated). Built In shows 329 total employees, HQ San Francisco, a New York office without street address, NYC jobs marked In-Office. | Assembly 2026-10-24: Review round 2: band moved from 251-500 to over-500, so the row moves to Near-miss. Revelio Labs (Sigma Computing, Inc., HQ San Francisco): about 964 employees worldwide as of March 2026. Built In shows 329 total employees (stale against Revelio; it is now the second source). Its NYC lease is 26,252 sf (row notes) against an HQ in San Francisco; the NYC office alone may fit the 40-250 band, founder to confirm.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</si>
  <si>
    <t xml:space="preserve">AO-C-014</t>
  </si>
  <si>
    <t xml:space="preserve">Mirage (formerly Captions)</t>
  </si>
  <si>
    <t xml:space="preserve">Tuesday estimate 3 to 50 (low confidence), under 500 staff company-wide, on-site 5 days a week per its profile, occupancy-unconfirmed at a low-confidence address; contacts not researched yet (below the top 50).</t>
  </si>
  <si>
    <t xml:space="preserve">https://rebusinessonline.com/?p=393709</t>
  </si>
  <si>
    <t xml:space="preserve">71 Fifth Avenue</t>
  </si>
  <si>
    <t xml:space="preserve">B-C-014</t>
  </si>
  <si>
    <t xml:space="preserve">https://www.captions.ai</t>
  </si>
  <si>
    <t xml:space="preserve">AI video software</t>
  </si>
  <si>
    <t xml:space="preserve">https://www.builtinnyc.com/company/captions</t>
  </si>
  <si>
    <t xml:space="preserve">B-B-004</t>
  </si>
  <si>
    <t xml:space="preserve">2024-03-01</t>
  </si>
  <si>
    <t xml:space="preserve">https://www.builtinnyc.com/company/captions/offices</t>
  </si>
  <si>
    <t xml:space="preserve">75 (Built In) staff (whole-company count) x 5% to 100% of them in the New York office (HQ city unknown; share assumed) x 67% (Partnership for NYC, firms under 500) in on a weekday = 3 to 50, central 12; low confidence; estimate until intake replaces it.</t>
  </si>
  <si>
    <t xml:space="preserve">15,202 sf</t>
  </si>
  <si>
    <t xml:space="preserve">REBusiness 2024-03-01: Captions took the entire 6th floor, 15,202 sf. Source older than 24 months and no current confirmation found (company site lists no address), so low. Built In NYC profile now titled Mirage, 75 total employees. Review round 2: corner lot: the lot-centroid pin sat 21 m from E 15 ST but 40 m from 5 AVE, so it was moved to the 5 AVE frontage near the corner (17 m from the 5 AVE centreline, 26 m from E 15 ST; 24 m from the old pin). Tax lot unchanged.</t>
  </si>
  <si>
    <t xml:space="preserve">AO-C-044</t>
  </si>
  <si>
    <t xml:space="preserve">Galvanize Climate Solutions</t>
  </si>
  <si>
    <t xml:space="preserve">Tuesday estimate 2 to 49 (low confidence), under 500 staff company-wide, on-site 5 days a week per its profile, signed-not-occupied at a medium-confidence address (hold: lease signed, move not confirmed); contacts not researched yet (below the top 50).</t>
  </si>
  <si>
    <t xml:space="preserve">B-C-044</t>
  </si>
  <si>
    <t xml:space="preserve">https://galvanizeclimate.com</t>
  </si>
  <si>
    <t xml:space="preserve">climate investment</t>
  </si>
  <si>
    <t xml:space="preserve">73</t>
  </si>
  <si>
    <t xml:space="preserve">https://www.builtinnyc.com/company/galvanize-climate-solutions</t>
  </si>
  <si>
    <t xml:space="preserve">Built In workplace type: OnSite Workplace; typical time on-site: 5 days a week; recent job tags: 2 In-Office</t>
  </si>
  <si>
    <t xml:space="preserve">https://www.builtinnyc.com/company/galvanize-climate-solutions/offices</t>
  </si>
  <si>
    <t xml:space="preserve">73 (Built In) staff (whole-company count) x 5% to 100% of them in the New York office (HQ outside New York; share assumed) x 67% (Partnership for NYC, firms under 500) in on a weekday = 2 to 49, central 10; low confidence; estimate until intake replaces it.</t>
  </si>
  <si>
    <t xml:space="preserve">CO 2026-04-07: 20,000 sf on the 3rd floor of 111 Fifth Ave, 10-year lease; move-in timing not stated. Built In NYC: 73 total employees, HQ San Francisco. Review round 2: corner lot: the lot-centroid pin sat 24 m from E 18 ST but 45 m from 5 AVE, so it was moved to the 5 AVE frontage near the corner (17 m from the 5 AVE centreline, 27 m from E 18 ST; 29 m from the old pin). Tax lot unchanged.</t>
  </si>
  <si>
    <t xml:space="preserve">AO-C-268</t>
  </si>
  <si>
    <t xml:space="preserve">Bridgewater Associates (first Manhattan office)</t>
  </si>
  <si>
    <t xml:space="preserve">Tuesday estimate 45 to 910 (low confidence), 1,001 to 4,999 staff company-wide, on-site 5 days a week per its profile, occupancy-unconfirmed at a low-confidence address; contacts not researched yet (below the top 50).</t>
  </si>
  <si>
    <t xml:space="preserve">https://commercialobserver.com/2024/09/bridgewater-associates-lease-295-fifth-avenue/</t>
  </si>
  <si>
    <t xml:space="preserve">B-C-268</t>
  </si>
  <si>
    <t xml:space="preserve">hedge fund</t>
  </si>
  <si>
    <t xml:space="preserve">1596</t>
  </si>
  <si>
    <t xml:space="preserve">https://www.builtinnyc.com/company/bridgewater-associates/offices</t>
  </si>
  <si>
    <t xml:space="preserve">Westport</t>
  </si>
  <si>
    <t xml:space="preserve">2024-09-30</t>
  </si>
  <si>
    <t xml:space="preserve">1596 (Built In) staff (whole-company count) x 5% to 100% of them in the New York office (HQ outside New York; share assumed) x 57% (Partnership for NYC, all Manhattan firms; no figure for 500 to 4,999) in on a weekday = 45 to 910, central 202; low confidence; estimate until intake replaces it.</t>
  </si>
  <si>
    <t xml:space="preserve">60,000 sf</t>
  </si>
  <si>
    <t xml:space="preserve">60,000 SF lease for its first Manhattan office. Source is just over 24 months old; Built In (1,596 employees) lists only Westport CT. Over 500: near-miss. Margin row. Review round 2: corner lot: the lot-centroid pin sat 36 m from E 31 ST but 45 m from 5 AVE, so it was moved to the 5 AVE frontage near the corner (17 m from the 5 AVE centreline, 36 m from E 31 ST; 29 m from the old pin). Tax lot unchanged.</t>
  </si>
  <si>
    <t xml:space="preserve">AO-C-180</t>
  </si>
  <si>
    <t xml:space="preserve">Robin Hood</t>
  </si>
  <si>
    <t xml:space="preserve">Tuesday estimate 188 to 376 (low confidence), 501 to 1,000 staff company-wide, on-site 5 days a week per its profile, signed-not-occupied at a medium-confidence address (hold: lease signed, move not confirmed); contacts not researched yet (below the top 50).</t>
  </si>
  <si>
    <t xml:space="preserve">New or renewed lease at 841 Broadway reported 2026-06-22</t>
  </si>
  <si>
    <t xml:space="preserve">https://rebusinessonline.com/robin-hood-signs-53000-sf-office-lease-at-841-broadway-in-manhattan/</t>
  </si>
  <si>
    <t xml:space="preserve">2026-06-22</t>
  </si>
  <si>
    <t xml:space="preserve">5-8</t>
  </si>
  <si>
    <t xml:space="preserve">B-C-180</t>
  </si>
  <si>
    <t xml:space="preserve">https://www.robinhood.org</t>
  </si>
  <si>
    <t xml:space="preserve">nonprofit (anti-poverty philanthropy)</t>
  </si>
  <si>
    <t xml:space="preserve">659</t>
  </si>
  <si>
    <t xml:space="preserve">https://www.builtinnyc.com/company/robin-hood</t>
  </si>
  <si>
    <t xml:space="preserve">https://commercialobserver.com/2026/04/nonprofit-robin-hood-lease-841-broadway/</t>
  </si>
  <si>
    <t xml:space="preserve">2026-04-08</t>
  </si>
  <si>
    <t xml:space="preserve">https://www.builtinnyc.com/company/robin-hood/offices</t>
  </si>
  <si>
    <t xml:space="preserve">659 (Built In) staff (whole-company count) x 50% to 100% of them in the New York office (HQ New York; share assumed) x 57% (Partnership for NYC, all Manhattan firms; no figure for 500 to 4,999) in on a weekday = 188 to 376, central 266; low confidence; estimate until intake replaces it.</t>
  </si>
  <si>
    <t xml:space="preserve">53,000 sf</t>
  </si>
  <si>
    <t xml:space="preserve">841 Broadway is on the south side of 14th St (margin). REBusiness 2026-06-22: 30-year 53,000 sf lease, entire 5th-8th floors; move-in timing not stated. Built In NYC 'Robin Hood' profile (HQ New York, founded 1988) shows 659 total employees; founder to confirm, it may include non-staff counts. CO 2026-04-08: current office is 826 Broadway (outside the slice); 841 Broadway is a planned relocation with timing not stated, so confidence stays medium. | Assembly 2026-10-24: Built In's 659 for this nonprofit may include non-staff counts (S1 flag). Review round 2: corner lot: the lot-centroid pin sat 21 m from E 13 ST but 30 m from BROADWAY, so it was moved to the BROADWAY frontage near the corner (15 m from the BROADWAY centreline, 26 m from E 13 ST; 15 m from the old pin). Tax lot unchanged.</t>
  </si>
  <si>
    <t xml:space="preserve">AO-C-135</t>
  </si>
  <si>
    <t xml:space="preserve">Sierra</t>
  </si>
  <si>
    <t xml:space="preserve">Tuesday estimate 5 to 431 (low confidence), 501 to 1,000 staff company-wide, on-site 5 days a week per its profile, signed-not-occupied at a medium-confidence address (hold: lease signed, move not confirmed); contacts not researched yet (below the top 50).</t>
  </si>
  <si>
    <t xml:space="preserve">New or renewed lease at 11 East 26th Street reported 2026-05-01</t>
  </si>
  <si>
    <t xml:space="preserve">https://commercialobserver.com/2026/05/sierra-lease-rockrose-11-east-26th-street/</t>
  </si>
  <si>
    <t xml:space="preserve">2026-05-01</t>
  </si>
  <si>
    <t xml:space="preserve">B-C-135</t>
  </si>
  <si>
    <t xml:space="preserve">https://sierra.ai</t>
  </si>
  <si>
    <t xml:space="preserve">software (AI customer agents)</t>
  </si>
  <si>
    <t xml:space="preserve">756</t>
  </si>
  <si>
    <t xml:space="preserve">162</t>
  </si>
  <si>
    <t xml:space="preserve">https://www.reveliolabs.com/companies/sierra/employees</t>
  </si>
  <si>
    <t xml:space="preserve">https://www.builtinnyc.com/company/sierra/offices</t>
  </si>
  <si>
    <t xml:space="preserve">https://commercialobserver.com/2026/09/vestal-point-capital-lease-rockrose-development-11-east-26th-street/</t>
  </si>
  <si>
    <t xml:space="preserve">756 (Revelio Labs) and 162 (Built In) staff (whole-company count) x 5% to 100% of them in the New York office (HQ outside New York; share assumed) x 57% (Partnership for NYC, all Manhattan firms; no figure for 500 to 4,999) in on a weekday = 5 to 431, central 46; low confidence; estimate until intake replaces it.</t>
  </si>
  <si>
    <t xml:space="preserve">94,145 sf;14,563 sf;94,000 sf</t>
  </si>
  <si>
    <t xml:space="preserve">CO 2026-05-01 (citing a Colliers report): 94,145 SF lease at 11 E 26th St, its second NYC office after 14,563 SF at 375 West Broadway (SoHo). CO 2026-09-02 lists Sierra as a building tenant (same publication, not independent). Built In shows only San Francisco and 162 total employees; the Built In count is undated. Occupancy of the 94,000 SF space is not confirmed. | Assembly 2026-10-24: Review round 2: band moved from 151-250 to over-500, so the row moves to Near-miss. Revelio Labs (Sierra Technologies, Inc., described as 'the conversational AI platform for businesses', HQ San Francisco): about 756 employees worldwide as of March 2026. Built In shows 162 total employees (stale against Revelio; it is now the second source).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</si>
  <si>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AO-C-201</t>
  </si>
  <si>
    <t xml:space="preserve">Cole Haan</t>
  </si>
  <si>
    <t xml:space="preserve">Tuesday estimate 46 to 922 (low confidence), 1,001 to 4,999 staff company-wide, on-site 5 days a week per its profile, occupancy-unconfirmed at a low-confidence address; contacts not researched yet (below the top 50).</t>
  </si>
  <si>
    <t xml:space="preserve">https://commercialobserver.com/2024/09/cole-haan-32bj-lease-620-avenue-of-the-americas/</t>
  </si>
  <si>
    <t xml:space="preserve">620 Avenue of the Americas</t>
  </si>
  <si>
    <t xml:space="preserve">B-C-201</t>
  </si>
  <si>
    <t xml:space="preserve">https://www.colehaan.com</t>
  </si>
  <si>
    <t xml:space="preserve">footwear brand (NYC office)</t>
  </si>
  <si>
    <t xml:space="preserve">1618</t>
  </si>
  <si>
    <t xml:space="preserve">https://www.builtinnyc.com/company/cole-haan</t>
  </si>
  <si>
    <t xml:space="preserve">Greenland</t>
  </si>
  <si>
    <t xml:space="preserve">B-B-021</t>
  </si>
  <si>
    <t xml:space="preserve">Siegel-Cooper Building (RXR / Hudson Bay)</t>
  </si>
  <si>
    <t xml:space="preserve">2024-09-24</t>
  </si>
  <si>
    <t xml:space="preserve">https://www.builtinnyc.com/company/cole-haan/offices</t>
  </si>
  <si>
    <t xml:space="preserve">https://www.metro-manhattan.com/buildings/620-avenue-of-the-americas/</t>
  </si>
  <si>
    <t xml:space="preserve">1618 (Built In) staff (whole-company count) x 5% to 100% of them in the New York office (HQ outside New York; share assumed) x 57% (Partnership for NYC, all Manhattan firms; no figure for 500 to 4,999) in on a weekday = 46 to 922, central 206; low confidence; estimate until intake replaces it.</t>
  </si>
  <si>
    <t xml:space="preserve">62,262 sf</t>
  </si>
  <si>
    <t xml:space="preserve">11-year renewal of the full 3rd floor (62,262 sf), Sept 2024. Built In lists the New York office at 45 West 18th St, which geocodes to the same tax lot as 620 Avenue of the Americas (BBL 1008207505). HQ Greenland NH; Built In shows 1,618 total employees. Over 500.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corner lot: the lot-centroid pin sat 36 m from W 19 ST but 54 m from AVE OF THE AMERICAS, so it was moved to the AVE OF THE AMERICAS frontage near the corner (18 m from the AVE OF THE AMERICAS centreline, 36 m from W 19 ST; 36 m from the old pin). Tax lot unchanged.</t>
  </si>
  <si>
    <t xml:space="preserve">AO-C-016</t>
  </si>
  <si>
    <t xml:space="preserve">Battery Ventures</t>
  </si>
  <si>
    <t xml:space="preserve">Tuesday headcount unknown (no sourced count), company size unknown, no attendance signal, occupied at a high-confidence address; contacts not researched yet (below the top 50).</t>
  </si>
  <si>
    <t xml:space="preserve">https://www.battery.com/contact/</t>
  </si>
  <si>
    <t xml:space="preserve">B-C-016</t>
  </si>
  <si>
    <t xml:space="preserve">https://www.battery.com</t>
  </si>
  <si>
    <t xml:space="preserve">no-count</t>
  </si>
  <si>
    <t xml:space="preserve">No sourced headcount, so no Tuesday estimate; ask the Tuesday count at intake.</t>
  </si>
  <si>
    <t xml:space="preserve">10,600 sf</t>
  </si>
  <si>
    <t xml:space="preserve">Contact page: 'New York City 100 Fifth Avenue 3rd Floor New York, NY 10011'. CO 2023-11 reported a five-year 10,600 sf lease on the 3rd floor; CO 2026-08-26 lists it as a current tenant. NYC headcount not sourced; founder to confirm at intake. Review round 2: corner lot: the lot-centroid pin sat 24 m from W 15 ST but 36 m from 5 AVE, so it was moved to the 5 AVE frontage near the corner (17 m from the 5 AVE centreline, 26 m from W 15 ST; 20 m from the old pin). Tax lot unchanged.</t>
  </si>
  <si>
    <t xml:space="preserve">AO-C-140</t>
  </si>
  <si>
    <t xml:space="preserve">Collected Strategies</t>
  </si>
  <si>
    <t xml:space="preserve">https://commercialobserver.com/2025/08/comms-firm-collected-strategies-takes-10k-sf-moinians-60-madison/</t>
  </si>
  <si>
    <t xml:space="preserve">B-C-140</t>
  </si>
  <si>
    <t xml:space="preserve">https://www.collectedstrategies.com</t>
  </si>
  <si>
    <t xml:space="preserve">strategic communications</t>
  </si>
  <si>
    <t xml:space="preserve">2025-08-07</t>
  </si>
  <si>
    <t xml:space="preserve">https://www.collectedstrategies.com/</t>
  </si>
  <si>
    <t xml:space="preserve">CO 2025-08: 10,000 SF partial 10th floor, doubling its footprint, moving from 121 East 24th Street. Homepage lists 60 Madison Ave, 10th Floor. Headcount not found.</t>
  </si>
  <si>
    <t xml:space="preserve">AO-C-163</t>
  </si>
  <si>
    <t xml:space="preserve">Community Healthcare Network (administrative offices)</t>
  </si>
  <si>
    <t xml:space="preserve">https://commercialobserver.com/2025/02/community-healthcare-network-lease-44-west-28th-street/</t>
  </si>
  <si>
    <t xml:space="preserve">44 West 28th Street</t>
  </si>
  <si>
    <t xml:space="preserve">5</t>
  </si>
  <si>
    <t xml:space="preserve">B-C-163</t>
  </si>
  <si>
    <t xml:space="preserve">https://www.chnnyc.org</t>
  </si>
  <si>
    <t xml:space="preserve">nonprofit health services (administration)</t>
  </si>
  <si>
    <t xml:space="preserve">B-B-075</t>
  </si>
  <si>
    <t xml:space="preserve">44 West 28th Street (Stellar Management)</t>
  </si>
  <si>
    <t xml:space="preserve">2025-02-04</t>
  </si>
  <si>
    <t xml:space="preserve">https://www.chnnyc.org/contact/</t>
  </si>
  <si>
    <t xml:space="preserve">12,083 sf</t>
  </si>
  <si>
    <t xml:space="preserve">10-year 12,083 SF lease on full 5th floor for administrative offices (not a clinic), per CO 2025-02-04. CHN contact page lists Admin Office Address 44 W 28th Street, 5th Floor. Headcount not found.</t>
  </si>
  <si>
    <t xml:space="preserve">AO-W-013</t>
  </si>
  <si>
    <t xml:space="preserve">Cure, 345 Park Avenue South</t>
  </si>
  <si>
    <t xml:space="preserve">Tuesday headcount unknown (no sourced count), coworking operator site (one office if it controls the pantry), no attendance signal, open at a high-confidence address; contacts not researched yet (below the top 50).</t>
  </si>
  <si>
    <t xml:space="preserve">https://wewillcure.com/community/residents</t>
  </si>
  <si>
    <t xml:space="preserve">345 Park Avenue South, New York, NY 10010</t>
  </si>
  <si>
    <t xml:space="preserve">open</t>
  </si>
  <si>
    <t xml:space="preserve">coworking-operator</t>
  </si>
  <si>
    <t xml:space="preserve">B-W-013</t>
  </si>
  <si>
    <t xml:space="preserve">https://wewillcure.com</t>
  </si>
  <si>
    <t xml:space="preserve">coworking operator</t>
  </si>
  <si>
    <t xml:space="preserve">n/a (operator site)</t>
  </si>
  <si>
    <t xml:space="preserve">Cure (Cure Experience Services, LLC; Deerfield-affiliated)</t>
  </si>
  <si>
    <t xml:space="preserve">B-B-058</t>
  </si>
  <si>
    <t xml:space="preserve">345 Park Avenue South (Deerfield Management; home of Cure)</t>
  </si>
  <si>
    <t xml:space="preserve">operator-site</t>
  </si>
  <si>
    <t xml:space="preserve">https://en.wikipedia.org/wiki/Deerfield_Management</t>
  </si>
  <si>
    <t xml:space="preserve">operator</t>
  </si>
  <si>
    <t xml:space="preserve">Coworking site: member headcount not sourced; treat as one office if the operator controls the pantry and ask the Tuesday count at intake.</t>
  </si>
  <si>
    <t xml:space="preserve">Healthcare innovation hub with a 'Collaboration Residency', hot desks, labs and offices. Footer: '(c) 2026 Cure Experience Services, LLC'. Residents listed include Deerfield Management Company, Lexeo Therapeutics and Insilico Medicine (flagged in_coworking = Y) and Advancium, ANVIA, Apertura, Ascertain, Buckle Therapeutics, CobiCure, Concerto Care, Deerfield Catalyst, Helaina, Hop Labs, Panacea Capital, Plum Alley Ventures, Protara, Sparian, Wandercraft (not recorded as rows). Address: the site's Facebook link 'CureAt345ParkAveSouth' and S3's building research; Wikipedia gives Deerfield's HQ and building purchase at 345 PAS. A healthcare audience may have food-policy limits near labs: ask. | pantry_control=operator (https://wewillcure.com/community/residents); exclusive food contract signal: operator-run cafe (NaCl Cafe per S3); whether outside snacks need operator approval is not sourced; ask at intake</t>
  </si>
  <si>
    <t xml:space="preserve">AO-C-053</t>
  </si>
  <si>
    <t xml:space="preserve">Extend AI</t>
  </si>
  <si>
    <t xml:space="preserve">New or renewed lease at 119 Fifth Avenue reported 2026-08-07</t>
  </si>
  <si>
    <t xml:space="preserve">https://commercialobserver.com/2026/08/extend-ai-lease-119-fifth-avenue/</t>
  </si>
  <si>
    <t xml:space="preserve">119 Fifth Avenue</t>
  </si>
  <si>
    <t xml:space="preserve">B-C-053</t>
  </si>
  <si>
    <t xml:space="preserve">https://www.extend.ai</t>
  </si>
  <si>
    <t xml:space="preserve">software (AI document processing)</t>
  </si>
  <si>
    <t xml:space="preserve">B-B-024</t>
  </si>
  <si>
    <t xml:space="preserve">https://www.extend.ai/</t>
  </si>
  <si>
    <t xml:space="preserve">8,750 sf</t>
  </si>
  <si>
    <t xml:space="preserve">Full 6th floor, 8,750 sf, relocating from 135 W 29th St. Company site structured data lists 119 5th Av FL 6. Not the same company as Built In's 'Extend' (extend.com, warranties). Review round 2: corner lot: the lot-centroid pin sat 17 m from E 19 ST but 37 m from 5 AVE, so it was moved to the 5 AVE frontage near the corner (17 m from the 5 AVE centreline, 26 m from E 19 ST; 22 m from the old pin). Tax lot unchanged. Review round 3: the pin sat 3.7 m outside its own tax lot (NYC MapPLUTO (Department of City Planning) tax-lot polygons), so it was moved to the middle of the lot's 16 m 5 AVE frontage, 3 m inside the lot line (11 m from the old pin). Tax lot unchanged.</t>
  </si>
  <si>
    <t xml:space="preserve">AO-C-165</t>
  </si>
  <si>
    <t xml:space="preserve">FCA (architecture and design)</t>
  </si>
  <si>
    <t xml:space="preserve">https://commercialobserver.com/2025/02/fca-lease-261-fifth-avenue/</t>
  </si>
  <si>
    <t xml:space="preserve">4 (Suite 408)</t>
  </si>
  <si>
    <t xml:space="preserve">B-C-165</t>
  </si>
  <si>
    <t xml:space="preserve">https://www.fcarchitects.com</t>
  </si>
  <si>
    <t xml:space="preserve">architecture and interior design</t>
  </si>
  <si>
    <t xml:space="preserve">Philadelphia</t>
  </si>
  <si>
    <t xml:space="preserve">2025-02-25</t>
  </si>
  <si>
    <t xml:space="preserve">https://www.fcarchitects.com/contact</t>
  </si>
  <si>
    <t xml:space="preserve">6,015 sf</t>
  </si>
  <si>
    <t xml:space="preserve">6,015 SF on floor 4, moved NYC office from 40 Worth St. Company contact page lists New York office at 261 Fifth Avenue Suite 408 (HQ Philadelphia). Headcount not found. Review round 2: corner lot: the lot-centroid pin sat 24 m from E 29 ST but 39 m from 5 AVE, so it was moved to the 5 AVE frontage near the corner (17 m from the 5 AVE centreline, 27 m from E 29 ST; 23 m from the old pin). Tax lot unchanged.</t>
  </si>
  <si>
    <t xml:space="preserve">AO-C-141</t>
  </si>
  <si>
    <t xml:space="preserve">Full Picture</t>
  </si>
  <si>
    <t xml:space="preserve">https://commercialobserver.com/2026/06/moinian-group-tenex-labs-lease-60-madison-avenue/</t>
  </si>
  <si>
    <t xml:space="preserve">6 per site (CO: part of 11)</t>
  </si>
  <si>
    <t xml:space="preserve">B-C-141</t>
  </si>
  <si>
    <t xml:space="preserve">https://www.fullpicture.com</t>
  </si>
  <si>
    <t xml:space="preserve">communications and brand strategy agency</t>
  </si>
  <si>
    <t xml:space="preserve">https://www.fullpicture.com/</t>
  </si>
  <si>
    <t xml:space="preserve">CO 2026-06-22: 8,000 SF on part of floor 11, relocating from its NYC HQ at 79 Madison Ave. Homepage now lists NEW YORK HQ 60 Madison Ave, 6th Fl, so the move appears done (floor differs from CO; founder to confirm). Also has an LA HQ. Headcount not found.</t>
  </si>
  <si>
    <t xml:space="preserve">AO-W-007</t>
  </si>
  <si>
    <t xml:space="preserve">Industrious 156 5th Ave</t>
  </si>
  <si>
    <t xml:space="preserve">https://www.industriousoffice.com/m/new-york-city</t>
  </si>
  <si>
    <t xml:space="preserve">156 Fifth Avenue, 4th Floor, New York, NY 10010</t>
  </si>
  <si>
    <t xml:space="preserve">4th Floor</t>
  </si>
  <si>
    <t xml:space="preserve">grp-W003-W005-W007-W008-W014-W016-W027</t>
  </si>
  <si>
    <t xml:space="preserve">B-W-007</t>
  </si>
  <si>
    <t xml:space="preserve">https://www.industriousoffice.com</t>
  </si>
  <si>
    <t xml:space="preserve">Industrious</t>
  </si>
  <si>
    <t xml:space="preserve">https://commercialobserver.com/2026/03/industrious-leases-110-east-42nd-street/</t>
  </si>
  <si>
    <t xml:space="preserve">New: Industrious NYC index lists it with 'Founding Member Discounts Available'. Independent: Commercial Observer 2026-03-19 (https://commercialobserver.com/2026/03/industrious-leases-110-east-42nd-street/) says a 24,500 sf, 202-seat location here 'will open in July'. Pantry text is Industrious brand-standard copy served on the location page: 'Daily breakfast, ample snacks' and 'Bottomless craft coffee, tea, and sparkling water'; location-specific supplier unknown. Fifth Ave at 20th St. Review round 2: corner lot: the lot-centroid pin sat 16 m from W 20 ST but 53 m from 5 AVE, so it was moved to the 5 AVE frontage near the corner (17 m from the 5 AVE centreline, 26 m from W 20 ST; 37 m from the old pin). Tax lot unchanged. | pantry_control=operator (https://www.industriousoffice.com/locations/156-5th-avenue-4th-floor-new-york); exclusive food contract signal: none found</t>
  </si>
  <si>
    <t xml:space="preserve">parent 'industrious' shared with AO-W-016, AO-W-008, AO-W-014, AO-W-005, AO-W-003, AO-W-027</t>
  </si>
  <si>
    <t xml:space="preserve">AO-W-016</t>
  </si>
  <si>
    <t xml:space="preserve">Industrious 386 Park Ave S</t>
  </si>
  <si>
    <t xml:space="preserve">386 Park Avenue South, 18th Floor, New York, NY 10016</t>
  </si>
  <si>
    <t xml:space="preserve">18th Floor</t>
  </si>
  <si>
    <t xml:space="preserve">B-W-016</t>
  </si>
  <si>
    <t xml:space="preserve">https://commercialobserver.com/2026/02/industrious-lease-386-park-avenue-south/</t>
  </si>
  <si>
    <t xml:space="preserve">Index lists 'Now Open!'. Pantry text is brand-standard copy ('Daily breakfast, ample snacks'; 'craft coffee, tea, and sparkling water'). Park Ave S at 27th St. Independent: Commercial Observer 2026-02-24 (https://commercialobserver.com/2026/02/industrious-lease-386-park-avenue-south/): 23,000 sf, entire 18th and 19th floors, space for 160 workers.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 | pantry_control=operator (https://www.industriousoffice.com/locations/386-park-avenue-south-18th-floor-new-york); exclusive food contract signal: none found</t>
  </si>
  <si>
    <t xml:space="preserve">parent 'industrious' shared with AO-W-007, AO-W-008, AO-W-014, AO-W-005, AO-W-003, AO-W-027</t>
  </si>
  <si>
    <t xml:space="preserve">AO-W-008</t>
  </si>
  <si>
    <t xml:space="preserve">Industrious 902 Broadway</t>
  </si>
  <si>
    <t xml:space="preserve">902 Broadway, 7th Floor, New York, NY 10010</t>
  </si>
  <si>
    <t xml:space="preserve">7th Floor</t>
  </si>
  <si>
    <t xml:space="preserve">B-W-008</t>
  </si>
  <si>
    <t xml:space="preserve">https://www.connectcre.com/stories/industrious-commits-to-full-floor-space-in-flatiron-district/</t>
  </si>
  <si>
    <t xml:space="preserve">Index lists 'Now Open!'. Independent: Connect CRE 2026-02-13 (https://www.connectcre.com/stories/industrious-commits-to-full-floor-space-in-flatiron-district/) reports Industrious leasing the full 7th floor, 18,200 sf. Pantry text is brand-standard copy. Broadway at 20th St. Review round 2: corner lot: the lot-centroid pin sat 27 m from E 20 ST but 31 m from BROADWAY, so it was moved to the BROADWAY frontage near the corner (15 m from the BROADWAY centreline, 27 m from E 20 ST; 16 m from the old pin). Tax lot unchanged. | pantry_control=operator (https://www.industriousoffice.com/locations/902-broadway-7th-floor-new-york); exclusive food contract signal: none found</t>
  </si>
  <si>
    <t xml:space="preserve">parent 'industrious' shared with AO-W-007, AO-W-016, AO-W-014, AO-W-005, AO-W-003, AO-W-027</t>
  </si>
  <si>
    <t xml:space="preserve">AO-W-014</t>
  </si>
  <si>
    <t xml:space="preserve">Industrious NoMad</t>
  </si>
  <si>
    <t xml:space="preserve">776A Sixth Avenue, New York, NY 10001</t>
  </si>
  <si>
    <t xml:space="preserve">B-W-014</t>
  </si>
  <si>
    <t xml:space="preserve">Index lists '3rd Floor Now Open!' (floors 2 and 3). Independent: Commercial Observer 2026-03-19 reports expansion by 24,000 sf to 49,000 sf and 332 seats. Pantry text is brand-standard copy ('Daily breakfast, ample snacks'; 'craft coffee, tea, and sparkling water'). East side of Sixth Ave at 26th-27th St, on the box's west edge. CO 2026-03-19 URL confirmed on 2026-10-24: https://commercialobserver.com/2026/03/industrious-leases-110-east-42nd-street/ ('At J.P. Morgan Investment Management's 776 Avenue of the Americas, Industrious plans to grow by 24,000 square feet'). | pantry_control=operator (https://www.industriousoffice.com/locations/776-6th-avenue-2nd-floor-new-york); exclusive food contract signal: none found</t>
  </si>
  <si>
    <t xml:space="preserve">parent 'industrious' shared with AO-W-007, AO-W-016, AO-W-008, AO-W-005, AO-W-003, AO-W-027</t>
  </si>
  <si>
    <t xml:space="preserve">AO-W-005</t>
  </si>
  <si>
    <t xml:space="preserve">Industrious Union Square on Park</t>
  </si>
  <si>
    <t xml:space="preserve">215 Park Avenue South, 11th Floor, New York, NY 10003</t>
  </si>
  <si>
    <t xml:space="preserve">11th Floor</t>
  </si>
  <si>
    <t xml:space="preserve">B-W-005</t>
  </si>
  <si>
    <t xml:space="preserve">Listed on Industrious NYC index. Pantry text is brand-standard copy ('Daily breakfast, ample snacks'; 'craft coffee, tea, and sparkling water'). Park Ave S at 17th-18th St. Independent: Deskpass NYC index lists 'Industrious - Union Square on Park: 215 Park Avenue South, 11th Floor' (https://www.deskpass.com/us-en/ny/new-york-city). Industrious holds three floors (51,765 sf, to 2035, per the 215 PAS rent roll cited by S1). The 215 PAS company rows are direct leases on that rent roll, so they are not Industrious members. Review round 3: Deskpass is an operator-written listing, so it no longer counts as the independent source. The independent source is now the 215 Park Avenue South CMBS prospectus rent roll (sec.gov, 2026-02-05, cited by research slice S1): Industrious holds three floors, 51,765 sf, to 2035. The row stays high.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 | pantry_control=operator (https://www.industriousoffice.com/locations/215-park-avenue-south-11th-floor); exclusive food contract signal: none found</t>
  </si>
  <si>
    <t xml:space="preserve">parent 'industrious' shared with AO-W-007, AO-W-016, AO-W-008, AO-W-014, AO-W-003, AO-W-027</t>
  </si>
  <si>
    <t xml:space="preserve">AO-C-170</t>
  </si>
  <si>
    <t xml:space="preserve">Innovant</t>
  </si>
  <si>
    <t xml:space="preserve">https://commercialobserver.com/2023/06/innovant-440-park-avenue-south-nomad/</t>
  </si>
  <si>
    <t xml:space="preserve">B-C-170</t>
  </si>
  <si>
    <t xml:space="preserve">https://innovant.com</t>
  </si>
  <si>
    <t xml:space="preserve">office furniture manufacturer (showroom and offices)</t>
  </si>
  <si>
    <t xml:space="preserve">2023-06-23</t>
  </si>
  <si>
    <t xml:space="preserve">https://innovant.com/contact-us/</t>
  </si>
  <si>
    <t xml:space="preserve">11,120 sf</t>
  </si>
  <si>
    <t xml:space="preserve">Contact page lists New York at 440 Park Ave South, 9th Floor. CO 2023: seven-year deal for 11,120 SF showroom and offices on the full 9th floor. Showroom plus offices; headcount not found. Review round 2: corner lot: the lot-centroid pin sat 23 m from E 30 ST but 24 m from PARK AVE S, so it was moved to the PARK AVE S frontage near the corner (13 m from the PARK AVE S centreline, 27 m from E 30 ST; 12 m from the old pin). Tax lot unchanged.</t>
  </si>
  <si>
    <t xml:space="preserve">AO-C-029</t>
  </si>
  <si>
    <t xml:space="preserve">LUMA Partners</t>
  </si>
  <si>
    <t xml:space="preserve">https://www.lumapartners.com/contact</t>
  </si>
  <si>
    <t xml:space="preserve">B-C-029</t>
  </si>
  <si>
    <t xml:space="preserve">https://www.lumapartners.com</t>
  </si>
  <si>
    <t xml:space="preserve">investment banking (digital media and marketing tech)</t>
  </si>
  <si>
    <t xml:space="preserve">Contact page: '101 Fifth Avenue 9th Floor New York NY 10003'. CO 2025-08-04 lists LUMA Partners as a 101 Fifth Ave tenant. Headcount not found. Review round 2: corner lot: the lot-centroid pin sat 27 m from E 17 ST but 30 m from 5 AVE, so it was moved to the 5 AVE frontage near the corner (17 m from the 5 AVE centreline, 27 m from E 17 ST; 13 m from the old pin). Tax lot unchanged.</t>
  </si>
  <si>
    <t xml:space="preserve">AO-C-148</t>
  </si>
  <si>
    <t xml:space="preserve">Lee &amp; Low Books</t>
  </si>
  <si>
    <t xml:space="preserve">https://www.leeandlow.com/about/</t>
  </si>
  <si>
    <t xml:space="preserve">381 Park Avenue South</t>
  </si>
  <si>
    <t xml:space="preserve">14 (Room 1401)</t>
  </si>
  <si>
    <t xml:space="preserve">B-C-148</t>
  </si>
  <si>
    <t xml:space="preserve">https://www.leeandlow.com</t>
  </si>
  <si>
    <t xml:space="preserve">book publishing (children's)</t>
  </si>
  <si>
    <t xml:space="preserve">B-B-068</t>
  </si>
  <si>
    <t xml:space="preserve">381 Park Avenue South (Olmstead Properties and Vertex)</t>
  </si>
  <si>
    <t xml:space="preserve">https://commercialobserver.com/2024/04/publisher-lee-low-moving-offices-to-6k-sf-at-381-park-avenue-south/</t>
  </si>
  <si>
    <t xml:space="preserve">2024-04-25</t>
  </si>
  <si>
    <t xml:space="preserve">5,844 sf</t>
  </si>
  <si>
    <t xml:space="preserve">Site footer lists 381 Park Ave S, Room 1401. CO 2024: three-year 5,844 SF lease on floor 14 (so term may end around 2027). Headcount not found.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</si>
  <si>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AO-C-004</t>
  </si>
  <si>
    <t xml:space="preserve">Lepercq de Neuflize &amp; Co.</t>
  </si>
  <si>
    <t xml:space="preserve">https://www.lepercq.com/</t>
  </si>
  <si>
    <t xml:space="preserve">B-C-004</t>
  </si>
  <si>
    <t xml:space="preserve">https://www.lepercq.com</t>
  </si>
  <si>
    <t xml:space="preserve">investment management</t>
  </si>
  <si>
    <t xml:space="preserve">7,563 sf</t>
  </si>
  <si>
    <t xml:space="preserve">853 Broadway sits on the south side of 14th St (same tax block as Whole Foods Union Sq), so margin. Site footer: 853 Broadway, New York, NY 10003. NYREJ 2025-04-08: expanded to the full 16th floor, 7,563 sf, 10-year term. Headcount not sourced (no Built In total, no company figure); founder to confirm at intake.</t>
  </si>
  <si>
    <t xml:space="preserve">AO-W-010</t>
  </si>
  <si>
    <t xml:space="preserve">NeueHouse Madison Square</t>
  </si>
  <si>
    <t xml:space="preserve">https://nyrej.com/print/57154</t>
  </si>
  <si>
    <t xml:space="preserve">110 East 25th Street, New York, NY 10010</t>
  </si>
  <si>
    <t xml:space="preserve">B-W-010</t>
  </si>
  <si>
    <t xml:space="preserve">https://nyrej.com</t>
  </si>
  <si>
    <t xml:space="preserve">Convene Hospitality Group (NeueHouse)</t>
  </si>
  <si>
    <t xml:space="preserve">B-B-055</t>
  </si>
  <si>
    <t xml:space="preserve">104 East 25th Street (Williams Equities; NeueHouse Madison Square)</t>
  </si>
  <si>
    <t xml:space="preserve">2026-03-10</t>
  </si>
  <si>
    <t xml:space="preserve">https://www.neuehouse.com/private-events/madison-square/</t>
  </si>
  <si>
    <t xml:space="preserve">NYREJ 2026-03-10: Convene Hospitality Group completed its acquisition of NeueHouse, including operations of the Madison Square location at 110 E 25th St. Operator page footer reads 'A CHG Venue' and lists 'Restaurant &amp; Bar' and 'Gallery Bar: Full Service Restaurant &amp; Bar'. This is the only Convene-run workplace found inside the margin. Members club format, so mixed-company membership. Between Park Ave S and Lexington Ave. Address conflict carried: Williams Equities' building page (S3, opened 2026-10-23) places NeueHouse at 104 East 25th Street; the NYREJ acquisition item and the operator page use 110 East 25th Street. Both numbers are on the same tax lot (BBL 1008800084), so the pin holds. | pantry_control=operator (https://www.neuehouse.com/private-events/madison-square/); exclusive food contract signal: in-house full-service restaurant and bar (Gallery Bar) run by the house; whether outside food needs operator approval is not sourced; ask at intake</t>
  </si>
  <si>
    <t xml:space="preserve">AO-C-125</t>
  </si>
  <si>
    <t xml:space="preserve">OTTO Brand Lab</t>
  </si>
  <si>
    <t xml:space="preserve">https://ottobrandlab.com/contact</t>
  </si>
  <si>
    <t xml:space="preserve">25 West 26th Street</t>
  </si>
  <si>
    <t xml:space="preserve">7</t>
  </si>
  <si>
    <t xml:space="preserve">B-C-125</t>
  </si>
  <si>
    <t xml:space="preserve">https://ottobrandlab.com</t>
  </si>
  <si>
    <t xml:space="preserve">brand strategy agency</t>
  </si>
  <si>
    <t xml:space="preserve">B-B-061</t>
  </si>
  <si>
    <t xml:space="preserve">https://commercialobserver.com/2022/10/otto-brand-labs-takes-5k-sf-at-25-west-26th-street/</t>
  </si>
  <si>
    <t xml:space="preserve">2022-10-02</t>
  </si>
  <si>
    <t xml:space="preserve">5,000 sf</t>
  </si>
  <si>
    <t xml:space="preserve">Contact page lists main location 25 W 26th St, 7th Fl. CO 2022: 5,000 SF top floor. Headcount not sourced (no Built In total, no company figure); founder to confirm at intake.</t>
  </si>
  <si>
    <t xml:space="preserve">AO-C-057</t>
  </si>
  <si>
    <t xml:space="preserve">Pentagram</t>
  </si>
  <si>
    <t xml:space="preserve">https://www.pentagram.com/contact</t>
  </si>
  <si>
    <t xml:space="preserve">250 Park Avenue South</t>
  </si>
  <si>
    <t xml:space="preserve">B-C-057</t>
  </si>
  <si>
    <t xml:space="preserve">https://www.pentagram.com</t>
  </si>
  <si>
    <t xml:space="preserve">design consultancy</t>
  </si>
  <si>
    <t xml:space="preserve">B-B-028</t>
  </si>
  <si>
    <t xml:space="preserve">250 Park Avenue South (Feil Organization)</t>
  </si>
  <si>
    <t xml:space="preserve">https://commercialobserver.com/2026/01/hex-technologies-lease-feil-250-park-avenue-south/</t>
  </si>
  <si>
    <t xml:space="preserve">2026-01-09</t>
  </si>
  <si>
    <t xml:space="preserve">Contact page lists Pentagram New York at 250 Park Avenue South; CO names Pentagram Design as a current tenant. Global firm with several offices; no sourced headcount found.</t>
  </si>
  <si>
    <t xml:space="preserve">AO-C-071</t>
  </si>
  <si>
    <t xml:space="preserve">Phipps Houses</t>
  </si>
  <si>
    <t xml:space="preserve">https://www.phippsny.org/contact-us/</t>
  </si>
  <si>
    <t xml:space="preserve">11-12, 15</t>
  </si>
  <si>
    <t xml:space="preserve">B-C-071</t>
  </si>
  <si>
    <t xml:space="preserve">https://www.phippsny.org</t>
  </si>
  <si>
    <t xml:space="preserve">nonprofit affordable housing developer</t>
  </si>
  <si>
    <t xml:space="preserve">https://commercialobserver.com/2024/07/phipps-houses-feil-organization-257-park-avenue-south/</t>
  </si>
  <si>
    <t xml:space="preserve">2024-07-31</t>
  </si>
  <si>
    <t xml:space="preserve">38,862 sf</t>
  </si>
  <si>
    <t xml:space="preserve">Contact page lists 257 Park Avenue South, 12th Floor; CO July 2024 reported a 32-year, 38,862 sf HQ lease on floors 11, 12 and 15 (relocated from 902 Broadway). Headcount not sourced.</t>
  </si>
  <si>
    <t xml:space="preserve">AO-C-115</t>
  </si>
  <si>
    <t xml:space="preserve">Polar Asset Management Partners</t>
  </si>
  <si>
    <t xml:space="preserve">New or renewed lease at 41 Madison Avenue reported 2026-05-04</t>
  </si>
  <si>
    <t xml:space="preserve">https://commercialobserver.com/2026/05/polar-asset-management-partners-lease-rudin-41-madison-avenue/</t>
  </si>
  <si>
    <t xml:space="preserve">2026-05-04</t>
  </si>
  <si>
    <t xml:space="preserve">41 Madison Avenue</t>
  </si>
  <si>
    <t xml:space="preserve">36 (per site); moving to 33</t>
  </si>
  <si>
    <t xml:space="preserve">B-C-115</t>
  </si>
  <si>
    <t xml:space="preserve">https://polaramp.com</t>
  </si>
  <si>
    <t xml:space="preserve">alternative asset management</t>
  </si>
  <si>
    <t xml:space="preserve">B-B-057</t>
  </si>
  <si>
    <t xml:space="preserve">41 Madison Avenue (Rudin)</t>
  </si>
  <si>
    <t xml:space="preserve">https://polaramp.com/contact</t>
  </si>
  <si>
    <t xml:space="preserve">https://www.metro-manhattan.com/buildings/41-madison-avenue-forty-one-madison-office-space/</t>
  </si>
  <si>
    <t xml:space="preserve">9,848 sf;13,357 sf</t>
  </si>
  <si>
    <t xml:space="preserve">Toronto-based; CO 2026-05: occupies 9,848 SF across two floors and renewing for 11 years into the full 33rd floor (13,357 SF). Contact page lists New York at 41 Madison Avenue 36th Floor. NYC headcount not found. Review round 2: corner lot: the lot-centroid pin sat 30 m from E 26 ST but 44 m from MADISON AVE, so it was moved to the MADISON AVE frontage near the corner (16 m from the MADISON AVE centreline, 30 m from E 26 ST; 29 m from the old pin). Tax lot unchanged.</t>
  </si>
  <si>
    <t xml:space="preserve">AO-C-122</t>
  </si>
  <si>
    <t xml:space="preserve">Rogo</t>
  </si>
  <si>
    <t xml:space="preserve">https://rogo.com/legal/privacy-policy</t>
  </si>
  <si>
    <t xml:space="preserve">7 plus second full floor (46,000 sf)</t>
  </si>
  <si>
    <t xml:space="preserve">B-C-122</t>
  </si>
  <si>
    <t xml:space="preserve">https://rogo.com/</t>
  </si>
  <si>
    <t xml:space="preserve">Software (AI for financial services)</t>
  </si>
  <si>
    <t xml:space="preserve">46,000 sf</t>
  </si>
  <si>
    <t xml:space="preserve">Company privacy policy and terms (live) give 360 Park Avenue South, Floor 7. CO Sep 2026: doubled HQ to 46,000 sf; Empire State Development announcement (June 2026, cited by CO) ties the expansion to 422 new jobs, which is a hiring plan, not a headcount. Built In 'rogo' is a different company (Indiana), not used. Review round 2: corner lot: the lot-centroid pin sat 22 m from E 26 ST but 36 m from PARK AVE S, so it was moved to the PARK AVE S frontage near the corner (13 m from the PARK AVE S centreline, 27 m from E 26 ST; 23 m from the old pin). Tax lot unchanged.</t>
  </si>
  <si>
    <t xml:space="preserve">AO-C-043</t>
  </si>
  <si>
    <t xml:space="preserve">SEIU 32BJ and 32BJ Benefit Funds</t>
  </si>
  <si>
    <t xml:space="preserve">https://www.seiu32bj.org/contact-us/</t>
  </si>
  <si>
    <t xml:space="preserve">25 West 18th Street</t>
  </si>
  <si>
    <t xml:space="preserve">B-C-043</t>
  </si>
  <si>
    <t xml:space="preserve">https://www.seiu32bj.org</t>
  </si>
  <si>
    <t xml:space="preserve">labor union (headquarters)</t>
  </si>
  <si>
    <t xml:space="preserve">https://32bjfunds.org/contact-us/</t>
  </si>
  <si>
    <t xml:space="preserve">245,000 sf</t>
  </si>
  <si>
    <t xml:space="preserve">Contact page: 'Manhattan Office and Union Headquarters 25 West 18th Street New York, NY 10011'. This is the 18th St side of the 620 Avenue of the Americas building (Siegel-Cooper, 18th-19th, so margin). CO 2024-09: moved into 245,000 sf there in 2010, owns six condos, and signed a 20-year ground-floor expansion. Staff headcount unknown; the union represents thousands of building workers (members, not staff). | Assembly 2026-10-24: Merged at assembly: S1 found the union HQ and S2 found the related Benefit Funds at the same address and tax lot (25 W 18th St = 620 Avenue of the Americas lot, BBL 1008207505). Treated as one pantry contact until the walk or a call shows two separate offices. Sources: union contact page (seiu32bj.org, opened 2026-10-23), funds contact page (32bjfunds.org, opened 2026-10-23), CO 2024-09 (moved into 245,000 sf in 2010; ground-floor expansion). Staff count not published; the union's members are building workers, not office staff.</t>
  </si>
  <si>
    <t xml:space="preserve">AO-C-145</t>
  </si>
  <si>
    <t xml:space="preserve">SL Home Fashions</t>
  </si>
  <si>
    <t xml:space="preserve">https://commercialobserver.com/2024/10/sl-home-fashions-lease-230-fifth-avenue/</t>
  </si>
  <si>
    <t xml:space="preserve">230 Fifth Avenue</t>
  </si>
  <si>
    <t xml:space="preserve">14 (Suite 1411)</t>
  </si>
  <si>
    <t xml:space="preserve">B-C-145</t>
  </si>
  <si>
    <t xml:space="preserve">https://slhomefashions.com</t>
  </si>
  <si>
    <t xml:space="preserve">home textiles (office and showroom)</t>
  </si>
  <si>
    <t xml:space="preserve">Vernon, CA</t>
  </si>
  <si>
    <t xml:space="preserve">B-B-067</t>
  </si>
  <si>
    <t xml:space="preserve">230 Fifth Avenue (New York MarketCenter, GFP Real Estate)</t>
  </si>
  <si>
    <t xml:space="preserve">2024-10-09</t>
  </si>
  <si>
    <t xml:space="preserve">https://slhomefashions.com/contact/</t>
  </si>
  <si>
    <t xml:space="preserve">10,176 sf</t>
  </si>
  <si>
    <t xml:space="preserve">CO 2024-10-09: six-year renewal and expansion to 10,176 SF on floor 14 (office and showroom since 2013). Contact page lists New York Office at 230 Fifth Ave. Suite 1411 (HQ Vernon CA). Showroom-heavy office; headcount not found. Pin moved to frontage at review round 1: the lot-centroid pin failed the block-face test (59 m from 5 AVE but 38 m from BROADWAY); pin moved to frontage: the lot's position along 5 AVE kept, set 25 m from the centreline on the side CSCL gives house number 230 (34 m from the old pin). Tax lot unchanged. New pin: 25 m from 5 AVE, 70 m from BROADWAY. Review round 2: corner lot: the lot-centroid pin sat 22 m from W 27 ST but 25 m from 5 AVE, so it was moved to the 5 AVE frontage near the corner (17 m from the 5 AVE centreline, 26 m from W 27 ST; 9 m from the old pin). Tax lot unchanged.</t>
  </si>
  <si>
    <t xml:space="preserve">AO-C-011</t>
  </si>
  <si>
    <t xml:space="preserve">Senator Investment Group</t>
  </si>
  <si>
    <t xml:space="preserve">https://www.senatorlp.com/</t>
  </si>
  <si>
    <t xml:space="preserve">20</t>
  </si>
  <si>
    <t xml:space="preserve">B-C-011</t>
  </si>
  <si>
    <t xml:space="preserve">https://www.senatorlp.com</t>
  </si>
  <si>
    <t xml:space="preserve">investment management (hedge fund)</t>
  </si>
  <si>
    <t xml:space="preserve">https://commercialobserver.com/2024/08/senator-investment-group-lease-zero-irving/</t>
  </si>
  <si>
    <t xml:space="preserve">2024-08</t>
  </si>
  <si>
    <t xml:space="preserve">12,455 sf;240,000 sf</t>
  </si>
  <si>
    <t xml:space="preserve">Site: '124 E. 14th Street 20th Floor New York, NY 10003'. CO 2024-08: 12,455 sf lease that filled the 240,000 sf building. Headcount not found. Margin: south side of 14th between Irving Pl and Third Ave.</t>
  </si>
  <si>
    <t xml:space="preserve">AO-C-116</t>
  </si>
  <si>
    <t xml:space="preserve">TenBerke (formerly Deborah Berke Partners)</t>
  </si>
  <si>
    <t xml:space="preserve">https://tenberke.com/contact/</t>
  </si>
  <si>
    <t xml:space="preserve">B-C-116</t>
  </si>
  <si>
    <t xml:space="preserve">https://tenberke.com</t>
  </si>
  <si>
    <t xml:space="preserve">https://commercialobserver.com/2022/12/deborah-berke-takes-13k-sf-at-41-madison-avenue/</t>
  </si>
  <si>
    <t xml:space="preserve">13,331 sf</t>
  </si>
  <si>
    <t xml:space="preserve">Contact page lists 41 Madison Avenue, 17th Floor. CO 2022: 10-year 13,331 SF lease on full 17th floor. Headcount not found. Review round 2: corner lot: the lot-centroid pin sat 30 m from E 26 ST but 44 m from MADISON AVE, so it was moved to the MADISON AVE frontage near the corner (16 m from the MADISON AVE centreline, 30 m from E 26 ST; 29 m from the old pin). Tax lot unchanged.</t>
  </si>
  <si>
    <t xml:space="preserve">AO-W-006</t>
  </si>
  <si>
    <t xml:space="preserve">The Malin Flatiron</t>
  </si>
  <si>
    <t xml:space="preserve">https://rebusinessonline.com/the-malin-opens-32700-sf-coworking-space-in-manhattans-flatiron-district/</t>
  </si>
  <si>
    <t xml:space="preserve">895 Broadway, 5th Floor, New York, NY 10003</t>
  </si>
  <si>
    <t xml:space="preserve">5th Floor</t>
  </si>
  <si>
    <t xml:space="preserve">grp-W006-W017</t>
  </si>
  <si>
    <t xml:space="preserve">B-W-006</t>
  </si>
  <si>
    <t xml:space="preserve">https://rebusinessonline.com</t>
  </si>
  <si>
    <t xml:space="preserve">The Malin</t>
  </si>
  <si>
    <t xml:space="preserve">B-B-027</t>
  </si>
  <si>
    <t xml:space="preserve">Equinox Building</t>
  </si>
  <si>
    <t xml:space="preserve">2025-06-19</t>
  </si>
  <si>
    <t xml:space="preserve">https://commercialobserver.com/2024/11/the-malin-lease-895-broadway</t>
  </si>
  <si>
    <t xml:space="preserve">REBusiness 2025-06-19: opened 32,700 sf over two floors at 895 Broadway (Equinox building). Commercial Observer 2024-11 reported the lease (https://commercialobserver.com/2024/11/the-malin-lease-895-broadway). Deskpass listing (active, updated 2026-10-19) tags 'Snacks Available', 'Complimentary Coffee &amp; Tea', 'Shared Kitchen'. Operator site themalin.co could not be opened from this environment. Broadway at 19th-20th St. Review round 2: corner lot: the lot-centroid pin sat 28 m from E 20 ST but 34 m from BROADWAY, so it was moved to the BROADWAY frontage near the corner (15 m from the BROADWAY centreline, 26 m from E 20 ST; 19 m from the old pin). Tax lot unchanged. | pantry_control=operator (https://api.deskpass.com/api/spaces/the-malin-flatiron); exclusive food contract signal: none found</t>
  </si>
  <si>
    <t xml:space="preserve">parent 'the malin' shared with AO-W-017</t>
  </si>
  <si>
    <t xml:space="preserve">AO-W-017</t>
  </si>
  <si>
    <t xml:space="preserve">The Malin NoMad</t>
  </si>
  <si>
    <t xml:space="preserve">387 Park Avenue South, 5th Floor, New York, NY 10016</t>
  </si>
  <si>
    <t xml:space="preserve">B-W-017</t>
  </si>
  <si>
    <t xml:space="preserve">https://commercialobserver.com</t>
  </si>
  <si>
    <t xml:space="preserve">2024-11-18</t>
  </si>
  <si>
    <t xml:space="preserve">https://api.deskpass.com/api/spaces/the-malin-nomad</t>
  </si>
  <si>
    <t xml:space="preserve">Commercial Observer 2024-11-18 (opened): The Malin NoMad at 387 Park Ave S was 'opening on Nov. 1'. Independent: Deskpass listing (active, updated 2026-10-19; https://api.deskpass.com/api/spaces/the-malin-nomad) gives the 5th floor at 387 Park Ave S at 27th St, 10 private offices, 18 dedicated desks and a kitchen, tagged 'Snacks Available', 'Complimentary Coffee &amp; Tea'. Operator site could not be opened from this environment. East side of Park Ave S. Review round 2: corner lot: the lot-centroid pin sat 24 m from E 27 ST but 34 m from PARK AVE S, so it was moved to the PARK AVE S frontage near the corner (13 m from the PARK AVE S centreline, 26 m from E 27 ST; 21 m from the old pin). Tax lot unchanged. | pantry_control=operator (https://api.deskpass.com/api/spaces/the-malin-nomad); exclusive food contract signal: none found</t>
  </si>
  <si>
    <t xml:space="preserve">parent 'the malin' shared with AO-W-006</t>
  </si>
  <si>
    <t xml:space="preserve">AO-C-008</t>
  </si>
  <si>
    <t xml:space="preserve">Union Square Hospitality Group</t>
  </si>
  <si>
    <t xml:space="preserve">https://www.ushg.com/contact</t>
  </si>
  <si>
    <t xml:space="preserve">B-C-008</t>
  </si>
  <si>
    <t xml:space="preserve">https://www.ushg.com</t>
  </si>
  <si>
    <t xml:space="preserve">hospitality (restaurant group corporate office)</t>
  </si>
  <si>
    <t xml:space="preserve">https://commercialobserver.com/2018/02/danny-meyers-union-square-hospitality-moving-within-union-square/</t>
  </si>
  <si>
    <t xml:space="preserve">2018-02</t>
  </si>
  <si>
    <t xml:space="preserve">15,000 sf</t>
  </si>
  <si>
    <t xml:space="preserve">Contact page: '853 Broadway, 17th Floor, New York, NY 10003'. CO 2018-02: 15,000 sf on the 17th and 18th floors. Corporate office headcount not sourced; any company-wide count would include restaurant staff, so it would not describe this office. Founder to confirm at intake before treating it as a pantry office. Food business: check for conflicts with snack brands.</t>
  </si>
  <si>
    <t xml:space="preserve">AO-C-073</t>
  </si>
  <si>
    <t xml:space="preserve">Vivaldi</t>
  </si>
  <si>
    <t xml:space="preserve">https://vivaldigroup.com/contact/</t>
  </si>
  <si>
    <t xml:space="preserve">B-C-073</t>
  </si>
  <si>
    <t xml:space="preserve">https://vivaldigroup.com</t>
  </si>
  <si>
    <t xml:space="preserve">brand and business strategy consultancy</t>
  </si>
  <si>
    <t xml:space="preserve">Contact page lists 30 West 21st Street, 12th Floor. CO calls it advertising agency Vivaldi, a tenant of the building.</t>
  </si>
  <si>
    <t xml:space="preserve">AO-C-138</t>
  </si>
  <si>
    <t xml:space="preserve">Warren Equity Partners</t>
  </si>
  <si>
    <t xml:space="preserve">https://commercialobserver.com/2025/06/warren-equity-partners-moving-nyc-hq-to-11-east-26th-street-in-24k-sf-lease/</t>
  </si>
  <si>
    <t xml:space="preserve">19-20</t>
  </si>
  <si>
    <t xml:space="preserve">B-C-138</t>
  </si>
  <si>
    <t xml:space="preserve">https://warrenequity.com</t>
  </si>
  <si>
    <t xml:space="preserve">Jacksonville Beach, FL</t>
  </si>
  <si>
    <t xml:space="preserve">2025-06-25</t>
  </si>
  <si>
    <t xml:space="preserve">https://warrenequity.com/contact-us/</t>
  </si>
  <si>
    <t xml:space="preserve">24,199 sf</t>
  </si>
  <si>
    <t xml:space="preserve">24,199 SF on floors 19-20 (NYC office; HQ is Jacksonville Beach FL). Company contact page lists 'New York, NY 11 East 26th, 19th Floor', so the move appears complete.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</si>
  <si>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AO-C-187</t>
  </si>
  <si>
    <t xml:space="preserve">Acxiom</t>
  </si>
  <si>
    <t xml:space="preserve">Tuesday estimate 128 to 2555 (low confidence), 1,001 to 4,999 staff company-wide, on-site 5 days a week per its profile, occupied at a medium-confidence address; contacts not researched yet (below the top 50).</t>
  </si>
  <si>
    <t xml:space="preserve">https://commercialobserver.com/2025/02/capital-one-expansion-114-fifth-avenue/</t>
  </si>
  <si>
    <t xml:space="preserve">Tuesday estimate band over-500: founder's call (set founder_ok_to_queue = Y to queue)</t>
  </si>
  <si>
    <t xml:space="preserve">114 Fifth Avenue</t>
  </si>
  <si>
    <t xml:space="preserve">B-C-187</t>
  </si>
  <si>
    <t xml:space="preserve">https://www.acxiom.com</t>
  </si>
  <si>
    <t xml:space="preserve">marketing data and technology</t>
  </si>
  <si>
    <t xml:space="preserve">4482</t>
  </si>
  <si>
    <t xml:space="preserve">https://www.builtinnyc.com/company/acxiom</t>
  </si>
  <si>
    <t xml:space="preserve">Conway</t>
  </si>
  <si>
    <t xml:space="preserve">B-B-009</t>
  </si>
  <si>
    <t xml:space="preserve">2025-02</t>
  </si>
  <si>
    <t xml:space="preserve">Built In workplace type: OnSite Workplace; typical time on-site: 5 days a week; recent job tags: 1 In-Office</t>
  </si>
  <si>
    <t xml:space="preserve">https://www.builtinnyc.com/company/acxiom/offices</t>
  </si>
  <si>
    <t xml:space="preserve">4482 (Built In) staff (whole-company count) x 5% to 100% of them in the New York office (HQ outside New York; share assumed) x 57% (Partnership for NYC, all Manhattan firms; no figure for 500 to 4,999) in on a weekday = 128 to 2555, central 572; low confidence; estimate until intake replaces it.</t>
  </si>
  <si>
    <t xml:space="preserve">Near-miss: over 500 (Built In: 4,482 total employees, HQ Conway AR). CO 2025-02 names Acxiom as a 114 Fifth Ave tenant; NYC office size unknown. Review round 2: corner lot: the lot-centroid pin sat 22 m from W 17 ST but 39 m from 5 AVE, so it was moved to the 5 AVE frontage near the corner (17 m from the 5 AVE centreline, 27 m from W 17 ST; 22 m from the old pin). Tax lot unchanged.</t>
  </si>
  <si>
    <t xml:space="preserve">AO-C-184</t>
  </si>
  <si>
    <t xml:space="preserve">Hulu</t>
  </si>
  <si>
    <t xml:space="preserve">Tuesday estimate 81 to 1621 (low confidence), 1,001 to 4,999 staff company-wide with a named parent (Disney), on-site 5 days a week per its profile, occupied at a medium-confidence address; contacts not researched yet (below the top 50).</t>
  </si>
  <si>
    <t xml:space="preserve">B-C-184</t>
  </si>
  <si>
    <t xml:space="preserve">https://www.hulu.com</t>
  </si>
  <si>
    <t xml:space="preserve">streaming media</t>
  </si>
  <si>
    <t xml:space="preserve">2844</t>
  </si>
  <si>
    <t xml:space="preserve">https://www.builtinnyc.com/company/hulu</t>
  </si>
  <si>
    <t xml:space="preserve">Santa Monica</t>
  </si>
  <si>
    <t xml:space="preserve">Disney</t>
  </si>
  <si>
    <t xml:space="preserve">https://www.builtinnyc.com/company/hulu/offices</t>
  </si>
  <si>
    <t xml:space="preserve">2844 (Built In) staff (whole-company count) x 5% to 100% of them in the New York office (HQ outside New York; share assumed) x 57% (Partnership for NYC, all Manhattan firms; no figure for 500 to 4,999) in on a weekday = 81 to 1621, central 362; low confidence; estimate until intake replaces it.</t>
  </si>
  <si>
    <t xml:space="preserve">Near-miss: over 500 (Built In: 2,844 total employees, HQ Santa Monica; part of Disney). CO 2026-08-26 lists Hulu as a 79 Fifth Ave tenant; floor and size not stated. Review round 2: corner lot: the lot-centroid pin sat 25 m from E 16 ST but 39 m from 5 AVE, so it was moved to the 5 AVE frontage near the corner (17 m from the 5 AVE centreline, 27 m from E 16 ST; 23 m from the old pin). Tax lot unchanged.</t>
  </si>
  <si>
    <t xml:space="preserve">AO-C-056</t>
  </si>
  <si>
    <t xml:space="preserve">Hex Technologies</t>
  </si>
  <si>
    <t xml:space="preserve">Tuesday estimate 5 to 155 (low confidence), under 500 staff company-wide, hybrid 2 days or fewer, signed-not-occupied at a medium-confidence address (hold: lease signed, move not confirmed); contacts not researched yet (below the top 50).</t>
  </si>
  <si>
    <t xml:space="preserve">New or renewed lease at 250 Park Avenue South reported 2026-01-09</t>
  </si>
  <si>
    <t xml:space="preserve">B-C-056</t>
  </si>
  <si>
    <t xml:space="preserve">https://hex.tech</t>
  </si>
  <si>
    <t xml:space="preserve">software (data analytics / AI)</t>
  </si>
  <si>
    <t xml:space="preserve">160</t>
  </si>
  <si>
    <t xml:space="preserve">232</t>
  </si>
  <si>
    <t xml:space="preserve">https://www.builtinnyc.com/company/hex</t>
  </si>
  <si>
    <t xml:space="preserve">https://www.reveliolabs.com/companies/hex/employees</t>
  </si>
  <si>
    <t xml:space="preserve">https://nyrej.com/print/57161</t>
  </si>
  <si>
    <t xml:space="preserve">Built In workplace type: Hybrid Workplace; typical time on-site: Flexible (box) but policy text: 2 to 3 days in person (lower figure used); recent job tags: 1 Remote, 2 Hybrid</t>
  </si>
  <si>
    <t xml:space="preserve">https://www.builtinnyc.com/company/hex/offices</t>
  </si>
  <si>
    <t xml:space="preserve">160 (Built In) and 232 (Revelio Labs) staff (whole-company count) x 5% to 100% of them in the New York office (HQ outside New York; share assumed) x 67% (Partnership for NYC, firms under 500) in on a weekday = 5 to 155, central 28; low confidence; estimate until intake replaces it.</t>
  </si>
  <si>
    <t xml:space="preserve">Five-year lease for the full 7th floor signed Jan 2026; NYREJ repeats the same landlord announcement, so treated as one source. Built In offices page (opened 2026-10-23) still lists the prior NYC office at 44 W 18th St (also in this slice). Move-in date not confirmed. Built In shows 160 total employees. | Assembly 2026-10-24: Conflict carried: lease at 250 PAS floor 7 (CO 2026-01-09); Built In still lists 44 W 18th St. Both addresses are inside the boundary. Check the 250 PAS lobby directory on the walk. Review round 2: a second count agrees with the band: Revelio Labs (Hex Technologies, Inc., HQ San Francisco): about 232 employees worldwide as of March 2026.</t>
  </si>
  <si>
    <t xml:space="preserve">AO-C-002</t>
  </si>
  <si>
    <t xml:space="preserve">Casa Komos Brand Group</t>
  </si>
  <si>
    <t xml:space="preserve">Tuesday headcount unknown (no sourced count), company size unknown, no attendance signal, occupied at a medium-confidence address; contacts not researched yet (below the top 50).</t>
  </si>
  <si>
    <t xml:space="preserve">https://commercialobserver.com/2026/01/perplexity-lease-841-broadway-union-square/</t>
  </si>
  <si>
    <t xml:space="preserve">2; part of 9</t>
  </si>
  <si>
    <t xml:space="preserve">B-C-002</t>
  </si>
  <si>
    <t xml:space="preserve">consumer beverage brand (tequila)</t>
  </si>
  <si>
    <t xml:space="preserve">https://commercialobserver.com/2024/02/tequila-brand-casa-komos-moving-offices-to-10k-sf-at-853-broadway/</t>
  </si>
  <si>
    <t xml:space="preserve">2024-02</t>
  </si>
  <si>
    <t xml:space="preserve">10,300 sf</t>
  </si>
  <si>
    <t xml:space="preserve">CO 2024-02: 10-year 10,300 sf office lease on the 2nd floor and part of the 9th. CO 2026-01-27 lists Casa Komos as a current tenant across 841-853 Broadway. Alcohol company: fine as an office host, never as a brand on this programme (alcohol is excluded). Company site failed TLS; headcount unknown. | Assembly 2026-10-24: Confidence lowered at assembly from high to medium: second source is the same publisher or missing.</t>
  </si>
  <si>
    <t xml:space="preserve">AO-C-154</t>
  </si>
  <si>
    <t xml:space="preserve">Christian Louboutin</t>
  </si>
  <si>
    <t xml:space="preserve">B-C-154</t>
  </si>
  <si>
    <t xml:space="preserve">https://us.christianlouboutin.com</t>
  </si>
  <si>
    <t xml:space="preserve">luxury footwear brand (office)</t>
  </si>
  <si>
    <t xml:space="preserve">58,000 sf</t>
  </si>
  <si>
    <t xml:space="preserve">CO names it a current tenant of the 58,000 SF office and retail building at Broadway and 27th St. Use (office or showroom) and headcount not sourced.</t>
  </si>
  <si>
    <t xml:space="preserve">AO-W-001</t>
  </si>
  <si>
    <t xml:space="preserve">Civic Hall, Union Square (Zero Irving)</t>
  </si>
  <si>
    <t xml:space="preserve">Tuesday headcount unknown (no sourced count), coworking operator site (one office if it controls the pantry), no attendance signal, open at a medium-confidence address; contacts not researched yet (below the top 50).</t>
  </si>
  <si>
    <t xml:space="preserve">https://civichall.org/contact-us/</t>
  </si>
  <si>
    <t xml:space="preserve">124 East 14th Street, New York, NY 10003</t>
  </si>
  <si>
    <t xml:space="preserve">B-W-001</t>
  </si>
  <si>
    <t xml:space="preserve">https://civichall.org</t>
  </si>
  <si>
    <t xml:space="preserve">Civic Hall</t>
  </si>
  <si>
    <t xml:space="preserve">Nonprofit tech venue with coworking memberships (single $325/month; team plans). Memberships page: 'pantry with complimentary coffee and tea'. Hot desks Mon-Fri 7am-10pm. Mostly an event and training venue, so the member base is small and mixed. On 14th St between Irving Pl and Third Ave, in the east margin. The Flatiron NoMad Partnership directory also lists Civic Hall (https://flatironnomad.nyc/business/civic-hall/). Zero Irving tenants Alpine Investors (12), GameChanger (17) and Senator (20) hold their own leases (CO), so they are not Civic Hall members. | pantry_control=operator (https://civichall.org/memberships); exclusive food contract signal: none found</t>
  </si>
  <si>
    <t xml:space="preserve">AO-C-077</t>
  </si>
  <si>
    <t xml:space="preserve">Cobalt Service Partners</t>
  </si>
  <si>
    <t xml:space="preserve">https://commercialobserver.com/2025/02/cobalt-service-partners-lease-40-west-17th-street/</t>
  </si>
  <si>
    <t xml:space="preserve">B-C-077</t>
  </si>
  <si>
    <t xml:space="preserve">https://www.cobaltsp.com</t>
  </si>
  <si>
    <t xml:space="preserve">private equity (industrial services)</t>
  </si>
  <si>
    <t xml:space="preserve">2025-02-06</t>
  </si>
  <si>
    <t xml:space="preserve">5,000 sf;1,500 sf</t>
  </si>
  <si>
    <t xml:space="preserve">Five-year, 5,000 sf lease, relocating from 1,500 sf at 40 W 17th St. A later CO article (same publisher) lists it as a current tenant. Company site shows no address. Headcount not sourced; founder to confirm at intake.</t>
  </si>
  <si>
    <t xml:space="preserve">AO-C-022</t>
  </si>
  <si>
    <t xml:space="preserve">Delos Capital</t>
  </si>
  <si>
    <t xml:space="preserve">https://commercialobserver.com/2026/10/eagle-ai-lease-office-120-fifth-avenue/</t>
  </si>
  <si>
    <t xml:space="preserve">120 Fifth Avenue</t>
  </si>
  <si>
    <t xml:space="preserve">B-C-022</t>
  </si>
  <si>
    <t xml:space="preserve">private investment</t>
  </si>
  <si>
    <t xml:space="preserve">B-B-010</t>
  </si>
  <si>
    <t xml:space="preserve">2026-10-19</t>
  </si>
  <si>
    <t xml:space="preserve">CO 2026-10-19 lists Delos Capital as an existing tenant. Headcount not sourced; founder to confirm at intake.</t>
  </si>
  <si>
    <t xml:space="preserve">AO-C-144</t>
  </si>
  <si>
    <t xml:space="preserve">EnVogue International</t>
  </si>
  <si>
    <t xml:space="preserve">https://commercialobserver.com/2025/04/envogue-international-lease-230-fifth-avenue/</t>
  </si>
  <si>
    <t xml:space="preserve">B-C-144</t>
  </si>
  <si>
    <t xml:space="preserve">home goods (office and showroom)</t>
  </si>
  <si>
    <t xml:space="preserve">30,000 sf</t>
  </si>
  <si>
    <t xml:space="preserve">Grew to 30,000 SF with a seven-year lease; at 230 Fifth (New York MarketCenter) for 25 years. Showroom building (New York MarketCenter); headcount not sourced. Pin moved to frontage at review round 1: the lot-centroid pin failed the block-face test (59 m from 5 AVE but 38 m from BROADWAY); pin moved to frontage: the lot's position along 5 AVE kept, set 25 m from the centreline on the side CSCL gives house number 230 (34 m from the old pin). Tax lot unchanged. New pin: 25 m from 5 AVE, 70 m from BROADWAY. Review round 2: corner lot: the lot-centroid pin sat 22 m from W 27 ST but 25 m from 5 AVE, so it was moved to the 5 AVE frontage near the corner (17 m from the 5 AVE centreline, 26 m from W 27 ST; 9 m from the old pin). Tax lot unchanged.</t>
  </si>
  <si>
    <t xml:space="preserve">AO-C-088</t>
  </si>
  <si>
    <t xml:space="preserve">Heard City</t>
  </si>
  <si>
    <t xml:space="preserve">https://www.heardcity.com/contact</t>
  </si>
  <si>
    <t xml:space="preserve">B-C-088</t>
  </si>
  <si>
    <t xml:space="preserve">https://www.heardcity.com</t>
  </si>
  <si>
    <t xml:space="preserve">audio post-production studio</t>
  </si>
  <si>
    <t xml:space="preserve">https://commercialobserver.com/2022/02/recording-studio-heard-city-re-ups-13k-sf-lease-in-flatiron-district/</t>
  </si>
  <si>
    <t xml:space="preserve">2022-02-25</t>
  </si>
  <si>
    <t xml:space="preserve">13,000 sf</t>
  </si>
  <si>
    <t xml:space="preserve">Contact page lists 16 West 22nd St., 5th Floor; CO 2022 reported a 10-year renewal of the full 5th floor (13,000 sf). Headcount not sourced; founder to confirm at intake.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</si>
  <si>
    <t xml:space="preserve">AO-C-131</t>
  </si>
  <si>
    <t xml:space="preserve">Holocene Advisors</t>
  </si>
  <si>
    <t xml:space="preserve">B-C-131</t>
  </si>
  <si>
    <t xml:space="preserve">https://www.holocene.com</t>
  </si>
  <si>
    <t xml:space="preserve">https://commercialobserver.com/2025/03/reckoner-capital-management-lease-11-east-26th-street/</t>
  </si>
  <si>
    <t xml:space="preserve">2025-03-12</t>
  </si>
  <si>
    <t xml:space="preserve">31,000 sf</t>
  </si>
  <si>
    <t xml:space="preserve">CO says it expanded to roughly 31,000 SF at the building in October 2023 and lists it as a current tenant in 2025. Company site is a splash page with no address.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</si>
  <si>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AO-C-121</t>
  </si>
  <si>
    <t xml:space="preserve">ICONIQ Capital</t>
  </si>
  <si>
    <t xml:space="preserve">B-C-121</t>
  </si>
  <si>
    <t xml:space="preserve">https://www.iconiq.com</t>
  </si>
  <si>
    <t xml:space="preserve">wealth management and venture capital</t>
  </si>
  <si>
    <t xml:space="preserve">Listed by CO as a tenant at 360 PAS. Floor and headcount not found (HQ San Francisco). Review round 2: corner lot: the lot-centroid pin sat 22 m from E 26 ST but 36 m from PARK AVE S, so it was moved to the PARK AVE S frontage near the corner (13 m from the PARK AVE S centreline, 27 m from E 26 ST; 23 m from the old pin). Tax lot unchanged.</t>
  </si>
  <si>
    <t xml:space="preserve">AO-C-067</t>
  </si>
  <si>
    <t xml:space="preserve">ISAIA</t>
  </si>
  <si>
    <t xml:space="preserve">New or renewed lease at 257 Park Avenue South reported 2026-07-21</t>
  </si>
  <si>
    <t xml:space="preserve">https://commercialobserver.com/2026/07/isaia-lease-feil-257-park-avenue-south/</t>
  </si>
  <si>
    <t xml:space="preserve">2026-07-21</t>
  </si>
  <si>
    <t xml:space="preserve">B-C-067</t>
  </si>
  <si>
    <t xml:space="preserve">https://www.isaia.it</t>
  </si>
  <si>
    <t xml:space="preserve">luxury menswear brand (U.S. showroom and office)</t>
  </si>
  <si>
    <t xml:space="preserve">10-year renewal of 13,000 sf corporate showroom on the 10th floor. Mainly a showroom; onsite staff count unknown.</t>
  </si>
  <si>
    <t xml:space="preserve">AO-W-003</t>
  </si>
  <si>
    <t xml:space="preserve">Industrious Union Square on Broadway</t>
  </si>
  <si>
    <t xml:space="preserve">860 Broadway, 6th Floor, New York, NY 10003</t>
  </si>
  <si>
    <t xml:space="preserve">6th Floor</t>
  </si>
  <si>
    <t xml:space="preserve">B-W-003</t>
  </si>
  <si>
    <t xml:space="preserve">https://www.deskpass.com/us-en/ny/new-york-city</t>
  </si>
  <si>
    <t xml:space="preserve">Listed on Industrious NYC index. Pantry text is brand-standard copy on the location page ('Daily breakfast, ample snacks'; 'craft coffee, tea, and sparkling water'); location-specific detail unknown. Broadway at 17th St. Independent: Deskpass NYC index lists 'Industrious - Union Square on Broadway: 860 Broadway, 6th Floor' (https://www.deskpass.com/us-en/ny/new-york-city).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 | pantry_control=operator (https://www.industriousoffice.com/locations/manhattan---860-broadway-6th-floor); exclusive food contract signal: none found</t>
  </si>
  <si>
    <t xml:space="preserve">parent 'industrious' shared with AO-W-007, AO-W-016, AO-W-008, AO-W-014, AO-W-005, AO-W-027</t>
  </si>
  <si>
    <t xml:space="preserve">AO-C-161</t>
  </si>
  <si>
    <t xml:space="preserve">Institute for Integrative Nutrition</t>
  </si>
  <si>
    <t xml:space="preserve">https://commercialobserver.com/2025/03/institute-of-integrative-nutrition-moinian-group-245-fifth-avenue/</t>
  </si>
  <si>
    <t xml:space="preserve">245 Fifth Avenue</t>
  </si>
  <si>
    <t xml:space="preserve">B-C-161</t>
  </si>
  <si>
    <t xml:space="preserve">online education (health coaching)</t>
  </si>
  <si>
    <t xml:space="preserve">B-B-074</t>
  </si>
  <si>
    <t xml:space="preserve">245 Fifth Avenue (Moinian Group)</t>
  </si>
  <si>
    <t xml:space="preserve">2025-03-03</t>
  </si>
  <si>
    <t xml:space="preserve">https://www.metro-manhattan.com/buildings/245-fifth-avenue-office-space-for-lease/</t>
  </si>
  <si>
    <t xml:space="preserve">14,000 sf</t>
  </si>
  <si>
    <t xml:space="preserve">Five-year 14,000 SF renewal on floor 7. Headcount not found. Review round 2: corner lot: the lot-centroid pin sat 24 m from E 28 ST but 34 m from 5 AVE, so it was moved to the 5 AVE frontage near the corner (17 m from the 5 AVE centreline, 26 m from E 28 ST; 17 m from the old pin). Tax lot unchanged.</t>
  </si>
  <si>
    <t xml:space="preserve">AO-C-100</t>
  </si>
  <si>
    <t xml:space="preserve">LaForce</t>
  </si>
  <si>
    <t xml:space="preserve">B-C-100</t>
  </si>
  <si>
    <t xml:space="preserve">https://www.laforce.com/</t>
  </si>
  <si>
    <t xml:space="preserve">Public relations / communications agency</t>
  </si>
  <si>
    <t xml:space="preserve">CO Oct 2025 names 'public relations firm LaForce' as a current tenant at 53 W 23rd St. Company site shows no street address. Headcount not found in an opened source.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</si>
  <si>
    <t xml:space="preserve">AO-C-045</t>
  </si>
  <si>
    <t xml:space="preserve">LoveShackFancy</t>
  </si>
  <si>
    <t xml:space="preserve">https://commercialobserver.com/2025/04/radar-labs-lease-111-fifth-avenue/</t>
  </si>
  <si>
    <t xml:space="preserve">B-C-045</t>
  </si>
  <si>
    <t xml:space="preserve">https://www.loveshackfancy.com</t>
  </si>
  <si>
    <t xml:space="preserve">fashion brand</t>
  </si>
  <si>
    <t xml:space="preserve">2025-04-17</t>
  </si>
  <si>
    <t xml:space="preserve">CO (Apr 2025) lists it as a tenant on the 8th floor (20,000 sf lease signed March 2022). Contact page shows no office address. Review round 2: corner lot: the lot-centroid pin sat 24 m from E 18 ST but 45 m from 5 AVE, so it was moved to the 5 AVE frontage near the corner (17 m from the 5 AVE centreline, 27 m from E 18 ST; 29 m from the old pin). Tax lot unchanged.</t>
  </si>
  <si>
    <t xml:space="preserve">AO-W-021</t>
  </si>
  <si>
    <t xml:space="preserve">Luminary</t>
  </si>
  <si>
    <t xml:space="preserve">https://www.weareluminary.com/home</t>
  </si>
  <si>
    <t xml:space="preserve">1204 Broadway, 4th Floor, New York, NY 10001</t>
  </si>
  <si>
    <t xml:space="preserve">B-W-021</t>
  </si>
  <si>
    <t xml:space="preserve">https://www.weareluminary.com</t>
  </si>
  <si>
    <t xml:space="preserve">https://api.deskpass.com/api/spaces/luminary</t>
  </si>
  <si>
    <t xml:space="preserve">Deskpass listing (active, updated 2026-09-25): 'Amenities include phone booths, bottomless coffee and tea, wine on tap ...'; 3 floors. No snacks named. Operator site weareluminary.com not opened. Broadway at 29th-30th St. Operator site (opened 2026-10-24) lists 'NoMad, 1204 Broadway' with hours Mon-Thu 8:30am-7pm, Fri 8:30am-6pm, Sat 10am-4pm. Women-centred community workspace. Review round 3: lowered from high to medium. The second source is a listing the operator writes (Deskpass or LiquidSpace), so it does not independently confirm the operator's own page; no press, landlord or filing source was found. A walk-by can raise it. | pantry_control=operator (https://api.deskpass.com/api/spaces/luminary); exclusive food contract signal: none found</t>
  </si>
  <si>
    <t xml:space="preserve">AO-C-104</t>
  </si>
  <si>
    <t xml:space="preserve">Madison Square Park Conservancy</t>
  </si>
  <si>
    <t xml:space="preserve">https://madisonsquarepark.org/park/contact/</t>
  </si>
  <si>
    <t xml:space="preserve">B-C-104</t>
  </si>
  <si>
    <t xml:space="preserve">https://madisonsquarepark.org/</t>
  </si>
  <si>
    <t xml:space="preserve">Nonprofit (public park conservancy)</t>
  </si>
  <si>
    <t xml:space="preserve">Contact page (live): '11 Madison Avenue 15th Floor New York, NY 10010'. Headcount not sourced; founder to confirm at intake. Also a possible neighbourhood partner.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</si>
  <si>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AO-C-107</t>
  </si>
  <si>
    <t xml:space="preserve">MediaCo Holding (HOT 97, WBLS)</t>
  </si>
  <si>
    <t xml:space="preserve">https://commercialobserver.com/2026/08/sapien-ai-lease-kaufman-organization-48-west-25th-street/</t>
  </si>
  <si>
    <t xml:space="preserve">B-C-107</t>
  </si>
  <si>
    <t xml:space="preserve">https://www.mediacoholding.com/</t>
  </si>
  <si>
    <t xml:space="preserve">Media (radio and digital)</t>
  </si>
  <si>
    <t xml:space="preserve">2026-08-03</t>
  </si>
  <si>
    <t xml:space="preserve">25,000 sf</t>
  </si>
  <si>
    <t xml:space="preserve">CO Aug 2026: MediaCo Holding, parent of HOT 97 and WBLS, signed a 16-year, 25,000 sf lease at 48 W 25th St in 2023 (one of the most recent tenants before the Kaufman purchase). CO Jan 2023 headline (seen on CO tag page) reported the relocation. Headcount not found in an opened source.</t>
  </si>
  <si>
    <t xml:space="preserve">AO-C-132</t>
  </si>
  <si>
    <t xml:space="preserve">Mega 97.9 (radio station)</t>
  </si>
  <si>
    <t xml:space="preserve">B-C-132</t>
  </si>
  <si>
    <t xml:space="preserve">media (radio)</t>
  </si>
  <si>
    <t xml:space="preserve">Listed by CO as a building tenant. Owner and staff size not sourced. Studio use may mean irregular hours.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</si>
  <si>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AO-W-023</t>
  </si>
  <si>
    <t xml:space="preserve">Nomadworks 1216 Broadway</t>
  </si>
  <si>
    <t xml:space="preserve">https://nomadworks.com/</t>
  </si>
  <si>
    <t xml:space="preserve">1216 Broadway, Floor 2, New York, NY 10001</t>
  </si>
  <si>
    <t xml:space="preserve">Floor 2</t>
  </si>
  <si>
    <t xml:space="preserve">B-W-023</t>
  </si>
  <si>
    <t xml:space="preserve">https://nomadworks.com</t>
  </si>
  <si>
    <t xml:space="preserve">Nomadworks</t>
  </si>
  <si>
    <t xml:space="preserve">https://api.deskpass.com/api/spaces/nomadworks</t>
  </si>
  <si>
    <t xml:space="preserve">Deskpass listing (active, updated 2026-06-15): 30,000 sf over a corner block; tags 'Complimentary Coffee &amp; Tea', 'Shared Kitchen', 'Snacks Available'. Broadway at 30th-31st St, inside the two-street north margin. Operator site (opened 2026-10-24) lists 1216 Broadway among three NYC locations; membership includes 'Complimentary Wifi, Tea and Coffee'.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17 m from W 30 ST but 37 m from BROADWAY, so it was moved to the BROADWAY frontage near the corner (15 m from the BROADWAY centreline, 26 m from W 30 ST; 22 m from the old pin). Tax lot unchanged. Review round 3: the pin sat 0.8 m outside its own tax lot (NYC MapPLUTO (Department of City Planning) tax-lot polygons), so it was moved to the middle of the lot's 16 m BROADWAY frontage, 3 m inside the lot line (11 m from the old pin). Tax lot unchanged. | pantry_control=operator (https://api.deskpass.com/api/spaces/nomadworks); exclusive food contract signal: none found</t>
  </si>
  <si>
    <t xml:space="preserve">AO-W-022</t>
  </si>
  <si>
    <t xml:space="preserve">Sage Workspace</t>
  </si>
  <si>
    <t xml:space="preserve">https://www.sageworkspace.com/</t>
  </si>
  <si>
    <t xml:space="preserve">276 Fifth Avenue, Suite 704, New York, NY 10001</t>
  </si>
  <si>
    <t xml:space="preserve">Suite 704</t>
  </si>
  <si>
    <t xml:space="preserve">B-W-022</t>
  </si>
  <si>
    <t xml:space="preserve">https://www.sageworkspace.com</t>
  </si>
  <si>
    <t xml:space="preserve">SaGE Workspace</t>
  </si>
  <si>
    <t xml:space="preserve">https://api.deskpass.com/api/spaces/sage-workspace</t>
  </si>
  <si>
    <t xml:space="preserve">Deskpass listing (active, updated 2026-08-21) tags 'Snacks Available', 'Complimentary Coffee &amp; Tea', 'Shared Kitchen'. Small suite operator (one suite in the building). Fifth Ave at 29th-30th St. Operator site (opened 2026-10-24) footer: 276 Fifth Avenue, Suite 704, (c) 2026; offers coworking, cubicles, team offices.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25 m from W 30 ST but 38 m from 5 AVE, so it was moved to the 5 AVE frontage near the corner (17 m from the 5 AVE centreline, 27 m from W 30 ST; 22 m from the old pin). Tax lot unchanged. | pantry_control=operator (https://api.deskpass.com/api/spaces/sage-workspace); exclusive food contract signal: none found</t>
  </si>
  <si>
    <t xml:space="preserve">AO-W-011</t>
  </si>
  <si>
    <t xml:space="preserve">Select Office Suites Flatiron</t>
  </si>
  <si>
    <t xml:space="preserve">https://www.selectofficesuites.com/office-space-for-rent-flatiron-district-new-york-city/</t>
  </si>
  <si>
    <t xml:space="preserve">1115 Broadway (16 Madison Square West), Floors 9-12, New York, NY 10010</t>
  </si>
  <si>
    <t xml:space="preserve">Floors 9-12</t>
  </si>
  <si>
    <t xml:space="preserve">B-W-011</t>
  </si>
  <si>
    <t xml:space="preserve">https://www.selectofficesuites.com</t>
  </si>
  <si>
    <t xml:space="preserve">Select Office Suites</t>
  </si>
  <si>
    <t xml:space="preserve">https://liquidspace.com/US/NY/new-york/select-office-suites-flatiron</t>
  </si>
  <si>
    <t xml:space="preserve">Serviced-office operator (private suites, not open coworking). Operator page: 'On-site cafe, kitchen areas, and espresso bar at no extra cost' and 'Fresh brewed coffee compliments of Proof Coffee Roasters ... fruit infused water, and seltzer on tap'. LiquidSpace listing (https://liquidspace.com/US/NY/new-york/select-office-suites-flatiron) says 'Confirmed Open' and that the cafe sells food for an additional cost. Faces Madison Square Park at 25th St. Corporate Suites' site also lists a Flatiron virtual-office product at 1115 Broadway (https://www.corporatesuites.com/virtual-offices-nyc-flatiron-district/), a partnership between the two operators is not confirmed.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16 m from W 25 ST but 26 m from BROADWAY, so it was moved to the BROADWAY frontage near the corner (13 m from the BROADWAY centreline, 26 m from W 25 ST; 20 m from the old pin). Tax lot unchanged. Review round 3: the pin sat 2.3 m outside its own tax lot (NYC MapPLUTO (Department of City Planning) tax-lot polygons), so it was moved to the middle of the lot's 17 m BROADWAY frontage, 3 m inside the lot line (9 m from the old pin). Tax lot unchanged. | pantry_control=operator (https://www.selectofficesuites.com/office-space-for-rent-flatiron-district-new-york-city/); exclusive food contract signal: named coffee supplier (Proof Coffee Roasters) and wine bar stocked by Copake Wine Works; on-site cafe; no exclusive contract stated</t>
  </si>
  <si>
    <t xml:space="preserve">AO-C-039</t>
  </si>
  <si>
    <t xml:space="preserve">Stone Source</t>
  </si>
  <si>
    <t xml:space="preserve">B-C-039</t>
  </si>
  <si>
    <t xml:space="preserve">architectural stone and tile supplier</t>
  </si>
  <si>
    <t xml:space="preserve">19,092 sf</t>
  </si>
  <si>
    <t xml:space="preserve">SEC rent roll 2026-02-05: Stone Source LLC 19,092 sf, lease to 2030-11-30 (subleases Suite 2008 to Arch Equities). Use of the space not sourced; headcount not found.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</si>
  <si>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AO-C-087</t>
  </si>
  <si>
    <t xml:space="preserve">The Information</t>
  </si>
  <si>
    <t xml:space="preserve">https://www.theinformation.com/about</t>
  </si>
  <si>
    <t xml:space="preserve">20 West 22nd Street</t>
  </si>
  <si>
    <t xml:space="preserve">10 (Suite 1006)</t>
  </si>
  <si>
    <t xml:space="preserve">B-C-087</t>
  </si>
  <si>
    <t xml:space="preserve">https://www.theinformation.com</t>
  </si>
  <si>
    <t xml:space="preserve">digital media (tech news)</t>
  </si>
  <si>
    <t xml:space="preserve">B-B-040</t>
  </si>
  <si>
    <t xml:space="preserve">20 West 22nd Street (ABS Partners, managing agent)</t>
  </si>
  <si>
    <t xml:space="preserve">https://commercialobserver.com/2022/06/the-information-20-west-22nd-street/</t>
  </si>
  <si>
    <t xml:space="preserve">2022-06-15</t>
  </si>
  <si>
    <t xml:space="preserve">5,830 sf</t>
  </si>
  <si>
    <t xml:space="preserve">About page lists the East Coast Bureau at 20 West 22nd Street, Suite 1006. CO 2022: 5,830 sf on part of the 10th floor. San Francisco HQ; NYC bureau headcount not sourced.</t>
  </si>
  <si>
    <t xml:space="preserve">AO-W-015</t>
  </si>
  <si>
    <t xml:space="preserve">The Yard: Flatiron South</t>
  </si>
  <si>
    <t xml:space="preserve">https://theyard.com/the-yard-new-york-city/</t>
  </si>
  <si>
    <t xml:space="preserve">234 Fifth Avenue, 2nd Floor, New York, NY 10001</t>
  </si>
  <si>
    <t xml:space="preserve">2nd Floor</t>
  </si>
  <si>
    <t xml:space="preserve">B-W-015</t>
  </si>
  <si>
    <t xml:space="preserve">https://theyard.com</t>
  </si>
  <si>
    <t xml:space="preserve">The Yard</t>
  </si>
  <si>
    <t xml:space="preserve">https://www.deskpass.com/us-en/ny/new-york-city/coworking-space/nomad</t>
  </si>
  <si>
    <t xml:space="preserve">Operator page: 'Coffee &amp; Tea: Complimentary Infinity coffee and Harney &amp; Sons tea in our kitchens.' No snacks named. Independent: Deskpass NoMad listing (https://www.deskpass.com/us-en/ny/new-york-city/coworking-space/nomad) shows it at 234 5th Ave, 2nd Floor. Fifth Ave at 27th St. The Yard's former Flatiron North site (246 Fifth Ave) is no longer on the operator's NYC list.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14 m from W 27 ST but 45 m from 5 AVE, so it was moved to the 5 AVE frontage near the corner (17 m from the 5 AVE centreline, 27 m from W 27 ST; 31 m from the old pin). Tax lot unchanged. Review round 3: the pin sat 9.7 m outside its own tax lot (NYC MapPLUTO (Department of City Planning) tax-lot polygons), so it was moved to the middle of the lot's 9 m 5 AVE frontage, 3 m inside the lot line (14 m from the old pin). Tax lot unchanged. | pantry_control=operator (https://theyard.com/flatiron-south-coworking/); exclusive food contract signal: named beverage suppliers (Infinity coffee; Harney &amp; Sons tea); no exclusive contract stated</t>
  </si>
  <si>
    <t xml:space="preserve">AO-C-080</t>
  </si>
  <si>
    <t xml:space="preserve">Varley</t>
  </si>
  <si>
    <t xml:space="preserve">https://commercialobserver.com/2025/04/vitesse-psp-lease-155-fifth-avenue/</t>
  </si>
  <si>
    <t xml:space="preserve">155 Fifth Avenue</t>
  </si>
  <si>
    <t xml:space="preserve">B-C-080</t>
  </si>
  <si>
    <t xml:space="preserve">https://www.varley.com</t>
  </si>
  <si>
    <t xml:space="preserve">fashion brand (offices)</t>
  </si>
  <si>
    <t xml:space="preserve">B-B-037</t>
  </si>
  <si>
    <t xml:space="preserve">Scribner Building</t>
  </si>
  <si>
    <t xml:space="preserve">2025-04-25</t>
  </si>
  <si>
    <t xml:space="preserve">CO lists 'the offices of fashion retailer Varley' as the only other tenant at 155 Fifth. Contact page opened shows no address.</t>
  </si>
  <si>
    <t xml:space="preserve">AO-C-026</t>
  </si>
  <si>
    <t xml:space="preserve">Walleye Financial</t>
  </si>
  <si>
    <t xml:space="preserve">B-C-026</t>
  </si>
  <si>
    <t xml:space="preserve">investment firm</t>
  </si>
  <si>
    <t xml:space="preserve">Named 'investment firm Walleye Financial' in CO 2026-10-19. Not confirmed whether this is the same firm as Walleye Capital (Built In: 181 employees, HQ Plymouth MN); headcount left unknown.</t>
  </si>
  <si>
    <t xml:space="preserve">AO-W-004</t>
  </si>
  <si>
    <t xml:space="preserve">WeWork 18 West 18th Street</t>
  </si>
  <si>
    <t xml:space="preserve">https://www.wework.com/buildings/18-west-18th-street--new-york-city--NY</t>
  </si>
  <si>
    <t xml:space="preserve">18 West 18th Street, New York, NY 10011</t>
  </si>
  <si>
    <t xml:space="preserve">grp-W004-W018-W020-W024-W026-W029</t>
  </si>
  <si>
    <t xml:space="preserve">B-W-004</t>
  </si>
  <si>
    <t xml:space="preserve">https://www.wework.com</t>
  </si>
  <si>
    <t xml:space="preserve">WeWork</t>
  </si>
  <si>
    <t xml:space="preserve">B-B-014</t>
  </si>
  <si>
    <t xml:space="preserve">18 West 18th Street</t>
  </si>
  <si>
    <t xml:space="preserve">Operator page: 'Stocked kitchens: Enjoy complimentary filtered water, micro-roasted coffee, seltzers and tea'. Beverages only; no snacks named. Listed on WeWork NYC index (31 NYC locations) as Flatiron District. Staffed Mon-Fri 8am-5pm. Between Fifth and Sixth Ave. WeWork occupies five unnamed floors of the 12-storey building (operator page, opened 2026-10-24). WW International's 10-Q address is the 7th floor here; overlap unknown. Pin moved to frontage at review round 1: the lot-centroid pin failed the block-face test (38 m from W 18 ST but 37 m from W 17 ST); pin moved to frontage: the lot's position along W 18 ST kept, set 21 m from the centreline on the side CSCL gives house number 18 (16 m from the old pin). Tax lot unchanged. New pin: 21 m from W 18 ST, 54 m from W 17 ST. | pantry_control=operator (https://www.wework.com/buildings/18-west-18th-street--new-york-city--NY); exclusive food contract signal: none found on amenity page</t>
  </si>
  <si>
    <t xml:space="preserve">parent 'wework' shared with AO-W-024, AO-W-018, AO-W-029, AO-W-026, AO-W-020</t>
  </si>
  <si>
    <t xml:space="preserve">AO-W-024</t>
  </si>
  <si>
    <t xml:space="preserve">WeWork 450 Park Ave S</t>
  </si>
  <si>
    <t xml:space="preserve">https://www.wework.com/buildings/450-park-ave-s--new-york-city--NY</t>
  </si>
  <si>
    <t xml:space="preserve">450 Park Avenue South, New York, NY 10016</t>
  </si>
  <si>
    <t xml:space="preserve">B-W-024</t>
  </si>
  <si>
    <t xml:space="preserve">B-B-081</t>
  </si>
  <si>
    <t xml:space="preserve">450 Park Avenue South</t>
  </si>
  <si>
    <t xml:space="preserve">Operator page: 'Stocked kitchens: complimentary filtered water, micro-roasted coffee, seltzers and tea'. Beverages only. Park Ave S at 30th-31st St: on the north edge, inside the two-street margin. | pantry_control=operator (https://www.wework.com/buildings/450-park-ave-s--new-york-city--NY); exclusive food contract signal: none found on amenity page</t>
  </si>
  <si>
    <t xml:space="preserve">parent 'wework' shared with AO-W-004, AO-W-018, AO-W-029, AO-W-026, AO-W-020</t>
  </si>
  <si>
    <t xml:space="preserve">AO-C-064</t>
  </si>
  <si>
    <t xml:space="preserve">William Grant &amp; Sons</t>
  </si>
  <si>
    <t xml:space="preserve">https://commercialobserver.com/2024/12/william-grant-sons-lease-902-broadway/</t>
  </si>
  <si>
    <t xml:space="preserve">B-C-064</t>
  </si>
  <si>
    <t xml:space="preserve">https://www.williamgrant.com</t>
  </si>
  <si>
    <t xml:space="preserve">spirits company (U.S. office)</t>
  </si>
  <si>
    <t xml:space="preserve">2024-12-03</t>
  </si>
  <si>
    <t xml:space="preserve">https://commercialobserver.com/2026/03/hudson-companies-broadway-builders-lease-902-broadway/</t>
  </si>
  <si>
    <t xml:space="preserve">2026-03-24</t>
  </si>
  <si>
    <t xml:space="preserve">27,160 sf</t>
  </si>
  <si>
    <t xml:space="preserve">U.S. headquarters move: 27,160 sf on floors 2 and 3 (CO Dec 2024; also TRD Jan 2025). CO Mar 2026 lists distiller William Grant &amp; Sons as a current tenant. Global company; headcount not sourced (Wikipedia infobox has none). Alcohol company. | Assembly 2026-10-24: Confidence lowered at assembly from high to medium: second source is the same publisher or missing. Review round 2: corner lot: the lot-centroid pin sat 27 m from E 20 ST but 31 m from BROADWAY, so it was moved to the BROADWAY frontage near the corner (15 m from the BROADWAY centreline, 27 m from E 20 ST; 16 m from the old pin). Tax lot unchanged.</t>
  </si>
  <si>
    <t xml:space="preserve">AO-C-020</t>
  </si>
  <si>
    <t xml:space="preserve">Mercury</t>
  </si>
  <si>
    <t xml:space="preserve">Tuesday estimate 4 to 729 (low confidence), 1,001 to 4,999 staff company-wide, on-site 5 days a week per its profile, occupancy-unconfirmed at a medium-confidence address; contacts not researched yet (below the top 50).</t>
  </si>
  <si>
    <t xml:space="preserve">B-C-020</t>
  </si>
  <si>
    <t xml:space="preserve">https://mercury.com</t>
  </si>
  <si>
    <t xml:space="preserve">fintech (business banking)</t>
  </si>
  <si>
    <t xml:space="preserve">1279</t>
  </si>
  <si>
    <t xml:space="preserve">https://www.reveliolabs.com/companies/mercury/employees</t>
  </si>
  <si>
    <t xml:space="preserve">https://www.builtinnyc.com/company/mercury</t>
  </si>
  <si>
    <t xml:space="preserve">https://www.builtinnyc.com/company/mercury/offices</t>
  </si>
  <si>
    <t xml:space="preserve">1279 (Revelio Labs) and 150 (Built In) staff (whole-company count) x 5% to 100% of them in the New York office (HQ outside New York; share assumed) x 57% (Partnership for NYC, all Manhattan firms; no figure for 500 to 4,999) in on a weekday = 4 to 729, central 54; low confidence; estimate until intake replaces it.</t>
  </si>
  <si>
    <t xml:space="preserve">CO 2025-03-27: Mercury Technologies 10,000 sf on the 10th floor. Built In NYC shows 150 total employees, HQ San Francisco; that profile count may be stale, founder to confirm on LinkedIn. | Assembly 2026-10-24: Built In's 150 total employees looks low against other reporting (S1 flag); band kept as sourced. Review round 2: band moved from 76-150 to over-500, so the row moves to Near-miss. Revelio Labs (Mercury Technologies, Inc., HQ San Francisco): about 1,279 employees worldwide as of March 2026. Built In shows 150 total employees (stale against Revelio; it is now the second source). Its NYC lease is 10,000 sf on one floor (CO 2025-03-27) against an HQ in San Francisco; the NYC office alone may fit the 40-250 band, founder to confirm.</t>
  </si>
  <si>
    <t xml:space="preserve">AO-C-251</t>
  </si>
  <si>
    <t xml:space="preserve">SharkNinja</t>
  </si>
  <si>
    <t xml:space="preserve">Tuesday estimate 114 to 2280 (low confidence), 1,001 to 4,999 staff company-wide, hybrid 3 days, occupied at a high-confidence address; contacts not researched yet (below the top 50).</t>
  </si>
  <si>
    <t xml:space="preserve">https://www.builtinnyc.com/articles/sharkninja-opens-nyc-office-20251105</t>
  </si>
  <si>
    <t xml:space="preserve">B-C-251</t>
  </si>
  <si>
    <t xml:space="preserve">https://www.sharkninja.com</t>
  </si>
  <si>
    <t xml:space="preserve">consumer products (home appliances)</t>
  </si>
  <si>
    <t xml:space="preserve">4000</t>
  </si>
  <si>
    <t xml:space="preserve">https://www.builtinnyc.com/company/sharkninja/offices</t>
  </si>
  <si>
    <t xml:space="preserve">Needham</t>
  </si>
  <si>
    <t xml:space="preserve">2025-11-05</t>
  </si>
  <si>
    <t xml:space="preserve">https://commercialobserver.com/2025/01/sharkninja-rudin-41-madison-avenue/</t>
  </si>
  <si>
    <t xml:space="preserve">2025-01-30</t>
  </si>
  <si>
    <t xml:space="preserve">Built In workplace type: Hybrid Workplace; typical time on-site: Not Specified (box) but policy text: 3 days in the office; recent job tags: 1 In-Office, 2 Remote</t>
  </si>
  <si>
    <t xml:space="preserve">4000 (Built In) staff (whole-company count) x 5% to 100% of them in the New York office (HQ outside New York; share assumed) x 57% (Partnership for NYC, all Manhattan firms; no figure for 500 to 4,999) in on a weekday = 114 to 2280, central 510; low confidence; estimate until intake replaces it.</t>
  </si>
  <si>
    <t xml:space="preserve">14,296 sf</t>
  </si>
  <si>
    <t xml:space="preserve">First NYC office, a Creative Design Hub for creative, design and marketing teams: 10-year 14,296 SF lease (CO 2025-01-30), opened Nov 2025 (Built In article 2025-11-05). Built In: 4,000 total employees, HQ Needham MA; NYC team size not stated. Over 500 company-wide: near-miss, though a consumer brand creative hub is a natural fit. Review round 2: corner lot: the lot-centroid pin sat 30 m from E 26 ST but 44 m from MADISON AVE, so it was moved to the MADISON AVE frontage near the corner (16 m from the MADISON AVE centreline, 30 m from E 26 ST; 29 m from the old pin). Tax lot unchanged.</t>
  </si>
  <si>
    <t xml:space="preserve">AO-C-258</t>
  </si>
  <si>
    <t xml:space="preserve">Jump Trading</t>
  </si>
  <si>
    <t xml:space="preserve">Tuesday estimate 57 to 1140 (low confidence), 1,001 to 4,999 staff company-wide, no attendance signal, occupied at a medium-confidence address; contacts not researched yet (below the top 50).</t>
  </si>
  <si>
    <t xml:space="preserve">B-C-258</t>
  </si>
  <si>
    <t xml:space="preserve">https://www.jumptrading.com</t>
  </si>
  <si>
    <t xml:space="preserve">2000</t>
  </si>
  <si>
    <t xml:space="preserve">https://en.wikipedia.org/wiki/Jump_Trading</t>
  </si>
  <si>
    <t xml:space="preserve">2000 (Wikipedia) staff (whole-company count) x 5% to 100% of them in the New York office (HQ city unknown; share assumed) x 57% (Partnership for NYC, all Manhattan firms; no figure for 500 to 4,999) in on a weekday = 57 to 1140, central 255; low confidence; estimate until intake replaces it.</t>
  </si>
  <si>
    <t xml:space="preserve">Named as a building tenant in two CO articles. HQ Chicago; size of NYC office not found. The slice opened no headcount source (the Wikipedia figure added at assembly is below). | Assembly 2026-10-24: Band set at assembly to over-500 from Wikipedia infobox: '2000+' employees (no year given). The NYC office size is unknown; the NYC office alone may fit, founder to confirm.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</si>
  <si>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AO-C-191</t>
  </si>
  <si>
    <t xml:space="preserve">Kaltura</t>
  </si>
  <si>
    <t xml:space="preserve">Tuesday estimate 208 to 416 (low confidence), 501 to 1,000 staff company-wide, hybrid (days not stated), occupied at a medium-confidence address; contacts not researched yet (below the top 50).</t>
  </si>
  <si>
    <t xml:space="preserve">B-C-191</t>
  </si>
  <si>
    <t xml:space="preserve">https://corp.kaltura.com</t>
  </si>
  <si>
    <t xml:space="preserve">video software</t>
  </si>
  <si>
    <t xml:space="preserve">730</t>
  </si>
  <si>
    <t xml:space="preserve">https://www.builtinnyc.com/company/kaltura-inc</t>
  </si>
  <si>
    <t xml:space="preserve">https://commercialobserver.com/2022/01/kaltura-lease-860-broadway-gordon-property-group/</t>
  </si>
  <si>
    <t xml:space="preserve">2022-01</t>
  </si>
  <si>
    <t xml:space="preserve">Built In workplace type: Hybrid Workplace; typical time on-site: Flexible; recent job tags: 3 Remote</t>
  </si>
  <si>
    <t xml:space="preserve">https://www.builtinnyc.com/company/kaltura-inc/offices</t>
  </si>
  <si>
    <t xml:space="preserve">730 (Built In) staff (whole-company count) x 50% to 100% of them in the New York office (HQ New York; share assumed) x 57% (Partnership for NYC, all Manhattan firms; no figure for 500 to 4,999) in on a weekday = 208 to 416, central 294; low confidence; estimate until intake replaces it.</t>
  </si>
  <si>
    <t xml:space="preserve">Near-miss: over 500. Built In NYC: 730 total employees, HQ New York. CO 2026-08-07 names Kaltura as a current 860 Broadway tenant. CO 2022-01: took the entire 3rd floor (Warhol Factory floor) as its NYC HQ, moving from 250 Park Ave S. | Assembly 2026-10-24: Conflict resolved at assembly: S2 saw an SEC business address of 250 Park Ave S, 10th floor. CO 2022-01 says Kaltura took the entire 3rd floor of 860 Broadway 'moving from 250 Park Ave S', and CO 2026-08-07 names it a current 860 Broadway tenant, so the SEC address is a stale registrant address. Kept at 860 Broadway. Over 500 either way. Confidence lowered at assembly from high to medium: second source is the same publisher or missing.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</si>
  <si>
    <t xml:space="preserve">AO-C-185</t>
  </si>
  <si>
    <t xml:space="preserve">Faire</t>
  </si>
  <si>
    <t xml:space="preserve">Tuesday estimate 34 to 684 (low confidence), 1,001 to 4,999 staff company-wide, hybrid (days not stated), occupancy-unconfirmed at a medium-confidence address; contacts not researched yet (below the top 50).</t>
  </si>
  <si>
    <t xml:space="preserve">9; 12</t>
  </si>
  <si>
    <t xml:space="preserve">B-C-185</t>
  </si>
  <si>
    <t xml:space="preserve">https://www.faire.com</t>
  </si>
  <si>
    <t xml:space="preserve">B2B wholesale marketplace</t>
  </si>
  <si>
    <t xml:space="preserve">https://www.builtinnyc.com/company/faire</t>
  </si>
  <si>
    <t xml:space="preserve">https://www.builtinnyc.com/company/faire/offices</t>
  </si>
  <si>
    <t xml:space="preserve">1200 (Built In) staff (whole-company count) x 5% to 100% of them in the New York office (HQ outside New York; share assumed) x 57% (Partnership for NYC, all Manhattan firms; no figure for 500 to 4,999) in on a weekday = 34 to 684, central 152; low confidence; estimate until intake replaces it.</t>
  </si>
  <si>
    <t xml:space="preserve">Near-miss: over 500. Built In NYC: 1,200 total employees, HQ San Francisco. CO 2025-03-27: about 20,000 sf on floors 9 and 12; article says the NYC office had about 50 employees when it opened in Greenwich Village in 2022 (old, not used for band).</t>
  </si>
  <si>
    <t xml:space="preserve">AO-C-040</t>
  </si>
  <si>
    <t xml:space="preserve">Farmacy Beauty</t>
  </si>
  <si>
    <t xml:space="preserve">Tuesday headcount unknown (no sourced count), company size unknown with a named parent (Procter &amp; Gamble), no attendance signal, occupied at a high-confidence address; contacts not researched yet (below the top 50).</t>
  </si>
  <si>
    <t xml:space="preserve">https://www.farmacybeauty.com/pages/contact-us</t>
  </si>
  <si>
    <t xml:space="preserve">B-C-040</t>
  </si>
  <si>
    <t xml:space="preserve">https://www.farmacybeauty.com</t>
  </si>
  <si>
    <t xml:space="preserve">skincare brand</t>
  </si>
  <si>
    <t xml:space="preserve">Procter &amp; Gamble</t>
  </si>
  <si>
    <t xml:space="preserve">Contact page mailing address 130 5th Ave, 4th fl; CO Dec 2024 names Farmacy Beauty among 130 Fifth leases. Review round 2: corner lot: the lot-centroid pin sat 21 m from W 18 ST but 36 m from 5 AVE, so it was moved to the 5 AVE frontage near the corner (17 m from the 5 AVE centreline, 26 m from W 18 ST; 19 m from the old pin). Tax lot unchanged.</t>
  </si>
  <si>
    <t xml:space="preserve">AO-C-005</t>
  </si>
  <si>
    <t xml:space="preserve">Nourish</t>
  </si>
  <si>
    <t xml:space="preserve">Tuesday estimate 90 to 2327 (low confidence), 1,001 to 4,999 staff company-wide, hybrid (days not stated), occupied at a high-confidence address; contacts not researched yet (below the top 50).</t>
  </si>
  <si>
    <t xml:space="preserve">B-C-005</t>
  </si>
  <si>
    <t xml:space="preserve">https://www.usenourish.com</t>
  </si>
  <si>
    <t xml:space="preserve">health tech (dietitian telehealth)</t>
  </si>
  <si>
    <t xml:space="preserve">4082</t>
  </si>
  <si>
    <t xml:space="preserve">315</t>
  </si>
  <si>
    <t xml:space="preserve">https://www.reveliolabs.com/companies/nourish/employees</t>
  </si>
  <si>
    <t xml:space="preserve">https://www.builtinnyc.com/company/nourish</t>
  </si>
  <si>
    <t xml:space="preserve">https://commercialobserver.com/2025/02/nourish-lease-853-broadway/</t>
  </si>
  <si>
    <t xml:space="preserve">https://www.builtinnyc.com/company/nourish/offices</t>
  </si>
  <si>
    <t xml:space="preserve">4082 (Revelio Labs) and 315 (Built In) staff (whole-company count) x 50% to 100% of them in the New York office (HQ New York; share assumed) x 57% (Partnership for NYC, all Manhattan firms; no figure for 500 to 4,999) in on a weekday = 90 to 2327, central 458; low confidence; estimate until intake replaces it.</t>
  </si>
  <si>
    <t xml:space="preserve">NYREJ 2025-04-08: entire 15th floor, 7,563 sf, five years, already moved in. Built In NYC: 315 total employees, HQ New York; NYC office headcount not sourced; founder to confirm at intake. CO 2025-02 independently reports the same 15th-floor lease. | Assembly 2026-10-24: Review round 2: band moved from 251-500 to over-500, so the row moves to Near-miss. Revelio Labs (Nourish, Inc. (New York), HQ Austin): about 4,082 employees worldwide as of March 2026. Built In shows 315 total employees (stale against Revelio; it is now the second source). Its NYC office is one 7,563 sf floor (NYREJ 2025-04-08); Revelio's page describes a dietitian telehealth service; the NYC office alone may fit the 40-250 band, founder to confirm.</t>
  </si>
  <si>
    <t xml:space="preserve">AO-C-254</t>
  </si>
  <si>
    <t xml:space="preserve">Superhuman (formerly Grammarly)</t>
  </si>
  <si>
    <t xml:space="preserve">Tuesday estimate 43 to 855 (low confidence), 1,001 to 4,999 staff company-wide, hybrid (days not stated), occupancy-unconfirmed at a medium-confidence address; contacts not researched yet (below the top 50).</t>
  </si>
  <si>
    <t xml:space="preserve">https://commercialobserver.com/2025/09/grammarly-bxps-360-park-avenue-south/</t>
  </si>
  <si>
    <t xml:space="preserve">one full floor (23,038 sf)</t>
  </si>
  <si>
    <t xml:space="preserve">B-C-254</t>
  </si>
  <si>
    <t xml:space="preserve">https://www.grammarly.com/</t>
  </si>
  <si>
    <t xml:space="preserve">Software (AI writing assistant)</t>
  </si>
  <si>
    <t xml:space="preserve">https://www.builtinnyc.com/company/superhuman-1/offices</t>
  </si>
  <si>
    <t xml:space="preserve">2025-09-02</t>
  </si>
  <si>
    <t xml:space="preserve">https://commercialobserver.com/2026/01/betches-coming-360-park-avenue-south/</t>
  </si>
  <si>
    <t xml:space="preserve">2026-01-22</t>
  </si>
  <si>
    <t xml:space="preserve">CO Sep 2025: 23,038 sf full floor; NYC address at the time was 29 West 30th St; move date unclear. CO Jan 2026 lists Grammarly as a current 360 PAS tenant (same publisher). HQ San Francisco. Wikipedia infobox has no employee count; headcount unknown. Possible overlap: S4 lists 'Superhuman (formerly Grammarly)' at 450 Park Ave S; the CO sources here place Grammarly's new NYC hub at 360 PAS. Founder to confirm which office is current; do not count twice. | Assembly 2026-10-24: Merged at assembly: S3 (Grammarly, 360 PAS) and S4 (Superhuman, 450 PAS) are one company. CO 2025-09-02 reports a 23,038 sf full-floor lease at 360 Park Ave S (its NYC address then was 29 W 30th St) and CO 2026-01-22 lists Grammarly as a current 360 PAS tenant, so 360 PAS is used. Built In's 450 Park Ave S address is the building of WeWork 450 Park Ave S and looks like a coworking membership or a stale entry. Built In: 1,500 total employees, so over 500 either way: near-miss. Review round 2: corner lot: the lot-centroid pin sat 22 m from E 26 ST but 36 m from PARK AVE S, so it was moved to the PARK AVE S frontage near the corner (13 m from the PARK AVE S centreline, 27 m from E 26 ST; 23 m from the old pin). Tax lot unchanged.</t>
  </si>
  <si>
    <t xml:space="preserve">AO-C-179</t>
  </si>
  <si>
    <t xml:space="preserve">Movable Ink</t>
  </si>
  <si>
    <t xml:space="preserve">Tuesday estimate 171 to 342 (low confidence), 501 to 1,000 staff company-wide, hybrid (days not stated), occupancy-unconfirmed at a low-confidence address; contacts not researched yet (below the top 50).</t>
  </si>
  <si>
    <t xml:space="preserve">B-C-179</t>
  </si>
  <si>
    <t xml:space="preserve">https://movableink.com</t>
  </si>
  <si>
    <t xml:space="preserve">marketing tech (email personalization)</t>
  </si>
  <si>
    <t xml:space="preserve">https://www.builtinnyc.com/company/movable-ink</t>
  </si>
  <si>
    <t xml:space="preserve">https://www.builtinnyc.com/company/movable-ink/offices</t>
  </si>
  <si>
    <t xml:space="preserve">600 (Built In) staff (whole-company count) x 50% to 100% of them in the New York office (HQ New York; share assumed) x 57% (Partnership for NYC, all Manhattan firms; no figure for 500 to 4,999) in on a weekday = 171 to 342, central 242; low confidence; estimate until intake replaces it.</t>
  </si>
  <si>
    <t xml:space="preserve">Near-miss: over 500 (Built In: 600 total employees, HQ New York) and margin. CO 2024-06: about 14,000 sf long-term lease at 841 Broadway, moving from 5 Bryant Park. Source older than 24 months, no current confirmation found. Review round 2: corner lot: the lot-centroid pin sat 21 m from E 13 ST but 30 m from BROADWAY, so it was moved to the BROADWAY frontage near the corner (15 m from the BROADWAY centreline, 26 m from E 13 ST; 15 m from the old pin). Tax lot unchanged.</t>
  </si>
  <si>
    <t xml:space="preserve">AO-C-006</t>
  </si>
  <si>
    <t xml:space="preserve">Perplexity</t>
  </si>
  <si>
    <t xml:space="preserve">Tuesday headcount unknown (no sourced count), company size unknown, no attendance signal, occupancy-unconfirmed at a high-confidence address; contacts not researched yet (below the top 50).</t>
  </si>
  <si>
    <t xml:space="preserve">New or renewed lease at 853 Broadway reported 2026-03-05</t>
  </si>
  <si>
    <t xml:space="preserve">https://nyrej.com/perplexity-expands-presence-at-841-853-broadway</t>
  </si>
  <si>
    <t xml:space="preserve">2026-03-05</t>
  </si>
  <si>
    <t xml:space="preserve">4 (plus 4th floor of adjoining 841 Broadway)</t>
  </si>
  <si>
    <t xml:space="preserve">B-C-006</t>
  </si>
  <si>
    <t xml:space="preserve">https://www.perplexity.ai</t>
  </si>
  <si>
    <t xml:space="preserve">AI search</t>
  </si>
  <si>
    <t xml:space="preserve">22,000 sf;14,000 sf;8,000 sf</t>
  </si>
  <si>
    <t xml:space="preserve">NYREJ 2026-03-05 (Feil Organization): entire 4th floor of 853 Broadway leased the prior June, plus the full 4th floor of 841 Broadway; 22,000 sf combined, wall to be removed. HQ San Francisco. Built In NYC shows only 41 employees, which conflicts with its growth; band left unknown. Margin (south side of 14th). CO 2026-01-27: new 14,000 sf full 4th floor at 841 Broadway on top of the 8,000 sf 4th floor at 853 Broadway.</t>
  </si>
  <si>
    <t xml:space="preserve">AO-C-025</t>
  </si>
  <si>
    <t xml:space="preserve">Kharon</t>
  </si>
  <si>
    <t xml:space="preserve">Tuesday estimate 2 to 44 (low confidence), under 500 staff company-wide, hybrid (days not stated), occupancy-unconfirmed at a medium-confidence address; contacts not researched yet (below the top 50).</t>
  </si>
  <si>
    <t xml:space="preserve">B-C-025</t>
  </si>
  <si>
    <t xml:space="preserve">https://www.kharon.com</t>
  </si>
  <si>
    <t xml:space="preserve">risk intelligence software (sanctions and financial crime)</t>
  </si>
  <si>
    <t xml:space="preserve">https://www.builtinnyc.com/company/kharon</t>
  </si>
  <si>
    <t xml:space="preserve">Los Angeles</t>
  </si>
  <si>
    <t xml:space="preserve">https://www.builtinnyc.com/company/kharon/offices</t>
  </si>
  <si>
    <t xml:space="preserve">65 (Built In) staff (whole-company count) x 5% to 100% of them in the New York office (HQ outside New York; share assumed) x 67% (Partnership for NYC, firms under 500) in on a weekday = 2 to 44, central 9; low confidence; estimate until intake replaces it.</t>
  </si>
  <si>
    <t xml:space="preserve">6,500 sf</t>
  </si>
  <si>
    <t xml:space="preserve">CO 2026-10-19: Kharon took 6,500 sf at 120 Fifth Ave in August 2026 (Bromley prebuilt full floors). Built In NYC: 65 total employees, HQ Los Angeles, so the band describes the whole company; NYC headcount not sourced.</t>
  </si>
  <si>
    <t xml:space="preserve">AO-C-010</t>
  </si>
  <si>
    <t xml:space="preserve">GameChanger</t>
  </si>
  <si>
    <t xml:space="preserve">Tuesday estimate 74 to 380 (low confidence), 501 to 1,000 staff company-wide with a named parent (Dick's Sporting Goods), remote-first signal, occupied at a high-confidence address; contacts not researched yet (below the top 50).</t>
  </si>
  <si>
    <t xml:space="preserve">https://gc.com/about</t>
  </si>
  <si>
    <t xml:space="preserve">B-C-010</t>
  </si>
  <si>
    <t xml:space="preserve">https://gc.com</t>
  </si>
  <si>
    <t xml:space="preserve">sports tech (youth sports streaming and scorekeeping)</t>
  </si>
  <si>
    <t xml:space="preserve">667</t>
  </si>
  <si>
    <t xml:space="preserve">260</t>
  </si>
  <si>
    <t xml:space="preserve">https://www.reveliolabs.com/companies/gamechanger-media/employees</t>
  </si>
  <si>
    <t xml:space="preserve">https://www.builtinnyc.com/company/gamechanger</t>
  </si>
  <si>
    <t xml:space="preserve">Dick's Sporting Goods</t>
  </si>
  <si>
    <t xml:space="preserve">Built In workplace type: Remote Workplace; recent job tags: 1 Hybrid, 2 Remote</t>
  </si>
  <si>
    <t xml:space="preserve">https://www.builtinnyc.com/company/gamechanger/offices</t>
  </si>
  <si>
    <t xml:space="preserve">667 (Revelio Labs) and 260 (Built In) staff (whole-company count) x 50% to 100% of them in the New York office (HQ New York; share assumed) x 57% (Partnership for NYC, all Manhattan firms; no figure for 500 to 4,999) in on a weekday = 74 to 380, central 168; low confidence; estimate until intake replaces it.</t>
  </si>
  <si>
    <t xml:space="preserve">25,600 sf</t>
  </si>
  <si>
    <t xml:space="preserve">Site footer: '124 East 14th Street 17th Floor New York, NY 10003'. CO 2022-12 and 2024-08: Dick's Sporting Goods leased 25,600 sf for GameChanger at Zero Irving. Built In NYC: 260 total employees, HQ New York. Owned by Dick's Sporting Goods (parent far over 500). Margin: south side of 14th between Irving Pl and Third Ave. | Assembly 2026-10-24: Review round 2: band moved from 251-500 to over-500, so the row moves to Near-miss. Revelio Labs (GameChanger Media, Inc., HQ New York City): about 667 employees worldwide as of March 2026. Built In shows 260 total employees (stale against Revelio; it is now the second source).</t>
  </si>
  <si>
    <t xml:space="preserve">AO-C-041</t>
  </si>
  <si>
    <t xml:space="preserve">Fresh (LVMH)</t>
  </si>
  <si>
    <t xml:space="preserve">Tuesday headcount unknown (no sourced count), company size unknown with a named parent (LVMH), no attendance signal, occupied at a medium-confidence address; contacts not researched yet (below the top 50).</t>
  </si>
  <si>
    <t xml:space="preserve">B-C-041</t>
  </si>
  <si>
    <t xml:space="preserve">https://www.fresh.com</t>
  </si>
  <si>
    <t xml:space="preserve">cosmetics brand</t>
  </si>
  <si>
    <t xml:space="preserve">LVMH</t>
  </si>
  <si>
    <t xml:space="preserve">26,600 sf</t>
  </si>
  <si>
    <t xml:space="preserve">Renewed 26,600 sf in Sept 2024. Division of LVMH (parent far over 500); Fresh's own headcount not sourced. Review round 2: corner lot: the lot-centroid pin sat 21 m from W 18 ST but 36 m from 5 AVE, so it was moved to the 5 AVE frontage near the corner (17 m from the 5 AVE centreline, 26 m from W 18 ST; 19 m from the old pin). Tax lot unchanged.</t>
  </si>
  <si>
    <t xml:space="preserve">AO-C-015</t>
  </si>
  <si>
    <t xml:space="preserve">Gresham Investment Management</t>
  </si>
  <si>
    <t xml:space="preserve">Tuesday headcount unknown (no sourced count), company size unknown with a named parent (Nuveen), no attendance signal, occupied at a medium-confidence address; contacts not researched yet (below the top 50).</t>
  </si>
  <si>
    <t xml:space="preserve">https://www.greshamllc.com/contact</t>
  </si>
  <si>
    <t xml:space="preserve">19 Union Square West</t>
  </si>
  <si>
    <t xml:space="preserve">B-C-015</t>
  </si>
  <si>
    <t xml:space="preserve">https://www.greshamllc.com</t>
  </si>
  <si>
    <t xml:space="preserve">investment management (commodities)</t>
  </si>
  <si>
    <t xml:space="preserve">Nuveen</t>
  </si>
  <si>
    <t xml:space="preserve">B-B-005</t>
  </si>
  <si>
    <t xml:space="preserve">https://www.mannpublications.com/mannreport/2024/06/10/hedge-fund-manager-relocates-to-19-union-square-west/</t>
  </si>
  <si>
    <t xml:space="preserve">2024-06-10</t>
  </si>
  <si>
    <t xml:space="preserve">Contact page: 'Gresham Investment Management LLC 19 Union Square West, 11th Floor New York, NY 10003'. Nuveen subsidiary. The Mann Report 2024-06 item was seen in search results only, not opened, so it is not counted toward confidence. Headcount not sourced; founder to confirm at intake. Review round 2: corner lot: the lot-centroid pin sat 17 m from E 15 ST but 33 m from UNION SQ W, so it was moved to the UNION SQ W frontage near the corner (12 m from the UNION SQ W centreline, 27 m from E 15 ST; 23 m from the old pin). Tax lot unchanged. Review round 3: the pin sat 3.1 m outside its own tax lot (NYC MapPLUTO (Department of City Planning) tax-lot polygons), so it was moved to the middle of the lot's 17 m UNION SQ W frontage, 3 m inside the lot line (12 m from the old pin). Tax lot unchanged.</t>
  </si>
  <si>
    <t xml:space="preserve">AO-C-093</t>
  </si>
  <si>
    <t xml:space="preserve">Kodansha USA</t>
  </si>
  <si>
    <t xml:space="preserve">Tuesday headcount unknown (no sourced count), company size unknown with a named parent (Kodansha), no attendance signal, occupied at a medium-confidence address; contacts not researched yet (below the top 50).</t>
  </si>
  <si>
    <t xml:space="preserve">https://kodansha.us/privacy-policy/</t>
  </si>
  <si>
    <t xml:space="preserve">25 East 22nd Street</t>
  </si>
  <si>
    <t xml:space="preserve">building owner-occupant</t>
  </si>
  <si>
    <t xml:space="preserve">B-C-093</t>
  </si>
  <si>
    <t xml:space="preserve">https://kodansha.us/</t>
  </si>
  <si>
    <t xml:space="preserve">Publishing (manga and books)</t>
  </si>
  <si>
    <t xml:space="preserve">Kodansha</t>
  </si>
  <si>
    <t xml:space="preserve">B-B-045</t>
  </si>
  <si>
    <t xml:space="preserve">25 East 22nd Street (owner-occupied by Kodansha)</t>
  </si>
  <si>
    <t xml:space="preserve">https://flatironnomad.nyc/2024/02/07/january-news-roundup-5/</t>
  </si>
  <si>
    <t xml:space="preserve">2024-02-07</t>
  </si>
  <si>
    <t xml:space="preserve">17,000 sf</t>
  </si>
  <si>
    <t xml:space="preserve">Kodansha USA privacy policy (live) gives 25 East 22nd Street, New York, NY 10010. FNP Feb 2024 roundup (citing Crain's) reports Kodansha bought the six-story, 17,000 sf building. Headcount not found in an opened source.</t>
  </si>
  <si>
    <t xml:space="preserve">AO-C-036</t>
  </si>
  <si>
    <t xml:space="preserve">Matador Content</t>
  </si>
  <si>
    <t xml:space="preserve">Tuesday headcount unknown (no sourced count), company size unknown with a named parent (Boat Rocker Media), no attendance signal, occupied at a medium-confidence address; contacts not researched yet (below the top 50).</t>
  </si>
  <si>
    <t xml:space="preserve">B-C-036</t>
  </si>
  <si>
    <t xml:space="preserve">TV and film production</t>
  </si>
  <si>
    <t xml:space="preserve">Boat Rocker Media</t>
  </si>
  <si>
    <t xml:space="preserve">17,255 sf</t>
  </si>
  <si>
    <t xml:space="preserve">SEC rent roll 2026-02-05: Matador Content LLC 17,255 sf, lease to 2028-08-31; it subleases parts of its 8th floor to OBB Media, LLC and Initial Group Global LLC through 2026-12-31, so part of its floor is sublet; its own headcount is not sourced. Website and headcount not confirmed.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</si>
  <si>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AO-C-232</t>
  </si>
  <si>
    <t xml:space="preserve">TKO Group Holdings</t>
  </si>
  <si>
    <t xml:space="preserve">Tuesday estimate 114 to 2280 (low confidence), 1,001 to 4,999 staff company-wide, no attendance signal, occupied at a high-confidence address; contacts not researched yet (below the top 50).</t>
  </si>
  <si>
    <t xml:space="preserve">https://tkogrp.com/privacy-policy/</t>
  </si>
  <si>
    <t xml:space="preserve">200 Fifth Avenue</t>
  </si>
  <si>
    <t xml:space="preserve">B-C-232</t>
  </si>
  <si>
    <t xml:space="preserve">https://tkogrp.com/</t>
  </si>
  <si>
    <t xml:space="preserve">Sports entertainment (WWE, UFC parent)</t>
  </si>
  <si>
    <t xml:space="preserve">https://en.wikipedia.org/wiki/TKO_Group_Holdings</t>
  </si>
  <si>
    <t xml:space="preserve">https://en.wikipedia.org/wiki/200_Fifth_Avenue</t>
  </si>
  <si>
    <t xml:space="preserve">4000 (Wikipedia) staff (whole-company count) x 5% to 100% of them in the New York office (HQ city unknown; share assumed) x 57% (Partnership for NYC, all Manhattan firms; no figure for 500 to 4,999) in on a weekday = 114 to 2280, central 510; low confidence; estimate until intake replaces it.</t>
  </si>
  <si>
    <t xml:space="preserve">Company privacy policy and terms (live) give '200 5th Ave, New York, NY 10010'. Wikipedia's 200 Fifth Avenue article lists TKO as a tenant; TKO's own Wikipedia infobox gives HQ 200 Fifth Avenue and c. 4,000 employees (2025). Near-miss (over-500). Review round 2: corner lot: the lot-centroid pin sat 36 m from W 24 ST but 53 m from 5 AVE, so it was moved to the 5 AVE frontage near the corner (15 m from the 5 AVE centreline, 37 m from W 24 ST; 38 m from the old pin). Tax lot unchanged.</t>
  </si>
  <si>
    <t xml:space="preserve">AO-C-223</t>
  </si>
  <si>
    <t xml:space="preserve">MSQ Partners</t>
  </si>
  <si>
    <t xml:space="preserve">Tuesday estimate 53 to 1054 (low confidence), 1,001 to 4,999 staff company-wide, no attendance signal, occupancy-unconfirmed at a medium-confidence address; contacts not researched yet (below the top 50).</t>
  </si>
  <si>
    <t xml:space="preserve">8 and part of 7</t>
  </si>
  <si>
    <t xml:space="preserve">B-C-223</t>
  </si>
  <si>
    <t xml:space="preserve">https://www.msqpartners.com/</t>
  </si>
  <si>
    <t xml:space="preserve">Marketing / creative agency</t>
  </si>
  <si>
    <t xml:space="preserve">1850</t>
  </si>
  <si>
    <t xml:space="preserve">https://www.msqpartners.com/about</t>
  </si>
  <si>
    <t xml:space="preserve">1850 (msqpartners.com) staff (whole-company count) x 5% to 100% of them in the New York office (HQ city unknown; share assumed) x 57% (Partnership for NYC, all Manhattan firms; no figure for 500 to 4,999) in on a weekday = 53 to 1054, central 236; low confidence; estimate until intake replaces it.</t>
  </si>
  <si>
    <t xml:space="preserve">38,273 sf</t>
  </si>
  <si>
    <t xml:space="preserve">CO Sep 2025: 10-yr lease, 38,273 sf, entire 8th floor and part of the 7th; MSQ North America's president calls it the North American headquarters. NYREJ repeats the same landlord release. London-based group; its About page (live) gives '1850+' people across 24 global offices, so the company is over 500 (near-miss). New York headcount not stated.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</si>
  <si>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AO-C-166</t>
  </si>
  <si>
    <t xml:space="preserve">Atlantic Vantage Point (AVP, formerly AXA Venture Partners)</t>
  </si>
  <si>
    <t xml:space="preserve">Tuesday headcount unknown (no sourced count), company size unknown, no attendance signal, occupancy-unconfirmed at a medium-confidence address; contacts not researched yet (below the top 50).</t>
  </si>
  <si>
    <t xml:space="preserve">https://commercialobserver.com/2025/09/investment-firm-atlantic-vantage-point-takes-8k-sf-at-99-madison-avenue/</t>
  </si>
  <si>
    <t xml:space="preserve">99 Madison Avenue</t>
  </si>
  <si>
    <t xml:space="preserve">B-C-166</t>
  </si>
  <si>
    <t xml:space="preserve">https://www.avp.vc</t>
  </si>
  <si>
    <t xml:space="preserve">venture capital and growth equity</t>
  </si>
  <si>
    <t xml:space="preserve">B-B-078</t>
  </si>
  <si>
    <t xml:space="preserve">99 Madison Avenue (Windsor Management)</t>
  </si>
  <si>
    <t xml:space="preserve">2025-09-22</t>
  </si>
  <si>
    <t xml:space="preserve">8,264 sf</t>
  </si>
  <si>
    <t xml:space="preserve">10-year 8,264 SF lease; NYC HQ moving from 1330 Avenue of the Americas. Note avp.vc now shows 'Advance Venture Partners' (San Francisco and New York) with no street address; founder to confirm the name. Headcount not found. Review round 2: corner lot: the lot-centroid pin sat 18 m from E 29 ST but 23 m from MADISON AVE, so it was moved to the MADISON AVE frontage near the corner (16 m from the MADISON AVE centreline, 26 m from E 29 ST; 11 m from the old pin). Tax lot unchanged.</t>
  </si>
  <si>
    <t xml:space="preserve">AO-C-112</t>
  </si>
  <si>
    <t xml:space="preserve">BrightTower</t>
  </si>
  <si>
    <t xml:space="preserve">New or renewed lease at 41 Madison Avenue reported 2026-03-09</t>
  </si>
  <si>
    <t xml:space="preserve">https://commercialobserver.com/2026/03/brighttower-lease-rudin-41-madison-avenue/</t>
  </si>
  <si>
    <t xml:space="preserve">B-C-112</t>
  </si>
  <si>
    <t xml:space="preserve">https://brighttower.com</t>
  </si>
  <si>
    <t xml:space="preserve">investment banking (M&amp;A advisory)</t>
  </si>
  <si>
    <t xml:space="preserve">13,857 sf</t>
  </si>
  <si>
    <t xml:space="preserve">13,857 SF full 32nd floor; HQ move from 110 East 25th Street planned for Q2 2026 (not confirmed complete). Company site has no address text. Headcount not found. | Assembly 2026-10-24: Review round 2: the planned Q2 2026 move date has passed. brighttower.com (home page opened 2026-10-24) prints no address, so the move is not confirmed. Check the 41 Madison Ave lobby directory on the walk. Review round 2: corner lot: the lot-centroid pin sat 30 m from E 26 ST but 44 m from MADISON AVE, so it was moved to the MADISON AVE frontage near the corner (16 m from the MADISON AVE centreline, 30 m from E 26 ST; 29 m from the old pin). Tax lot unchanged.</t>
  </si>
  <si>
    <t xml:space="preserve">AO-C-167</t>
  </si>
  <si>
    <t xml:space="preserve">Davies Group</t>
  </si>
  <si>
    <t xml:space="preserve">New or renewed lease at 99 Madison Avenue reported 2025-11-04</t>
  </si>
  <si>
    <t xml:space="preserve">https://commercialobserver.com/2025/11/davies-group-lease-99-madison-avenue/</t>
  </si>
  <si>
    <t xml:space="preserve">2025-11-04</t>
  </si>
  <si>
    <t xml:space="preserve">B-C-167</t>
  </si>
  <si>
    <t xml:space="preserve">professional services and technology (insurance claims and consulting)</t>
  </si>
  <si>
    <t xml:space="preserve">U.K.-based; five-year 8,264 SF lease on floor 3, consolidating its NYC offices. Company-wide headcount not sourced. Building said to be fully leased. Review round 2: corner lot: the lot-centroid pin sat 18 m from E 29 ST but 23 m from MADISON AVE, so it was moved to the MADISON AVE frontage near the corner (16 m from the MADISON AVE centreline, 26 m from E 29 ST; 11 m from the old pin). Tax lot unchanged.</t>
  </si>
  <si>
    <t xml:space="preserve">AO-C-076</t>
  </si>
  <si>
    <t xml:space="preserve">Euclidean Capital</t>
  </si>
  <si>
    <t xml:space="preserve">https://commercialobserver.com/2025/01/euclidean-capital-lease-149-fifth-avenue/</t>
  </si>
  <si>
    <t xml:space="preserve">149 Fifth Avenue</t>
  </si>
  <si>
    <t xml:space="preserve">B-C-076</t>
  </si>
  <si>
    <t xml:space="preserve">investment management (family office)</t>
  </si>
  <si>
    <t xml:space="preserve">B-B-035</t>
  </si>
  <si>
    <t xml:space="preserve">2025-01-08</t>
  </si>
  <si>
    <t xml:space="preserve">23,000 sf on two floors; CO says it also has offices at 160 Fifth Avenue (per its LinkedIn page, which we did not open). Family office of the late Jim Simons. Website not confirmed (euclidean.com opened but shows no address). Pin moved to frontage at review round 1: the lot-centroid pin failed the block-face test (41 m from 5 AVE but 42 m from BROADWAY); pin moved to frontage: the lot's position along 5 AVE kept, set 25 m from the centreline on the side CSCL gives house number 149 (16 m from the old pin). Tax lot unchanged. New pin: 25 m from 5 AVE, 58 m from BROADWAY. Review round 2: corner lot: the lot-centroid pin sat 16 m from E 21 ST but 25 m from 5 AVE, so it was moved to the 5 AVE frontage near the corner (17 m from the 5 AVE centreline, 27 m from E 21 ST; 14 m from the old pin). Tax lot unchanged.</t>
  </si>
  <si>
    <t xml:space="preserve">AO-C-092</t>
  </si>
  <si>
    <t xml:space="preserve">Flexible Finance (Flex)</t>
  </si>
  <si>
    <t xml:space="preserve">top three floors</t>
  </si>
  <si>
    <t xml:space="preserve">B-C-092</t>
  </si>
  <si>
    <t xml:space="preserve">fintech (flexible rent payments)</t>
  </si>
  <si>
    <t xml:space="preserve">https://therealdeal.com/new-york/2025/09/02/top-office-leases-nyc-in-august-2025/</t>
  </si>
  <si>
    <t xml:space="preserve">41,000 sf</t>
  </si>
  <si>
    <t xml:space="preserve">41,000 sf lease of the top three floors, relocating from 33 Irving Place (also margin). TRD's August 2025 top-leases list repeats the deal. 300 PAS is on the 22nd-23rd St block, so margin. Company website not confirmed; headcount not sourced (Built In 'flex' is a different LA company). Review round 2: corner lot: the lot-centroid pin sat 24 m from E 22 ST but 25 m from PARK AVE S, so it was moved to the PARK AVE S frontage near the corner (13 m from the PARK AVE S centreline, 27 m from E 22 ST; 12 m from the old pin). Tax lot unchanged.</t>
  </si>
  <si>
    <t xml:space="preserve">AO-C-024</t>
  </si>
  <si>
    <t xml:space="preserve">Iterative Scopes</t>
  </si>
  <si>
    <t xml:space="preserve">B-C-024</t>
  </si>
  <si>
    <t xml:space="preserve">AI health care (gastroenterology software)</t>
  </si>
  <si>
    <t xml:space="preserve">CO 2026-10-19: took 6,500 sf at 120 Fifth Ave in April 2026. Website and headcount not confirmed.</t>
  </si>
  <si>
    <t xml:space="preserve">AO-C-062</t>
  </si>
  <si>
    <t xml:space="preserve">Manifest Law</t>
  </si>
  <si>
    <t xml:space="preserve">New or renewed lease at 902 Broadway reported 2026-08-06</t>
  </si>
  <si>
    <t xml:space="preserve">https://commercialobserver.com/2026/08/manifest-law-sublease-koeppel-rosen-902-broadway/</t>
  </si>
  <si>
    <t xml:space="preserve">2026-08-06</t>
  </si>
  <si>
    <t xml:space="preserve">B-C-062</t>
  </si>
  <si>
    <t xml:space="preserve">https://www.manifestlaw.com</t>
  </si>
  <si>
    <t xml:space="preserve">law firm (immigration, tech-enabled)</t>
  </si>
  <si>
    <t xml:space="preserve">18,200 sf</t>
  </si>
  <si>
    <t xml:space="preserve">18,200 sf sublease of the full 8th floor from Adaptive Security; relocating from 333 Park Avenue South. Company site returned 403 to our fetch (2026-10-23). Review round 2: corner lot: the lot-centroid pin sat 27 m from E 20 ST but 31 m from BROADWAY, so it was moved to the BROADWAY frontage near the corner (15 m from the BROADWAY centreline, 27 m from E 20 ST; 16 m from the old pin). Tax lot unchanged.</t>
  </si>
  <si>
    <t xml:space="preserve">AO-C-156</t>
  </si>
  <si>
    <t xml:space="preserve">Modern FL</t>
  </si>
  <si>
    <t xml:space="preserve">B-C-156</t>
  </si>
  <si>
    <t xml:space="preserve">furniture and lighting</t>
  </si>
  <si>
    <t xml:space="preserve">13,121 sf</t>
  </si>
  <si>
    <t xml:space="preserve">U.K.-based furniture and lighting firm; 13,121 SF on floor 9. CO says unclear whether this is its first NYC office. Use may be office or showroom; size unknown, founder to confirm.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</si>
  <si>
    <t xml:space="preserve">AO-C-049</t>
  </si>
  <si>
    <t xml:space="preserve">Phia</t>
  </si>
  <si>
    <t xml:space="preserve">New or renewed lease at 37 East 18th Street reported 2026-06-03</t>
  </si>
  <si>
    <t xml:space="preserve">penthouse</t>
  </si>
  <si>
    <t xml:space="preserve">B-C-049</t>
  </si>
  <si>
    <t xml:space="preserve">https://phia.com</t>
  </si>
  <si>
    <t xml:space="preserve">AI shopping assistant (consumer tech)</t>
  </si>
  <si>
    <t xml:space="preserve">8,900 sf</t>
  </si>
  <si>
    <t xml:space="preserve">CO 2026-06-03: 8,900 sf penthouse level at Zar Property NY's 37 East 18th St, a block north of Union Square. A Built In NYC 'Phia' profile (HQ Fairfax, 77 employees, founded 2025) could not be confirmed as the same company, so band left unknown. Website domain not verified. 37 E 18th St is on the north side of 18th (tax block 847, the 18th-19th block), so margin.</t>
  </si>
  <si>
    <t xml:space="preserve">AO-C-110</t>
  </si>
  <si>
    <t xml:space="preserve">Purple (PR)</t>
  </si>
  <si>
    <t xml:space="preserve">New or renewed lease at 16 Madison Square West reported 2026-01-08</t>
  </si>
  <si>
    <t xml:space="preserve">full floor (number not stated)</t>
  </si>
  <si>
    <t xml:space="preserve">B-C-110</t>
  </si>
  <si>
    <t xml:space="preserve">https://purplepr.com/</t>
  </si>
  <si>
    <t xml:space="preserve">Public relations / lifestyle communications</t>
  </si>
  <si>
    <t xml:space="preserve">https://flatironnomad.nyc/2026/02/18/january-news-roundup-7/</t>
  </si>
  <si>
    <t xml:space="preserve">24,000 sf</t>
  </si>
  <si>
    <t xml:space="preserve">CO Jan 2026: 10-yr lease, about 24,000 sf full floor, relocating from 322 Eighth Ave. London-based with offices in LA, Miami, Hong Kong. Move-in date not stated. FNP roundup repeats the CO report. Not the mattress company Purple.</t>
  </si>
  <si>
    <t xml:space="preserve">AO-C-134</t>
  </si>
  <si>
    <t xml:space="preserve">Reckoner Capital Management</t>
  </si>
  <si>
    <t xml:space="preserve">B-C-134</t>
  </si>
  <si>
    <t xml:space="preserve">https://reckoner.com</t>
  </si>
  <si>
    <t xml:space="preserve">asset management (alternative credit)</t>
  </si>
  <si>
    <t xml:space="preserve">12,124 sf</t>
  </si>
  <si>
    <t xml:space="preserve">12,124 SF on full 10th floor, its first NYC office (firm launched Feb 2025, backed by RedBird). Second item is the same publication, so not counted as independent.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</si>
  <si>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AO-C-149</t>
  </si>
  <si>
    <t xml:space="preserve">SWA Group</t>
  </si>
  <si>
    <t xml:space="preserve">https://commercialobserver.com/2026/08/swa-group-lease-381-park-avenue-south/</t>
  </si>
  <si>
    <t xml:space="preserve">12 (part)</t>
  </si>
  <si>
    <t xml:space="preserve">B-C-149</t>
  </si>
  <si>
    <t xml:space="preserve">landscape architecture and urban design</t>
  </si>
  <si>
    <t xml:space="preserve">2026-08-11</t>
  </si>
  <si>
    <t xml:space="preserve">5,789 sf</t>
  </si>
  <si>
    <t xml:space="preserve">10.5-year 5,789 SF lease on part of floor 12, relocating from 31 West 27th Street (also in this slice). Headcount not found.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</si>
  <si>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AO-C-117</t>
  </si>
  <si>
    <t xml:space="preserve">Urban Atelier Group</t>
  </si>
  <si>
    <t xml:space="preserve">https://commercialobserver.com/2024/11/urban-atelier-group-lease-41-madison-avenue/</t>
  </si>
  <si>
    <t xml:space="preserve">12-13</t>
  </si>
  <si>
    <t xml:space="preserve">B-C-117</t>
  </si>
  <si>
    <t xml:space="preserve">construction management and design-build</t>
  </si>
  <si>
    <t xml:space="preserve">2024-11-04</t>
  </si>
  <si>
    <t xml:space="preserve">25,268 sf</t>
  </si>
  <si>
    <t xml:space="preserve">15-year 25,268 SF lease on floors 12-13 for its new HQ (relocation and expansion). Headcount not found. Review round 2: corner lot: the lot-centroid pin sat 30 m from E 26 ST but 44 m from MADISON AVE, so it was moved to the MADISON AVE frontage near the corner (16 m from the MADISON AVE centreline, 30 m from E 26 ST; 29 m from the old pin). Tax lot unchanged.</t>
  </si>
  <si>
    <t xml:space="preserve">AO-C-081</t>
  </si>
  <si>
    <t xml:space="preserve">Vitesse PSP</t>
  </si>
  <si>
    <t xml:space="preserve">B-C-081</t>
  </si>
  <si>
    <t xml:space="preserve">https://www.vitesse.io</t>
  </si>
  <si>
    <t xml:space="preserve">fintech (payments and treasury)</t>
  </si>
  <si>
    <t xml:space="preserve">5,200 sf</t>
  </si>
  <si>
    <t xml:space="preserve">5,200 sf lease (CO citing Crain's). London-based; NYC headcount not sourced.</t>
  </si>
  <si>
    <t xml:space="preserve">AO-W-018</t>
  </si>
  <si>
    <t xml:space="preserve">WeWork 245 5th Ave</t>
  </si>
  <si>
    <t xml:space="preserve">Tuesday headcount unknown (no sourced count), coworking operator site (one office if it controls the pantry), no attendance signal, open-unverified at a medium-confidence address; contacts not researched yet (below the top 50).</t>
  </si>
  <si>
    <t xml:space="preserve">https://www.wework.com/buildings/245-5th-ave--new-york-city--NY</t>
  </si>
  <si>
    <t xml:space="preserve">245 Fifth Avenue, New York, NY 10016</t>
  </si>
  <si>
    <t xml:space="preserve">open-unverified</t>
  </si>
  <si>
    <t xml:space="preserve">B-W-018</t>
  </si>
  <si>
    <t xml:space="preserve">New location: search snippet of this page read 'Opening Summer 2026!' (2nd, 4th, 5th and 6th floors, 55,090 RSF). Page opened 2026-10-23 shows staffed hours and availability; open status unverified, founder to confirm. 'Stocked kitchens: complimentary filtered water, micro-roasted coffee, seltzers and tea'. Fifth Ave at 28th St. Not on WeWork's NYC index as opened 2026-10-24, but a wework.com listing page shows a '4th Floor' office at 245 5th Ave; open status unverified, founder to confirm. Review round 2: corner lot: the lot-centroid pin sat 24 m from E 28 ST but 34 m from 5 AVE, so it was moved to the 5 AVE frontage near the corner (17 m from the 5 AVE centreline, 26 m from E 28 ST; 17 m from the old pin). Tax lot unchanged. | pantry_control=operator (https://www.wework.com/buildings/245-5th-ave--new-york-city--NY); exclusive food contract signal: none found on amenity page</t>
  </si>
  <si>
    <t xml:space="preserve">parent 'wework' shared with AO-W-004, AO-W-024, AO-W-029, AO-W-026, AO-W-020</t>
  </si>
  <si>
    <t xml:space="preserve">AO-C-200</t>
  </si>
  <si>
    <t xml:space="preserve">Ro</t>
  </si>
  <si>
    <t xml:space="preserve">Tuesday estimate 235 to 470 (low confidence), 501 to 1,000 staff company-wide, hybrid 2 days or fewer, occupied at a high-confidence address; contacts not researched yet (below the top 50).</t>
  </si>
  <si>
    <t xml:space="preserve">https://www.builtinnyc.com/company/ro/offices</t>
  </si>
  <si>
    <t xml:space="preserve">B-C-200</t>
  </si>
  <si>
    <t xml:space="preserve">https://ro.co</t>
  </si>
  <si>
    <t xml:space="preserve">telehealth</t>
  </si>
  <si>
    <t xml:space="preserve">824</t>
  </si>
  <si>
    <t xml:space="preserve">https://www.builtinnyc.com/company/ro</t>
  </si>
  <si>
    <t xml:space="preserve">824 (Built In) staff (whole-company count) x 50% to 100% of them in the New York office (HQ New York; share assumed) x 57% (Partnership for NYC, all Manhattan firms; no figure for 500 to 4,999) in on a weekday = 235 to 470, central 332; low confidence; estimate until intake replaces it.</t>
  </si>
  <si>
    <t xml:space="preserve">Built In lists 'Ro HQ 625 6th Ave, 4th Floor'; CO Nov 2024 says Ro moved its HQ to 35,156 sf there under a 10-year lease signed Nov 2023. Built In shows 824 total employees. Over 500. Review round 2: corner lot: the lot-centroid pin sat 37 m from W 19 ST but 38 m from AVE OF THE AMERICAS, so it was moved to the AVE OF THE AMERICAS frontage near the corner (18 m from the AVE OF THE AMERICAS centreline, 37 m from W 19 ST; 20 m from the old pin). Tax lot unchanged.</t>
  </si>
  <si>
    <t xml:space="preserve">AO-C-190</t>
  </si>
  <si>
    <t xml:space="preserve">U.S. News &amp; World Report</t>
  </si>
  <si>
    <t xml:space="preserve">Tuesday estimate 15 to 309 (low confidence), 501 to 1,000 staff company-wide, hybrid (days not stated), moving-out at a low-confidence address (hold: moving out of this address); contacts not researched yet (below the top 50).</t>
  </si>
  <si>
    <t xml:space="preserve">moving-out</t>
  </si>
  <si>
    <t xml:space="preserve">moving out of this address: confirm where the office will be before outreach (B)</t>
  </si>
  <si>
    <t xml:space="preserve">B-C-190</t>
  </si>
  <si>
    <t xml:space="preserve">media and rankings</t>
  </si>
  <si>
    <t xml:space="preserve">https://www.builtinnyc.com/company/us-news-world-report</t>
  </si>
  <si>
    <t xml:space="preserve">Washington</t>
  </si>
  <si>
    <t xml:space="preserve">https://www.builtinnyc.com/company/us-news-world-report/offices</t>
  </si>
  <si>
    <t xml:space="preserve">542 (Built In) staff (whole-company count) x 5% to 100% of them in the New York office (HQ outside New York; share assumed) x 57% (Partnership for NYC, all Manhattan firms; no figure for 500 to 4,999) in on a weekday = 15 to 309, central 68; low confidence; estimate until intake replaces it.</t>
  </si>
  <si>
    <t xml:space="preserve">10,236 sf</t>
  </si>
  <si>
    <t xml:space="preserve">Near-miss: over 500 (Built In NYC: 542 total employees, HQ Washington, 3 offices). CO 2026-10-19 lists it as a tenant at 120 Fifth; NYC office headcount not sourced. Conflict: CO 2026-04-28 reports U.S. News moving its offices from 129 West 29th St to 10,236 sf at 31 Penn Plaza, so the 120 Fifth listing may be stale or a second office. Website not loadable from here, left blank. | Assembly 2026-10-24: Conflict carried: CO 2026-04-28 reports offices moving from 129 W 29th St to 31 Penn Plaza; CO 2026-10-19 lists it at 120 Fifth. Not resolvable from public sources; over 500 either way.</t>
  </si>
  <si>
    <t xml:space="preserve">AO-C-234</t>
  </si>
  <si>
    <t xml:space="preserve">Coinbase</t>
  </si>
  <si>
    <t xml:space="preserve">Tuesday estimate 108 to 2150 (low confidence), 1,001 to 4,999 staff company-wide, no attendance signal, occupied at a medium-confidence address; contacts not researched yet (below the top 50).</t>
  </si>
  <si>
    <t xml:space="preserve">https://slgreen.com/sl-green-signs-new-64000-square-foot-lease-with-sigma-computing-at-one-madison-avenue/</t>
  </si>
  <si>
    <t xml:space="preserve">B-C-234</t>
  </si>
  <si>
    <t xml:space="preserve">https://www.coinbase.com/</t>
  </si>
  <si>
    <t xml:space="preserve">Crypto exchange / fintech</t>
  </si>
  <si>
    <t xml:space="preserve">3772</t>
  </si>
  <si>
    <t xml:space="preserve">https://en.wikipedia.org/wiki/Coinbase</t>
  </si>
  <si>
    <t xml:space="preserve">2025-07-16</t>
  </si>
  <si>
    <t xml:space="preserve">press-release</t>
  </si>
  <si>
    <t xml:space="preserve">3772 (Wikipedia) staff (whole-company count) x 5% to 100% of them in the New York office (HQ city unknown; share assumed) x 57% (Partnership for NYC, all Manhattan firms; no figure for 500 to 4,999) in on a weekday = 108 to 2150, central 482; low confidence; estimate until intake replaces it.</t>
  </si>
  <si>
    <t xml:space="preserve">SL Green Jul 2025 release names Coinbase on the One Madison roster. Built In lists a New York office without street. Wikipedia: 3,772 employees (2024).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</si>
  <si>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AO-C-119</t>
  </si>
  <si>
    <t xml:space="preserve">Betches Media</t>
  </si>
  <si>
    <t xml:space="preserve">Tuesday headcount unknown (no sourced count), company size unknown, no attendance signal, signed-not-occupied at a high-confidence address (hold: lease signed, move not confirmed); contacts not researched yet (below the top 50).</t>
  </si>
  <si>
    <t xml:space="preserve">New or renewed lease at 360 Park Avenue South reported 2026-01-22</t>
  </si>
  <si>
    <t xml:space="preserve">B-C-119</t>
  </si>
  <si>
    <t xml:space="preserve">https://betches.com/</t>
  </si>
  <si>
    <t xml:space="preserve">Digital media (women's humor and lifestyle brand)</t>
  </si>
  <si>
    <t xml:space="preserve">CO Jan 2026: 10-yr lease, entire 23,000 sf 6th floor, leaving 43 West 24th Street (also in this slice). ConnectCRE Mar 2026 (BXP release) confirms. Move-in date not stated; founder to confirm which address is current. Headcount not found in an opened source (Built In betches-media profile shows no count and an old 401 PAS address). Review round 2: corner lot: the lot-centroid pin sat 22 m from E 26 ST but 36 m from PARK AVE S, so it was moved to the PARK AVE S frontage near the corner (13 m from the PARK AVE S centreline, 27 m from E 26 ST; 23 m from the old pin). Tax lot unchanged.</t>
  </si>
  <si>
    <t xml:space="preserve">AO-C-246</t>
  </si>
  <si>
    <t xml:space="preserve">Tempus AI</t>
  </si>
  <si>
    <t xml:space="preserve">Tuesday estimate 66 to 1311 (low confidence), 1,001 to 4,999 staff company-wide, no attendance signal, occupancy-unconfirmed at a medium-confidence address; contacts not researched yet (below the top 50).</t>
  </si>
  <si>
    <t xml:space="preserve">B-C-246</t>
  </si>
  <si>
    <t xml:space="preserve">https://www.tempus.com/</t>
  </si>
  <si>
    <t xml:space="preserve">Healthcare technology / AI</t>
  </si>
  <si>
    <t xml:space="preserve">2300</t>
  </si>
  <si>
    <t xml:space="preserve">https://en.wikipedia.org/wiki/Tempus_AI</t>
  </si>
  <si>
    <t xml:space="preserve">https://commercialobserver.com/2026/07/ai-firm-legora-takes-98k-sl-greens-11-madison-avenue/</t>
  </si>
  <si>
    <t xml:space="preserve">2026-07-23</t>
  </si>
  <si>
    <t xml:space="preserve">2300 (Wikipedia) staff (whole-company count) x 5% to 100% of them in the New York office (HQ city unknown; share assumed) x 57% (Partnership for NYC, all Manhattan firms; no figure for 500 to 4,999) in on a weekday = 66 to 1311, central 294; low confidence; estimate until intake replaces it.</t>
  </si>
  <si>
    <t xml:space="preserve">39,565 sf</t>
  </si>
  <si>
    <t xml:space="preserve">CO Mar 2026 and Jul 2026: 39,565 sf, 10-yr lease signed Aug 2025 (both CO, treated as one publisher). HQ Chicago. Wikipedia: 2,300 employees (2024); Built In: 3,775.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</si>
  <si>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AO-C-218</t>
  </si>
  <si>
    <t xml:space="preserve">M&amp;C Saatchi Group (New York)</t>
  </si>
  <si>
    <t xml:space="preserve">Tuesday estimate 57 to 1142 (low confidence), 1,001 to 4,999 staff company-wide, hybrid (days not stated), occupancy-unconfirmed at a low-confidence address; contacts not researched yet (below the top 50).</t>
  </si>
  <si>
    <t xml:space="preserve">https://www.builtinnyc.com/company/m-c-saatchi-group/offices</t>
  </si>
  <si>
    <t xml:space="preserve">B-C-218</t>
  </si>
  <si>
    <t xml:space="preserve">https://www.mcsaatchi.com/</t>
  </si>
  <si>
    <t xml:space="preserve">Advertising / creative agency</t>
  </si>
  <si>
    <t xml:space="preserve">2003</t>
  </si>
  <si>
    <t xml:space="preserve">https://en.wikipedia.org/wiki/M%26C_Saatchi</t>
  </si>
  <si>
    <t xml:space="preserve">https://flatironnomad.nyc/2024/01/03/december-news-roundup-4/</t>
  </si>
  <si>
    <t xml:space="preserve">2024-01-03</t>
  </si>
  <si>
    <t xml:space="preserve">Built In workplace type: Hybrid Workplace; typical time on-site: None; recent job tags: 2 Hybrid, 1 In-Office</t>
  </si>
  <si>
    <t xml:space="preserve">2003 (Wikipedia) staff (whole-company count) x 5% to 100% of them in the New York office (HQ city unknown; share assumed) x 57% (Partnership for NYC, all Manhattan firms; no figure for 500 to 4,999) in on a weekday = 57 to 1142, central 255; low confidence; estimate until intake replaces it.</t>
  </si>
  <si>
    <t xml:space="preserve">Built In (live) lists the New York office at 16 West 22nd Street, 9th Floor. FNP Jan 2024 roundup (citing CRE Connect): 10-yr lease for the entire 9th floor, about 13,000 sf. London-based group; Wikipedia infobox gives 2,003 employees for the whole group (lead says more than 2,400), so near-miss (over-500). NYC office headcount unknown and may itself be in range; founder to confirm.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</si>
  <si>
    <t xml:space="preserve">AO-C-189</t>
  </si>
  <si>
    <t xml:space="preserve">Chainalysis</t>
  </si>
  <si>
    <t xml:space="preserve">Tuesday estimate 199 to 399 (low confidence), 501 to 1,000 staff company-wide, hybrid (days not stated), occupancy-unconfirmed at a low-confidence address; contacts not researched yet (below the top 50).</t>
  </si>
  <si>
    <t xml:space="preserve">https://commercialobserver.com/2022/01/chainalysis-78k-sf-114-fifth-avenue/</t>
  </si>
  <si>
    <t xml:space="preserve">4 floors (not named)</t>
  </si>
  <si>
    <t xml:space="preserve">B-C-189</t>
  </si>
  <si>
    <t xml:space="preserve">https://www.chainalysis.com</t>
  </si>
  <si>
    <t xml:space="preserve">blockchain data and compliance software</t>
  </si>
  <si>
    <t xml:space="preserve">700</t>
  </si>
  <si>
    <t xml:space="preserve">https://www.builtinnyc.com/company/chainalysis</t>
  </si>
  <si>
    <t xml:space="preserve">https://www.builtinnyc.com/company/chainalysis/offices</t>
  </si>
  <si>
    <t xml:space="preserve">700 (Built In) staff (whole-company count) x 50% to 100% of them in the New York office (HQ New York; share assumed) x 57% (Partnership for NYC, all Manhattan firms; no figure for 500 to 4,999) in on a weekday = 199 to 399, central 282; low confidence; estimate until intake replaces it.</t>
  </si>
  <si>
    <t xml:space="preserve">77,608 sf</t>
  </si>
  <si>
    <t xml:space="preserve">Near-miss: over 500 (Built In: 700 total employees, HQ New York). CO 2022-01: 77,608 sf on four floors, direct lease running through 2036. Source older than 24 months and the company site shows no street address, so low until confirmed. Review round 2: corner lot: the lot-centroid pin sat 22 m from W 17 ST but 39 m from 5 AVE, so it was moved to the 5 AVE frontage near the corner (17 m from the 5 AVE centreline, 27 m from W 17 ST; 22 m from the old pin). Tax lot unchanged.</t>
  </si>
  <si>
    <t xml:space="preserve">AO-C-226</t>
  </si>
  <si>
    <t xml:space="preserve">IMG Worldwide (WME Group)</t>
  </si>
  <si>
    <t xml:space="preserve">Tuesday estimate 85 to 1710 (low confidence), 1,001 to 4,999 staff company-wide with a named parent (WME Group), no attendance signal, occupied at a medium-confidence address; contacts not researched yet (below the top 50).</t>
  </si>
  <si>
    <t xml:space="preserve">https://commercialobserver.com/2026/09/img-worldwide-lease-renewal-304-park-avenue-south/</t>
  </si>
  <si>
    <t xml:space="preserve">304 Park Avenue South</t>
  </si>
  <si>
    <t xml:space="preserve">part 2, 8-12, PH</t>
  </si>
  <si>
    <t xml:space="preserve">B-C-226</t>
  </si>
  <si>
    <t xml:space="preserve">https://www.img.com</t>
  </si>
  <si>
    <t xml:space="preserve">talent and modeling agency</t>
  </si>
  <si>
    <t xml:space="preserve">3000</t>
  </si>
  <si>
    <t xml:space="preserve">https://en.wikipedia.org/wiki/IMG_(company)</t>
  </si>
  <si>
    <t xml:space="preserve">WME Group</t>
  </si>
  <si>
    <t xml:space="preserve">2026-09-16</t>
  </si>
  <si>
    <t xml:space="preserve">https://therealdeal.com/new-york/2026/10/07/new-york-citys-top-office-leases-in-september/</t>
  </si>
  <si>
    <t xml:space="preserve">2026-10-07</t>
  </si>
  <si>
    <t xml:space="preserve">3000 (Wikipedia) staff (whole-company count) x 5% to 100% of them in the New York office (HQ city unknown; share assumed) x 57% (Partnership for NYC, all Manhattan firms; no figure for 500 to 4,999) in on a weekday = 85 to 1710, central 381; low confidence; estimate until intake replaces it.</t>
  </si>
  <si>
    <t xml:space="preserve">90,202 sf</t>
  </si>
  <si>
    <t xml:space="preserve">Five-year renewal of 90,202 sf (Sept 2026); occupies part of floor 2, floors 8-12 and a penthouse in this building between E 22nd and E 23rd St (margin). Part of WME Group; the slice found no count (the Wikipedia figure added at assembly is below). | Assembly 2026-10-24: Band set at assembly to over-500 from Wikipedia infobox: '3,000+' employees (no year given). The NYC office size is unknown; the NYC office alone may fit, founder to confirm. Review round 2: corner lot: the lot-centroid pin sat 29 m from E 23 ST but 38 m from PARK AVE S, so it was moved to the PARK AVE S frontage near the corner (13 m from the PARK AVE S centreline, 28 m from E 23 ST; 25 m from the old pin). Tax lot unchanged.</t>
  </si>
  <si>
    <t xml:space="preserve">AO-C-245</t>
  </si>
  <si>
    <t xml:space="preserve">Suntory Global Spirits (Jim Beam Brands)</t>
  </si>
  <si>
    <t xml:space="preserve">Tuesday estimate 138 to 2760 (low confidence), 5,000+ staff company-wide, no attendance signal, occupied at a high-confidence address; contacts not researched yet (below the top 50).</t>
  </si>
  <si>
    <t xml:space="preserve">https://slgreen.com/?p=12833</t>
  </si>
  <si>
    <t xml:space="preserve">B-C-245</t>
  </si>
  <si>
    <t xml:space="preserve">https://www.suntoryglobalspirits.com/</t>
  </si>
  <si>
    <t xml:space="preserve">Consumer brand (spirits)</t>
  </si>
  <si>
    <t xml:space="preserve">6000</t>
  </si>
  <si>
    <t xml:space="preserve">https://en.wikipedia.org/wiki/Suntory_Global_Spirits</t>
  </si>
  <si>
    <t xml:space="preserve">5000+</t>
  </si>
  <si>
    <t xml:space="preserve">2026-07-22</t>
  </si>
  <si>
    <t xml:space="preserve">6000 (Wikipedia) staff (whole-company count) x 5% to 100% of them in the New York office (HQ city unknown; share assumed) x 46% (Partnership for NYC, firms over 5,000) in on a weekday = 138 to 2760, central 617; low confidence; estimate until intake replaces it.</t>
  </si>
  <si>
    <t xml:space="preserve">not-near (5,000 or more)</t>
  </si>
  <si>
    <t xml:space="preserve">100,000 sf</t>
  </si>
  <si>
    <t xml:space="preserve">SL Green Jul 2026 release and CO Jul 2026 list 'Jim Beam Brands' at 11 Madison. REBusiness Oct 2022: Suntory signed a 100,000 sf full-floor HQ lease at 11 Madison, relocating from Chicago; 'About 150 employees will work in the full-floor space' (a 2022 planning figure for this office, not a current count). Wikipedia: Suntory Global Spirits, HQ New York City, 6,000 employees. Whole company over 500, so near-miss; the NYC office alone may fit the 40-250 band, founder to confirm. Alcohol company: fine as an office host, but the programme's brands exclude alcohol.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</si>
  <si>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AO-C-139</t>
  </si>
  <si>
    <t xml:space="preserve">Arca Financial Group</t>
  </si>
  <si>
    <t xml:space="preserve">Tuesday headcount unknown (no sourced count), company size unknown, no attendance signal, signed-not-occupied at a medium-confidence address (hold: lease signed, move not confirmed); contacts not researched yet (below the top 50).</t>
  </si>
  <si>
    <t xml:space="preserve">New or renewed lease at 60 Madison Avenue reported 2026-08-27</t>
  </si>
  <si>
    <t xml:space="preserve">https://commercialobserver.com/2026/08/arca-financial-lease-60-madison-avenue-moinian/</t>
  </si>
  <si>
    <t xml:space="preserve">2026-08-27</t>
  </si>
  <si>
    <t xml:space="preserve">B-C-139</t>
  </si>
  <si>
    <t xml:space="preserve">wealth management</t>
  </si>
  <si>
    <t xml:space="preserve">7,500 sf</t>
  </si>
  <si>
    <t xml:space="preserve">Five-year 7,500 SF prebuilt on floor 10, signed Aug 2026; 'moving into a new office'. Headcount not sourced; founder to confirm at intake.</t>
  </si>
  <si>
    <t xml:space="preserve">AO-C-065</t>
  </si>
  <si>
    <t xml:space="preserve">Argentic Investment Management</t>
  </si>
  <si>
    <t xml:space="preserve">New or renewed lease at 257 Park Avenue South reported 2026-04-20</t>
  </si>
  <si>
    <t xml:space="preserve">https://commercialobserver.com/2026/04/argentic-investment-management-lease-257-park-avenue-south/</t>
  </si>
  <si>
    <t xml:space="preserve">2026-04-20</t>
  </si>
  <si>
    <t xml:space="preserve">B-C-065</t>
  </si>
  <si>
    <t xml:space="preserve">https://www.argentic.com</t>
  </si>
  <si>
    <t xml:space="preserve">commercial real estate finance</t>
  </si>
  <si>
    <t xml:space="preserve">https://rebusinessonline.com/argentic-investment-management-signs-13000-sf-office-lease-in-manhattans-flatiron-district/</t>
  </si>
  <si>
    <t xml:space="preserve">2026-07-02</t>
  </si>
  <si>
    <t xml:space="preserve">Long-term lease of the full 20th floor (13,000 sf). Company contact page opened 2026-10-23 still lists 31 W. 27th Street, 12th Floor; move date unknown.</t>
  </si>
  <si>
    <t xml:space="preserve">AO-C-023</t>
  </si>
  <si>
    <t xml:space="preserve">Eagle AI</t>
  </si>
  <si>
    <t xml:space="preserve">New or renewed lease at 120 Fifth Avenue reported 2026-10-19</t>
  </si>
  <si>
    <t xml:space="preserve">B-C-023</t>
  </si>
  <si>
    <t xml:space="preserve">AI solutions</t>
  </si>
  <si>
    <t xml:space="preserve">CO 2026-10-19: 6,500 sf full floor signed September 2026; CO says its website lists 5 Penn Plaza, so this is a relocation that may not have happened yet. Confirm move-in date before outreach.</t>
  </si>
  <si>
    <t xml:space="preserve">AO-C-018</t>
  </si>
  <si>
    <t xml:space="preserve">Fundraise Up</t>
  </si>
  <si>
    <t xml:space="preserve">B-C-018</t>
  </si>
  <si>
    <t xml:space="preserve">https://fundraiseup.com</t>
  </si>
  <si>
    <t xml:space="preserve">nonprofit fundraising software</t>
  </si>
  <si>
    <t xml:space="preserve">9,522 sf</t>
  </si>
  <si>
    <t xml:space="preserve">CO 2026-08-26: 9,522 sf, entire 7th floor of 100-104 Fifth Ave, relocating from 219 36th Street, Industry City, Brooklyn. Move-in timing not stated. Headcount not found. Review round 2: corner lot: the lot-centroid pin sat 24 m from W 15 ST but 36 m from 5 AVE, so it was moved to the 5 AVE frontage near the corner (17 m from the 5 AVE centreline, 26 m from W 15 ST; 20 m from the old pin). Tax lot unchanged.</t>
  </si>
  <si>
    <t xml:space="preserve">AO-C-142</t>
  </si>
  <si>
    <t xml:space="preserve">GovWell Technologies</t>
  </si>
  <si>
    <t xml:space="preserve">B-C-142</t>
  </si>
  <si>
    <t xml:space="preserve">software (AI for government)</t>
  </si>
  <si>
    <t xml:space="preserve">17,500 sf</t>
  </si>
  <si>
    <t xml:space="preserve">17,500 SF full 8th floor, apparent relocation from 25 West 36th Street. Built In profile (govwell) shows HQ New York, no street or headcount.</t>
  </si>
  <si>
    <t xml:space="preserve">AO-C-120</t>
  </si>
  <si>
    <t xml:space="preserve">Hunter Point Capital</t>
  </si>
  <si>
    <t xml:space="preserve">B-C-120</t>
  </si>
  <si>
    <t xml:space="preserve">https://www.hunterpointcapital.com/</t>
  </si>
  <si>
    <t xml:space="preserve">Investment firm (GP stakes / asset management)</t>
  </si>
  <si>
    <t xml:space="preserve">ConnectCRE and CO Mar 2026: about 46,000 sf at 360 PAS. The firm's website (live, opened 2026-10-24) still gives '610 Broadway 4th Floor, New York, NY 10012', so the move is not confirmed; CO also said it was unclear whether this is a relocation or added space. Downgraded to medium. Headcount not stated on its site. Review round 2: corner lot: the lot-centroid pin sat 22 m from E 26 ST but 36 m from PARK AVE S, so it was moved to the PARK AVE S frontage near the corner (13 m from the PARK AVE S centreline, 27 m from E 26 ST; 23 m from the old pin). Tax lot unchanged.</t>
  </si>
  <si>
    <t xml:space="preserve">AO-C-168</t>
  </si>
  <si>
    <t xml:space="preserve">Mediaplus Group (North America)</t>
  </si>
  <si>
    <t xml:space="preserve">New or renewed lease at 432 Park Avenue South reported 2026-06-08</t>
  </si>
  <si>
    <t xml:space="preserve">https://commercialobserver.com/2026/06/mediaplus-group-lease-432-park-avenue-south/</t>
  </si>
  <si>
    <t xml:space="preserve">2026-06-08</t>
  </si>
  <si>
    <t xml:space="preserve">B-C-168</t>
  </si>
  <si>
    <t xml:space="preserve">media agency</t>
  </si>
  <si>
    <t xml:space="preserve">9,800 sf</t>
  </si>
  <si>
    <t xml:space="preserve">10-year 9,800 SF lease, full 11th floor, turnkey; relocating and doubling from 490 Broadway. Media arm of Serviceplan Group. Move date not stated. Headcount not found.</t>
  </si>
  <si>
    <t xml:space="preserve">AO-C-068</t>
  </si>
  <si>
    <t xml:space="preserve">Options Group</t>
  </si>
  <si>
    <t xml:space="preserve">B-C-068</t>
  </si>
  <si>
    <t xml:space="preserve">https://www.optionsgroup.com</t>
  </si>
  <si>
    <t xml:space="preserve">executive search and consulting</t>
  </si>
  <si>
    <t xml:space="preserve">12,600 sf</t>
  </si>
  <si>
    <t xml:space="preserve">13-year lease for the full 7th floor (12,600 sf). Company contact page opened 2026-10-23 still lists 121 East 18th Street (margin, east of Park Ave S), so move status unconfirmed; either way it is in or next to this slice.</t>
  </si>
  <si>
    <t xml:space="preserve">AO-C-012</t>
  </si>
  <si>
    <t xml:space="preserve">Profound</t>
  </si>
  <si>
    <t xml:space="preserve">New or renewed lease at 5 Union Square West reported 2026-05-18</t>
  </si>
  <si>
    <t xml:space="preserve">2 full floors (not named)</t>
  </si>
  <si>
    <t xml:space="preserve">B-C-012</t>
  </si>
  <si>
    <t xml:space="preserve">https://www.tryprofound.com</t>
  </si>
  <si>
    <t xml:space="preserve">marketing tech (AI search analytics)</t>
  </si>
  <si>
    <t xml:space="preserve">https://fortune.com/2026/02/24/exclusive-as-ai-threatens-search-profound-raises-96-million-to-help-brands-stay-visible/</t>
  </si>
  <si>
    <t xml:space="preserve">30,000 sf;7,500 sf</t>
  </si>
  <si>
    <t xml:space="preserve">CO 2026-05-18: new 30,000 sf lease, two full floors at 5-9 Union Square West (Spingler Bldg); existing 7,500 sf office next door at 1 Union Square West. Move-in date not stated. Fortune 2026-02-24 says 'fewer than 120 employees' so band 40-75 vs 76-150 cannot be fixed; growing fast. Built In NYC lists HQ New York only. | Assembly 2026-10-24: Scope set to unknown at review round 1 (was whole-company): the band is unknown.</t>
  </si>
  <si>
    <t xml:space="preserve">AO-C-108</t>
  </si>
  <si>
    <t xml:space="preserve">Sapien AI</t>
  </si>
  <si>
    <t xml:space="preserve">New or renewed lease at 48 West 25th Street reported 2026-08-03</t>
  </si>
  <si>
    <t xml:space="preserve">B-C-108</t>
  </si>
  <si>
    <t xml:space="preserve">Software (AI financial and operations analytics)</t>
  </si>
  <si>
    <t xml:space="preserve">https://flatironnomad.nyc/2026/09/02/august-news-roundup-7/</t>
  </si>
  <si>
    <t xml:space="preserve">10,500 sf</t>
  </si>
  <si>
    <t xml:space="preserve">CO Aug 2026: about 10,500 sf, entire 5th floor, relocating from 184 Fifth Avenue. FNP roundup repeats the CO report. Website and headcount not confirmed (Built In 'sapien' profile is a 5-person Berkeley firm; not used, as nothing ties it to this company).</t>
  </si>
  <si>
    <t xml:space="preserve">AO-C-143</t>
  </si>
  <si>
    <t xml:space="preserve">Tenex Labs</t>
  </si>
  <si>
    <t xml:space="preserve">New or renewed lease at 60 Madison Avenue reported 2026-06-22</t>
  </si>
  <si>
    <t xml:space="preserve">12 and penthouse</t>
  </si>
  <si>
    <t xml:space="preserve">B-C-143</t>
  </si>
  <si>
    <t xml:space="preserve">software (web development)</t>
  </si>
  <si>
    <t xml:space="preserve">25,000 SF on the full 12th floor and penthouse; prior location unclear; move-in date not stated. Headcount not found.</t>
  </si>
  <si>
    <t xml:space="preserve">AO-C-063</t>
  </si>
  <si>
    <t xml:space="preserve">The Hudson Companies and Broadway Builders</t>
  </si>
  <si>
    <t xml:space="preserve">New or renewed lease at 902 Broadway reported 2026-03-24</t>
  </si>
  <si>
    <t xml:space="preserve">B-C-063</t>
  </si>
  <si>
    <t xml:space="preserve">https://www.hudsoninc.com</t>
  </si>
  <si>
    <t xml:space="preserve">real estate development</t>
  </si>
  <si>
    <t xml:space="preserve">https://rebusinessonline.com/hudson-cos-broadway-builders-sign-18200-sf-office-lease-in-manhattans-flatiron-district/</t>
  </si>
  <si>
    <t xml:space="preserve">2026-06-09</t>
  </si>
  <si>
    <t xml:space="preserve">11-year lease of the full 12th floor shared with affiliate Broadway Builders. Company contact page opened 2026-10-23 still lists 826 Broadway, 11th floor (outside slice), so the move date is unconfirmed. | Assembly 2026-10-24: Merged at assembly: affiliates sharing one full-floor 12th-floor tenancy at 902 Broadway (CO 2026-03-24, CO 2026-06-09), so one pantry. Both websites still list 826 Broadway, 11th floor (opened 2026-10-23), so the move date is unconfirmed. Review round 2: corner lot: the lot-centroid pin sat 27 m from E 20 ST but 31 m from BROADWAY, so it was moved to the BROADWAY frontage near the corner (15 m from the BROADWAY centreline, 27 m from E 20 ST; 16 m from the old pin). Tax lot unchanged.</t>
  </si>
  <si>
    <t xml:space="preserve">AO-C-058</t>
  </si>
  <si>
    <t xml:space="preserve">Wilson Daniels</t>
  </si>
  <si>
    <t xml:space="preserve">https://commercialobserver.com/2025/06/wilson-daniels-lease-250-park-avenue-south/</t>
  </si>
  <si>
    <t xml:space="preserve">B-C-058</t>
  </si>
  <si>
    <t xml:space="preserve">https://www.wilsondaniels.com</t>
  </si>
  <si>
    <t xml:space="preserve">wine import and marketing (consumer brand)</t>
  </si>
  <si>
    <t xml:space="preserve">2025-06-05</t>
  </si>
  <si>
    <t xml:space="preserve">12,000 sf</t>
  </si>
  <si>
    <t xml:space="preserve">10-year lease for the full 8th floor (12,000 sf). CO Jan 2026 names it as a current tenant (same publisher). Company contact page opened 2026-10-23 still lists 19 West 24th St, 7th Floor, so occupancy is unconfirmed. Alcohol company: note for brand-fit, not office-fit.</t>
  </si>
  <si>
    <t xml:space="preserve">AO-C-066</t>
  </si>
  <si>
    <t xml:space="preserve">Beachwold Residential</t>
  </si>
  <si>
    <t xml:space="preserve">Tuesday headcount unknown (no sourced count), company size unknown, no attendance signal, occupancy-unconfirmed at a low-confidence address; contacts not researched yet (below the top 50).</t>
  </si>
  <si>
    <t xml:space="preserve">https://commercialobserver.com/2022/07/paul-smith-beachwold-residential-sign-for-full-floors-at-257-park-avenue-south/</t>
  </si>
  <si>
    <t xml:space="preserve">13</t>
  </si>
  <si>
    <t xml:space="preserve">B-C-066</t>
  </si>
  <si>
    <t xml:space="preserve">https://www.beachwold.com</t>
  </si>
  <si>
    <t xml:space="preserve">real estate (multifamily owner/operator)</t>
  </si>
  <si>
    <t xml:space="preserve">2022-07-06</t>
  </si>
  <si>
    <t xml:space="preserve">12,637 sf</t>
  </si>
  <si>
    <t xml:space="preserve">HQ move to the full 13th floor (12,637 sf) in 2022 from 192 Lexington Ave. Not re-confirmed (company contact page returned 404).</t>
  </si>
  <si>
    <t xml:space="preserve">AO-C-164</t>
  </si>
  <si>
    <t xml:space="preserve">Biologique Recherche (US)</t>
  </si>
  <si>
    <t xml:space="preserve">https://commercialobserver.com/2023/01/beauty-pr-firm-french-skin-care-manufacturer-ink-deals-at-261-fifth-ave/</t>
  </si>
  <si>
    <t xml:space="preserve">B-C-164</t>
  </si>
  <si>
    <t xml:space="preserve">skin care brand</t>
  </si>
  <si>
    <t xml:space="preserve">2023-01-24</t>
  </si>
  <si>
    <t xml:space="preserve">6,290 sf</t>
  </si>
  <si>
    <t xml:space="preserve">Renewed and expanded to 6,290 SF prebuilt suite on floor 2. Older source, not reconfirmed; headcount not sourced; founder to confirm at intake. Review round 2: corner lot: the lot-centroid pin sat 24 m from E 29 ST but 39 m from 5 AVE, so it was moved to the 5 AVE frontage near the corner (17 m from the 5 AVE centreline, 27 m from E 29 ST; 23 m from the old pin). Tax lot unchanged.</t>
  </si>
  <si>
    <t xml:space="preserve">AO-C-146</t>
  </si>
  <si>
    <t xml:space="preserve">Caudalie (US headquarters)</t>
  </si>
  <si>
    <t xml:space="preserve">https://commercialobserver.com/2024/01/skin-care-brand-caudalie-signs-14k-sf-lease-at-381-park-avenue-south/</t>
  </si>
  <si>
    <t xml:space="preserve">B-C-146</t>
  </si>
  <si>
    <t xml:space="preserve">https://us.caudalie.com</t>
  </si>
  <si>
    <t xml:space="preserve">2024-01-11</t>
  </si>
  <si>
    <t xml:space="preserve">10-year 14,000 SF lease signed Dec 2023 and already moved from 70 W 36th St. Older than 24 months; US site contact pages returned 404, so not reconfirmed. Consumer brand fit.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</si>
  <si>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AO-C-113</t>
  </si>
  <si>
    <t xml:space="preserve">Clarick Gueron Reisbaum</t>
  </si>
  <si>
    <t xml:space="preserve">https://commercialobserver.com/2024/06/law-firm-clarick-gueron-reisbaum-signs-13k-sf-lease-at-rudins-41-madison-avenue/</t>
  </si>
  <si>
    <t xml:space="preserve">23</t>
  </si>
  <si>
    <t xml:space="preserve">B-C-113</t>
  </si>
  <si>
    <t xml:space="preserve">law firm (commercial litigation)</t>
  </si>
  <si>
    <t xml:space="preserve">2024-06-24</t>
  </si>
  <si>
    <t xml:space="preserve">13,394 sf</t>
  </si>
  <si>
    <t xml:space="preserve">11-year 13,394 SF lease on floor 23, moving from 220 Fifth Ave. Source is just over 24 months old and the firm site could not be opened (TLS error), so low until confirmed. Review round 2: corner lot: the lot-centroid pin sat 30 m from E 26 ST but 44 m from MADISON AVE, so it was moved to the MADISON AVE frontage near the corner (16 m from the MADISON AVE centreline, 30 m from E 26 ST; 29 m from the old pin). Tax lot unchanged.</t>
  </si>
  <si>
    <t xml:space="preserve">AO-C-147</t>
  </si>
  <si>
    <t xml:space="preserve">Eton (US office and showroom)</t>
  </si>
  <si>
    <t xml:space="preserve">https://commercialobserver.com/2024/03/mens-clothing-company-eton-signs-5k-sf-lease-at-381-park-avenue-south/</t>
  </si>
  <si>
    <t xml:space="preserve">B-C-147</t>
  </si>
  <si>
    <t xml:space="preserve">https://www.etonshirts.com</t>
  </si>
  <si>
    <t xml:space="preserve">menswear brand</t>
  </si>
  <si>
    <t xml:space="preserve">2024-03-20</t>
  </si>
  <si>
    <t xml:space="preserve">5,000 SF office and showroom (10-year 9-month term) moved from 833 Madison Ave. Older source, not reconfirmed; NYC headcount not sourced.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</si>
  <si>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AO-C-126</t>
  </si>
  <si>
    <t xml:space="preserve">Idesco</t>
  </si>
  <si>
    <t xml:space="preserve">https://commercialobserver.com/2023/10/idesco-renewal-37-west-26th-street/</t>
  </si>
  <si>
    <t xml:space="preserve">37 West 26th Street</t>
  </si>
  <si>
    <t xml:space="preserve">B-C-126</t>
  </si>
  <si>
    <t xml:space="preserve">ID card and security systems</t>
  </si>
  <si>
    <t xml:space="preserve">B-B-062</t>
  </si>
  <si>
    <t xml:space="preserve">2023-10-12</t>
  </si>
  <si>
    <t xml:space="preserve">7,260 sf</t>
  </si>
  <si>
    <t xml:space="preserve">Seven-year renewal of 7,260 SF on floor 10 (at the building since at least 1987). Older source, not reconfirmed; size unknown.</t>
  </si>
  <si>
    <t xml:space="preserve">AO-C-114</t>
  </si>
  <si>
    <t xml:space="preserve">Kensington Vanguard National Land Services</t>
  </si>
  <si>
    <t xml:space="preserve">https://commercialobserver.com/2023/11/law-firm-kensington-vanguard-signs-13k-sf-lease-at-41-madison/</t>
  </si>
  <si>
    <t xml:space="preserve">B-C-114</t>
  </si>
  <si>
    <t xml:space="preserve">https://www.kvnational.com</t>
  </si>
  <si>
    <t xml:space="preserve">title insurance</t>
  </si>
  <si>
    <t xml:space="preserve">2023-11-01</t>
  </si>
  <si>
    <t xml:space="preserve">10-year 13,394 SF lease on full 21st floor (NYC office), moving from 39 W 37th St. Older source; company homepage opened but shows no address. Review round 2: corner lot: the lot-centroid pin sat 30 m from E 26 ST but 44 m from MADISON AVE, so it was moved to the MADISON AVE frontage near the corner (16 m from the MADISON AVE centreline, 30 m from E 26 ST; 29 m from the old pin). Tax lot unchanged.</t>
  </si>
  <si>
    <t xml:space="preserve">AO-C-054</t>
  </si>
  <si>
    <t xml:space="preserve">Left/Right</t>
  </si>
  <si>
    <t xml:space="preserve">https://commercialobserver.com/2019/10/left-right-lease-39-west-19th-street-rosen-family/</t>
  </si>
  <si>
    <t xml:space="preserve">7, 9-10</t>
  </si>
  <si>
    <t xml:space="preserve">B-C-054</t>
  </si>
  <si>
    <t xml:space="preserve">TV and documentary production</t>
  </si>
  <si>
    <t xml:space="preserve">2019-10-28</t>
  </si>
  <si>
    <t xml:space="preserve">10-year renewal (2019) of 34,000 sf on floors 7, 9 and 10 with production and editing space. Not re-confirmed.</t>
  </si>
  <si>
    <t xml:space="preserve">AO-C-069</t>
  </si>
  <si>
    <t xml:space="preserve">Paul Smith</t>
  </si>
  <si>
    <t xml:space="preserve">B-C-069</t>
  </si>
  <si>
    <t xml:space="preserve">https://www.paulsmith.com</t>
  </si>
  <si>
    <t xml:space="preserve">fashion brand (U.S. showroom and office)</t>
  </si>
  <si>
    <t xml:space="preserve">12,617 sf</t>
  </si>
  <si>
    <t xml:space="preserve">Full 5th floor (12,617 sf) for showroom and office, 2022. Not re-confirmed; the brand's site contact page shows no office address.</t>
  </si>
  <si>
    <t xml:space="preserve">AO-C-070</t>
  </si>
  <si>
    <t xml:space="preserve">Pei Architects</t>
  </si>
  <si>
    <t xml:space="preserve">https://commercialobserver.com/2024/04/pei-architects-renewals-13k-sf-at-257-park-avenue-south/</t>
  </si>
  <si>
    <t xml:space="preserve">B-C-070</t>
  </si>
  <si>
    <t xml:space="preserve">2024-04-15</t>
  </si>
  <si>
    <t xml:space="preserve">10-year renewal (2024) of 12,617 sf on the 19th floor, its primary HQ. Source predates 2024-10-23; company site (pei-architects.com) did not load. Headcount not sourced.</t>
  </si>
  <si>
    <t xml:space="preserve">AO-C-086</t>
  </si>
  <si>
    <t xml:space="preserve">Sharma Brands</t>
  </si>
  <si>
    <t xml:space="preserve">https://commercialobserver.com/2022/11/sharma-brands-leases-6k-sf-at-56-west-22nd-street/</t>
  </si>
  <si>
    <t xml:space="preserve">B-C-086</t>
  </si>
  <si>
    <t xml:space="preserve">https://sharmabrands.com</t>
  </si>
  <si>
    <t xml:space="preserve">brand strategy agency / brand holding company</t>
  </si>
  <si>
    <t xml:space="preserve">2022-11-29</t>
  </si>
  <si>
    <t xml:space="preserve">Five-year lease (2022) of the full 11th floor (5,508 sf), shared with portfolio company 1180 Media. Not re-confirmed; site shows no address.</t>
  </si>
  <si>
    <t xml:space="preserve">AO-C-089</t>
  </si>
  <si>
    <t xml:space="preserve">Sussex Publishers (Psychology Today)</t>
  </si>
  <si>
    <t xml:space="preserve">https://commercialobserver.com/2023/11/psychology-today-16-west-22nd-street-lease-relocation/</t>
  </si>
  <si>
    <t xml:space="preserve">B-C-089</t>
  </si>
  <si>
    <t xml:space="preserve">https://www.psychologytoday.com</t>
  </si>
  <si>
    <t xml:space="preserve">publishing / digital media</t>
  </si>
  <si>
    <t xml:space="preserve">2023-11-27</t>
  </si>
  <si>
    <t xml:space="preserve">3,285 sf</t>
  </si>
  <si>
    <t xml:space="preserve">Six-year, 3,285 sf lease on the 2nd floor (2023), relocating from 115 W 23rd St. Headcount not sourced; founder to confirm at intake.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</si>
  <si>
    <t xml:space="preserve">AO-C-150</t>
  </si>
  <si>
    <t xml:space="preserve">The Corcoran Group</t>
  </si>
  <si>
    <t xml:space="preserve">Tuesday headcount unknown (no sourced count), company size unknown with a named parent (Compass, Inc.), no attendance signal, occupancy-unconfirmed at a medium-confidence address; contacts not researched yet (below the top 50).</t>
  </si>
  <si>
    <t xml:space="preserve">New or renewed lease at 381 Park Avenue South reported 2026-04-01</t>
  </si>
  <si>
    <t xml:space="preserve">https://commercialobserver.com/2026/04/corcoran-group-lease-381-park-avenue-south/</t>
  </si>
  <si>
    <t xml:space="preserve">2026-04-01</t>
  </si>
  <si>
    <t xml:space="preserve">B-C-150</t>
  </si>
  <si>
    <t xml:space="preserve">https://www.corcoran.com</t>
  </si>
  <si>
    <t xml:space="preserve">Compass, Inc.</t>
  </si>
  <si>
    <t xml:space="preserve">14,710 sf</t>
  </si>
  <si>
    <t xml:space="preserve">14,710 SF full floor; relocating one block from 387 Park Avenue South, move planned for summer 2026. A residential brokerage sales office; whether agents work fixed hours here is not sourced. Headcount not sourced. | Assembly 2026-10-24: Review round 2: the planned summer 2026 move has passed. corcoran.com (opened 2026-10-24) lists only its 590 Madison Ave head office, so the move from 387 to 381 Park Ave S is not confirmed; both addresses are inside the line. Check the 381 PAS lobby directory on the walk. Review round 3: parent Compass, Inc. (Wikipedia, opened 2026-10-24); Corcoran's own headcount is not sourced; founder to confirm before approach.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</si>
  <si>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AO-C-136</t>
  </si>
  <si>
    <t xml:space="preserve">Suvretta Capital Management</t>
  </si>
  <si>
    <t xml:space="preserve">Tuesday headcount unknown (no sourced count), company size unknown, no attendance signal, signed-not-occupied at a low-confidence address (hold: lease signed, move not confirmed); contacts not researched yet (below the top 50).</t>
  </si>
  <si>
    <t xml:space="preserve">https://commercialobserver.com/2025/05/suvretta-capital-managment-lease-11-east-26th-street/</t>
  </si>
  <si>
    <t xml:space="preserve">B-C-136</t>
  </si>
  <si>
    <t xml:space="preserve">https://www.suvcap.com</t>
  </si>
  <si>
    <t xml:space="preserve">2025-05-27</t>
  </si>
  <si>
    <t xml:space="preserve">12,134 SF on full 16th floor. Downgraded to low: the company site (suvcap.com, opened 2026-10-23) still shows 540 Madison Avenue, 7th floor, so the move may not have happened. Later CO items (2025-09-30, 2025-10-22) list it as a building tenant.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</si>
  <si>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AO-C-137</t>
  </si>
  <si>
    <t xml:space="preserve">Vestal Point Capital</t>
  </si>
  <si>
    <t xml:space="preserve">New or renewed lease at 11 East 26th Street reported 2026-09-02</t>
  </si>
  <si>
    <t xml:space="preserve">B-C-137</t>
  </si>
  <si>
    <t xml:space="preserve">12,139 sf</t>
  </si>
  <si>
    <t xml:space="preserve">Long-term 12,139 SF lease on full 12th floor signed 2026-09; CO says current office is 632 Broadway and move date is unclear. Downgraded to low because no source confirms it has moved in.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</si>
  <si>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AO-C-118</t>
  </si>
  <si>
    <t xml:space="preserve">Zip (digital banking)</t>
  </si>
  <si>
    <t xml:space="preserve">https://commercialobserver.com/2026/09/zip-lease-rudin-41-madison-avenue/</t>
  </si>
  <si>
    <t xml:space="preserve">18 (from April 2027)</t>
  </si>
  <si>
    <t xml:space="preserve">B-C-118</t>
  </si>
  <si>
    <t xml:space="preserve">fintech (credit and payments)</t>
  </si>
  <si>
    <t xml:space="preserve">2026-09-17</t>
  </si>
  <si>
    <t xml:space="preserve">2027-04</t>
  </si>
  <si>
    <t xml:space="preserve">Will move in April 2027 to the full 18th floor (13,394 SF); CO describes Zip as a digital banking company specializing in credit and payment services. Not in the building yet, so low. The Built In profile named zip (ziphq.com, procurement software) is a different company, so no headcount is recorded. Near-miss on timing. Review round 2: corner lot: the lot-centroid pin sat 30 m from E 26 ST but 44 m from MADISON AVE, so it was moved to the MADISON AVE frontage near the corner (16 m from the MADISON AVE centreline, 30 m from E 26 ST; 29 m from the old pin). Tax lot unchanged.</t>
  </si>
  <si>
    <t xml:space="preserve">AO-C-241</t>
  </si>
  <si>
    <t xml:space="preserve">United Talent Agency (UTA)</t>
  </si>
  <si>
    <t xml:space="preserve">Tuesday estimate 63 to 1254 (low confidence), 1,001 to 4,999 staff company-wide, no attendance signal, moving-out at a medium-confidence address (hold: moving out of this address); contacts not researched yet (below the top 50).</t>
  </si>
  <si>
    <t xml:space="preserve">New or renewed lease at 27 West 24th Street reported 2026-07</t>
  </si>
  <si>
    <t xml:space="preserve">https://commercialobserver.com/2026/07/united-talent-agency-lease-esrt-empire-state-building/</t>
  </si>
  <si>
    <t xml:space="preserve">27 West 24th Street</t>
  </si>
  <si>
    <t xml:space="preserve">B-C-241</t>
  </si>
  <si>
    <t xml:space="preserve">https://www.unitedtalent.com/</t>
  </si>
  <si>
    <t xml:space="preserve">Talent agency / entertainment</t>
  </si>
  <si>
    <t xml:space="preserve">2200</t>
  </si>
  <si>
    <t xml:space="preserve">https://en.wikipedia.org/wiki/United_Talent_Agency</t>
  </si>
  <si>
    <t xml:space="preserve">2200 (Wikipedia) staff (whole-company count) x 5% to 100% of them in the New York office (HQ city unknown; share assumed) x 57% (Partnership for NYC, all Manhattan firms; no figure for 500 to 4,999) in on a weekday = 63 to 1254, central 281; low confidence; estimate until intake replaces it.</t>
  </si>
  <si>
    <t xml:space="preserve">CO Jul 2026: UTA's website lists New York offices at 888 Seventh Ave and 27 West 24th St; it will consolidate into the Empire State Building, slated for summer 2027, so this office is likely temporary. UTA site did not render for me. Wikipedia: 2,200 employees (2024). Near-miss (over-500). | Assembly 2026-10-24: Move to the Empire State Building planned for summer 2027 (row sources).</t>
  </si>
  <si>
    <t xml:space="preserve">AO-C-230</t>
  </si>
  <si>
    <t xml:space="preserve">Goodwin Procter</t>
  </si>
  <si>
    <t xml:space="preserve">Tuesday estimate 80 to 1596 (low confidence), 1,001 to 4,999 staff company-wide, no attendance signal, signed-not-occupied at a medium-confidence address (hold: lease signed, move not confirmed); contacts not researched yet (below the top 50).</t>
  </si>
  <si>
    <t xml:space="preserve">https://therealdeal.com/new-york/2025/04/03/bxps-200-fifth-avenue-lands-law-firm-tenant</t>
  </si>
  <si>
    <t xml:space="preserve">2-5</t>
  </si>
  <si>
    <t xml:space="preserve">B-C-230</t>
  </si>
  <si>
    <t xml:space="preserve">https://www.goodwinlaw.com/</t>
  </si>
  <si>
    <t xml:space="preserve">Law firm</t>
  </si>
  <si>
    <t xml:space="preserve">2800</t>
  </si>
  <si>
    <t xml:space="preserve">https://en.wikipedia.org/wiki/Goodwin_Procter</t>
  </si>
  <si>
    <t xml:space="preserve">2025-04-03</t>
  </si>
  <si>
    <t xml:space="preserve">https://flatironnomad.nyc/2025/05/07/april-news-roundup-6/</t>
  </si>
  <si>
    <t xml:space="preserve">2025-05-07</t>
  </si>
  <si>
    <t xml:space="preserve">2800 (Wikipedia) staff (whole-company count) x 5% to 100% of them in the New York office (HQ city unknown; share assumed) x 57% (Partnership for NYC, all Manhattan firms; no figure for 500 to 4,999) in on a weekday = 80 to 1596, central 357; low confidence; estimate until intake replaces it.</t>
  </si>
  <si>
    <t xml:space="preserve">250,000 sf</t>
  </si>
  <si>
    <t xml:space="preserve">TRD Apr 2025: 20-yr, 250,000 sf lease, full floors 2-5; relocating from 620 Eighth Ave in late 2026, so may not be in occupancy yet. Wikipedia infobox: about 2,800 employees. Near-miss (over-500). | Assembly 2026-10-24: Move planned for late 2026 (row sources). Review round 2: corner lot: the lot-centroid pin sat 36 m from W 24 ST but 53 m from 5 AVE, so it was moved to the 5 AVE frontage near the corner (15 m from the 5 AVE centreline, 37 m from W 24 ST; 38 m from the old pin). Tax lot unchanged.</t>
  </si>
  <si>
    <t xml:space="preserve">AO-C-162</t>
  </si>
  <si>
    <t xml:space="preserve">MCM Worldwide</t>
  </si>
  <si>
    <t xml:space="preserve">Tuesday headcount unknown (no sourced count), company size unknown with a named parent (Sungjoo Group), no attendance signal, signed-not-occupied at a medium-confidence address (hold: lease signed, move not confirmed); contacts not researched yet (below the top 50).</t>
  </si>
  <si>
    <t xml:space="preserve">https://commercialobserver.com/2025/11/mcm-lease-245-fifth-avenue/</t>
  </si>
  <si>
    <t xml:space="preserve">25</t>
  </si>
  <si>
    <t xml:space="preserve">B-C-162</t>
  </si>
  <si>
    <t xml:space="preserve">https://us.mcmworldwide.com</t>
  </si>
  <si>
    <t xml:space="preserve">luxury leather goods (brand HQ office)</t>
  </si>
  <si>
    <t xml:space="preserve">Sungjoo Group</t>
  </si>
  <si>
    <t xml:space="preserve">2025-11-10</t>
  </si>
  <si>
    <t xml:space="preserve">9,000 sf</t>
  </si>
  <si>
    <t xml:space="preserve">10-year 9,000 SF lease on full 25th floor; described as moving its (US) headquarters to Midtown South and its first NYC office. Move-in date not stated. Headcount not found. Review round 2: corner lot: the lot-centroid pin sat 24 m from E 28 ST but 34 m from 5 AVE, so it was moved to the 5 AVE frontage near the corner (17 m from the 5 AVE centreline, 26 m from E 28 ST; 17 m from the old pin). Tax lot unchanged.</t>
  </si>
  <si>
    <t xml:space="preserve">AO-C-152</t>
  </si>
  <si>
    <t xml:space="preserve">Everlast Worldwide (US headquarters)</t>
  </si>
  <si>
    <t xml:space="preserve">Tuesday headcount unknown (no sourced count), company size unknown with a named parent (Frasers Group), no attendance signal, occupancy-unconfirmed at a low-confidence address; contacts not researched yet (below the top 50).</t>
  </si>
  <si>
    <t xml:space="preserve">https://commercialobserver.com/2023/12/boxing-equipment-maker-everlast-signs-office-lease-15-west-27th-street/</t>
  </si>
  <si>
    <t xml:space="preserve">B-C-152</t>
  </si>
  <si>
    <t xml:space="preserve">https://www.everlast.com</t>
  </si>
  <si>
    <t xml:space="preserve">sporting goods brand</t>
  </si>
  <si>
    <t xml:space="preserve">Frasers Group</t>
  </si>
  <si>
    <t xml:space="preserve">2023-12-14</t>
  </si>
  <si>
    <t xml:space="preserve">5,900 sf</t>
  </si>
  <si>
    <t xml:space="preserve">CO 2023: one-year deal for 5,900 SF on full 2nd floor for its US HQ. Term was one year, so the lease as reported has ended; not reconfirmed.</t>
  </si>
  <si>
    <t xml:space="preserve">AO-C-074</t>
  </si>
  <si>
    <t xml:space="preserve">General Assembly</t>
  </si>
  <si>
    <t xml:space="preserve">Tuesday headcount unknown (no sourced count), company size unknown with a named parent (The Adecco Group), no attendance signal, occupancy-unconfirmed at a low-confidence address; contacts not researched yet (below the top 50).</t>
  </si>
  <si>
    <t xml:space="preserve">https://commercialobserver.com/2021/04/tech-educator-general-assembly-renews-at-915-broadway/</t>
  </si>
  <si>
    <t xml:space="preserve">2-4</t>
  </si>
  <si>
    <t xml:space="preserve">B-C-074</t>
  </si>
  <si>
    <t xml:space="preserve">tech education</t>
  </si>
  <si>
    <t xml:space="preserve">The Adecco Group</t>
  </si>
  <si>
    <t xml:space="preserve">2021-04-15</t>
  </si>
  <si>
    <t xml:space="preserve">2025-10-29</t>
  </si>
  <si>
    <t xml:space="preserve">40,158 sf</t>
  </si>
  <si>
    <t xml:space="preserve">10-year renewal (2021) of 40,158 sf on floors 2-4; a broker building page (modified 2025-10-29) still lists General Assembly as a tenant, but broker lists are often stale. Campus with classrooms; staff count not sourced. generalassembly.ly did not connect (2026-10-24), so website left blank. Review round 2: corner lot: the lot-centroid pin sat 22 m from E 21 ST but 34 m from BROADWAY, so it was moved to the BROADWAY frontage near the corner (15 m from the BROADWAY centreline, 27 m from E 21 ST; 21 m from the old pin). Tax lot unchanged.</t>
  </si>
  <si>
    <t xml:space="preserve">AO-C-236</t>
  </si>
  <si>
    <t xml:space="preserve">Franklin Templeton</t>
  </si>
  <si>
    <t xml:space="preserve">Tuesday estimate 225 to 4508 (low confidence), 5,000+ staff company-wide, no attendance signal, occupied at a high-confidence address; contacts not researched yet (below the top 50).</t>
  </si>
  <si>
    <t xml:space="preserve">B-C-236</t>
  </si>
  <si>
    <t xml:space="preserve">https://www.franklintempleton.com/</t>
  </si>
  <si>
    <t xml:space="preserve">Asset management</t>
  </si>
  <si>
    <t xml:space="preserve">9800</t>
  </si>
  <si>
    <t xml:space="preserve">https://en.wikipedia.org/wiki/Franklin_Templeton</t>
  </si>
  <si>
    <t xml:space="preserve">https://rebusinessonline.com/franklin-templeton-signs-347474-sf-office-lease-at-one-madison-avenue-in-manhattan/</t>
  </si>
  <si>
    <t xml:space="preserve">2022-10-03</t>
  </si>
  <si>
    <t xml:space="preserve">9800 (Wikipedia) staff (whole-company count) x 5% to 100% of them in the New York office (HQ city unknown; share assumed) x 46% (Partnership for NYC, firms over 5,000) in on a weekday = 225 to 4508, central 1007; low confidence; estimate until intake replaces it.</t>
  </si>
  <si>
    <t xml:space="preserve">347,474 sf</t>
  </si>
  <si>
    <t xml:space="preserve">SL Green Jul 2025 release names Franklin Templeton on the One Madison roster. REBusiness Oct 2022: signed a 347,474 sf lease at One Madison (older, independent confirmation). Wikipedia: 9,800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</si>
  <si>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AO-C-248</t>
  </si>
  <si>
    <t xml:space="preserve">WME</t>
  </si>
  <si>
    <t xml:space="preserve">Tuesday estimate 230 to 4600 (low confidence), 5,000+ staff company-wide, no attendance signal, occupied at a high-confidence address; contacts not researched yet (below the top 50).</t>
  </si>
  <si>
    <t xml:space="preserve">B-C-248</t>
  </si>
  <si>
    <t xml:space="preserve">https://www.wmeagency.com/</t>
  </si>
  <si>
    <t xml:space="preserve">10000</t>
  </si>
  <si>
    <t xml:space="preserve">https://en.wikipedia.org/wiki/William_Morris_Endeavor</t>
  </si>
  <si>
    <t xml:space="preserve">10000 (Wikipedia) staff (whole-company count) x 5% to 100% of them in the New York office (HQ city unknown; share assumed) x 46% (Partnership for NYC, firms over 5,000) in on a weekday = 230 to 4600, central 1029; low confidence; estimate until intake replaces it.</t>
  </si>
  <si>
    <t xml:space="preserve">SL Green Jul 2026 release and CO Jul 2026 list WME at 11 Madison. 160over90 (WME Group) says its NYC office 'sits right on the beautiful Madison Square Park' near other WME Group businesses (160over90.com/locations/nyc, no street given). Wikipedia: c. 10,000 employees (2024).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</si>
  <si>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AO-C-243</t>
  </si>
  <si>
    <t xml:space="preserve">Pinterest</t>
  </si>
  <si>
    <t xml:space="preserve">Tuesday estimate 133 to 2660 (low confidence), 1,001 to 4,999 staff company-wide, no attendance signal, signed-not-occupied at a high-confidence address (hold: lease signed, move not confirmed); contacts not researched yet (below the top 50).</t>
  </si>
  <si>
    <t xml:space="preserve">B-C-243</t>
  </si>
  <si>
    <t xml:space="preserve">https://www.pinterest.com/</t>
  </si>
  <si>
    <t xml:space="preserve">Social media / technology</t>
  </si>
  <si>
    <t xml:space="preserve">4666</t>
  </si>
  <si>
    <t xml:space="preserve">https://en.wikipedia.org/wiki/Pinterest</t>
  </si>
  <si>
    <t xml:space="preserve">4666 (Wikipedia) staff (whole-company count) x 5% to 100% of them in the New York office (HQ city unknown; share assumed) x 57% (Partnership for NYC, all Manhattan firms; no figure for 500 to 4,999) in on a weekday = 133 to 2660, central 595; low confidence; estimate until intake replaces it.</t>
  </si>
  <si>
    <t xml:space="preserve">83,000 sf</t>
  </si>
  <si>
    <t xml:space="preserve">CO Jul 2026: 83,000 sf, entire 13th floor, 11-yr lease signed June 2025. SL Green Jul 2026 release names Pinterest on the 11 Madison roster. Built In still lists a NY office at 1450 Broadway (stale). Wikipedia infobox: 4,666 employees (2024).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</si>
  <si>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AO-C-182</t>
  </si>
  <si>
    <t xml:space="preserve">Adyen</t>
  </si>
  <si>
    <t xml:space="preserve">Tuesday estimate 136 to 2719 (low confidence), 1,001 to 4,999 staff company-wide, hybrid (days not stated), moving-out at a high-confidence address (hold: moving out of this address); contacts not researched yet (below the top 50).</t>
  </si>
  <si>
    <t xml:space="preserve">https://www.adyen.com/offices</t>
  </si>
  <si>
    <t xml:space="preserve">B-C-182</t>
  </si>
  <si>
    <t xml:space="preserve">https://www.adyen.com</t>
  </si>
  <si>
    <t xml:space="preserve">payments</t>
  </si>
  <si>
    <t xml:space="preserve">4771</t>
  </si>
  <si>
    <t xml:space="preserve">https://www.builtinnyc.com/company/adyen</t>
  </si>
  <si>
    <t xml:space="preserve">https://www.connectcre.com/stories/ayden-doubles-footprint-of-union-square-offices/</t>
  </si>
  <si>
    <t xml:space="preserve">2021-09-02</t>
  </si>
  <si>
    <t xml:space="preserve">https://www.builtinnyc.com/company/adyen/offices</t>
  </si>
  <si>
    <t xml:space="preserve">4771 (Built In) staff (whole-company count) x 5% to 100% of them in the New York office (HQ city unknown; share assumed) x 57% (Partnership for NYC, all Manhattan firms; no figure for 500 to 4,999) in on a weekday = 136 to 2719, central 608; low confidence; estimate until intake replaces it.</t>
  </si>
  <si>
    <t xml:space="preserve">30,415 sf;90,000 sf</t>
  </si>
  <si>
    <t xml:space="preserve">Near-miss: over 500 (Built In: 4,771 total employees). Offices page: '71 5th Avenue, 11th Floor New York, NY 10003'. Connect CRE 2021: 30,415 sf on floors 10 and 11. CO 2026-04-07: Adyen signed a 90,000 sf, 10-year lease at 111 and 115 Fifth Ave (floors 4-5 at 111, floor 4 at 115), so it will likely leave 71 Fifth; move date not stated. | Assembly 2026-10-24: Conflict resolved at assembly: current office is 71 Fifth (own offices page, opened 2026-10-23). It signed 90,000 sf across 111 and 115 Fifth (CO 2026-04-07), move date not stated. Both addresses are inside the boundary; over 500 either way. Review round 2: corner lot: the lot-centroid pin sat 21 m from E 15 ST but 40 m from 5 AVE, so it was moved to the 5 AVE frontage near the corner (17 m from the 5 AVE centreline, 26 m from E 15 ST; 24 m from the old pin). Tax lot unchanged.</t>
  </si>
  <si>
    <t xml:space="preserve">AO-C-269</t>
  </si>
  <si>
    <t xml:space="preserve">Octus (formerly Reorg)</t>
  </si>
  <si>
    <t xml:space="preserve">Tuesday estimate 230 to 461 (low confidence), 501 to 1,000 staff company-wide, hybrid 2 days or fewer, signed-not-occupied at a medium-confidence address (hold: lease signed, move not confirmed); contacts not researched yet (below the top 50).</t>
  </si>
  <si>
    <t xml:space="preserve">https://commercialobserver.com/2025/03/octus-lease-295-fifth-avenue/</t>
  </si>
  <si>
    <t xml:space="preserve">B-C-269</t>
  </si>
  <si>
    <t xml:space="preserve">https://octus.com</t>
  </si>
  <si>
    <t xml:space="preserve">credit data and intelligence</t>
  </si>
  <si>
    <t xml:space="preserve">808</t>
  </si>
  <si>
    <t xml:space="preserve">https://www.builtinnyc.com/company/octus/offices</t>
  </si>
  <si>
    <t xml:space="preserve">2025-03-31</t>
  </si>
  <si>
    <t xml:space="preserve">808 (Built In) staff (whole-company count) x 50% to 100% of them in the New York office (HQ New York; share assumed) x 57% (Partnership for NYC, all Manhattan firms; no figure for 500 to 4,999) in on a weekday = 230 to 461, central 326; low confidence; estimate until intake replaces it.</t>
  </si>
  <si>
    <t xml:space="preserve">43,000 sf</t>
  </si>
  <si>
    <t xml:space="preserve">43,000 SF on floor 6 for its NYC HQ, moving from the 12th floor of 11 E 26th St. Built In (808 employees) still describes an office across from Madison Square Park, so the move date is unclear. Over 500: near-miss. Margin row. Review round 2: corner lot: the lot-centroid pin sat 36 m from E 31 ST but 45 m from 5 AVE, so it was moved to the 5 AVE frontage near the corner (17 m from the 5 AVE centreline, 36 m from E 31 ST; 29 m from the old pin). Tax lot unchanged.</t>
  </si>
  <si>
    <t xml:space="preserve">AO-C-202</t>
  </si>
  <si>
    <t xml:space="preserve">Palantir Technologies</t>
  </si>
  <si>
    <t xml:space="preserve">Tuesday estimate 126 to 2525 (low confidence), 1,001 to 4,999 staff company-wide, no attendance signal, occupancy-unconfirmed at a low-confidence address; contacts not researched yet (below the top 50).</t>
  </si>
  <si>
    <t xml:space="preserve">https://commercialobserver.com/2024/05/palantir-lease-620-avenue-of-the-americas/</t>
  </si>
  <si>
    <t xml:space="preserve">B-C-202</t>
  </si>
  <si>
    <t xml:space="preserve">https://www.palantir.com</t>
  </si>
  <si>
    <t xml:space="preserve">data analytics software</t>
  </si>
  <si>
    <t xml:space="preserve">4429</t>
  </si>
  <si>
    <t xml:space="preserve">https://en.wikipedia.org/wiki/Palantir_Technologies</t>
  </si>
  <si>
    <t xml:space="preserve">2024-05</t>
  </si>
  <si>
    <t xml:space="preserve">4429 (Wikipedia) staff (whole-company count) x 5% to 100% of them in the New York office (HQ city unknown; share assumed) x 57% (Partnership for NYC, all Manhattan firms; no figure for 500 to 4,999) in on a weekday = 126 to 2525, central 564; low confidence; estimate until intake replaces it.</t>
  </si>
  <si>
    <t xml:space="preserve">140,345 sf</t>
  </si>
  <si>
    <t xml:space="preserve">CO 2024-05: direct renewal of 140,345 sf with RXR after WeWork's bankruptcy (space was a WeWork-signed footprint). Far above the pantry model; headcount not found in an opened source. Source older than 24 months, so low. | Assembly 2026-10-24: Band set at assembly to over-500 from Wikipedia infobox: 4,429 employees (2025). The NYC office size is unknown; the NYC office alone may fit, founder to confirm. Review round 3: lease status set from occupied to occupancy-unconfirmed: no source under 24 months places it here. Check the lobby directory on the walk. Review round 3: headcount_source_date left blank (date not stated): the Wikipedia infobox dates the 4,429 employee figure to 2025 with no month. Review round 2: corner lot: the lot-centroid pin sat 36 m from W 19 ST but 54 m from AVE OF THE AMERICAS, so it was moved to the AVE OF THE AMERICAS frontage near the corner (18 m from the AVE OF THE AMERICAS centreline, 36 m from W 19 ST; 36 m from the old pin). Tax lot unchanged.</t>
  </si>
  <si>
    <t xml:space="preserve">AO-C-222</t>
  </si>
  <si>
    <t xml:space="preserve">Instacart</t>
  </si>
  <si>
    <t xml:space="preserve">Tuesday estimate 85 to 1710 (low confidence), 1,001 to 4,999 staff company-wide, hybrid (days not stated), moving-out at a low-confidence address (hold: moving out of this address); contacts not researched yet (below the top 50).</t>
  </si>
  <si>
    <t xml:space="preserve">B-C-222</t>
  </si>
  <si>
    <t xml:space="preserve">https://www.instacart.com/</t>
  </si>
  <si>
    <t xml:space="preserve">Grocery delivery technology</t>
  </si>
  <si>
    <t xml:space="preserve">https://www.builtinnyc.com/company/instacart/offices</t>
  </si>
  <si>
    <t xml:space="preserve">https://commercialobserver.com/2026/07/instacart-lease-esrt-111-west-33rd-street/</t>
  </si>
  <si>
    <t xml:space="preserve">2026-07-20</t>
  </si>
  <si>
    <t xml:space="preserve">3000 (Built In) staff (whole-company count) x 5% to 100% of them in the New York office (HQ outside New York; share assumed) x 57% (Partnership for NYC, all Manhattan firms; no figure for 500 to 4,999) in on a weekday = 85 to 1710, central 381; low confidence; estimate until intake replaces it.</t>
  </si>
  <si>
    <t xml:space="preserve">21,000 sf;26,134 sf</t>
  </si>
  <si>
    <t xml:space="preserve">Named as an existing tenant at 50 W 23rd St in the Two Trees Oct 2025 release (NYREJ). CO Jul 2026: Instacart (21,000 sf sublease at 50 W 23rd since 2023) signed 26,134 sf at 111 W 33rd St; unclear whether it will leave 50 W 23rd. Downgraded to low until confirmed. Built In: 3,000 total employees. HQ San Francisco. Near-miss (over-500). | Assembly 2026-10-24: Conflict carried: CO 2026-07-20 reports a new 26,134 sf lease at 111 W 33rd St; whether it leaves 50 W 23rd is not stated. Kept low. Over 500: near-miss.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</si>
  <si>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AO-C-212</t>
  </si>
  <si>
    <t xml:space="preserve">MillerKnoll</t>
  </si>
  <si>
    <t xml:space="preserve">Tuesday estimate 219 to 4380 (low confidence), 5,000+ staff company-wide, remote-first signal, occupancy-unconfirmed at a low-confidence address; contacts not researched yet (below the top 50).</t>
  </si>
  <si>
    <t xml:space="preserve">https://commercialobserver.com/2023/05/office-furniture-giant-millerknoll-adds-15k-sf-to-251-park-avenue-south-footprint/</t>
  </si>
  <si>
    <t xml:space="preserve">251 Park Avenue South</t>
  </si>
  <si>
    <t xml:space="preserve">incl. 6-7</t>
  </si>
  <si>
    <t xml:space="preserve">B-C-212</t>
  </si>
  <si>
    <t xml:space="preserve">https://www.millerknoll.com</t>
  </si>
  <si>
    <t xml:space="preserve">office furniture (showroom and office)</t>
  </si>
  <si>
    <t xml:space="preserve">9522</t>
  </si>
  <si>
    <t xml:space="preserve">https://www.builtinnyc.com/company/millerknoll</t>
  </si>
  <si>
    <t xml:space="preserve">Zeeland</t>
  </si>
  <si>
    <t xml:space="preserve">2023-05-08</t>
  </si>
  <si>
    <t xml:space="preserve">Built In workplace type: Remote Workplace; recent job tags: 1 Remote</t>
  </si>
  <si>
    <t xml:space="preserve">https://www.builtinnyc.com/company/millerknoll/offices</t>
  </si>
  <si>
    <t xml:space="preserve">9522 (Built In) staff (whole-company count) x 5% to 100% of them in the New York office (HQ outside New York; share assumed) x 46% (Partnership for NYC, firms over 5,000) in on a weekday = 219 to 4380, central 979; low confidence; estimate until intake replaces it.</t>
  </si>
  <si>
    <t xml:space="preserve">In the building since 2016; 2023 expansion added floors 6 and 7 for about 60,000 sf total (CO May 2023). Source older than 24 months, not re-confirmed. Built In shows 9,522 total employees. Over 500. Review round 2: corner lot: the lot-centroid pin sat 19 m from E 20 ST but 22 m from PARK AVE S, so it was moved to the PARK AVE S frontage near the corner (13 m from the PARK AVE S centreline, 27 m from E 20 ST; 11 m from the old pin). Tax lot unchanged.</t>
  </si>
  <si>
    <t xml:space="preserve">AO-C-271</t>
  </si>
  <si>
    <t xml:space="preserve">RepRally</t>
  </si>
  <si>
    <t xml:space="preserve">Gated out: outside the cluster (1.7 blocks outside the line).</t>
  </si>
  <si>
    <t xml:space="preserve">https://www.reprally.com/company/msa</t>
  </si>
  <si>
    <t xml:space="preserve">137 East 25th Street</t>
  </si>
  <si>
    <t xml:space="preserve">fail</t>
  </si>
  <si>
    <t xml:space="preserve">outside the cluster (1.7 blocks outside the line)</t>
  </si>
  <si>
    <t xml:space="preserve">B-C-271</t>
  </si>
  <si>
    <t xml:space="preserve">https://www.reprally.com/</t>
  </si>
  <si>
    <t xml:space="preserve">B2B wholesale platform for independent retailers (snacks, candy, beverages)</t>
  </si>
  <si>
    <t xml:space="preserve">120</t>
  </si>
  <si>
    <t xml:space="preserve">https://www.builtinnyc.com/company/reprally/offices</t>
  </si>
  <si>
    <t xml:space="preserve">https://commercialobserver.com/2025/09/reprally-lease-137-east-25th-street/</t>
  </si>
  <si>
    <t xml:space="preserve">120 (Built In) staff (whole-company count) x 50% to 100% of them in the New York office (HQ New York; share assumed) x 67% (Partnership for NYC, firms under 500) in on a weekday = 40 to 80, central 57; low confidence; estimate until intake replaces it.</t>
  </si>
  <si>
    <t xml:space="preserve">near-miss-outside</t>
  </si>
  <si>
    <t xml:space="preserve">outside-line</t>
  </si>
  <si>
    <t xml:space="preserve">8,308 sf</t>
  </si>
  <si>
    <t xml:space="preserve">Company MSA and sales-rep terms (live): '137 East 25th Street, Floor 6, New York, NY 10010'. CO Sep 2025: 5-yr, 8,308 sf lease, HQ moved from 22 W 21st St. Built In: 120 total employees. Margin: east of Park Ave S between Lexington and Third. Also relevant to the programme's brand side (connects retailers with 250+ snack and beverage brands). Pin moved to frontage at review round 1: the lot-centroid pin failed the block-face test (33 m from E 25 ST but 46 m from E 26 ST); pin moved to frontage: the lot's position along E 25 ST kept, set 21 m from the centreline on the side CSCL gives house number 137 (12 m from the old pin). Tax lot unchanged. New pin: 22 m from E 25 ST, 57 m from E 26 ST.</t>
  </si>
  <si>
    <t xml:space="preserve">AO-C-178</t>
  </si>
  <si>
    <t xml:space="preserve">Augury</t>
  </si>
  <si>
    <t xml:space="preserve">Gated out: no staffed office shown at the address (B: excluded-not-office).</t>
  </si>
  <si>
    <t xml:space="preserve">https://www.builtinnyc.com/company/augury/offices</t>
  </si>
  <si>
    <t xml:space="preserve">1178 Broadway</t>
  </si>
  <si>
    <t xml:space="preserve">3 (#169)</t>
  </si>
  <si>
    <t xml:space="preserve">no staffed office shown at the address (B: excluded-not-office)</t>
  </si>
  <si>
    <t xml:space="preserve">B-C-178</t>
  </si>
  <si>
    <t xml:space="preserve">https://www.augury.com</t>
  </si>
  <si>
    <t xml:space="preserve">industrial AI (machine health)</t>
  </si>
  <si>
    <t xml:space="preserve">Built In lists HQ at 1178 Broadway, 3rd Floor #169 but marks the company 'Remote Workplace'; 203 total employees. The add</t>
  </si>
  <si>
    <t xml:space="preserve">203 (Built In) staff (whole-company count) x 50% to 100% of them in the New York office (HQ New York; share assumed) x 67% (Partnership for NYC, firms under 500) in on a weekday = 68 to 136, central 96; low confidence; estimate until intake replaces it.</t>
  </si>
  <si>
    <t xml:space="preserve">excluded-not-office</t>
  </si>
  <si>
    <t xml:space="preserve">Built In lists HQ at 1178 Broadway, 3rd Floor #169 but marks the company 'Remote Workplace'; 203 total employees. The address carries suite '#169', and whether a staffed office exists here is not sourced. Founder to confirm. | Assembly 2026-10-24: Excluded at assembly: Built In marks the company 'Remote Workplace' and the address carries suite '#169'; no source shows a staffed office here. Confidence lowered at assembly from medium to low: review round 2: the only source dated within 24 months is an undated third-party profile (Built In, Deskpass or LiquidSpace), which can only confirm a dated or own-site source. Review round 2: corner lot: the lot-centroid pin sat 13 m from W 28 ST but 22 m from BROADWAY, so it was moved to the BROADWAY frontage near the corner (15 m from the BROADWAY centreline, 26 m from W 28 ST; 18 m from the old pin). Tax lot unchanged. Review round 3: the pin sat 10.5 m outside its own tax lot (NYC MapPLUTO (Department of City Planning) tax-lot polygons), so it was moved to the middle of the lot's 9 m BROADWAY frontage, 3 m inside the lot line (14 m from the old pin). Tax lot unchanged.</t>
  </si>
  <si>
    <t xml:space="preserve">AO-C-272</t>
  </si>
  <si>
    <t xml:space="preserve">Runwise</t>
  </si>
  <si>
    <t xml:space="preserve">Gated out: outside the cluster (0.1 blocks outside the line).</t>
  </si>
  <si>
    <t xml:space="preserve">https://www.builtinnyc.com/company/runwise-2/offices</t>
  </si>
  <si>
    <t xml:space="preserve">104 West 27th Street</t>
  </si>
  <si>
    <t xml:space="preserve">outside the cluster (0.1 blocks outside the line)</t>
  </si>
  <si>
    <t xml:space="preserve">B-C-272</t>
  </si>
  <si>
    <t xml:space="preserve">https://www.runwise.com</t>
  </si>
  <si>
    <t xml:space="preserve">proptech (building heating controls)</t>
  </si>
  <si>
    <t xml:space="preserve">199</t>
  </si>
  <si>
    <t xml:space="preserve">Built In lists HQ at 104 W 27th Street; 199 total employees; hybrid, 3 days a week on site. Outside: west</t>
  </si>
  <si>
    <t xml:space="preserve">199 (Built In) staff (whole-company count) x 50% to 100% of them in the New York office (HQ New York; share assumed) x 67% (Partnership for NYC, firms under 500) in on a weekday = 67 to 133, central 94; low confidence; estimate until intake replaces it.</t>
  </si>
  <si>
    <t xml:space="preserve">Built In lists HQ at 104 W 27th Street; 199 total employees; hybrid, 3 days a week on site. Outside: west of Sixth Avenue (between Sixth and Seventh). Near-miss on boundary.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</si>
  <si>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AO-C-273</t>
  </si>
  <si>
    <t xml:space="preserve">GumGum (NYC office)</t>
  </si>
  <si>
    <t xml:space="preserve">https://commercialobserver.com/2022/10/online-advertising-firm-gumgum-heads-to-1245-broadway/</t>
  </si>
  <si>
    <t xml:space="preserve">1245 Broadway</t>
  </si>
  <si>
    <t xml:space="preserve">one full tower floor</t>
  </si>
  <si>
    <t xml:space="preserve">B-C-273</t>
  </si>
  <si>
    <t xml:space="preserve">adtech (contextual AI advertising)</t>
  </si>
  <si>
    <t xml:space="preserve">https://www.builtinnyc.com/company/gumgum/offices</t>
  </si>
  <si>
    <t xml:space="preserve">2022-10-05</t>
  </si>
  <si>
    <t xml:space="preserve">500 (Built In) staff (whole-company count) x 5% to 100% of them in the New York office (HQ outside New York; share assumed) x 67% (Partnership for NYC, firms under 500) in on a weekday = 17 to 335, central 75; low confidence; estimate until intake replaces it.</t>
  </si>
  <si>
    <t xml:space="preserve">Five-year 6,500 SF lease with a terrace (2022). Built In (500 employees, HQ Santa Monica) lists a New York office without a street. Older source, not reconfirmed. Margin row. Review round 2: corner lot: the lot-centroid pin sat 27 m from W 31 ST but 32 m from BROADWAY, so it was moved to the BROADWAY frontage near the corner (15 m from the BROADWAY centreline, 26 m from W 31 ST; 18 m from the old pin). Tax lot unchanged.</t>
  </si>
  <si>
    <t xml:space="preserve">AO-C-274</t>
  </si>
  <si>
    <t xml:space="preserve">Parloa</t>
  </si>
  <si>
    <t xml:space="preserve">New or renewed lease at 1245 Broadway reported 2026-06-11</t>
  </si>
  <si>
    <t xml:space="preserve">https://commercialobserver.com/2026/06/parloa-lease-expansion-gdsny-1245-broadway/</t>
  </si>
  <si>
    <t xml:space="preserve">2026-06-11</t>
  </si>
  <si>
    <t xml:space="preserve">B-C-274</t>
  </si>
  <si>
    <t xml:space="preserve">https://www.parloa.com</t>
  </si>
  <si>
    <t xml:space="preserve">software (AI customer service agents)</t>
  </si>
  <si>
    <t xml:space="preserve">221</t>
  </si>
  <si>
    <t xml:space="preserve">https://www.builtinnyc.com/company/parloa/offices</t>
  </si>
  <si>
    <t xml:space="preserve">https://www.parloa.com/contact/</t>
  </si>
  <si>
    <t xml:space="preserve">221 (Built In) staff (whole-company count) x 5% to 100% of them in the New York office (HQ city unknown; share assumed) x 67% (Partnership for NYC, firms under 500) in on a weekday = 7 to 148, central 32; low confidence; estimate until intake replaces it.</t>
  </si>
  <si>
    <t xml:space="preserve">14,731 sf;23,031 sf</t>
  </si>
  <si>
    <t xml:space="preserve">Contact page lists Parloa Inc. at 1245 Broadway, 2FL, New York. CO 2026-06-11: moved in about six months earlier and expanding from 14,731 SF to 23,031 SF. Built In (221 employees, HQ Berlin) still lists 420 Lexington Ave, which is stale. Margin row (31st St). Review round 2: corner lot: the lot-centroid pin sat 27 m from W 31 ST but 32 m from BROADWAY, so it was moved to the BROADWAY frontage near the corner (15 m from the BROADWAY centreline, 26 m from W 31 ST; 18 m from the old pin). Tax lot unchanged.</t>
  </si>
  <si>
    <t xml:space="preserve">AO-C-174</t>
  </si>
  <si>
    <t xml:space="preserve">Deerfield Management</t>
  </si>
  <si>
    <t xml:space="preserve">Gated out: inside a coworking space (B-W-013).</t>
  </si>
  <si>
    <t xml:space="preserve">https://www.deerfield.com/contact</t>
  </si>
  <si>
    <t xml:space="preserve">345 Park Avenue South</t>
  </si>
  <si>
    <t xml:space="preserve">inside a coworking space (B-W-013)</t>
  </si>
  <si>
    <t xml:space="preserve">B-C-174</t>
  </si>
  <si>
    <t xml:space="preserve">https://www.deerfield.com/</t>
  </si>
  <si>
    <t xml:space="preserve">Healthcare investment firm</t>
  </si>
  <si>
    <t xml:space="preserve">175 (Wikipedia) staff (whole-company count) x 5% to 100% of them in the New York office (HQ city unknown; share assumed) x 67% (Partnership for NYC, firms under 500) in on a weekday = 6 to 117, central 26; low confidence; estimate until intake replaces it.</t>
  </si>
  <si>
    <t xml:space="preserve">excluded-coworking</t>
  </si>
  <si>
    <t xml:space="preserve">Company contact page (live): '345 Park Avenue South New York, NY 10010'. Wikipedia: HQ 345 PAS (bought the building in May 2019); 175 employees (March 2023). Deerfield also runs Cure, a healthcare coworking and lab hub in the same building, and appears on Cure's resident list; Deerfield's own office is treated as a direct office (not coworking), founder to confirm who controls its pantry. | Assembly 2026-10-24: Coworking check at assembly: Cure's residents page (wewillcure.com/community/residents, opened 2026-10-24) lists 'Deerfield Management Company' among Cure residents. Cure is operated by Cure Experience Services, LLC (site footer). Deerfield owns the building (Wikipedia). Flagged in_coworking = Y: approach Cure as the one office (coworking tab) rather than Deerfield separately. Founder to confirm whether Deerfield runs its own pantry.</t>
  </si>
  <si>
    <t xml:space="preserve">AO-C-177</t>
  </si>
  <si>
    <t xml:space="preserve">Monte Carlo (Monte Carlo Data)</t>
  </si>
  <si>
    <t xml:space="preserve">Gated out: inside a coworking space (B-W-020).</t>
  </si>
  <si>
    <t xml:space="preserve">https://www.builtinnyc.com/company/monte-carlo/offices</t>
  </si>
  <si>
    <t xml:space="preserve">27 East 28th Street</t>
  </si>
  <si>
    <t xml:space="preserve">Suite 1656</t>
  </si>
  <si>
    <t xml:space="preserve">inside a coworking space (B-W-020)</t>
  </si>
  <si>
    <t xml:space="preserve">B-C-177</t>
  </si>
  <si>
    <t xml:space="preserve">https://montecarlo.ai</t>
  </si>
  <si>
    <t xml:space="preserve">software (data observability)</t>
  </si>
  <si>
    <t xml:space="preserve">B-B-076</t>
  </si>
  <si>
    <t xml:space="preserve">79 Madison Avenue / 27 East 28th Street (Williams Equities)</t>
  </si>
  <si>
    <t xml:space="preserve">https://liquidspace.com/us/ny/new-york/wework-27-e-28th-st</t>
  </si>
  <si>
    <t xml:space="preserve">B-W-020</t>
  </si>
  <si>
    <t xml:space="preserve">Built In lists a 'New York Hub' at 27 E 28th St, Suite 1656; company is remote-first and covers coworking; 135 tot</t>
  </si>
  <si>
    <t xml:space="preserve">135 (Built In) staff (whole-company count) x 5% to 100% of them in the New York office (HQ outside New York; share assumed) x 67% (Partnership for NYC, firms under 500) in on a weekday = 5 to 90, central 21; low confidence; estimate until intake replaces it.</t>
  </si>
  <si>
    <t xml:space="preserve">Built In lists a 'New York Hub' at 27 E 28th St, Suite 1656; company is remote-first and covers coworking; 135 total employees (HQ San Francisco). LiquidSpace lists 'WeWork | 27 E 28th St' as confirmed open. 27 E 28th St shares a tax lot with 79 Madison Ave. Coworking: excluded.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</si>
  <si>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AO-C-175</t>
  </si>
  <si>
    <t xml:space="preserve">Insilico Medicine</t>
  </si>
  <si>
    <t xml:space="preserve">B-C-175</t>
  </si>
  <si>
    <t xml:space="preserve">https://insilico.com/</t>
  </si>
  <si>
    <t xml:space="preserve">Biotech / AI drug discovery</t>
  </si>
  <si>
    <t xml:space="preserve">115</t>
  </si>
  <si>
    <t xml:space="preserve">https://www.builtinnyc.com/company/insilico-medicine/offices</t>
  </si>
  <si>
    <t xml:space="preserve">building-site</t>
  </si>
  <si>
    <t xml:space="preserve">115 (Built In) staff (whole-company count) x 5% to 100% of them in the New York office (HQ city unknown; share assumed) x 67% (Partnership for NYC, firms under 500) in on a weekday = 4 to 77, central 18; low confidence; estimate until intake replaces it.</t>
  </si>
  <si>
    <t xml:space="preserve">Cure resident page (live): testimonial says Cure 'has since become our NYC headquarters'. Built In: 115 total employees (no office address shown). In coworking (Cure), so excluded later.</t>
  </si>
  <si>
    <t xml:space="preserve">AO-C-220</t>
  </si>
  <si>
    <t xml:space="preserve">FanDuel</t>
  </si>
  <si>
    <t xml:space="preserve">Gated out: Tuesday estimate over 250 (1053 to 2105).</t>
  </si>
  <si>
    <t xml:space="preserve">Tuesday estimate over 250 (1053 to 2105)</t>
  </si>
  <si>
    <t xml:space="preserve">B-C-220</t>
  </si>
  <si>
    <t xml:space="preserve">https://www.fanduel.com/</t>
  </si>
  <si>
    <t xml:space="preserve">Sports betting / gaming technology</t>
  </si>
  <si>
    <t xml:space="preserve">3693</t>
  </si>
  <si>
    <t xml:space="preserve">https://www.builtinnyc.com/company/fanduel/offices</t>
  </si>
  <si>
    <t xml:space="preserve">over-250</t>
  </si>
  <si>
    <t xml:space="preserve">3693 (Built In) staff (whole-company count) x 50% to 100% of them in the New York office (HQ New York; share assumed) x 57% (Partnership for NYC, all Manhattan firms; no figure for 500 to 4,999) in on a weekday = 1053 to 2105, central 1489; low confidence; estimate until intake replaces it.</t>
  </si>
  <si>
    <t xml:space="preserve">Rockrose building page (live, undated) lists FanDuel as a major office tenant. Built In lists HQ '290 Park Avenue South' (same tax lot as 300 PAS) and 3,693 total employees. Near-miss (over-500). Review round 2: corner lot: the lot-centroid pin sat 24 m from E 22 ST but 25 m from PARK AVE S, so it was moved to the PARK AVE S frontage near the corner (13 m from the PARK AVE S centreline, 27 m from E 22 ST; 12 m from the old pin). Tax lot unchanged.</t>
  </si>
  <si>
    <t xml:space="preserve">AO-C-237</t>
  </si>
  <si>
    <t xml:space="preserve">IBM</t>
  </si>
  <si>
    <t xml:space="preserve">Gated out: Tuesday estimate over 250 (6079 to 121578).</t>
  </si>
  <si>
    <t xml:space="preserve">multiple (362,092 sf)</t>
  </si>
  <si>
    <t xml:space="preserve">Tuesday estimate over 250 (6079 to 121578)</t>
  </si>
  <si>
    <t xml:space="preserve">B-C-237</t>
  </si>
  <si>
    <t xml:space="preserve">https://www.ibm.com/</t>
  </si>
  <si>
    <t xml:space="preserve">Technology</t>
  </si>
  <si>
    <t xml:space="preserve">264300</t>
  </si>
  <si>
    <t xml:space="preserve">https://en.wikipedia.org/wiki/IBM</t>
  </si>
  <si>
    <t xml:space="preserve">264300 (Wikipedia) staff (whole-company count) x 5% to 100% of them in the New York office (HQ city unknown; share assumed) x 46% (Partnership for NYC, firms over 5,000) in on a weekday = 6079 to 121578, central 27186; low confidence; estimate until intake replaces it.</t>
  </si>
  <si>
    <t xml:space="preserve">362,092 sf</t>
  </si>
  <si>
    <t xml:space="preserve">CO Mar 2026: IBM has 362,092 sf at One Madison. SL Green Jul 2025 release names IBM on the roster. Wikipedia: 264,300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</si>
  <si>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AO-C-176</t>
  </si>
  <si>
    <t xml:space="preserve">Lexeo Therapeutics</t>
  </si>
  <si>
    <t xml:space="preserve">B-C-176</t>
  </si>
  <si>
    <t xml:space="preserve">https://www.lexeotx.com/</t>
  </si>
  <si>
    <t xml:space="preserve">Biotech (gene therapy)</t>
  </si>
  <si>
    <t xml:space="preserve">52</t>
  </si>
  <si>
    <t xml:space="preserve">https://www.builtinnyc.com/company/lexeo-therapeutics/offices</t>
  </si>
  <si>
    <t xml:space="preserve">52 (Built In) staff (whole-company count) x 50% to 100% of them in the New York office (HQ New York; share assumed) x 67% (Partnership for NYC, firms under 500) in on a weekday = 17 to 35, central 24; low confidence; estimate until intake replaces it.</t>
  </si>
  <si>
    <t xml:space="preserve">Listed as a current resident of Cure (Deerfield's healthcare coworking and lab hub at 345 PAS), with a CEO testimonial. Built In lists HQ 345 Park Avenue South, 6th Floor; 52 total employees. In coworking, so excluded later; Cure's residency includes a 'fully stocked pantry' run by the operator.</t>
  </si>
  <si>
    <t xml:space="preserve">AO-C-252</t>
  </si>
  <si>
    <t xml:space="preserve">Marriott International (Luxury Group NYC office)</t>
  </si>
  <si>
    <t xml:space="preserve">Gated out: Tuesday estimate over 250 (9614 to 192280).</t>
  </si>
  <si>
    <t xml:space="preserve">Tuesday estimate over 250 (9614 to 192280)</t>
  </si>
  <si>
    <t xml:space="preserve">B-C-252</t>
  </si>
  <si>
    <t xml:space="preserve">https://www.marriott.com/</t>
  </si>
  <si>
    <t xml:space="preserve">Hospitality (corporate office)</t>
  </si>
  <si>
    <t xml:space="preserve">418000</t>
  </si>
  <si>
    <t xml:space="preserve">https://en.wikipedia.org/wiki/Marriott_International</t>
  </si>
  <si>
    <t xml:space="preserve">418000 (Wikipedia) staff (whole-company count) x 5% to 100% of them in the New York office (HQ city unknown; share assumed) x 46% (Partnership for NYC, firms over 5,000) in on a weekday = 9614 to 192280, central 42995; low confidence; estimate until intake replaces it.</t>
  </si>
  <si>
    <t xml:space="preserve">ConnectCRE Mar 2026: about 23,000 sf for NYC-based corporate associates of the Luxury Group, global brand PR and Riott Haus Creative (in-house agency). CO Sep 2026 lists Marriott's Luxury Group as a tenant. Wikipedia: 418,000 employees (2024). NYC office size unknown. Near-miss (over-500). Review round 2: corner lot: the lot-centroid pin sat 22 m from E 26 ST but 36 m from PARK AVE S, so it was moved to the PARK AVE S frontage near the corner (13 m from the PARK AVE S centreline, 27 m from E 26 ST; 23 m from the old pin). Tax lot unchanged.</t>
  </si>
  <si>
    <t xml:space="preserve">AO-C-206</t>
  </si>
  <si>
    <t xml:space="preserve">Netflix</t>
  </si>
  <si>
    <t xml:space="preserve">Gated out: Tuesday estimate over 250 (304 to 6078).</t>
  </si>
  <si>
    <t xml:space="preserve">https://commercialobserver.com/2026/10/williams-equities-michael-t-cohen-robert-getreu-andrew-roos-office-new-york/</t>
  </si>
  <si>
    <t xml:space="preserve">888 Broadway</t>
  </si>
  <si>
    <t xml:space="preserve">Tuesday estimate over 250 (304 to 6078)</t>
  </si>
  <si>
    <t xml:space="preserve">B-C-206</t>
  </si>
  <si>
    <t xml:space="preserve">https://www.netflix.com</t>
  </si>
  <si>
    <t xml:space="preserve">13212</t>
  </si>
  <si>
    <t xml:space="preserve">https://www.builtinnyc.com/company/netflix</t>
  </si>
  <si>
    <t xml:space="preserve">Los Gatos</t>
  </si>
  <si>
    <t xml:space="preserve">2026-10-20</t>
  </si>
  <si>
    <t xml:space="preserve">https://therealdeal.com/new-york/2025/02/14/cannon-hill-recaps-888-broadway-at-amount-above-200m/</t>
  </si>
  <si>
    <t xml:space="preserve">2025-02-14</t>
  </si>
  <si>
    <t xml:space="preserve">13212 (Built In) staff (whole-company count) x 5% to 100% of them in the New York office (HQ outside New York; share assumed) x 46% (Partnership for NYC, firms over 5,000) in on a weekday = 304 to 6078, central 1359; low confidence; estimate until intake replaces it.</t>
  </si>
  <si>
    <t xml:space="preserve">Building co-owner calls Netflix the anchor tenant at 888 Broadway (Oct 2026); TRD headline calls 888 Broadway Netflix's NYC office. Built In lists 245 W 17th St as its NY office and 13,212 total employees. Over 500. Review round 2: corner lot: the lot-centroid pin sat 19 m from E 19 ST but 31 m from BROADWAY, so it was moved to the BROADWAY frontage near the corner (15 m from the BROADWAY centreline, 27 m from E 19 ST; 16 m from the old pin). Tax lot unchanged.</t>
  </si>
  <si>
    <t xml:space="preserve">AO-C-244</t>
  </si>
  <si>
    <t xml:space="preserve">Sony Music Entertainment</t>
  </si>
  <si>
    <t xml:space="preserve">Gated out: Tuesday estimate over 250 (255 to 5106).</t>
  </si>
  <si>
    <t xml:space="preserve">Tuesday estimate over 250 (255 to 5106)</t>
  </si>
  <si>
    <t xml:space="preserve">B-C-244</t>
  </si>
  <si>
    <t xml:space="preserve">https://www.sonymusic.com/</t>
  </si>
  <si>
    <t xml:space="preserve">Music / media</t>
  </si>
  <si>
    <t xml:space="preserve">11100</t>
  </si>
  <si>
    <t xml:space="preserve">https://en.wikipedia.org/wiki/Sony_Music</t>
  </si>
  <si>
    <t xml:space="preserve">11100 (Wikipedia) staff (whole-company count) x 5% to 100% of them in the New York office (HQ city unknown; share assumed) x 46% (Partnership for NYC, firms over 5,000) in on a weekday = 255 to 5106, central 1141; low confidence; estimate until intake replaces it.</t>
  </si>
  <si>
    <t xml:space="preserve">SL Green Jul 2026 release lists 'SONY' as an 11 Madison tenant; Wikipedia gives Sony Music HQ as 25 Madison Avenue (Metropolitan Life North Building, i.e. the 11 Madison tower). Wikipedia: 11,100 employees (2023).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</si>
  <si>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AO-C-233</t>
  </si>
  <si>
    <t xml:space="preserve">Tiffany &amp; Co.</t>
  </si>
  <si>
    <t xml:space="preserve">Gated out: Tuesday estimate over 250 (2140 to 4280).</t>
  </si>
  <si>
    <t xml:space="preserve">Tuesday estimate over 250 (2140 to 4280)</t>
  </si>
  <si>
    <t xml:space="preserve">B-C-233</t>
  </si>
  <si>
    <t xml:space="preserve">https://www.tiffany.com/</t>
  </si>
  <si>
    <t xml:space="preserve">Luxury jewelry (consumer brand)</t>
  </si>
  <si>
    <t xml:space="preserve">9305</t>
  </si>
  <si>
    <t xml:space="preserve">https://www.builtinnyc.com/company/tiffany-co/offices</t>
  </si>
  <si>
    <t xml:space="preserve">9305 (Built In) staff (whole-company count) x 50% to 100% of them in the New York office (HQ New York; share assumed) x 46% (Partnership for NYC, firms over 5,000) in on a weekday = 2140 to 4280, central 3026; low confidence; estimate until intake replaces it.</t>
  </si>
  <si>
    <t xml:space="preserve">TRD Apr 2025 lists Tiffany as a tenant (10-yr extension in 2022 while shedding about a third of its space). Built In lists HQ 200 Fifth Avenue; 9,305 total employees. Near-miss (over-500). Review round 2: corner lot: the lot-centroid pin sat 36 m from W 24 ST but 53 m from 5 AVE, so it was moved to the 5 AVE frontage near the corner (15 m from the 5 AVE centreline, 37 m from W 24 ST; 38 m from the old pin). Tax lot unchanged.</t>
  </si>
  <si>
    <t xml:space="preserve">AO-C-247</t>
  </si>
  <si>
    <t xml:space="preserve">UBS</t>
  </si>
  <si>
    <t xml:space="preserve">Gated out: Tuesday estimate over 250 (2420 to 48409).</t>
  </si>
  <si>
    <t xml:space="preserve">Tuesday estimate over 250 (2420 to 48409)</t>
  </si>
  <si>
    <t xml:space="preserve">B-C-247</t>
  </si>
  <si>
    <t xml:space="preserve">https://www.ubs.com/</t>
  </si>
  <si>
    <t xml:space="preserve">Banking / financial services</t>
  </si>
  <si>
    <t xml:space="preserve">105236</t>
  </si>
  <si>
    <t xml:space="preserve">https://en.wikipedia.org/wiki/UBS</t>
  </si>
  <si>
    <t xml:space="preserve">105236 (Wikipedia) staff (whole-company count) x 5% to 100% of them in the New York office (HQ city unknown; share assumed) x 46% (Partnership for NYC, firms over 5,000) in on a weekday = 2420 to 48409, central 10824; low confidence; estimate until intake replaces it.</t>
  </si>
  <si>
    <t xml:space="preserve">SL Green Jul 2026 release and CO Jul 2026 list UBS at 11 Madison (former Credit Suisse offices; FNP Oct 2023 roundup reported the move). Wikipedia: 105,236 employees (2025).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</si>
  <si>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AO-C-203</t>
  </si>
  <si>
    <t xml:space="preserve">Warner Bros. Discovery</t>
  </si>
  <si>
    <t xml:space="preserve">Gated out: Tuesday estimate over 250 (9200 to 18400).</t>
  </si>
  <si>
    <t xml:space="preserve">https://data.sec.gov/submissions/CIK0001437107.json</t>
  </si>
  <si>
    <t xml:space="preserve">230 Park Avenue South</t>
  </si>
  <si>
    <t xml:space="preserve">whole building</t>
  </si>
  <si>
    <t xml:space="preserve">Tuesday estimate over 250 (9200 to 18400)</t>
  </si>
  <si>
    <t xml:space="preserve">B-C-203</t>
  </si>
  <si>
    <t xml:space="preserve">https://www.wbd.com</t>
  </si>
  <si>
    <t xml:space="preserve">media (Food Network and other networks)</t>
  </si>
  <si>
    <t xml:space="preserve">40000</t>
  </si>
  <si>
    <t xml:space="preserve">https://www.builtinnyc.com/company/warner-bros-discovery</t>
  </si>
  <si>
    <t xml:space="preserve">https://commercialobserver.com/2023/01/warner-brothers-discovery-park-avenue-south/</t>
  </si>
  <si>
    <t xml:space="preserve">2023-01-25</t>
  </si>
  <si>
    <t xml:space="preserve">40000 (Built In) staff (whole-company count) x 50% to 100% of them in the New York office (HQ New York; share assumed) x 46% (Partnership for NYC, firms over 5,000) in on a weekday = 9200 to 18400, central 13011; low confidence; estimate until intake replaces it.</t>
  </si>
  <si>
    <t xml:space="preserve">375,000 sf</t>
  </si>
  <si>
    <t xml:space="preserve">SEC registrant business address is 230 Park Avenue South (opened 2026-10-23). CO Jan 2023: the company took the whole 13-story, 375,000 sf building at E 19th St (Food Network on the first floors). Metro Manhattan building page (modified 2024-10-31) also lists Discovery as a tenant. Built In shows 40,000 total employees. Over 500. Note: wbd.com redirected to skydance.com when opened on 2026-10-24, so corporate ownership may have changed; founder to confirm. | Assembly 2026-10-24: SEC EDGAR source (sec.gov): this agent will not re-open it, because EDGAR serves only requests that carry a contact email and the project rule forbids sending one; the founder may open it in a browser. Review round 2: corner lot: the lot-centroid pin sat 23 m from E 19 ST but 29 m from PARK AVE S, so it was moved to the PARK AVE S frontage near the corner (14 m from the PARK AVE S centreline, 26 m from E 19 ST; 16 m from the old pin). Tax lot unchanged.</t>
  </si>
  <si>
    <t xml:space="preserve">AO-C-256</t>
  </si>
  <si>
    <t xml:space="preserve">Ziff Davis</t>
  </si>
  <si>
    <t xml:space="preserve">Gated out: Tuesday estimate over 250 (609 to 1219).</t>
  </si>
  <si>
    <t xml:space="preserve">Tuesday estimate over 250 (609 to 1219)</t>
  </si>
  <si>
    <t xml:space="preserve">B-C-256</t>
  </si>
  <si>
    <t xml:space="preserve">https://www.ziffdavis.com</t>
  </si>
  <si>
    <t xml:space="preserve">digital media</t>
  </si>
  <si>
    <t xml:space="preserve">2138</t>
  </si>
  <si>
    <t xml:space="preserve">https://www.builtinnyc.com/company/ziff-davis/offices</t>
  </si>
  <si>
    <t xml:space="preserve">https://www.ziffdavis.com/</t>
  </si>
  <si>
    <t xml:space="preserve">2138 (Built In) staff (whole-company count) x 50% to 100% of them in the New York office (HQ New York; share assumed) x 57% (Partnership for NYC, all Manhattan firms; no figure for 500 to 4,999) in on a weekday = 609 to 1219, central 862; low confidence; estimate until intake replaces it.</t>
  </si>
  <si>
    <t xml:space="preserve">CO lists Ziff Davis as a tenant at 360 PAS (2024 lease reported by NY Business Journal, not opened). Built In shows a New York office at 114 5th Ave, Floors 14 &amp; 15 (outside slice) and 2,138 employees. Conflict: founder to confirm. Over 500: near-miss. | Assembly 2026-10-24: Conflict resolved at assembly: ziffdavis.com's own structured data (opened 2026-10-24) gives streetAddress '360 Park Avenue South', 10010, agreeing with CO 2025-05-20. Built In's 114 Fifth Ave is stale. S3 also found theSkimm's legal pages pointing to Ziff Davis at 360 PAS, 17th floor. Over 500: near-miss. Review round 2: corner lot: the lot-centroid pin sat 22 m from E 26 ST but 36 m from PARK AVE S, so it was moved to the PARK AVE S frontage near the corner (13 m from the PARK AVE S centreline, 27 m from E 26 ST; 23 m from the old pin). Tax lot unchanged.</t>
  </si>
  <si>
    <t xml:space="preserve">AO-C-198</t>
  </si>
  <si>
    <t xml:space="preserve">Airbnb</t>
  </si>
  <si>
    <t xml:space="preserve">Gated out: Tuesday estimate over 250 (336 to 6726).</t>
  </si>
  <si>
    <t xml:space="preserve">Tuesday estimate over 250 (336 to 6726)</t>
  </si>
  <si>
    <t xml:space="preserve">B-C-198</t>
  </si>
  <si>
    <t xml:space="preserve">https://www.airbnb.com</t>
  </si>
  <si>
    <t xml:space="preserve">travel marketplace</t>
  </si>
  <si>
    <t xml:space="preserve">14622</t>
  </si>
  <si>
    <t xml:space="preserve">https://www.builtinnyc.com/company/airbnb</t>
  </si>
  <si>
    <t xml:space="preserve">https://commercialobserver.com/2026/07/airbnb-buys-281-park-avenue-south-office/</t>
  </si>
  <si>
    <t xml:space="preserve">2026-07-09</t>
  </si>
  <si>
    <t xml:space="preserve">14622 (Built In) staff (whole-company count) x 5% to 100% of them in the New York office (HQ outside New York; share assumed) x 46% (Partnership for NYC, firms over 5,000) in on a weekday = 336 to 6726, central 1503; low confidence; estimate until intake replaces it.</t>
  </si>
  <si>
    <t xml:space="preserve">13,300 sf</t>
  </si>
  <si>
    <t xml:space="preserve">13,300 sf on the 3rd floor of 130 Fifth (signed Sept 2024). In July 2026 Airbnb bought 281 Park Avenue South (E 22nd St, also in this slice) for one of its largest employee hubs outside San Francisco. Built In lists NYC office at 627 Broadway and 14,622 total employees. Over 500. Review round 2: corner lot: the lot-centroid pin sat 21 m from W 18 ST but 36 m from 5 AVE, so it was moved to the 5 AVE frontage near the corner (17 m from the 5 AVE centreline, 26 m from W 18 ST; 19 m from the old pin). Tax lot unchanged.</t>
  </si>
  <si>
    <t xml:space="preserve">AO-C-239</t>
  </si>
  <si>
    <t xml:space="preserve">Amazon</t>
  </si>
  <si>
    <t xml:space="preserve">Gated out: Tuesday estimate over 250 (36248 to 724960).</t>
  </si>
  <si>
    <t xml:space="preserve">Tuesday estimate over 250 (36248 to 724960)</t>
  </si>
  <si>
    <t xml:space="preserve">B-C-239</t>
  </si>
  <si>
    <t xml:space="preserve">https://www.amazon.com/</t>
  </si>
  <si>
    <t xml:space="preserve">Technology / e-commerce</t>
  </si>
  <si>
    <t xml:space="preserve">1576000</t>
  </si>
  <si>
    <t xml:space="preserve">https://en.wikipedia.org/wiki/Amazon_(company)</t>
  </si>
  <si>
    <t xml:space="preserve">1576000 (Wikipedia) staff (whole-company count) x 5% to 100% of them in the New York office (HQ city unknown; share assumed) x 46% (Partnership for NYC, firms over 5,000) in on a weekday = 36248 to 724960, central 162106; low confidence; estimate until intake replaces it.</t>
  </si>
  <si>
    <t xml:space="preserve">CO Feb 2026 lists 'tech giant Amazon' among office tenants at 315 PAS; which Amazon unit and how large the space is were not stated. Amazon is far over 500 employees (Wikipedia). Near-miss (over-500). Review round 2: corner lot: the lot-centroid pin sat 21 m from E 24 ST but 31 m from PARK AVE S, so it was moved to the PARK AVE S frontage near the corner (13 m from the PARK AVE S centreline, 27 m from E 24 ST; 19 m from the old pin). Tax lot unchanged.</t>
  </si>
  <si>
    <t xml:space="preserve">AO-C-264</t>
  </si>
  <si>
    <t xml:space="preserve">American Eagle Outfitters (NYC headquarters offices)</t>
  </si>
  <si>
    <t xml:space="preserve">Gated out: Tuesday estimate over 250 (391 to 7820).</t>
  </si>
  <si>
    <t xml:space="preserve">https://commercialobserver.com/2025/08/american-eagle-outfitters-expansion-63-madison-avenue/</t>
  </si>
  <si>
    <t xml:space="preserve">63 Madison Avenue</t>
  </si>
  <si>
    <t xml:space="preserve">multiple</t>
  </si>
  <si>
    <t xml:space="preserve">Tuesday estimate over 250 (391 to 7820)</t>
  </si>
  <si>
    <t xml:space="preserve">B-C-264</t>
  </si>
  <si>
    <t xml:space="preserve">https://www.ae.com</t>
  </si>
  <si>
    <t xml:space="preserve">apparel retailer (corporate offices)</t>
  </si>
  <si>
    <t xml:space="preserve">17000</t>
  </si>
  <si>
    <t xml:space="preserve">https://www.builtinnyc.com/company/american-eagle-outfitters/offices</t>
  </si>
  <si>
    <t xml:space="preserve">Pittsburgh</t>
  </si>
  <si>
    <t xml:space="preserve">17000 (Built In) staff (whole-company count) x 5% to 100% of them in the New York office (HQ outside New York; share assumed) x 46% (Partnership for NYC, firms over 5,000) in on a weekday = 391 to 7820, central 1749; low confidence; estimate until intake replaces it.</t>
  </si>
  <si>
    <t xml:space="preserve">392,185 sf</t>
  </si>
  <si>
    <t xml:space="preserve">Expanded to 392,185 SF of office HQ at 63 Madison (same tax lot as 28 E 28th St). Built In: 17,000 employees. Far over 500: near-miss only. Review round 2: corner lot: the lot-centroid pin sat 39 m from E 28 ST but 56 m from MADISON AVE, so it was moved to the MADISON AVE frontage near the corner (16 m from the MADISON AVE centreline, 39 m from E 28 ST; 40 m from the old pin). Tax lot unchanged.</t>
  </si>
  <si>
    <t xml:space="preserve">AO-C-221</t>
  </si>
  <si>
    <t xml:space="preserve">BuzzFeed</t>
  </si>
  <si>
    <t xml:space="preserve">Gated out: Tuesday estimate over 250 (510 to 1020).</t>
  </si>
  <si>
    <t xml:space="preserve">https://commercialobserver.com/2025/03/buzfeed-lease-50-west-23rd-street/</t>
  </si>
  <si>
    <t xml:space="preserve">5 (part) and 6</t>
  </si>
  <si>
    <t xml:space="preserve">Tuesday estimate over 250 (510 to 1020)</t>
  </si>
  <si>
    <t xml:space="preserve">B-C-221</t>
  </si>
  <si>
    <t xml:space="preserve">https://www.buzzfeed.com/</t>
  </si>
  <si>
    <t xml:space="preserve">Digital media</t>
  </si>
  <si>
    <t xml:space="preserve">1789</t>
  </si>
  <si>
    <t xml:space="preserve">https://www.builtinnyc.com/company/buzzfeed/offices</t>
  </si>
  <si>
    <t xml:space="preserve">2025-03-26</t>
  </si>
  <si>
    <t xml:space="preserve">1789 (Built In) staff (whole-company count) x 50% to 100% of them in the New York office (HQ New York; share assumed) x 57% (Partnership for NYC, all Manhattan firms; no figure for 500 to 4,999) in on a weekday = 510 to 1020, central 721; low confidence; estimate until intake replaces it.</t>
  </si>
  <si>
    <t xml:space="preserve">42,210 sf;11,000 sf</t>
  </si>
  <si>
    <t xml:space="preserve">CO Mar 2025: new HQ, 42,210 sf (entire 6th floor plus 11,000 sf on the 5th), moved from 229 W 43rd St. CO Sep 2025 lists BuzzFeed as a current tenant. Built In: 1,789 total employees (profile still shows the old 111 E 18th St address); Wikipedia infobox: 925 employees (Dec 2023). Both counts exceed 500. Near-miss (over-500). | Assembly 2026-10-24: Confidence lowered at assembly from high to medium: second source is the same publisher or missing.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</si>
  <si>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AO-C-188</t>
  </si>
  <si>
    <t xml:space="preserve">Capital One</t>
  </si>
  <si>
    <t xml:space="preserve">Gated out: Tuesday estimate over 250 (1265 to 25300).</t>
  </si>
  <si>
    <t xml:space="preserve">Tuesday estimate over 250 (1265 to 25300)</t>
  </si>
  <si>
    <t xml:space="preserve">B-C-188</t>
  </si>
  <si>
    <t xml:space="preserve">https://www.capitalone.com</t>
  </si>
  <si>
    <t xml:space="preserve">banking (tech offices)</t>
  </si>
  <si>
    <t xml:space="preserve">55000</t>
  </si>
  <si>
    <t xml:space="preserve">https://www.builtinnyc.com/company/capital-one</t>
  </si>
  <si>
    <t xml:space="preserve">McLean</t>
  </si>
  <si>
    <t xml:space="preserve">55000 (Built In) staff (whole-company count) x 5% to 100% of them in the New York office (HQ outside New York; share assumed) x 46% (Partnership for NYC, firms over 5,000) in on a weekday = 1265 to 25300, central 5657; low confidence; estimate until intake replaces it.</t>
  </si>
  <si>
    <t xml:space="preserve">213,500 sf;116,926 sf;96,606 sf</t>
  </si>
  <si>
    <t xml:space="preserve">Near-miss: over 500 (Built In: 55,000 total employees) and about 213,500 sf here (existing 116,926 sf plus 96,606 sf expansion per CBRE report cited by CO). Article dated February 2025 (day not captured). Review round 2: corner lot: the lot-centroid pin sat 22 m from W 17 ST but 39 m from 5 AVE, so it was moved to the 5 AVE frontage near the corner (17 m from the 5 AVE centreline, 27 m from W 17 ST; 22 m from the old pin). Tax lot unchanged.</t>
  </si>
  <si>
    <t xml:space="preserve">AO-C-196</t>
  </si>
  <si>
    <t xml:space="preserve">Charlie Health</t>
  </si>
  <si>
    <t xml:space="preserve">Gated out: Tuesday estimate over 250 (855 to 1710).</t>
  </si>
  <si>
    <t xml:space="preserve">Tuesday estimate over 250 (855 to 1710)</t>
  </si>
  <si>
    <t xml:space="preserve">B-C-196</t>
  </si>
  <si>
    <t xml:space="preserve">https://www.charliehealth.com</t>
  </si>
  <si>
    <t xml:space="preserve">virtual behavioral health</t>
  </si>
  <si>
    <t xml:space="preserve">https://www.builtinnyc.com/company/charlie-health</t>
  </si>
  <si>
    <t xml:space="preserve">3000 (Built In) staff (whole-company count) x 50% to 100% of them in the New York office (HQ New York; share assumed) x 57% (Partnership for NYC, all Manhattan firms; no figure for 500 to 4,999) in on a weekday = 855 to 1710, central 1209; low confidence; estimate until intake replaces it.</t>
  </si>
  <si>
    <t xml:space="preserve">Near-miss: over 500 (Built In NYC: 3,000 total employees, HQ New York). SEC rent roll 2026-02-05: Charlie Health, Inc. 17,255 sf (one full floor), lease to 2029-01-31. Use of the space (corporate vs clinical) not stated.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</si>
  <si>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AO-C-181</t>
  </si>
  <si>
    <t xml:space="preserve">Con Edison</t>
  </si>
  <si>
    <t xml:space="preserve">Gated out: Tuesday estimate over 250 (347 to 6945).</t>
  </si>
  <si>
    <t xml:space="preserve">https://en.wikipedia.org/wiki/Consolidated_Edison_Building</t>
  </si>
  <si>
    <t xml:space="preserve">4 Irving Place</t>
  </si>
  <si>
    <t xml:space="preserve">Tuesday estimate over 250 (347 to 6945)</t>
  </si>
  <si>
    <t xml:space="preserve">B-C-181</t>
  </si>
  <si>
    <t xml:space="preserve">https://www.coned.com</t>
  </si>
  <si>
    <t xml:space="preserve">energy utility (headquarters)</t>
  </si>
  <si>
    <t xml:space="preserve">15097</t>
  </si>
  <si>
    <t xml:space="preserve">https://en.wikipedia.org/wiki/Consolidated_Edison</t>
  </si>
  <si>
    <t xml:space="preserve">wikipedia</t>
  </si>
  <si>
    <t xml:space="preserve">15097 (Wikipedia) staff (whole-company count) x 5% to 100% of them in the New York office (HQ city unknown; share assumed) x 46% (Partnership for NYC, firms over 5,000) in on a weekday = 347 to 6945, central 1552; low confidence; estimate until intake replaces it.</t>
  </si>
  <si>
    <t xml:space="preserve">Near-miss: over 500 (Wikipedia infobox: 15,097 employees, 2024). Wikipedia: the Consolidated Edison Building (Irving Place to Third Ave, 14th to 15th St) serves as Con Ed's headquarters. Margin (east of Park Ave S). Large corporate HQ, not a pantry-model office. Review round 2: corner lot: the lot-centroid pin sat 41 m from E 15 ST but 60 m from IRVING PL, so it was moved to the IRVING PL frontage near the corner (14 m from the IRVING PL centreline, 41 m from E 15 ST; 46 m from the old pin). Tax lot unchanged.</t>
  </si>
  <si>
    <t xml:space="preserve">AO-C-229</t>
  </si>
  <si>
    <t xml:space="preserve">DoorDash</t>
  </si>
  <si>
    <t xml:space="preserve">Gated out: Tuesday estimate over 250 (722 to 14444).</t>
  </si>
  <si>
    <t xml:space="preserve">Tuesday estimate over 250 (722 to 14444)</t>
  </si>
  <si>
    <t xml:space="preserve">B-C-229</t>
  </si>
  <si>
    <t xml:space="preserve">https://www.doordash.com/</t>
  </si>
  <si>
    <t xml:space="preserve">Delivery technology</t>
  </si>
  <si>
    <t xml:space="preserve">31400</t>
  </si>
  <si>
    <t xml:space="preserve">https://en.wikipedia.org/wiki/DoorDash</t>
  </si>
  <si>
    <t xml:space="preserve">31400 (Wikipedia) staff (whole-company count) x 5% to 100% of them in the New York office (HQ city unknown; share assumed) x 46% (Partnership for NYC, firms over 5,000) in on a weekday = 722 to 14444, central 3229; low confidence; estimate until intake replaces it.</t>
  </si>
  <si>
    <t xml:space="preserve">115,000 sf</t>
  </si>
  <si>
    <t xml:space="preserve">TRD Apr 2025 lists DoorDash as a tenant at 200 Fifth Ave (FNP Feb 2024 roundup, citing TRD: doubled to 115,000 sf). Wikipedia infobox: 31,400 employees (2025). Near-miss (over-500). Review round 2: corner lot: the lot-centroid pin sat 36 m from W 24 ST but 53 m from 5 AVE, so it was moved to the 5 AVE frontage near the corner (15 m from the 5 AVE centreline, 37 m from W 24 ST; 38 m from the old pin). Tax lot unchanged.</t>
  </si>
  <si>
    <t xml:space="preserve">AO-C-235</t>
  </si>
  <si>
    <t xml:space="preserve">Flutter Entertainment</t>
  </si>
  <si>
    <t xml:space="preserve">Gated out: Tuesday estimate over 250 (629 to 12579).</t>
  </si>
  <si>
    <t xml:space="preserve">Tuesday estimate over 250 (629 to 12579)</t>
  </si>
  <si>
    <t xml:space="preserve">B-C-235</t>
  </si>
  <si>
    <t xml:space="preserve">https://www.flutter.com/</t>
  </si>
  <si>
    <t xml:space="preserve">Sports betting / gaming (FanDuel parent)</t>
  </si>
  <si>
    <t xml:space="preserve">27345</t>
  </si>
  <si>
    <t xml:space="preserve">https://en.wikipedia.org/wiki/Flutter_Entertainment</t>
  </si>
  <si>
    <t xml:space="preserve">27345 (Wikipedia) staff (whole-company count) x 5% to 100% of them in the New York office (HQ city unknown; share assumed) x 46% (Partnership for NYC, firms over 5,000) in on a weekday = 629 to 12579, central 2813; low confidence; estimate until intake replaces it.</t>
  </si>
  <si>
    <t xml:space="preserve">SL Green Jul 2025 release names Flutter Entertainment on the One Madison roster. Wikipedia: 27,345 employees (2024).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</si>
  <si>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AO-C-231</t>
  </si>
  <si>
    <t xml:space="preserve">Grey Group</t>
  </si>
  <si>
    <t xml:space="preserve">Gated out: Tuesday estimate over 250 (894 to 1788).</t>
  </si>
  <si>
    <t xml:space="preserve">Tuesday estimate over 250 (894 to 1788)</t>
  </si>
  <si>
    <t xml:space="preserve">B-C-231</t>
  </si>
  <si>
    <t xml:space="preserve">https://www.grey.com/</t>
  </si>
  <si>
    <t xml:space="preserve">Advertising agency</t>
  </si>
  <si>
    <t xml:space="preserve">3137</t>
  </si>
  <si>
    <t xml:space="preserve">https://www.builtinnyc.com/company/grey-group/offices</t>
  </si>
  <si>
    <t xml:space="preserve">3137 (Built In) staff (whole-company count) x 50% to 100% of them in the New York office (HQ New York; share assumed) x 57% (Partnership for NYC, all Manhattan firms; no figure for 500 to 4,999) in on a weekday = 894 to 1788, central 1264; low confidence; estimate until intake replaces it.</t>
  </si>
  <si>
    <t xml:space="preserve">TRD Apr 2025 lists 'Grey Advertising' as a tenant at 200 Fifth. Built In (grey-group profile): HQ New York (no street), 3,137 total employees. Near-miss (over-500). Review round 2: corner lot: the lot-centroid pin sat 36 m from W 24 ST but 53 m from 5 AVE, so it was moved to the 5 AVE frontage near the corner (15 m from the 5 AVE centreline, 37 m from W 24 ST; 38 m from the old pin). Tax lot unchanged.</t>
  </si>
  <si>
    <t xml:space="preserve">AO-C-159</t>
  </si>
  <si>
    <t xml:space="preserve">Hanover Park</t>
  </si>
  <si>
    <t xml:space="preserve">Gated out: Tuesday estimate under 30 (14 to 28).</t>
  </si>
  <si>
    <t xml:space="preserve">New or renewed lease at 387 Park Avenue South reported 2026-08-12</t>
  </si>
  <si>
    <t xml:space="preserve">Tuesday estimate under 30 (14 to 28)</t>
  </si>
  <si>
    <t xml:space="preserve">B-C-159</t>
  </si>
  <si>
    <t xml:space="preserve">https://www.hanoverpark.com</t>
  </si>
  <si>
    <t xml:space="preserve">fintech (AI fund administration)</t>
  </si>
  <si>
    <t xml:space="preserve">42</t>
  </si>
  <si>
    <t xml:space="preserve">https://www.builtinnyc.com/company/hanover-park/offices</t>
  </si>
  <si>
    <t xml:space="preserve">under-30</t>
  </si>
  <si>
    <t xml:space="preserve">42 (Built In) staff (whole-company count) x 50% to 100% of them in the New York office (HQ New York; share assumed) x 67% (Partnership for NYC, firms under 500) in on a weekday = 14 to 28, central 20; low confidence; estimate until intake replaces it.</t>
  </si>
  <si>
    <t xml:space="preserve">19,269 sf</t>
  </si>
  <si>
    <t xml:space="preserve">Full 10th floor, 19,269 SF, moving HQ from 115 E 23rd St. Built In (42 employees) still lists 115 E 23rd St, so the move may not be complete. Both press items repeat the same landlord announcement, so not treated as independent. Review round 2: corner lot: the lot-centroid pin sat 24 m from E 27 ST but 34 m from PARK AVE S, so it was moved to the PARK AVE S frontage near the corner (13 m from the PARK AVE S centreline, 26 m from E 27 ST; 21 m from the old pin). Tax lot unchanged.</t>
  </si>
  <si>
    <t xml:space="preserve">AO-C-227</t>
  </si>
  <si>
    <t xml:space="preserve">Huge</t>
  </si>
  <si>
    <t xml:space="preserve">Gated out: Tuesday estimate over 250 (408 to 815).</t>
  </si>
  <si>
    <t xml:space="preserve">Tuesday estimate over 250 (408 to 815)</t>
  </si>
  <si>
    <t xml:space="preserve">B-C-227</t>
  </si>
  <si>
    <t xml:space="preserve">https://www.hugeinc.com/</t>
  </si>
  <si>
    <t xml:space="preserve">Design and technology agency</t>
  </si>
  <si>
    <t xml:space="preserve">1430</t>
  </si>
  <si>
    <t xml:space="preserve">https://www.builtinnyc.com/company/huge/offices</t>
  </si>
  <si>
    <t xml:space="preserve">https://flatironnomad.nyc/2025/11/05/october-news-roundup-6/</t>
  </si>
  <si>
    <t xml:space="preserve">1430 (Built In) staff (whole-company count) x 50% to 100% of them in the New York office (HQ New York; share assumed) x 57% (Partnership for NYC, all Manhattan firms; no figure for 500 to 4,999) in on a weekday = 408 to 815, central 577; low confidence; estimate until intake replaces it.</t>
  </si>
  <si>
    <t xml:space="preserve">16,909 sf</t>
  </si>
  <si>
    <t xml:space="preserve">CO Oct 2025: 10-yr lease, entire 8th floor (16,909 sf), consolidating Huge (from 77 Sands St, Dumbo) and Hero Digital (from 500 Park Ave). Move-in date not stated. Built In still shows Dumbo HQ and 1,430 total employees. Near-miss (over-500).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</si>
  <si>
    <t xml:space="preserve">AO-C-209</t>
  </si>
  <si>
    <t xml:space="preserve">Infor</t>
  </si>
  <si>
    <t xml:space="preserve">Gated out: Tuesday estimate over 250 (4232 to 8465).</t>
  </si>
  <si>
    <t xml:space="preserve">Tuesday estimate over 250 (4232 to 8465)</t>
  </si>
  <si>
    <t xml:space="preserve">B-C-209</t>
  </si>
  <si>
    <t xml:space="preserve">https://www.infor.com</t>
  </si>
  <si>
    <t xml:space="preserve">enterprise software</t>
  </si>
  <si>
    <t xml:space="preserve">18402</t>
  </si>
  <si>
    <t xml:space="preserve">https://www.builtinnyc.com/company/infor</t>
  </si>
  <si>
    <t xml:space="preserve">https://commercialobserver.com/2021/05/software-company-infor-reups-90k-sf-at-635-641-avenue-of-the-americas/</t>
  </si>
  <si>
    <t xml:space="preserve">2021-05-06</t>
  </si>
  <si>
    <t xml:space="preserve">18402 (Built In) staff (whole-company count) x 50% to 100% of them in the New York office (HQ New York; share assumed) x 46% (Partnership for NYC, firms over 5,000) in on a weekday = 4232 to 8465, central 5985; low confidence; estimate until intake replaces it.</t>
  </si>
  <si>
    <t xml:space="preserve">90,000 sf</t>
  </si>
  <si>
    <t xml:space="preserve">CO Sept 2026 lists cloud software company Infor as a tenant; it renewed about 90,000 sf at 635-641 Avenue of the Americas in 2021 (HQ). Built In shows 18,402 total employees. Over 500. Review round 2: corner lot: the lot-centroid pin sat 28 m from W 20 ST but 42 m from AVE OF THE AMERICAS, so it was moved to the AVE OF THE AMERICAS frontage near the corner (18 m from the AVE OF THE AMERICAS centreline, 28 m from W 20 ST; 24 m from the old pin). Tax lot unchanged.</t>
  </si>
  <si>
    <t xml:space="preserve">AO-C-078</t>
  </si>
  <si>
    <t xml:space="preserve">Instant</t>
  </si>
  <si>
    <t xml:space="preserve">Gated out: Tuesday estimate under 30 (1 to 27).</t>
  </si>
  <si>
    <t xml:space="preserve">Tuesday estimate under 30 (1 to 27)</t>
  </si>
  <si>
    <t xml:space="preserve">B-C-078</t>
  </si>
  <si>
    <t xml:space="preserve">https://instant.one</t>
  </si>
  <si>
    <t xml:space="preserve">software (e-commerce checkout and marketing)</t>
  </si>
  <si>
    <t xml:space="preserve">https://www.builtinnyc.com/company/instant</t>
  </si>
  <si>
    <t xml:space="preserve">Sydney</t>
  </si>
  <si>
    <t xml:space="preserve">40 (Built In) staff (whole-company count) x 5% to 100% of them in the New York office (HQ outside New York; share assumed) x 67% (Partnership for NYC, firms under 500) in on a weekday = 1 to 27, central 5; low confidence; estimate until intake replaces it.</t>
  </si>
  <si>
    <t xml:space="preserve">First NYC office, three-year furnished lease of 5,000 sf at 53-55 W 21st St (Moinian), move-in June 2025. Sydney-based. Built In shows 40 total employees (whole company), so the NYC team is at most 40 by arithmetic; its own count is not sourced.</t>
  </si>
  <si>
    <t xml:space="preserve">AO-C-242</t>
  </si>
  <si>
    <t xml:space="preserve">Legora</t>
  </si>
  <si>
    <t xml:space="preserve">Gated out: Tuesday estimate over 250 (314 to 627).</t>
  </si>
  <si>
    <t xml:space="preserve">New or renewed lease at 11 Madison Avenue reported 2026-07-23</t>
  </si>
  <si>
    <t xml:space="preserve">Tuesday estimate over 250 (314 to 627)</t>
  </si>
  <si>
    <t xml:space="preserve">B-C-242</t>
  </si>
  <si>
    <t xml:space="preserve">https://legora.com/</t>
  </si>
  <si>
    <t xml:space="preserve">1100</t>
  </si>
  <si>
    <t xml:space="preserve">https://www.builtinnyc.com/company/legora/offices</t>
  </si>
  <si>
    <t xml:space="preserve">https://flatironnomad.nyc/2026/08/05/july-news-roundup-6/</t>
  </si>
  <si>
    <t xml:space="preserve">2026-08-05</t>
  </si>
  <si>
    <t xml:space="preserve">1100 (Built In) staff (whole-company count) x 50% to 100% of them in the New York office (HQ New York; share assumed) x 57% (Partnership for NYC, all Manhattan firms; no figure for 500 to 4,999) in on a weekday = 314 to 627, central 444; low confidence; estimate until intake replaces it.</t>
  </si>
  <si>
    <t xml:space="preserve">98,420 sf</t>
  </si>
  <si>
    <t xml:space="preserve">CO Jul 2026: 98,420 sf, entire 11th floor, 10-yr lease (SL Green's release calls it an unnamed 'leading AI tenant'). Built In lists NY HQ at 838 Broadway (current office until the move) and 1,100 total employees. Move-in date unknown.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</si>
  <si>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AO-C-211</t>
  </si>
  <si>
    <t xml:space="preserve">Mastercard</t>
  </si>
  <si>
    <t xml:space="preserve">Gated out: Tuesday estimate over 250 (892 to 17848).</t>
  </si>
  <si>
    <t xml:space="preserve">https://commercialobserver.com/2025/09/bam-labs-150-fifth-avenue-first-u-s-location/</t>
  </si>
  <si>
    <t xml:space="preserve">150 Fifth Avenue</t>
  </si>
  <si>
    <t xml:space="preserve">Tuesday estimate over 250 (892 to 17848)</t>
  </si>
  <si>
    <t xml:space="preserve">B-C-211</t>
  </si>
  <si>
    <t xml:space="preserve">https://www.mastercard.com</t>
  </si>
  <si>
    <t xml:space="preserve">payments (tech hub)</t>
  </si>
  <si>
    <t xml:space="preserve">38800</t>
  </si>
  <si>
    <t xml:space="preserve">https://www.builtinnyc.com/company/mastercard</t>
  </si>
  <si>
    <t xml:space="preserve">Purchase</t>
  </si>
  <si>
    <t xml:space="preserve">https://commercialobserver.com/2021/10/150-fifth-avenue-debuts-as-mastercards-new-tech-hq/</t>
  </si>
  <si>
    <t xml:space="preserve">2021-10-20</t>
  </si>
  <si>
    <t xml:space="preserve">38800 (Built In) staff (whole-company count) x 5% to 100% of them in the New York office (HQ outside New York; share assumed) x 46% (Partnership for NYC, firms over 5,000) in on a weekday = 892 to 17848, central 3990; low confidence; estimate until intake replaces it.</t>
  </si>
  <si>
    <t xml:space="preserve">212,000 sf</t>
  </si>
  <si>
    <t xml:space="preserve">Leased all 212,000 sf of office space at 150 Fifth (2017) and moved in 2021 as its NYC tech hub; CO Sept 2025 says the building is 100% leased. Built In shows 38,800 total employees. Over 500. Review round 2: corner lot: the lot-centroid pin sat 16 m from W 20 ST but 30 m from 5 AVE, so it was moved to the 5 AVE frontage near the corner (17 m from the 5 AVE centreline, 26 m from W 20 ST; 16 m from the old pin). Tax lot unchanged.</t>
  </si>
  <si>
    <t xml:space="preserve">AO-C-194</t>
  </si>
  <si>
    <t xml:space="preserve">Microsoft (AdTech hub)</t>
  </si>
  <si>
    <t xml:space="preserve">Gated out: Tuesday estimate over 250 (5129 to 102580).</t>
  </si>
  <si>
    <t xml:space="preserve">6-10</t>
  </si>
  <si>
    <t xml:space="preserve">Tuesday estimate over 250 (5129 to 102580)</t>
  </si>
  <si>
    <t xml:space="preserve">B-C-194</t>
  </si>
  <si>
    <t xml:space="preserve">https://www.microsoft.com</t>
  </si>
  <si>
    <t xml:space="preserve">software (advertising technology unit)</t>
  </si>
  <si>
    <t xml:space="preserve">223000</t>
  </si>
  <si>
    <t xml:space="preserve">https://www.builtinnyc.com/company/microsoft</t>
  </si>
  <si>
    <t xml:space="preserve">Redmond</t>
  </si>
  <si>
    <t xml:space="preserve">223000 (Built In) staff (whole-company count) x 5% to 100% of them in the New York office (HQ outside New York; share assumed) x 46% (Partnership for NYC, firms over 5,000) in on a weekday = 5129 to 102580, central 22938; low confidence; estimate until intake replaces it.</t>
  </si>
  <si>
    <t xml:space="preserve">150,000 sf</t>
  </si>
  <si>
    <t xml:space="preserve">Near-miss: over 500 and about 150,000 sf, far above the pantry model. Floors 6-10 from search-result snippets (CommercialCafe/Propmodo), not opened; floor unverified, founder to confirm. | Assembly 2026-10-24: Confidence lowered at assembly from high to medium: second source is the same publisher or missing.</t>
  </si>
  <si>
    <t xml:space="preserve">AO-C-250</t>
  </si>
  <si>
    <t xml:space="preserve">Mphasis</t>
  </si>
  <si>
    <t xml:space="preserve">Gated out: Tuesday estimate over 250 (862 to 17250).</t>
  </si>
  <si>
    <t xml:space="preserve">New or renewed lease at 41 Madison Avenue reported 2026-10-22</t>
  </si>
  <si>
    <t xml:space="preserve">https://commercialobserver.com/2026/10/mphasis-lease-expansion-rudin-41-madison-avenue/</t>
  </si>
  <si>
    <t xml:space="preserve">2026-10-22</t>
  </si>
  <si>
    <t xml:space="preserve">35-36</t>
  </si>
  <si>
    <t xml:space="preserve">Tuesday estimate over 250 (862 to 17250)</t>
  </si>
  <si>
    <t xml:space="preserve">B-C-250</t>
  </si>
  <si>
    <t xml:space="preserve">https://www.mphasis.com</t>
  </si>
  <si>
    <t xml:space="preserve">IT services</t>
  </si>
  <si>
    <t xml:space="preserve">37500</t>
  </si>
  <si>
    <t xml:space="preserve">https://www.builtinnyc.com/company/mphasis/offices</t>
  </si>
  <si>
    <t xml:space="preserve">37500 (Built In) staff (whole-company count) x 5% to 100% of them in the New York office (HQ city unknown; share assumed) x 46% (Partnership for NYC, firms over 5,000) in on a weekday = 862 to 17250, central 3856; low confidence; estimate until intake replaces it.</t>
  </si>
  <si>
    <t xml:space="preserve">27,709 sf</t>
  </si>
  <si>
    <t xml:space="preserve">Expanding to 27,709 SF (adds full 36th floor, keeps 35th) with a 10-year extension. Built In: 37,500 employees (HQ Bengaluru). Over 500: near-miss. Review round 2: corner lot: the lot-centroid pin sat 30 m from E 26 ST but 44 m from MADISON AVE, so it was moved to the MADISON AVE frontage near the corner (16 m from the MADISON AVE centreline, 30 m from E 26 ST; 29 m from the old pin). Tax lot unchanged.</t>
  </si>
  <si>
    <t xml:space="preserve">AO-C-097</t>
  </si>
  <si>
    <t xml:space="preserve">Normal Computing</t>
  </si>
  <si>
    <t xml:space="preserve">Gated out: Tuesday estimate under 30 (20 to 20).</t>
  </si>
  <si>
    <t xml:space="preserve">Tuesday estimate under 30 (20 to 20)</t>
  </si>
  <si>
    <t xml:space="preserve">B-C-097</t>
  </si>
  <si>
    <t xml:space="preserve">https://normalcomputing.com/</t>
  </si>
  <si>
    <t xml:space="preserve">AI hardware / computing</t>
  </si>
  <si>
    <t xml:space="preserve">30</t>
  </si>
  <si>
    <t xml:space="preserve">scope-differs</t>
  </si>
  <si>
    <t xml:space="preserve">https://www.reveliolabs.com/companies/normal-computing/employees</t>
  </si>
  <si>
    <t xml:space="preserve">https://flatironnomad.nyc/2026/10/07/september-news-roundup-7/</t>
  </si>
  <si>
    <t xml:space="preserve">2026-11</t>
  </si>
  <si>
    <t xml:space="preserve">30 in the New York office (Commercial Observer) staff (New York office count) x the count is for the New York office x 67% (Partnership for NYC, firms under 500) in on a weekday = 20 to 20, central 20; medium confidence; estimate until intake replaces it.</t>
  </si>
  <si>
    <t xml:space="preserve">CO Sep 2026: 8,367 sf HQ relocation from 27 West 20th Street, moving in November 2026; a spokesperson said about 30 employees will work from the new HQ, with room to double NYC headcount over the next year. So the NYC office is in the 30-39 founder's-call zone today. Built In: 51 total employees (whole company), HQ New York. FNP Sept 2026 roundup repeats the CO report. | Assembly 2026-10-24: Review round 1: band changed from 40-75 (Built In's whole-company 51) to under-40, scope nyc-office, because the address source itself counts the NYC office: about 30 employees at the new HQ (CO 2026-09-21). The brief's hard floor is 30 and 30 to 39 is the founder's call, so the row stays a candidate for the founder to decide. Review round 2: second count Revelio Labs (Normal Computing Corp., HQ Chicago): about 71 employees worldwide as of March 2026 is whole-company; the band rests on the NYC-office count (30), so the two are not compared.</t>
  </si>
  <si>
    <t xml:space="preserve">AO-C-238</t>
  </si>
  <si>
    <t xml:space="preserve">Palo Alto Networks</t>
  </si>
  <si>
    <t xml:space="preserve">Gated out: Tuesday estimate over 250 (370 to 7391).</t>
  </si>
  <si>
    <t xml:space="preserve">Tuesday estimate over 250 (370 to 7391)</t>
  </si>
  <si>
    <t xml:space="preserve">B-C-238</t>
  </si>
  <si>
    <t xml:space="preserve">https://www.paloaltonetworks.com/</t>
  </si>
  <si>
    <t xml:space="preserve">Cybersecurity</t>
  </si>
  <si>
    <t xml:space="preserve">16068</t>
  </si>
  <si>
    <t xml:space="preserve">https://en.wikipedia.org/wiki/Palo_Alto_Networks</t>
  </si>
  <si>
    <t xml:space="preserve">16068 (Wikipedia) staff (whole-company count) x 5% to 100% of them in the New York office (HQ city unknown; share assumed) x 46% (Partnership for NYC, firms over 5,000) in on a weekday = 370 to 7391, central 1654; low confidence; estimate until intake replaces it.</t>
  </si>
  <si>
    <t xml:space="preserve">SL Green Jul 2025 release names Palo Alto Networks on the One Madison roster. Wikipedia: 16,068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</si>
  <si>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AO-C-204</t>
  </si>
  <si>
    <t xml:space="preserve">Perkins Eastman</t>
  </si>
  <si>
    <t xml:space="preserve">Gated out: Tuesday estimate over 250 (374 to 749).</t>
  </si>
  <si>
    <t xml:space="preserve">https://www.perkinseastman.com/studios/new-york/</t>
  </si>
  <si>
    <t xml:space="preserve">Tuesday estimate over 250 (374 to 749)</t>
  </si>
  <si>
    <t xml:space="preserve">B-C-204</t>
  </si>
  <si>
    <t xml:space="preserve">https://www.perkinseastman.com</t>
  </si>
  <si>
    <t xml:space="preserve">1314</t>
  </si>
  <si>
    <t xml:space="preserve">https://www.builtinnyc.com/company/perkins-eastman</t>
  </si>
  <si>
    <t xml:space="preserve">1314 (Built In) staff (whole-company count) x 50% to 100% of them in the New York office (HQ New York; share assumed) x 57% (Partnership for NYC, all Manhattan firms; no figure for 500 to 4,999) in on a weekday = 374 to 749, central 529; low confidence; estimate until intake replaces it.</t>
  </si>
  <si>
    <t xml:space="preserve">New York studio page lists 115 Fifth Avenue (HQ per Built In, which gives no street). Built In shows 1,314 total employees. Over 500 company-wide; NYC studio size not sourced. Pin moved to frontage at review round 1: the lot-centroid pin failed the block-face test (85 m from 5 AVE but 57 m from BROADWAY); pin moved to frontage: the lot's position along 5 AVE kept, set 25 m from the centreline on the side CSCL gives house number 115 (60 m from the old pin). Tax lot unchanged. New pin: 25 m from 5 AVE, 114 m from BROADWAY. Review round 2: corner lot: the lot-centroid pin sat 22 m from E 19 ST but 25 m from 5 AVE, so it was moved to the 5 AVE frontage near the corner (17 m from the 5 AVE centreline, 27 m from E 19 ST; 9 m from the old pin). Tax lot unchanged.</t>
  </si>
  <si>
    <t xml:space="preserve">AO-C-270</t>
  </si>
  <si>
    <t xml:space="preserve">The Knot Worldwide</t>
  </si>
  <si>
    <t xml:space="preserve">Gated out: Tuesday estimate over 250 (551 to 1102).</t>
  </si>
  <si>
    <t xml:space="preserve">New or renewed lease at 295 Fifth Avenue reported 2025-11-07</t>
  </si>
  <si>
    <t xml:space="preserve">https://commercialobserver.com/2025/11/the-knot-settle-down-295-fifth-avenue/</t>
  </si>
  <si>
    <t xml:space="preserve">2025-11-07</t>
  </si>
  <si>
    <t xml:space="preserve">Tuesday estimate over 250 (551 to 1102)</t>
  </si>
  <si>
    <t xml:space="preserve">B-C-270</t>
  </si>
  <si>
    <t xml:space="preserve">consumer internet (wedding and event planning)</t>
  </si>
  <si>
    <t xml:space="preserve">1933</t>
  </si>
  <si>
    <t xml:space="preserve">https://www.builtinnyc.com/company/the-knot-worldwide/offices</t>
  </si>
  <si>
    <t xml:space="preserve">1933 (Built In) staff (whole-company count) x 50% to 100% of them in the New York office (HQ New York; share assumed) x 57% (Partnership for NYC, all Manhattan firms; no figure for 500 to 4,999) in on a weekday = 551 to 1102, central 779; low confidence; estimate until intake replaces it.</t>
  </si>
  <si>
    <t xml:space="preserve">24,000 sf;31,000 sf</t>
  </si>
  <si>
    <t xml:space="preserve">10-year lease: one year in a 24,000 SF starter office, then a permanent 31,000 SF space; relocating from a temporary office at 220 Fifth Ave. CO says The Knot has 100 employees in New York (NYC band 76-150). Built In: 1,933 total employees, so over 500 company-wide: near-miss. Margin row (30th-31st St). Review round 2: corner lot: the lot-centroid pin sat 36 m from E 31 ST but 45 m from 5 AVE, so it was moved to the 5 AVE frontage near the corner (17 m from the 5 AVE centreline, 36 m from E 31 ST; 29 m from the old pin). Tax lot unchanged.</t>
  </si>
  <si>
    <t xml:space="preserve">AO-C-192</t>
  </si>
  <si>
    <t xml:space="preserve">WW International (WeightWatchers)</t>
  </si>
  <si>
    <t xml:space="preserve">https://www.sec.gov/Archives/edgar/data/105319/000119312526335166/ww-20260630.htm</t>
  </si>
  <si>
    <t xml:space="preserve">B-C-192</t>
  </si>
  <si>
    <t xml:space="preserve">https://www.weightwatchers.com</t>
  </si>
  <si>
    <t xml:space="preserve">consumer health and wellness</t>
  </si>
  <si>
    <t xml:space="preserve">https://www.builtinnyc.com/company/weightwatchers</t>
  </si>
  <si>
    <t xml:space="preserve">10-Q for the quarter ended 2026-06-30 lists principal executive offices at 18 West 18th Street, 7th Floor. Built In lists HQ at 675 Avenue of the Americas (also in this slice), which conflicts. Built In shows 1,100 total employees. Over 500. | Assembly 2026-10-24: Conflict resolved at assembly: the 10-Q for the quarter to 2026-06-30 gives 18 W 18th St, 7th floor; it is newer than the Built In entry (675 Sixth Ave), so 18 W 18th is used. WeWork 18 West 18th Street occupies five unnamed floors of this 12-storey building (wework.com building page, opened 2026-10-24), so whether the 7th floor is a WeWork suite is unknown (coworking_check = floor-unknown). Over 500: near-miss. SEC EDGAR source (sec.gov): this agent will not re-open it, because EDGAR serves only requests that carry a contact email and the project rule forbids sending one; the founder may open it in a browser. Pin moved to frontage at review round 1: the lot-centroid pin failed the block-face test (38 m from W 18 ST but 37 m from W 17 ST); pin moved to frontage: the lot's position along W 18 ST kept, set 21 m from the centreline on the side CSCL gives house number 18 (16 m from the old pin). Tax lot unchanged. New pin: 21 m from W 18 ST, 54 m from W 17 ST.</t>
  </si>
  <si>
    <t xml:space="preserve">AO-C-060</t>
  </si>
  <si>
    <t xml:space="preserve">Warp</t>
  </si>
  <si>
    <t xml:space="preserve">New or renewed lease at 156 Fifth Avenue reported 2026-08-06</t>
  </si>
  <si>
    <t xml:space="preserve">https://commercialobserver.com/2026/08/warp-triple-lease-expansion-hrc-156-fifth-avenue/</t>
  </si>
  <si>
    <t xml:space="preserve">B-C-060</t>
  </si>
  <si>
    <t xml:space="preserve">https://www.warp.co</t>
  </si>
  <si>
    <t xml:space="preserve">software (AI payroll and HR)</t>
  </si>
  <si>
    <t xml:space="preserve">https://www.builtinnyc.com/company/warp</t>
  </si>
  <si>
    <t xml:space="preserve">8,000 sf;24,500 sf</t>
  </si>
  <si>
    <t xml:space="preserve">Took 8,000 sf on floor 8 in fall 2025, expanded to all of floor 7 (24,500 sf total) and occupied July 2026. Built In shows 42 total employees and HQ New York (no street). CO says headcount is growing fast after a $60M round. Review round 2: corner lot: the lot-centroid pin sat 16 m from W 20 ST but 53 m from 5 AVE, so it was moved to the 5 AVE frontage near the corner (17 m from the 5 AVE centreline, 26 m from W 20 ST; 37 m from the old pin). Tax lot unchanged.</t>
  </si>
  <si>
    <t xml:space="preserve">AO-C-210</t>
  </si>
  <si>
    <t xml:space="preserve">dsm-firmenich</t>
  </si>
  <si>
    <t xml:space="preserve">Gated out: Tuesday estimate over 250 (690 to 13800).</t>
  </si>
  <si>
    <t xml:space="preserve">Tuesday estimate over 250 (690 to 13800)</t>
  </si>
  <si>
    <t xml:space="preserve">B-C-210</t>
  </si>
  <si>
    <t xml:space="preserve">https://www.dsm-firmenich.com</t>
  </si>
  <si>
    <t xml:space="preserve">fragrance and nutrition ingredients</t>
  </si>
  <si>
    <t xml:space="preserve">30000</t>
  </si>
  <si>
    <t xml:space="preserve">https://en.wikipedia.org/wiki/DSM-Firmenich</t>
  </si>
  <si>
    <t xml:space="preserve">https://commercialobserver.com/2024/10/dsm-firmenich-lease-641-avenue-of-the-americas/</t>
  </si>
  <si>
    <t xml:space="preserve">2024-10-17</t>
  </si>
  <si>
    <t xml:space="preserve">30000 (Wikipedia) staff (whole-company count) x 5% to 100% of them in the New York office (HQ city unknown; share assumed) x 46% (Partnership for NYC, firms over 5,000) in on a weekday = 690 to 13800, central 3086; low confidence; estimate until intake replaces it.</t>
  </si>
  <si>
    <t xml:space="preserve">45,000 sf</t>
  </si>
  <si>
    <t xml:space="preserve">CO Sept 2026 lists fragrance company DSM-Firmenich as a tenant (45,000 sf lease reported Oct 2024). Wikipedia infobox: about 30,000 employees (year not stated). Over 500. Review round 2: corner lot: the lot-centroid pin sat 28 m from W 20 ST but 42 m from AVE OF THE AMERICAS, so it was moved to the AVE OF THE AMERICAS frontage near the corner (18 m from the AVE OF THE AMERICAS centreline, 28 m from W 20 ST; 24 m from the old pin). Tax lot unchanged.</t>
  </si>
  <si>
    <t xml:space="preserve">AO-C-195</t>
  </si>
  <si>
    <t xml:space="preserve">eBay</t>
  </si>
  <si>
    <t xml:space="preserve">Gated out: Tuesday estimate over 250 (599 to 11976).</t>
  </si>
  <si>
    <t xml:space="preserve">New or renewed lease at 122 Fifth Avenue reported 2026-06-02</t>
  </si>
  <si>
    <t xml:space="preserve">Tuesday estimate over 250 (599 to 11976)</t>
  </si>
  <si>
    <t xml:space="preserve">B-C-195</t>
  </si>
  <si>
    <t xml:space="preserve">https://www.ebay.com</t>
  </si>
  <si>
    <t xml:space="preserve">e-commerce</t>
  </si>
  <si>
    <t xml:space="preserve">26035</t>
  </si>
  <si>
    <t xml:space="preserve">https://www.builtinnyc.com/company/ebay</t>
  </si>
  <si>
    <t xml:space="preserve">San Jose</t>
  </si>
  <si>
    <t xml:space="preserve">26035 (Built In) staff (whole-company count) x 5% to 100% of them in the New York office (HQ outside New York; share assumed) x 46% (Partnership for NYC, firms over 5,000) in on a weekday = 599 to 11976, central 2678; low confidence; estimate until intake replaces it.</t>
  </si>
  <si>
    <t xml:space="preserve">27,902 sf</t>
  </si>
  <si>
    <t xml:space="preserve">Near-miss: over 500 (Built In: 26,035 total employees). CO 2026-06-02: eight-year 27,902 sf lease on the entire 2nd floor, relocating from 625 Avenue of the Americas; move-in timing not stated.</t>
  </si>
  <si>
    <t xml:space="preserve">AO-C-199</t>
  </si>
  <si>
    <t xml:space="preserve">monday.com</t>
  </si>
  <si>
    <t xml:space="preserve">Gated out: Tuesday estimate over 250 (899 to 1798).</t>
  </si>
  <si>
    <t xml:space="preserve">New or renewed lease at 225 Park Avenue South reported 2025-12</t>
  </si>
  <si>
    <t xml:space="preserve">https://commercialobserver.com/2025/12/expanding-monday-work-platform-takes-more-space-gramercy-park/</t>
  </si>
  <si>
    <t xml:space="preserve">2025-12</t>
  </si>
  <si>
    <t xml:space="preserve">225 Park Avenue South</t>
  </si>
  <si>
    <t xml:space="preserve">Tuesday estimate over 250 (899 to 1798)</t>
  </si>
  <si>
    <t xml:space="preserve">B-C-199</t>
  </si>
  <si>
    <t xml:space="preserve">https://monday.com</t>
  </si>
  <si>
    <t xml:space="preserve">work management software</t>
  </si>
  <si>
    <t xml:space="preserve">3155</t>
  </si>
  <si>
    <t xml:space="preserve">https://www.builtinnyc.com/company/mondaycom</t>
  </si>
  <si>
    <t xml:space="preserve">3155 (Built In) staff (whole-company count) x 50% to 100% of them in the New York office (HQ New York; share assumed) x 57% (Partnership for NYC, all Manhattan firms; no figure for 500 to 4,999) in on a weekday = 899 to 1798, central 1271; low confidence; estimate until intake replaces it.</t>
  </si>
  <si>
    <t xml:space="preserve">138,611 sf</t>
  </si>
  <si>
    <t xml:space="preserve">Near-miss: over 500 (Built In: 3,155 total employees) and margin (225 PAS is between E 18th and E 19th). CO 2025-12: expanded to 138,611 sf at 225 Park Avenue South. Review round 2: corner lot: the lot-centroid pin sat 25 m from E 18 ST but 43 m from PARK AVE S, so it was moved to the PARK AVE S frontage near the corner (14 m from the PARK AVE S centreline, 26 m from E 18 ST; 30 m from the old pin). Tax lot unchanged.</t>
  </si>
  <si>
    <t xml:space="preserve">AO-C-183</t>
  </si>
  <si>
    <t xml:space="preserve">Capgemini America</t>
  </si>
  <si>
    <t xml:space="preserve">Gated out: Tuesday estimate over 250 (7820 to 156400).</t>
  </si>
  <si>
    <t xml:space="preserve">Tuesday estimate over 250 (7820 to 156400)</t>
  </si>
  <si>
    <t xml:space="preserve">B-C-183</t>
  </si>
  <si>
    <t xml:space="preserve">https://www.capgemini.com/us-en/</t>
  </si>
  <si>
    <t xml:space="preserve">IT consulting</t>
  </si>
  <si>
    <t xml:space="preserve">340000</t>
  </si>
  <si>
    <t xml:space="preserve">https://www.builtinnyc.com/company/capgemini</t>
  </si>
  <si>
    <t xml:space="preserve">340000 (Built In) staff (whole-company count) x 5% to 100% of them in the New York office (HQ city unknown; share assumed) x 46% (Partnership for NYC, firms over 5,000) in on a weekday = 7820 to 156400, central 34972; low confidence; estimate until intake replaces it.</t>
  </si>
  <si>
    <t xml:space="preserve">Near-miss: over 500 (Built In: 340,000 total employees). CO 2026-08-26 says 79 Fifth Ave is home to Capgemini America; floor and size not stated. Conflict: CO 2025-12 reports Capgemini signed a 10-year 43,000 sf lease at Penn 2 (tagged 79 Fifth Avenue), so it may be leaving 79 Fifth. Founder to confirm. Review round 2: corner lot: the lot-centroid pin sat 25 m from E 16 ST but 39 m from 5 AVE, so it was moved to the 5 AVE frontage near the corner (17 m from the 5 AVE centreline, 27 m from E 16 ST; 23 m from the old pin). Tax lot unchanged.</t>
  </si>
  <si>
    <t xml:space="preserve">AO-C-257</t>
  </si>
  <si>
    <t xml:space="preserve">Kohler Co. (NYC office)</t>
  </si>
  <si>
    <t xml:space="preserve">Gated out: Tuesday estimate over 250 (920 to 18400).</t>
  </si>
  <si>
    <t xml:space="preserve">https://commercialobserver.com/2023/04/kohler-lease-1140-broadway/</t>
  </si>
  <si>
    <t xml:space="preserve">Tuesday estimate over 250 (920 to 18400)</t>
  </si>
  <si>
    <t xml:space="preserve">B-C-257</t>
  </si>
  <si>
    <t xml:space="preserve">https://www.kohler.com</t>
  </si>
  <si>
    <t xml:space="preserve">kitchen and bath manufacturer (office)</t>
  </si>
  <si>
    <t xml:space="preserve">https://en.wikipedia.org/wiki/Kohler_Co.</t>
  </si>
  <si>
    <t xml:space="preserve">2023-04-04</t>
  </si>
  <si>
    <t xml:space="preserve">40000 (Wikipedia) staff (whole-company count) x 5% to 100% of them in the New York office (HQ city unknown; share assumed) x 46% (Partnership for NYC, firms over 5,000) in on a weekday = 920 to 18400, central 4114; low confidence; estimate until intake replaces it.</t>
  </si>
  <si>
    <t xml:space="preserve">4,713 sf</t>
  </si>
  <si>
    <t xml:space="preserve">First NYC office: 7.5-year 4,713 SF lease on floor 8 (separate from its Flatiron showroom). Older source, not reconfirmed. Large company, but no headcount source opened; small NYC office. | Assembly 2026-10-24: Band set at assembly to over-500 from Wikipedia infobox: 40,000 employees (2019). The NYC office size is unknown; the NYC office alone may fit, founder to confirm. Review round 3: headcount_source_date left blank (date not stated): the Wikipedia infobox dates the 40,000 employee figure to 2019 with no month.</t>
  </si>
  <si>
    <t xml:space="preserve">AO-C-266</t>
  </si>
  <si>
    <t xml:space="preserve">Lockton Re</t>
  </si>
  <si>
    <t xml:space="preserve">Gated out: Tuesday estimate over 250 (301 to 6026).</t>
  </si>
  <si>
    <t xml:space="preserve">https://commercialobserver.com/2023/07/lockton-re-relocating-to-19k-sf-at-261-fifth-avenue/</t>
  </si>
  <si>
    <t xml:space="preserve">Tuesday estimate over 250 (301 to 6026)</t>
  </si>
  <si>
    <t xml:space="preserve">B-C-266</t>
  </si>
  <si>
    <t xml:space="preserve">https://global.lockton.com/re/en</t>
  </si>
  <si>
    <t xml:space="preserve">reinsurance brokerage</t>
  </si>
  <si>
    <t xml:space="preserve">13100</t>
  </si>
  <si>
    <t xml:space="preserve">https://en.wikipedia.org/wiki/Lockton_Companies</t>
  </si>
  <si>
    <t xml:space="preserve">Lockton Companies</t>
  </si>
  <si>
    <t xml:space="preserve">2023-07</t>
  </si>
  <si>
    <t xml:space="preserve">https://rebusinessonline.com/lockton-re-signs-19326-sf-office-lease-in-manhattans-nomad-district/</t>
  </si>
  <si>
    <t xml:space="preserve">2023-07-17</t>
  </si>
  <si>
    <t xml:space="preserve">13100 (Wikipedia) staff (whole-company count) x 5% to 100% of them in the New York office (HQ city unknown; share assumed) x 46% (Partnership for NYC, firms over 5,000) in on a weekday = 301 to 6026, central 1347; low confidence; estimate until intake replaces it.</t>
  </si>
  <si>
    <t xml:space="preserve">19,326 sf</t>
  </si>
  <si>
    <t xml:space="preserve">10-year 19,326 SF lease for the full 10th floor (NYC offices), moved from 48 W 25th St. Both sources from 2023; not reconfirmed. Part of Lockton, which is very large, but no headcount source opened. | Assembly 2026-10-24: Band set at assembly to over-500 from Wikipedia infobox for Lockton Companies, the parent: '13,100+' employees (no year given). The NYC office size is unknown; the NYC office alone may fit, founder to confirm. Review round 2: corner lot: the lot-centroid pin sat 24 m from E 29 ST but 39 m from 5 AVE, so it was moved to the 5 AVE frontage near the corner (17 m from the 5 AVE centreline, 27 m from E 29 ST; 23 m from the old pin). Tax lot unchanged.</t>
  </si>
  <si>
    <t xml:space="preserve">AO-C-214</t>
  </si>
  <si>
    <t xml:space="preserve">SeatGeek</t>
  </si>
  <si>
    <t xml:space="preserve">Gated out: Tuesday estimate over 250 (256 to 513).</t>
  </si>
  <si>
    <t xml:space="preserve">https://commercialobserver.com/2018/10/seatgeek-leases-72k-sf-for-new-flatiron-offices/</t>
  </si>
  <si>
    <t xml:space="preserve">8-11</t>
  </si>
  <si>
    <t xml:space="preserve">Tuesday estimate over 250 (256 to 513)</t>
  </si>
  <si>
    <t xml:space="preserve">B-C-214</t>
  </si>
  <si>
    <t xml:space="preserve">https://seatgeek.com</t>
  </si>
  <si>
    <t xml:space="preserve">ticketing marketplace</t>
  </si>
  <si>
    <t xml:space="preserve">https://www.builtinnyc.com/company/seatgeek</t>
  </si>
  <si>
    <t xml:space="preserve">2018-10-17</t>
  </si>
  <si>
    <t xml:space="preserve">2024-11-02</t>
  </si>
  <si>
    <t xml:space="preserve">900 (Built In) staff (whole-company count) x 50% to 100% of them in the New York office (HQ New York; share assumed) x 57% (Partnership for NYC, all Manhattan firms; no figure for 500 to 4,999) in on a weekday = 256 to 513, central 362; low confidence; estimate until intake replaces it.</t>
  </si>
  <si>
    <t xml:space="preserve">10-year HQ lease (from June 2019) of floors 8-11, 72,800 sf; a broker building page (modified 2024-11-02) still lists SeatGeek. Built In shows HQ New York without a street and 900 total employees. Lease source is old, so low. Over 500. Review round 2: corner lot: the lot-centroid pin sat 27 m from E 20 ST but 31 m from BROADWAY, so it was moved to the BROADWAY frontage near the corner (15 m from the BROADWAY centreline, 27 m from E 20 ST; 16 m from the old pin). Tax lot unchanged.</t>
  </si>
  <si>
    <t xml:space="preserve">AO-C-261</t>
  </si>
  <si>
    <t xml:space="preserve">Spring Health</t>
  </si>
  <si>
    <t xml:space="preserve">Gated out: Tuesday estimate over 250 (370 to 741).</t>
  </si>
  <si>
    <t xml:space="preserve">https://www.builtinnyc.com/company/spring-health/offices</t>
  </si>
  <si>
    <t xml:space="preserve">Tuesday estimate over 250 (370 to 741)</t>
  </si>
  <si>
    <t xml:space="preserve">B-C-261</t>
  </si>
  <si>
    <t xml:space="preserve">https://www.springhealth.com</t>
  </si>
  <si>
    <t xml:space="preserve">healthtech (mental health benefits)</t>
  </si>
  <si>
    <t xml:space="preserve">1300</t>
  </si>
  <si>
    <t xml:space="preserve">https://commercialobserver.com/2022/08/spring-health-takes-30k-sf-60-madison-office-vacated-by-knotel/</t>
  </si>
  <si>
    <t xml:space="preserve">2022-08-04</t>
  </si>
  <si>
    <t xml:space="preserve">1300 (Built In) staff (whole-company count) x 50% to 100% of them in the New York office (HQ New York; share assumed) x 57% (Partnership for NYC, all Manhattan firms; no figure for 500 to 4,999) in on a weekday = 370 to 741, central 524; low confidence; estimate until intake replaces it.</t>
  </si>
  <si>
    <t xml:space="preserve">Built In lists HQ at '60 Madison'; 1,300 total employees. CO 2022: seven-year 30,000 SF lease on floor 2 and most of floor 3. Over 500: near-miss.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</si>
  <si>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AO-C-208</t>
  </si>
  <si>
    <t xml:space="preserve">Tory Burch</t>
  </si>
  <si>
    <t xml:space="preserve">Gated out: Tuesday estimate over 250 (914 to 1827).</t>
  </si>
  <si>
    <t xml:space="preserve">https://www.builtinnyc.com/company/tory-burch/offices</t>
  </si>
  <si>
    <t xml:space="preserve">11 West 19th Street</t>
  </si>
  <si>
    <t xml:space="preserve">7-11</t>
  </si>
  <si>
    <t xml:space="preserve">Tuesday estimate over 250 (914 to 1827)</t>
  </si>
  <si>
    <t xml:space="preserve">B-C-208</t>
  </si>
  <si>
    <t xml:space="preserve">https://www.toryburch.com</t>
  </si>
  <si>
    <t xml:space="preserve">fashion brand (headquarters)</t>
  </si>
  <si>
    <t xml:space="preserve">3206</t>
  </si>
  <si>
    <t xml:space="preserve">https://www.builtinnyc.com/company/tory-burch</t>
  </si>
  <si>
    <t xml:space="preserve">https://commercialobserver.com/2022/08/tory-burch-renewal-11-west-19th-street/</t>
  </si>
  <si>
    <t xml:space="preserve">2022-08-05</t>
  </si>
  <si>
    <t xml:space="preserve">3206 (Built In) staff (whole-company count) x 50% to 100% of them in the New York office (HQ New York; share assumed) x 57% (Partnership for NYC, all Manhattan firms; no figure for 500 to 4,999) in on a weekday = 914 to 1827, central 1292; low confidence; estimate until intake replaces it.</t>
  </si>
  <si>
    <t xml:space="preserve">130,000 sf</t>
  </si>
  <si>
    <t xml:space="preserve">Built In lists HQ at 11 West 19th Street, 7th Floor; CO Aug 2022 reported a 13-year renewal of its 130,000 sf HQ on floors 7-11. Built In shows 3,206 total employees. Over 500.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Pin moved to frontage at review round 1: the lot-centroid pin failed the block-face test (37 m from W 19 ST but 38 m from W 20 ST); pin moved to frontage: the lot's position along W 19 ST kept, set 21 m from the centreline on the side CSCL gives house number 11 (15 m from the old pin). Tax lot unchanged. New pin: 22 m from W 19 ST, 53 m from W 20 ST.</t>
  </si>
  <si>
    <t xml:space="preserve">AO-C-275</t>
  </si>
  <si>
    <t xml:space="preserve">Ford Models</t>
  </si>
  <si>
    <t xml:space="preserve">Gated out: outside the cluster (0.2 blocks outside the line).</t>
  </si>
  <si>
    <t xml:space="preserve">https://fordmodels.com/contact</t>
  </si>
  <si>
    <t xml:space="preserve">36 East 31st Street</t>
  </si>
  <si>
    <t xml:space="preserve">outside the cluster (0.2 blocks outside the line)</t>
  </si>
  <si>
    <t xml:space="preserve">B-C-275</t>
  </si>
  <si>
    <t xml:space="preserve">https://fordmodels.com</t>
  </si>
  <si>
    <t xml:space="preserve">https://commercialobserver.com/2026/03/ford-models-office-lease-36-east-31st-street/</t>
  </si>
  <si>
    <t xml:space="preserve">2026-03-17</t>
  </si>
  <si>
    <t xml:space="preserve">11,986 sf</t>
  </si>
  <si>
    <t xml:space="preserve">Contact page lists Ford New York at 36 East 31st Street 8th Floor; CO 2026: 11,986 SF on floor 8 (temporarily on floor 9 during buildout). Earlier listed as an 11 E 26th St tenant. Margin row (31st St). Headcount not found.</t>
  </si>
  <si>
    <t xml:space="preserve">AO-C-173</t>
  </si>
  <si>
    <t xml:space="preserve">Pilot Fiber</t>
  </si>
  <si>
    <t xml:space="preserve">Gated out: inside a coworking space (B-W-011).</t>
  </si>
  <si>
    <t xml:space="preserve">https://www.pilotfiber.com/legal</t>
  </si>
  <si>
    <t xml:space="preserve">1115 Broadway</t>
  </si>
  <si>
    <t xml:space="preserve">inside a coworking space (B-W-011)</t>
  </si>
  <si>
    <t xml:space="preserve">B-C-173</t>
  </si>
  <si>
    <t xml:space="preserve">https://www.pilotfiber.com/</t>
  </si>
  <si>
    <t xml:space="preserve">Telecom / fiber internet provider</t>
  </si>
  <si>
    <t xml:space="preserve">Company legal page (live) gives '1115 Broadway Floor 12, New York, NY 10010'. CO Jan 2026 names Pilot Fiber as a current tenant at 16 Madison Square West (same building). Headcount not found in an opened source. | Assembly 2026-10-24: Coworking check at assembly: Pilot Fiber's legal page (re-opened 2026-10-24) gives '1115 Broadway Floor 12'. Select Office Suites' own page (opened 2026-10-24) gives its Flatiron centre as '1115 Broadway (aka 16 Madison Square West), 9th, 10th, 11th, &amp; 12th Floors'. Same floor as a serviced-office operator, so flagged in_coworking = Y and excluded until the founder confirms Pilot Fiber holds its own lease there. Review round 2: corner lot: the lot-centroid pin sat 16 m from W 25 ST but 26 m from BROADWAY, so it was moved to the BROADWAY frontage near the corner (13 m from the BROADWAY centreline, 26 m from W 25 ST; 20 m from the old pin). Tax lot unchanged. Review round 3: the pin sat 2.3 m outside its own tax lot (NYC MapPLUTO (Department of City Planning) tax-lot polygons), so it was moved to the middle of the lot's 17 m BROADWAY frontage, 3 m inside the lot line (9 m from the old pin). Tax lot unchanged.</t>
  </si>
  <si>
    <t xml:space="preserve">AO-W-028</t>
  </si>
  <si>
    <t xml:space="preserve">Resident Madison Park (Flatiron)</t>
  </si>
  <si>
    <t xml:space="preserve">https://residentcompanyclub.com/</t>
  </si>
  <si>
    <t xml:space="preserve">115 East 23rd Street, Floors 4-5, New York, NY 10010</t>
  </si>
  <si>
    <t xml:space="preserve">Floors 4-5</t>
  </si>
  <si>
    <t xml:space="preserve">grp-W025-W028</t>
  </si>
  <si>
    <t xml:space="preserve">B-W-028</t>
  </si>
  <si>
    <t xml:space="preserve">https://residentcompanyclub.com</t>
  </si>
  <si>
    <t xml:space="preserve">Resident Company Club</t>
  </si>
  <si>
    <t xml:space="preserve">https://commercialobserver.com/2025/12/coworking-resident-company-club-lease-113-university-place/</t>
  </si>
  <si>
    <t xml:space="preserve">Operator site: open, 'One Suite available'; amenities 'Complimentary beverages and brain-boosting snacks'. Independent: Commercial Observer 2025-12-04 says the first club opened at 115 E 23rd St in September (2025). Focus is AI and tech startups and VCs (CoworkingCafe 2025-12-12). About 30 private offices for 1-12 people (Deskpass, updated 2026-10-12). Search-snippet listings (not opened) gave this building as Bond Collective's former Flatiron address; Bond's current site lists no Flatiron location. | pantry_control=operator (https://residentcompanyclub.com/); exclusive food contract signal: meal partner named: 'Factor pre-cooked meals (available for purchase)'; not stated as exclusive</t>
  </si>
  <si>
    <t xml:space="preserve">parent 'resident company club' shared with AO-W-025</t>
  </si>
  <si>
    <t xml:space="preserve">AO-W-025</t>
  </si>
  <si>
    <t xml:space="preserve">Resident Union Square</t>
  </si>
  <si>
    <t xml:space="preserve">113 University Place, Floors 4-5, New York, NY 10003</t>
  </si>
  <si>
    <t xml:space="preserve">B-W-025</t>
  </si>
  <si>
    <t xml:space="preserve">2025-12-04</t>
  </si>
  <si>
    <t xml:space="preserve">Operator site lists Union Square, 113 University Place, 'FULLY occupied, JOIN WAITLIST', so operating. Commercial Observer 2025-12-04: 15-year lease, about 13,000 sf, 4th and 5th floors. CoworkingCafe 2025-12-12: a 'consumer- and ecommerce-focused Company Club ... designed for consumer-brand founders'. Members are not listed. Between 12th and 13th St, inside the two-street south margin. Amenity text is brand-wide, not per location. Review round 2: corner lot: the lot-centroid pin sat 17 m from E 13 ST but 25 m from UNIVERSITY PL, so it was moved to the UNIVERSITY PL frontage near the corner (14 m from the UNIVERSITY PL centreline, 27 m from E 13 ST; 15 m from the old pin). Tax lot unchanged. Review round 3: the pin sat 1.6 m outside its own tax lot (NYC MapPLUTO (Department of City Planning) tax-lot polygons), so it was moved to the middle of the lot's 16 m UNIVERSITY PL frontage, 3 m inside the lot line (10 m from the old pin). Tax lot unchanged. | pantry_control=operator (https://residentcompanyclub.com/); exclusive food contract signal: meal partner named: 'Factor pre-cooked meals (available for purchase)'; not stated as exclusive</t>
  </si>
  <si>
    <t xml:space="preserve">parent 'resident company club' shared with AO-W-028</t>
  </si>
  <si>
    <t xml:space="preserve">AO-C-276</t>
  </si>
  <si>
    <t xml:space="preserve">The Ancillary Project</t>
  </si>
  <si>
    <t xml:space="preserve">New or renewed lease at 36 East 31st Street reported 2026-01-12</t>
  </si>
  <si>
    <t xml:space="preserve">https://commercialobserver.com/2026/01/ancillary-project-lease-36-east-31st-street/</t>
  </si>
  <si>
    <t xml:space="preserve">2026-01-12</t>
  </si>
  <si>
    <t xml:space="preserve">4 (part)</t>
  </si>
  <si>
    <t xml:space="preserve">B-C-276</t>
  </si>
  <si>
    <t xml:space="preserve">https://theancillaryproject.com</t>
  </si>
  <si>
    <t xml:space="preserve">creative studio (design and branding)</t>
  </si>
  <si>
    <t xml:space="preserve">https://theancillaryproject.com/</t>
  </si>
  <si>
    <t xml:space="preserve">5,851 sf</t>
  </si>
  <si>
    <t xml:space="preserve">CO 2026-01-12: 5,851 SF office and showroom on part of floor 4. Site lists Showroom 36 East 31st Street. Margin row (31st St). Headcount not sourced; founder to confirm at intake.</t>
  </si>
  <si>
    <t xml:space="preserve">AO-W-032</t>
  </si>
  <si>
    <t xml:space="preserve">Corporate Suites Two Park Avenue</t>
  </si>
  <si>
    <t xml:space="preserve">Gated out: outside the cluster (2.0 blocks outside the line).</t>
  </si>
  <si>
    <t xml:space="preserve">https://www.corporatesuites.com/</t>
  </si>
  <si>
    <t xml:space="preserve">2 Park Avenue, 20th Floor, New York, NY 10016</t>
  </si>
  <si>
    <t xml:space="preserve">20th Floor</t>
  </si>
  <si>
    <t xml:space="preserve">outside the cluster (2.0 blocks outside the line)</t>
  </si>
  <si>
    <t xml:space="preserve">B-W-032</t>
  </si>
  <si>
    <t xml:space="preserve">https://www.corporatesuites.com</t>
  </si>
  <si>
    <t xml:space="preserve">Corporate Suites</t>
  </si>
  <si>
    <t xml:space="preserve">https://api.deskpass.com/api/spaces/two-park-avenue-coworking</t>
  </si>
  <si>
    <t xml:space="preserve">Deskpass listing (active, updated 2026-10-19) tags 'Snacks Available', 'Complimentary Coffee &amp; Tea', 'Shared Kitchen'. Borderline: the building fills the block from 32nd to 33rd St on Park Ave, right on the north margin line. Serviced-office operator. Operator site (opened 2026-10-24) lists 'Midtown South, NYC - 2 Park Avenue'; rentals include 'access to kitchen/lounge areas with refreshments'.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39 m from E 32 ST but 44 m from PARK AVE, so it was moved to the PARK AVE frontage near the corner (15 m from the PARK AVE centreline, 40 m from E 32 ST; 29 m from the old pin). Tax lot unchanged. | pantry_control=operator (https://api.deskpass.com/api/spaces/two-park-avenue-coworking); exclusive food contract signal: named coffee brand: 'Complimentary Starbucks Coffee'; no exclusive contract stated</t>
  </si>
  <si>
    <t xml:space="preserve">AO-W-002</t>
  </si>
  <si>
    <t xml:space="preserve">Hub Seventeen, 114 Fifth Avenue</t>
  </si>
  <si>
    <t xml:space="preserve">Gated out: operator control of the pantry not shown (pantry_control=unknown).</t>
  </si>
  <si>
    <t xml:space="preserve">114 Fifth Avenue, New York, NY 10011</t>
  </si>
  <si>
    <t xml:space="preserve">operator control of the pantry not shown (pantry_control=unknown)</t>
  </si>
  <si>
    <t xml:space="preserve">B-W-002</t>
  </si>
  <si>
    <t xml:space="preserve">Hub Seventeen</t>
  </si>
  <si>
    <t xml:space="preserve">2025-02-11</t>
  </si>
  <si>
    <t xml:space="preserve">CO 2025-02-11 (re-opened 2026-10-24): 'Other tenants of the 350,000-square-foot office building between West 16th and West 17th streets include marketing consultant Acxiom and coworking space Hub Seventeen.' No floor, size, pantry or website found. Founder to confirm on the walk. Review round 2: corner lot: the lot-centroid pin sat 22 m from W 17 ST but 39 m from 5 AVE, so it was moved to the 5 AVE frontage near the corner (17 m from the 5 AVE centreline, 27 m from W 17 ST; 22 m from the old pin). Tax lot unchanged. | pantry_control=unknown (); exclusive food contract signal: none found</t>
  </si>
  <si>
    <t xml:space="preserve">AO-W-027</t>
  </si>
  <si>
    <t xml:space="preserve">Indy by Industrious Gramercy Park</t>
  </si>
  <si>
    <t xml:space="preserve">Gated out: outside the cluster (0.3 blocks outside the line).</t>
  </si>
  <si>
    <t xml:space="preserve">120 East 23rd Street, 4th Floor, New York, NY 10010</t>
  </si>
  <si>
    <t xml:space="preserve">outside the cluster (0.3 blocks outside the line)</t>
  </si>
  <si>
    <t xml:space="preserve">B-W-027</t>
  </si>
  <si>
    <t xml:space="preserve">'Indy' is Industrious's lighter format. Page meta text: 'Indy by Industrious offers flexible memberships, sleek lounges, private offices, and bottomless coffee'. Brand copy has a 'Daily snacks, craft coffee &amp; tea' variant without breakfast, so the food level here is unconfirmed. Between Park Ave S and Lexington Ave. Independent: Deskpass NYC index lists 'Indy by Industrious Gramercy Park: 120 East 23rd Street, 4th Floor' (https://www.deskpass.com/us-en/ny/new-york-city). Review round 3: lowered from high to medium. The second source is a listing the operator writes (Deskpass or LiquidSpace), so it does not independently confirm the operator's own page; no press, landlord or filing source was found. A walk-by can raise it. Pin moved to frontage at review round 1: the lot-centroid pin failed the block-face test (41 m from E 23 ST but 44 m from E 22 ST); pin moved to frontage: the lot's position along E 23 ST kept, set 26 m from the centreline on the side CSCL gives house number 120 (15 m from the old pin). Tax lot unchanged. New pin: 26 m from E 23 ST, 59 m from E 22 ST. | pantry_control=operator (https://www.industriousoffice.com/locations/120-east-23rd-street-4th-floor-new-york); exclusive food contract signal: none found</t>
  </si>
  <si>
    <t xml:space="preserve">parent 'industrious' shared with AO-W-007, AO-W-016, AO-W-008, AO-W-014, AO-W-005, AO-W-003</t>
  </si>
  <si>
    <t xml:space="preserve">AO-W-029</t>
  </si>
  <si>
    <t xml:space="preserve">WeWork 135 Madison Ave</t>
  </si>
  <si>
    <t xml:space="preserve">Gated out: outside the cluster (0.8 blocks outside the line).</t>
  </si>
  <si>
    <t xml:space="preserve">https://www.wework.com/buildings/135-madison-ave--new-york-city--NY</t>
  </si>
  <si>
    <t xml:space="preserve">135 Madison Avenue, New York, NY 10016</t>
  </si>
  <si>
    <t xml:space="preserve">outside the cluster (0.8 blocks outside the line)</t>
  </si>
  <si>
    <t xml:space="preserve">B-W-029</t>
  </si>
  <si>
    <t xml:space="preserve">Operator page: 'recharge at the fully stocked pantries'; 'complimentary filtered water, micro-roasted coffee, seltzers and tea'. No snacks named. Madison Ave at 31st St: north of the box, inside the two-street margin. Review round 2: corner lot: the lot-centroid pin sat 24 m from E 31 ST but 32 m from MADISON AVE, so it was moved to the MADISON AVE frontage near the corner (16 m from the MADISON AVE centreline, 26 m from E 31 ST; 16 m from the old pin). Tax lot unchanged. | pantry_control=operator (https://www.wework.com/buildings/135-madison-ave--new-york-city--NY); exclusive food contract signal: none found on amenity page</t>
  </si>
  <si>
    <t xml:space="preserve">parent 'wework' shared with AO-W-004, AO-W-024, AO-W-018, AO-W-026, AO-W-020</t>
  </si>
  <si>
    <t xml:space="preserve">AO-W-026</t>
  </si>
  <si>
    <t xml:space="preserve">WeWork 33 Irving Pl</t>
  </si>
  <si>
    <t xml:space="preserve">Gated out: outside the cluster (0.9 blocks outside the line).</t>
  </si>
  <si>
    <t xml:space="preserve">https://www.wework.com/buildings/33-irving-pl--new-york-city--NY</t>
  </si>
  <si>
    <t xml:space="preserve">33 Irving Place, New York, NY 10003</t>
  </si>
  <si>
    <t xml:space="preserve">outside the cluster (0.9 blocks outside the line)</t>
  </si>
  <si>
    <t xml:space="preserve">B-W-026</t>
  </si>
  <si>
    <t xml:space="preserve">Operator page: 'Stocked kitchens: complimentary filtered water, micro-roasted coffee, seltzers and tea'; barista listed as not included. Beverages only. Irving Pl at 15th-16th St, one avenue east of Park Ave S (inside the east margin, not the box). | pantry_control=operator (https://www.wework.com/buildings/33-irving-pl--new-york-city--NY); exclusive food contract signal: none found on amenity page</t>
  </si>
  <si>
    <t xml:space="preserve">parent 'wework' shared with AO-W-004, AO-W-024, AO-W-018, AO-W-029, AO-W-020</t>
  </si>
  <si>
    <t xml:space="preserve">AO-W-009</t>
  </si>
  <si>
    <t xml:space="preserve">Le Parc Coworking Offices</t>
  </si>
  <si>
    <t xml:space="preserve">https://flatironnomad.nyc/2024/06/26/meet-le-parc/</t>
  </si>
  <si>
    <t xml:space="preserve">287 Park Avenue South, 2nd Floor, New York, NY 10010</t>
  </si>
  <si>
    <t xml:space="preserve">B-W-009</t>
  </si>
  <si>
    <t xml:space="preserve">https://flatironnomad.nyc</t>
  </si>
  <si>
    <t xml:space="preserve">Le Parc (CL Investment Group building)</t>
  </si>
  <si>
    <t xml:space="preserve">B-B-042</t>
  </si>
  <si>
    <t xml:space="preserve">United Charities Building</t>
  </si>
  <si>
    <t xml:space="preserve">2024-06-26</t>
  </si>
  <si>
    <t xml:space="preserve">Flatiron NoMad Partnership profile 2024-06-26: luxury coworking in the United Charities Building, 'Supported by CL Investment Group'; no food or pantry amenities named. Deskpass NYC index lists 'Le Parc Coworking Offices: 287 Park Avenue South, 2nd Floor' (its detail page returned 'space not found'). Third-party listings seen only in search snippets mention complimentary coffee and tea: unverified, founder to confirm. IWG's Spaces signed a 2018 lease for this building; whether Spaces still operates here is unverified. Park Ave S at 22nd St. Independent sources: the Flatiron NoMad Partnership profile (2024-06-26) and the Deskpass NYC index (opened 2026-10-23), so existence is high confidence; pantry control remains unknown. S2 noted IWG's Spaces signed the whole office portion (floors 2-9, CO 2018); the places researcher found Le Parc operating on floor 2 now. Spaces' status here is unverified. Review round 1: lowered from high to low. The Flatiron NoMad Partnership profile is dated 2024-06-26 (older than 24 months) and the Deskpass index line is an undated listing whose detail page returned 'space not found'; IWG's Spaces held a 2018 lease for the building. Walk it before treating it as open. Review round 2: corner lot: the lot-centroid pin sat 16 m from E 22 ST but 28 m from PARK AVE S, so it was moved to the PARK AVE S frontage near the corner (13 m from the PARK AVE S centreline, 27 m from E 22 ST; 18 m from the old pin). Tax lot unchanged. Review round 3: the pin sat 0.8 m outside its own tax lot (NYC MapPLUTO (Department of City Planning) tax-lot polygons), so it was moved to the middle of the lot's 18 m PARK AVE S frontage, 3 m inside the lot line (10 m from the old pin). Tax lot unchanged. | pantry_control=unknown (); exclusive food contract signal: none found; building has ground-floor restaurants (Hawksmoor, DOM) and a United Charities Club Card discount program</t>
  </si>
  <si>
    <t xml:space="preserve">AO-W-031</t>
  </si>
  <si>
    <t xml:space="preserve">Regus 1250 Broadway</t>
  </si>
  <si>
    <t xml:space="preserve">Gated out: outside the cluster (0.8 blocks outside the line); operator control of the pantry not shown (pantry_control=unknown).</t>
  </si>
  <si>
    <t xml:space="preserve">https://old.regus.com/offices/united-states/new-york/new-york-city/office-space/ny-new-york-1250-broadway</t>
  </si>
  <si>
    <t xml:space="preserve">1250 Broadway, 36th Floor, New York, NY 10001</t>
  </si>
  <si>
    <t xml:space="preserve">36th Floor</t>
  </si>
  <si>
    <t xml:space="preserve">grp-W012-W030-W031</t>
  </si>
  <si>
    <t xml:space="preserve">outside the cluster (0.8 blocks outside the line); operator control of the pantry not shown (pantry_control=unknown)</t>
  </si>
  <si>
    <t xml:space="preserve">B-W-031</t>
  </si>
  <si>
    <t xml:space="preserve">https://old.regus.com</t>
  </si>
  <si>
    <t xml:space="preserve">Regus (IWG)</t>
  </si>
  <si>
    <t xml:space="preserve">Legacy Regus page only (opened): 1250 Broadway, 36th Floor, 'fashionable NoMad neighborhood'. No current source found. Open status unverified, founder to confirm. Broadway at 31st-32nd St, on the north margin line. Review round 2: corner lot: the lot-centroid pin sat 37 m from W 31 ST but 39 m from BROADWAY, so it was moved to the BROADWAY frontage near the corner (15 m from the BROADWAY centreline, 28 m from W 31 ST; 24 m from the old pin). Tax lot unchanged. | pantry_control=unknown (); exclusive food contract signal: none found</t>
  </si>
  <si>
    <t xml:space="preserve">parent 'regus' shared with AO-W-030, AO-W-012</t>
  </si>
  <si>
    <t xml:space="preserve">AO-W-030</t>
  </si>
  <si>
    <t xml:space="preserve">Regus 136 Madison Avenue</t>
  </si>
  <si>
    <t xml:space="preserve">https://old.regus.com/offices/united-states/new-york/new-york-city/office-space/ny-new-york-city-136-madison-avenue</t>
  </si>
  <si>
    <t xml:space="preserve">136 Madison Avenue, 6th Floor, New York, NY 10016</t>
  </si>
  <si>
    <t xml:space="preserve">B-W-030</t>
  </si>
  <si>
    <t xml:space="preserve">Legacy Regus page (opened): 136 Madison Avenue, 6th Floor. A current regus.com page seen only in search results; bot-blocked. Open status unverified, founder to confirm. Madison Ave at 31st St, inside the two-street north margin. | pantry_control=unknown (); exclusive food contract signal: none found</t>
  </si>
  <si>
    <t xml:space="preserve">parent 'regus' shared with AO-W-031, AO-W-012</t>
  </si>
  <si>
    <t xml:space="preserve">AO-W-012</t>
  </si>
  <si>
    <t xml:space="preserve">Regus 41 Madison Avenue</t>
  </si>
  <si>
    <t xml:space="preserve">https://old.regus.com/offices/united-states/new-york/new-york-city/office-space/ny-new-york-city-41-madison-avenue</t>
  </si>
  <si>
    <t xml:space="preserve">41 Madison Avenue, 31st Floor, New York, NY 10010</t>
  </si>
  <si>
    <t xml:space="preserve">31st Floor</t>
  </si>
  <si>
    <t xml:space="preserve">B-W-012</t>
  </si>
  <si>
    <t xml:space="preserve">The current regus.com centre page is bot-blocked; existence per the legacy Regus page (opened; its copy cites the A Voce restaurant, so the page text may be old) and a Freaking Nomads listing (a cafe 'allows remote workers to purchase refreshments'). Open status unverified, founder to confirm. Faces Madison Square Park at 26th St. Review round 2: corner lot: the lot-centroid pin sat 30 m from E 26 ST but 44 m from MADISON AVE, so it was moved to the MADISON AVE frontage near the corner (16 m from the MADISON AVE centreline, 30 m from E 26 ST; 29 m from the old pin). Tax lot unchanged. | pantry_control=unknown (); exclusive food contract signal: none found</t>
  </si>
  <si>
    <t xml:space="preserve">parent 'regus' shared with AO-W-031, AO-W-030</t>
  </si>
  <si>
    <t xml:space="preserve">AO-W-019</t>
  </si>
  <si>
    <t xml:space="preserve">Spaces Midtown South (401 Park Avenue South)</t>
  </si>
  <si>
    <t xml:space="preserve">https://old.regus.com/offices/united-states/new-york/new-york-city/office-space/ny-new-york-spaces-midtown-south</t>
  </si>
  <si>
    <t xml:space="preserve">401 Park Avenue South, Floors 8-10, New York, NY 10016</t>
  </si>
  <si>
    <t xml:space="preserve">Floors 8-10</t>
  </si>
  <si>
    <t xml:space="preserve">B-W-019</t>
  </si>
  <si>
    <t xml:space="preserve">Spaces / Regus (IWG)</t>
  </si>
  <si>
    <t xml:space="preserve">Legacy Regus page (opened) titled 'Spaces Midtown South': 401 Park Avenue South, 10th Floor, with workspace on the 8th, 9th and 10th floors. A search snippet of the current regus.com page (https://www.regus.com/en/us/5774) repeats the address; that page is bot-blocked. No food or pantry text found. Open status unverified, founder to confirm. Park Ave S at 28th St. Review round 2: corner lot: the lot-centroid pin sat 24 m from E 28 ST but 35 m from PARK AVE S, so it was moved to the PARK AVE S frontage near the corner (13 m from the PARK AVE S centreline, 26 m from E 28 ST; 22 m from the old pin). Tax lot unchanged. | pantry_control=unknown (); exclusive food contract signal: none found</t>
  </si>
  <si>
    <t xml:space="preserve">AO-W-020</t>
  </si>
  <si>
    <t xml:space="preserve">WeWork 27 E 28th St (79 Madison Ave building)</t>
  </si>
  <si>
    <t xml:space="preserve">Gated out: operator control of the pantry not shown (pantry_control=unknown); site possibly closed (B status).</t>
  </si>
  <si>
    <t xml:space="preserve">27 East 28th Street, New York, NY 10016</t>
  </si>
  <si>
    <t xml:space="preserve">eight floors of 17 (unnamed)</t>
  </si>
  <si>
    <t xml:space="preserve">possibly-closed</t>
  </si>
  <si>
    <t xml:space="preserve">address conflict in B's sources: check the lobby directory before outreach (B); site possibly closed: walk by first (B)</t>
  </si>
  <si>
    <t xml:space="preserve">operator control of the pantry not shown (pantry_control=unknown); site possibly closed (B status)</t>
  </si>
  <si>
    <t xml:space="preserve">https://liquidspace.com</t>
  </si>
  <si>
    <t xml:space="preserve">CONFLICT: LiquidSpace says 'Confirmed Open' and Monte Carlo's Built In page lists a hub at 27 E 28th St, Suite 1656, but the location is NOT on WeWork's NYC index (wework.com/l/coworking-space/new-york-city--NY, opened 2026-10-24) and the wework.com building page redirects to a generic listing. The building was marketed for a condo conversion (CO 2025-03-04). Treat as possibly closed; check on the walk. | pantry_control=unknown (https://liquidspace.com/us/ny/new-york/wework-27-e-28th-st); exclusive food contract signal: none found</t>
  </si>
  <si>
    <t xml:space="preserve">parent 'wework' shared with AO-W-004, AO-W-024, AO-W-018, AO-W-029, AO-W-026</t>
  </si>
  <si>
    <t xml:space="preserve">top60</t>
  </si>
  <si>
    <t xml:space="preserve">product_example</t>
  </si>
  <si>
    <t xml:space="preserve">category</t>
  </si>
  <si>
    <t xml:space="preserve">online_store_url</t>
  </si>
  <si>
    <t xml:space="preserve">founder_review</t>
  </si>
  <si>
    <t xml:space="preserve">founder_review_reason</t>
  </si>
  <si>
    <t xml:space="preserve">gate_failed</t>
  </si>
  <si>
    <t xml:space="preserve">founder_review_type</t>
  </si>
  <si>
    <t xml:space="preserve">hq_state</t>
  </si>
  <si>
    <t xml:space="preserve">hq_class</t>
  </si>
  <si>
    <t xml:space="preserve">funding_stage</t>
  </si>
  <si>
    <t xml:space="preserve">funding_source_url</t>
  </si>
  <si>
    <t xml:space="preserve">shelf_stable</t>
  </si>
  <si>
    <t xml:space="preserve">shelf_stable_basis</t>
  </si>
  <si>
    <t xml:space="preserve">individually_packaged</t>
  </si>
  <si>
    <t xml:space="preserve">online_store</t>
  </si>
  <si>
    <t xml:space="preserve">revenue_band</t>
  </si>
  <si>
    <t xml:space="preserve">revenue_band_type</t>
  </si>
  <si>
    <t xml:space="preserve">revenue_basis</t>
  </si>
  <si>
    <t xml:space="preserve">health_claim_flag</t>
  </si>
  <si>
    <t xml:space="preserve">research_excluded</t>
  </si>
  <si>
    <t xml:space="preserve">research_exclusion_reason</t>
  </si>
  <si>
    <t xml:space="preserve">nearest_retailer_blocks_outside</t>
  </si>
  <si>
    <t xml:space="preserve">nearest_retailer_inside_cluster</t>
  </si>
  <si>
    <t xml:space="preserve">graded_retailer_count_within_ten</t>
  </si>
  <si>
    <t xml:space="preserve">retailers_within_ten_blocks</t>
  </si>
  <si>
    <t xml:space="preserve">stores_beyond_ten_or_unplaced</t>
  </si>
  <si>
    <t xml:space="preserve">retailers_claimed</t>
  </si>
  <si>
    <t xml:space="preserve">retailer_evidence_urls</t>
  </si>
  <si>
    <t xml:space="preserve">why_now_type</t>
  </si>
  <si>
    <t xml:space="preserve">why_now_age_days</t>
  </si>
  <si>
    <t xml:space="preserve">startup_cpg_evidence_url</t>
  </si>
  <si>
    <t xml:space="preserve">backup_linkedin_status</t>
  </si>
  <si>
    <t xml:space="preserve">score_buy</t>
  </si>
  <si>
    <t xml:space="preserve">score_ny</t>
  </si>
  <si>
    <t xml:space="preserve">score_why</t>
  </si>
  <si>
    <t xml:space="preserve">score_rev</t>
  </si>
  <si>
    <t xml:space="preserve">score_fit</t>
  </si>
  <si>
    <t xml:space="preserve">score_contact</t>
  </si>
  <si>
    <t xml:space="preserve">score_review</t>
  </si>
  <si>
    <t xml:space="preserve">instagram_url</t>
  </si>
  <si>
    <t xml:space="preserve">research_slice</t>
  </si>
  <si>
    <t xml:space="preserve">slice_row</t>
  </si>
  <si>
    <t xml:space="preserve">notes</t>
  </si>
  <si>
    <t xml:space="preserve">enrichment_log</t>
  </si>
  <si>
    <t xml:space="preserve">online_store_note</t>
  </si>
  <si>
    <t xml:space="preserve">product_short</t>
  </si>
  <si>
    <t xml:space="preserve">office_approvals_complete</t>
  </si>
  <si>
    <t xml:space="preserve">AB-219</t>
  </si>
  <si>
    <t xml:space="preserve">The Lucky Ox</t>
  </si>
  <si>
    <t xml:space="preserve">Fane</t>
  </si>
  <si>
    <t xml:space="preserve">He</t>
  </si>
  <si>
    <t xml:space="preserve">Co-founder and Chief Motion Officer</t>
  </si>
  <si>
    <t xml:space="preserve">https://www.linkedin.com/in/fane-he/</t>
  </si>
  <si>
    <t xml:space="preserve">New York City brand, store page shows Whole Foods Market NoMad inside the cluster, news 176 days ago, revenue unknown, contact named plus a marketing lead; founder review: claim-borderline.</t>
  </si>
  <si>
    <t xml:space="preserve">Whole Foods Market NoMad, 63 Madison Ave</t>
  </si>
  <si>
    <t xml:space="preserve">store_selector</t>
  </si>
  <si>
    <t xml:space="preserve">Launched in Whole Foods Market Northeast with a WFM-exclusive Mango Sticky Rice flavor; Pandan Coconut in WFM Discovery Program</t>
  </si>
  <si>
    <t xml:space="preserve">https://startupcpg.com/startup-cpg-newswire-the-lucky-ox-launches-into-whole-foods-across-the-northeast/</t>
  </si>
  <si>
    <t xml:space="preserve">https://luckyox.co/pages/about-us</t>
  </si>
  <si>
    <t xml:space="preserve">brand</t>
  </si>
  <si>
    <t xml:space="preserve">before using the retailer line, check Whole Foods Market NoMad still lists it: https://www.wholefoodsmarket.com/search?text=The%20Lucky%20Ox with your store set to NoMad (catalogs change daily); founder review (claim-borderline): read founder_review_reason first</t>
  </si>
  <si>
    <t xml:space="preserve">founder</t>
  </si>
  <si>
    <t xml:space="preserve">https://theorg.com/org/the-lucky-ox/person/fane-he</t>
  </si>
  <si>
    <t xml:space="preserve">Pandan Coconut Sparkler 12 fl oz can; Vietnamese Lemonade Sparkler</t>
  </si>
  <si>
    <t xml:space="preserve">sparkling-soda</t>
  </si>
  <si>
    <t xml:space="preserve">New York (about page: 'Rooted in Culture, Born in NYC'; release datelined New York, NY)</t>
  </si>
  <si>
    <t xml:space="preserve">https://luckyox.co</t>
  </si>
  <si>
    <t xml:space="preserve">Sparklers page mentions 'natural electrolytes' (nutrient wording, not a health claim)</t>
  </si>
  <si>
    <t xml:space="preserve">claim-borderline</t>
  </si>
  <si>
    <t xml:space="preserve">NY</t>
  </si>
  <si>
    <t xml:space="preserve">nyc</t>
  </si>
  <si>
    <t xml:space="preserve">seed ($584K total, round announced Oct 2025; unverified, founder to confirm)</t>
  </si>
  <si>
    <t xml:space="preserve">Canned sparkling drink sold in WFM grocery catalog; no shelf-life figure published, founder to confirm 60+ days</t>
  </si>
  <si>
    <t xml:space="preserve">Release says 1,300 doors nationwide (store count, not used for band)</t>
  </si>
  <si>
    <t xml:space="preserve">Fairway Market Chelsea, 55 W 25th St (brand_claim, inside);Whole Foods Market NoMad, 63 Madison Ave (store_selector, inside);Whole Foods Market Union Square, 4 Union Sq S (store_selector, inside);Dover Street Market, 160 Lexington Ave (brand_claim, 0.8 blocks out);H Mart, 38 W 32nd St (brand_claim, 1.0 blocks out);Merci Market, 59 5th Ave (brand_claim, 1.0 blocks out);West Side Market, 84 3rd Ave (brand_claim, 1.0 blocks out);Lincoln Market, 501 6th Ave (brand_claim, 1.2 blocks out);Westside Market Chelsea, 170 W 23rd St (brand_claim, 2.0 blocks out);Variety Coffee, 261 7th Ave (brand_claim, 2.5 blocks out);Whole Foods Market Chelsea, 250 7th Ave (store_selector, 3.0 blocks out);Fairway Market Kips Bay, 580 2nd Ave (brand_claim, 7.0 blocks out)</t>
  </si>
  <si>
    <t xml:space="preserve">Whole Foods Market Manhattan West (store_selector, 13.8 blocks out);Pearl River Mart Chelsea (brand_claim, 11.4 blocks out)</t>
  </si>
  <si>
    <t xml:space="preserve">Whole Foods Market Northeast region (launch April 2026; Discovery Program); 1,300 doors; independents and restaurants</t>
  </si>
  <si>
    <t xml:space="preserve">https://www.wholefoodsmarket.com/api/search?text=lucky%20ox&amp;store=10773&amp;limit=60&amp;offset=0; https://www.wholefoodsmarket.com/api/search?text=lucky%20ox&amp;store=10162&amp;limit=60&amp;offset=0; https://www.wholefoodsmarket.com/api/search?text=lucky%20ox&amp;store=10131&amp;limit=60&amp;offset=0; https://www.wholefoodsmarket.com/api/search?text=lucky%20ox&amp;store=10713&amp;limit=60&amp;offset=0; https://stockist.co/api/v1/map_g3yzp6zq/locations/search?latitude=40.7411&amp;longitude=-73.9897&amp;distance=3&amp;distance_unit=mi</t>
  </si>
  <si>
    <t xml:space="preserve">press</t>
  </si>
  <si>
    <t xml:space="preserve">Fane He</t>
  </si>
  <si>
    <t xml:space="preserve">The Org (updated 2026-07-02); earlier role Co-founder and COO. Startup CPG podcast "Founder Feature - Fane He and Kyle Nguyen of The Lucky Ox" (2025-06-20) lists this LinkedIn URL; LinkedIn not opened.</t>
  </si>
  <si>
    <t xml:space="preserve">listed on an opened page or in search results; LinkedIn itself not opened</t>
  </si>
  <si>
    <t xml:space="preserve">Kyle Nguyen</t>
  </si>
  <si>
    <t xml:space="preserve">Kyle</t>
  </si>
  <si>
    <t xml:space="preserve">Nguyen</t>
  </si>
  <si>
    <t xml:space="preserve">Creative Director (co-founder)</t>
  </si>
  <si>
    <t xml:space="preserve">marketing lead</t>
  </si>
  <si>
    <t xml:space="preserve">The Org (updated 2026-01-27): Creative Director since 2025. Named as a founder in the Startup CPG podcast episode title. No dedicated marketing title found; closest brand role.</t>
  </si>
  <si>
    <t xml:space="preserve">https://www.instagram.com/theluckyoxco</t>
  </si>
  <si>
    <t xml:space="preserve">BR4</t>
  </si>
  <si>
    <t xml:space="preserve">BR4:14</t>
  </si>
  <si>
    <t xml:space="preserve">Release (datelined April 2026, posted 2026-05-01) says retail distribution began late 2025 and more WFM regions planned. Founders not named on site; press contact Fane He (role not stated). Strong 'already on the shelf three blocks away' angle: Pandan Coconut listed at all four cluster WFM stores on 2026-10-23. | Privacy policy lists 8 The Green, Dover DE 19901, a registered-agent style address, not an operating HQ; keep hq_city New York per the about page.</t>
  </si>
  <si>
    <t xml:space="preserve">founder_name &lt;- https://startupcpg.transistor.fm/episodes/founder-feature-fane-he-and-kyle-nguyen-of-the-lucky-ox (2026-10-24, opened); founder_title &lt;- https://startupcpg.transistor.fm/episodes/founder-feature-fane-he-and-kyle-nguyen-of-the-lucky-ox (2026-10-24, opened); founder_profile_url &lt;- https://startupcpg.transistor.fm/episodes/founder-feature-fane-he-and-kyle-nguyen-of-the-lucky-ox (2026-10-24, opened); nyc_retailers_near_cluster &lt;- https://stockist.co/api/v1/map_g3yzp6zq/locations/search?latitude=40.7411&amp;longitude=-73.9897&amp;distance=3&amp;distance_unit=mi (2026-10-24, opened); retailer_evidence_urls &lt;- https://luckyox.co/pages/store-locator (2026-10-24, opened); notes &lt;- https://luckyox.co/policies/privacy-policy (2026-10-24, opened); funding_stage &lt;- https://www.vcbacked.co/company/the-lucky-ox (2026-10-24, snippet-unverified); </t>
  </si>
  <si>
    <t xml:space="preserve">https://theorg.com/org/the-lucky-ox/person/kyle-nguyen</t>
  </si>
  <si>
    <t xml:space="preserve">stage 2</t>
  </si>
  <si>
    <t xml:space="preserve">AB-216</t>
  </si>
  <si>
    <t xml:space="preserve">The Matzo Project</t>
  </si>
  <si>
    <t xml:space="preserve">Kevin</t>
  </si>
  <si>
    <t xml:space="preserve">Rodriguez</t>
  </si>
  <si>
    <t xml:space="preserve">Co-founder</t>
  </si>
  <si>
    <t xml:space="preserve">New York City brand, store page shows Whole Foods Market Union Square inside the cluster, news 248 days ago, revenue unknown, contact named plus a marketing lead.</t>
  </si>
  <si>
    <t xml:space="preserve">Whole Foods Market Union Square, 4 Union Sq S</t>
  </si>
  <si>
    <t xml:space="preserve">Holiday Hanukkah set on Target.com and in select Target stores from Nov 1 (homepage); Passover Shmura matzo release (Feb 2026); Publix launch (Oct 2025)</t>
  </si>
  <si>
    <t xml:space="preserve">https://startupcpg.com/startup-cpg-newswire-the-matzo-project-does-something-unusual-for-passover-by-not-changing-a-thing/</t>
  </si>
  <si>
    <t xml:space="preserve">https://www.matzoproject.com/</t>
  </si>
  <si>
    <t xml:space="preserve">find Kevin Rodriguez at The Matzo Project on LinkedIn and paste the profile URL; before using the retailer line, check Whole Foods Market Union Square still lists it: https://www.wholefoodsmarket.com/search?text=The%20Matzo%20Project with your store set to Union Square (catalogs change daily)</t>
  </si>
  <si>
    <t xml:space="preserve">Everything Matzo Chips 6 oz bag (also Flats, Crumbs, soup kits)</t>
  </si>
  <si>
    <t xml:space="preserve">crackers-pretzels</t>
  </si>
  <si>
    <t xml:space="preserve">Brooklyn</t>
  </si>
  <si>
    <t xml:space="preserve">https://www.matzoproject.com</t>
  </si>
  <si>
    <t xml:space="preserve">Bagged matzo chips/crackers sold ambient; no shelf-life figure found on site, founder to confirm 60+ days</t>
  </si>
  <si>
    <t xml:space="preserve">Whole Foods Market Union Square, 4 Union Sq S (store_selector, inside)</t>
  </si>
  <si>
    <t xml:space="preserve">Whole Foods Market; Target; Walmart; Amazon; Meijer; Sprouts; H-E-B; Stop &amp; Shop; Publix; Harris Teeter; Plum Market; Thrive Market; Vitacost; Zabar's; Carnegie Deli; Cibo Gourmet; Zingerman's; Canadian grocers (Longo's, Loblaws, Farm Boy) and others</t>
  </si>
  <si>
    <t xml:space="preserve">https://www.wholefoodsmarket.com/api/search?text=matzo%20project&amp;store=10162&amp;limit=60&amp;offset=0</t>
  </si>
  <si>
    <t xml:space="preserve">https://startupcpg.com/startup-cpg-newswire-the-matzo-project-launches-at-publix/</t>
  </si>
  <si>
    <t xml:space="preserve">Kevin Rodriguez</t>
  </si>
  <si>
    <t xml:space="preserve">Release (2026-02) quotes "Kevin Rodriguez, Co-Founder". Brand homepage names Ashley Albert and Kevin Rodriguez as founders. The Org lists Avi B. Markus as CEO and co-owner since 2024 (backup row); he may hold the budget.</t>
  </si>
  <si>
    <t xml:space="preserve">Crystal Bennett</t>
  </si>
  <si>
    <t xml:space="preserve">Bennett</t>
  </si>
  <si>
    <t xml:space="preserve">Partner and company spokeswoman</t>
  </si>
  <si>
    <t xml:space="preserve">FoodNavigator 2025-07-23 quotes her as "a spokeswoman for The Matzo Project" at the Summer Fancy Food Show. Brand homepage (https://www.matzoproject.com/) says she joined the founders as a partner. No formal marketing title found; closest public-facing role.</t>
  </si>
  <si>
    <t xml:space="preserve">BR4:11</t>
  </si>
  <si>
    <t xml:space="preserve">Releases datelined Brooklyn, NY. Brooklyn-made per homepage. Four Startup CPG Newswire releases 2025-2026 (participation). Only WFM Union Square lists a SKU among cluster stores on 2026-10-23. Avi Markus also named as partner on homepage.</t>
  </si>
  <si>
    <t xml:space="preserve">retailers_claimed &lt;- https://www.matzoproject.com/pages/find-us-in-stores (2026-10-24, opened); </t>
  </si>
  <si>
    <t xml:space="preserve">https://www.foodnavigator-usa.com/Article/2025/07/23/brands-give-jewish-staples-a-new-look-new-uses</t>
  </si>
  <si>
    <t xml:space="preserve">Shop links to Amazon and Target.com</t>
  </si>
  <si>
    <t xml:space="preserve">AB-249</t>
  </si>
  <si>
    <t xml:space="preserve">Häppy Candy</t>
  </si>
  <si>
    <t xml:space="preserve">Maxi</t>
  </si>
  <si>
    <t xml:space="preserve">Heidenblut</t>
  </si>
  <si>
    <t xml:space="preserve">Founder and CEO</t>
  </si>
  <si>
    <t xml:space="preserve">https://www.linkedin.com/in/maxi-heidenblut-cfa-ab704024/</t>
  </si>
  <si>
    <t xml:space="preserve">New York City brand, store page shows Whole Foods Market NoMad inside the cluster, news 44 days ago, revenue unknown, contact named; founder review: claim-borderline.</t>
  </si>
  <si>
    <t xml:space="preserve">Launched nationwide at Target (~2,000 stores) with a limited Haunted Edition Halloween pack</t>
  </si>
  <si>
    <t xml:space="preserve">https://startupcpg.com/startup-cpg-newswire-happy-candy-launches-nationwide-at-target-with-limited-edition-haunted-edition-halloween-variety-pack/</t>
  </si>
  <si>
    <t xml:space="preserve">2026-09-10</t>
  </si>
  <si>
    <t xml:space="preserve">before using the retailer line, check Whole Foods Market NoMad still lists it: https://www.wholefoodsmarket.com/search?text=H%C3%A4ppy%20Candy with your store set to NoMad (catalogs change daily); founder review (claim-borderline): read founder_review_reason first</t>
  </si>
  <si>
    <t xml:space="preserve">The Big Apple gummies 1.8 oz bag (WFM); individually wrapped 0.7 oz bags in Target Haunted Edition pack</t>
  </si>
  <si>
    <t xml:space="preserve">chocolate-candy</t>
  </si>
  <si>
    <t xml:space="preserve">New York (terms of service: P.O. Box 4, NYC, NY 10013; release datelined New York, NY)</t>
  </si>
  <si>
    <t xml:space="preserve">https://eathappycandy.com</t>
  </si>
  <si>
    <t xml:space="preserve">Kids and classroom positioning; reduced-sugar wording ('significantly less' sugar) is a nutrient-content angle; national retail distribution in the why-now ('nationwide at Target'): check the revenue band at intake</t>
  </si>
  <si>
    <t xml:space="preserve">Brand FAQ: 'Our candy has an 18-month shelf life. Each bag is single serve'</t>
  </si>
  <si>
    <t xml:space="preserve">Whole Foods Market NoMad, 63 Madison Ave (store_selector, inside);Whole Foods Market Union Square, 4 Union Sq S (store_selector, inside);Whole Foods Market Chelsea, 250 7th Ave (store_selector, 3.0 blocks out)</t>
  </si>
  <si>
    <t xml:space="preserve">Whole Foods Market Manhattan West (store_selector, 13.8 blocks out)</t>
  </si>
  <si>
    <t xml:space="preserve">Whole Foods Market (Big Apple and Italian Summer gummies at all four cluster stores); Target (~2,000 stores nationwide from Sept 6, 2026)</t>
  </si>
  <si>
    <t xml:space="preserve">https://www.wholefoodsmarket.com/api/search?text=happy%20candy&amp;store=10773&amp;limit=60&amp;offset=0; https://www.wholefoodsmarket.com/api/search?text=happy%20candy&amp;store=10162&amp;limit=60&amp;offset=0; https://www.wholefoodsmarket.com/api/search?text=happy%20candy&amp;store=10131&amp;limit=60&amp;offset=0; https://www.wholefoodsmarket.com/api/search?text=happy%20candy&amp;store=10713&amp;limit=60&amp;offset=0; https://eathappycandy.com/products.json?limit=250</t>
  </si>
  <si>
    <t xml:space="preserve">Maxi Heidenblut</t>
  </si>
  <si>
    <t xml:space="preserve">Release (2026-09) quotes "Maxi Heidenblut, Founder &amp; CEO". LinkedIn URL from the episode links of the Startup CPG podcast "BONUS: Winter Fancy Food Show Recap" (2025-02-26) in the public feed https://feeds.transistor.fm/startupcpg; LinkedIn not opened.</t>
  </si>
  <si>
    <t xml:space="preserve">BR4:44</t>
  </si>
  <si>
    <t xml:space="preserve">Free from the top 9 allergens (release). WFM lists 'Happy Candy' Big Apple and Italian Summer Gummies 1.8 oz at all four cluster stores (2026-10-23); same product names appear on eathappycandy.com (vendor 'Häppy Candy').</t>
  </si>
  <si>
    <t xml:space="preserve">shelf_stable_basis &lt;- https://eathappycandy.com/pages/faq (2026-10-24, opened); hq_city &lt;- https://eathappycandy.com/policies/terms-of-service (2026-10-24, opened); </t>
  </si>
  <si>
    <t xml:space="preserve">AB-097</t>
  </si>
  <si>
    <t xml:space="preserve">Beyond Good</t>
  </si>
  <si>
    <t xml:space="preserve">Tim</t>
  </si>
  <si>
    <t xml:space="preserve">McCollum</t>
  </si>
  <si>
    <t xml:space="preserve">New York City brand, store page shows Whole Foods Market NoMad inside the cluster, a new store listing 22 days ago, revenue unknown, contact named plus a marketing lead; founder review: shelf life not stated.</t>
  </si>
  <si>
    <t xml:space="preserve">Launched 70% Dark Chocolate Pistachio Crunch bar on brand store, Oct 2026</t>
  </si>
  <si>
    <t xml:space="preserve">https://beyondgood.com/</t>
  </si>
  <si>
    <t xml:space="preserve">2026-10-02</t>
  </si>
  <si>
    <t xml:space="preserve">find Tim McCollum at Beyond Good on LinkedIn and paste the profile URL (this also confirms the name: The Org is crowd-edited); before using the retailer line, check Whole Foods Market NoMad still lists it: https://www.wholefoodsmarket.com/search?text=Beyond%20Good with your store set to NoMad (catalogs change daily); founder review (shelf life or online store): read founder_review_reason first</t>
  </si>
  <si>
    <t xml:space="preserve">https://theorg.com/org/beyond-good/person/tim-mccollum</t>
  </si>
  <si>
    <t xml:space="preserve">70% Cocoa Dark Chocolate Pistachio Crunch bar; Organic 92% Dark Chocolate Bar 2.64 oz</t>
  </si>
  <si>
    <t xml:space="preserve">https://beyondgood.com</t>
  </si>
  <si>
    <t xml:space="preserve">60-day shelf life not stated</t>
  </si>
  <si>
    <t xml:space="preserve">Wrapped chocolate bars sold ambient at Whole Foods; shelf-life figure not found</t>
  </si>
  <si>
    <t xml:space="preserve">Whole Foods</t>
  </si>
  <si>
    <t xml:space="preserve">https://www.wholefoodsmarket.com/api/search?text=beyond%20good%20chocolate&amp;store=10162&amp;limit=60&amp;offset=0; https://www.wholefoodsmarket.com/api/search?text=beyond%20good%20chocolate&amp;store=10773&amp;limit=60&amp;offset=0; https://www.wholefoodsmarket.com/api/search?text=beyond%20good%20chocolate&amp;store=10131&amp;limit=60&amp;offset=0</t>
  </si>
  <si>
    <t xml:space="preserve">listing</t>
  </si>
  <si>
    <t xml:space="preserve">Tim McCollum</t>
  </si>
  <si>
    <t xml:space="preserve">The Org (updated 2026-01-28): Founder and CEO since 2008, HQ office. Wikipedia (https://en.wikipedia.org/wiki/Beyond_Good) names Tim McCollum and Brett Beach as founders.</t>
  </si>
  <si>
    <t xml:space="preserve">Kristine Ford</t>
  </si>
  <si>
    <t xml:space="preserve">Kristine</t>
  </si>
  <si>
    <t xml:space="preserve">Ford</t>
  </si>
  <si>
    <t xml:space="preserve">Head of Marketing</t>
  </si>
  <si>
    <t xml:space="preserve">The Org (updated 2026-02-02): Head of Marketing since 2024-11. Bio says she provides marketing leadership for mission-driven brands, so the role may be part-time or fractional.</t>
  </si>
  <si>
    <t xml:space="preserve">https://www.instagram.com/eatbeyondgood/</t>
  </si>
  <si>
    <t xml:space="preserve">BR2</t>
  </si>
  <si>
    <t xml:space="preserve">BR2:35</t>
  </si>
  <si>
    <t xml:space="preserve">LinkedIn snippets: company page lists Brooklyn HQ and 11-50 employees; no marketing lead found, only a sales manager. Tim McCollum LinkedIn: https://www.linkedin.com/in/tim-mccollum-15ab5715/ (not opened). The founder is the likely budget owner.</t>
  </si>
  <si>
    <t xml:space="preserve">hq_city &lt;- https://en.wikipedia.org/wiki/Beyond_Good (2026-10-24, opened); hq_state &lt;- https://en.wikipedia.org/wiki/Beyond_Good (2026-10-24, opened); founder_name &lt;- https://en.wikipedia.org/wiki/Beyond_Good (2026-10-24, opened); founder_title &lt;- https://en.wikipedia.org/wiki/Beyond_Good (2026-10-24, opened); founder_profile_url &lt;- https://en.wikipedia.org/wiki/Beyond_Good (2026-10-24, opened); notes &lt;- https://www.linkedin.com/company/eatbeyondgood (2026-10-24, snippet-unverified); </t>
  </si>
  <si>
    <t xml:space="preserve">https://theorg.com/org/beyond-good/person/kristine-ford</t>
  </si>
  <si>
    <t xml:space="preserve">2026-01-28</t>
  </si>
  <si>
    <t xml:space="preserve">2026-02-02</t>
  </si>
  <si>
    <t xml:space="preserve">AB-075</t>
  </si>
  <si>
    <t xml:space="preserve">Eleni's New York</t>
  </si>
  <si>
    <t xml:space="preserve">Eleni</t>
  </si>
  <si>
    <t xml:space="preserve">Gianopulos</t>
  </si>
  <si>
    <t xml:space="preserve">New York City brand, store page shows Whole Foods Market NoMad inside the cluster, news 201 days ago, revenue unknown, contact named.</t>
  </si>
  <si>
    <t xml:space="preserve">Moxie &amp; Co. and Eleni's launched licensed Chicka Chicka Boom Boom Alphabet Cookies (announced by Licensing International)</t>
  </si>
  <si>
    <t xml:space="preserve">https://licensinginternational.org/news/sweet-meets-storytime-moxie-co-and-elenis-cookies-launch-chicka-chicka-boom-boom-alphabet-cookies/</t>
  </si>
  <si>
    <t xml:space="preserve">2026-04-06</t>
  </si>
  <si>
    <t xml:space="preserve">https://elenis.com/pages/about-us</t>
  </si>
  <si>
    <t xml:space="preserve">find Eleni Gianopulos at Eleni's New York on LinkedIn and paste the profile URL (this also confirms the name: The Org is crowd-edited); the source is dated 2024-10-17: check Eleni still holds the role; before using the retailer line, check Whole Foods Market NoMad still lists it: https://www.wholefoodsmarket.com/search?text=Eleni%27s%20New%20York with your store set to NoMad (catalogs change daily)</t>
  </si>
  <si>
    <t xml:space="preserve">https://theorg.com/org/elenis/person/eleni-gianopulos</t>
  </si>
  <si>
    <t xml:space="preserve">Crisp Chocolate Chip Cookie 3.5 oz; Mini Crisp cookie pouches 4.5 oz</t>
  </si>
  <si>
    <t xml:space="preserve">cookies-baked</t>
  </si>
  <si>
    <t xml:space="preserve">https://elenis.com</t>
  </si>
  <si>
    <t xml:space="preserve">Brand FAQ: Everyday Crisp Cookies 'are awesome after 9 months post purchase' in original packaging; hand-iced sugar cookies and Color Me! cookies 6 months; Photo Cookies 2-3 months. Do not refrigerate.</t>
  </si>
  <si>
    <t xml:space="preserve">Whole Foods Market NoMad, 63 Madison Ave (store_selector, inside);Whole Foods Market Union Square, 4 Union Sq S (store_selector, inside);Westside Market, 84 3rd Ave (brand_claim, 1.0 blocks out);Westside Market, 77 7th Ave (brand_claim, 2.0 blocks out);Westside Market, 170 W 23rd St (brand_claim, 2.0 blocks out);Westside Market, 180 3rd Ave (brand_claim, 2.0 blocks out);Eden Gourmet Marketplace, 275 3rd Ave (brand_claim, 3.0 blocks out);Whole Foods Market Chelsea, 250 7th Ave (store_selector, 3.0 blocks out);D'Agostino, 341 3rd Ave (brand_claim, 3.5 blocks out);Gristedes, 225 8th Ave (brand_claim, 6.6 blocks out)</t>
  </si>
  <si>
    <t xml:space="preserve">Grocery stores nationwide; Whole Foods; Westside Market; D'Agostino; Gristedes (brand Stockist locator)</t>
  </si>
  <si>
    <t xml:space="preserve">https://www.wholefoodsmarket.com/api/search?text=eleni%27s&amp;store=10162&amp;limit=60&amp;offset=0; https://www.wholefoodsmarket.com/api/search?text=eleni%27s&amp;store=10773&amp;limit=60&amp;offset=0; https://www.wholefoodsmarket.com/api/search?text=eleni%27s&amp;store=10131&amp;limit=60&amp;offset=0; https://stockist.co/api/v1/u18710/locations/search?latitude=40.7397&amp;longitude=-73.9897&amp;distance=3&amp;units=km (data behind https://elenis.com/pages/store-locator)</t>
  </si>
  <si>
    <t xml:space="preserve">Eleni Gianopulos</t>
  </si>
  <si>
    <t xml:space="preserve">The Org (updated 2024-10-17): CEO. The brand about page (https://elenis.com/pages/about-us) names her as founder but spells "Gianopulous"; The Org and press spell "Gianopulos". Founder to confirm the spelling before any email lookup.</t>
  </si>
  <si>
    <t xml:space="preserve">https://www.instagram.com/elenisny/</t>
  </si>
  <si>
    <t xml:space="preserve">BR2:12</t>
  </si>
  <si>
    <t xml:space="preserve">Strong local fit: many cluster grocers on brand locator. Pouches are single packages but multi-serve (3.5 to 4.5 oz). Why-now date from Shopify publish dates; Chicka Chicka items are kids-licensed.</t>
  </si>
  <si>
    <t xml:space="preserve">shelf_stable &lt;- https://elenis.com/pages/faqs (2026-10-24, opened); shelf_stable_basis &lt;- https://elenis.com/pages/faqs (2026-10-24, opened); why_now &lt;- https://licensinginternational.org/news/sweet-meets-storytime-moxie-co-and-elenis-cookies-launch-chicka-chicka-boom-boom-alphabet-cookies/ (2026-10-24, opened); why_now_url &lt;- https://licensinginternational.org/news/sweet-meets-storytime-moxie-co-and-elenis-cookies-launch-chicka-chicka-boom-boom-alphabet-cookies/ (2026-10-24, opened); why_now_date &lt;- https://licensinginternational.org/news/sweet-meets-storytime-moxie-co-and-elenis-cookies-launch-chicka-chicka-boom-boom-alphabet-cookies/ (2026-10-24, opened); </t>
  </si>
  <si>
    <t xml:space="preserve">AB-070</t>
  </si>
  <si>
    <t xml:space="preserve">Raaka Chocolate</t>
  </si>
  <si>
    <t xml:space="preserve">Nathan</t>
  </si>
  <si>
    <t xml:space="preserve">Hodge</t>
  </si>
  <si>
    <t xml:space="preserve">CEO and co-founder</t>
  </si>
  <si>
    <t xml:space="preserve">New York City brand, store page shows Whole Foods Market Union Square inside the cluster, a new store listing 2 days ago, revenue unknown, contact named plus a marketing lead; founder review: claim-borderline.</t>
  </si>
  <si>
    <t xml:space="preserve">New limited-batch Chili Meltaways truffle box and Pumpkin Crunch Minis launched on brand site for fall 2026</t>
  </si>
  <si>
    <t xml:space="preserve">https://www.raakachocolate.com/</t>
  </si>
  <si>
    <t xml:space="preserve">https://www.raakachocolate.com/pages/our-story-process</t>
  </si>
  <si>
    <t xml:space="preserve">find Nathan Hodge at Raaka Chocolate on LinkedIn and paste the profile URL (this also confirms the name: The Org is crowd-edited); the source is dated 2024-10-31: check Nathan still holds the role; before using the retailer line, check Whole Foods Market Union Square still lists it: https://www.wholefoodsmarket.com/search?text=Raaka%20Chocolate with your store set to Union Square (catalogs change daily); founder review (claim-borderline): read founder_review_reason first</t>
  </si>
  <si>
    <t xml:space="preserve">https://theorg.com/org/raaka-chocolate/person/nathan-hodge</t>
  </si>
  <si>
    <t xml:space="preserve">Organic Coconut Chocolate Bar 1.8 oz; Coco Milk Mini 0.28 oz</t>
  </si>
  <si>
    <t xml:space="preserve">Brooklyn (Red Hook factory, 64 Seabring St)</t>
  </si>
  <si>
    <t xml:space="preserve">https://www.raakachocolate.com</t>
  </si>
  <si>
    <t xml:space="preserve">Sells a 'Functional' adaptogen and mushroom chocolate line (Day Break 'Focus &amp; Energy', Mellow Moon 'Rest &amp; Calm'); offer only the classic bars</t>
  </si>
  <si>
    <t xml:space="preserve">Brand wholesale FAQ: coconut-containing products (Coconut Milk, Oat Milk, Cocoa Magic, Holiday Hot Chocolates, Waffle Cone bars) have a 9 month shelf life; all non-coconut products have a 16 month shelf life.</t>
  </si>
  <si>
    <t xml:space="preserve">Gotham Coffee Roasters, 23 W 19th St (brand_claim, inside);Whole Foods Market NoMad, 63 Madison Ave (brand_claim, inside);Whole Foods Market Union Square, 4 Union Sq S (store_selector, inside);Bedford Cheese Shop, 67 Irving Pl (brand_claim, 0.9 blocks out);Cafe M, 315 5th Ave (brand_claim, 1.3 blocks out);Whole Foods Market Chelsea, 250 7th Ave (store_selector, 3.0 blocks out);Foragers City Grocer, 300 W 22nd St (brand_claim, 6.6 blocks out)</t>
  </si>
  <si>
    <t xml:space="preserve">Seed + Mill (brand_claim, 11.4 blocks out)</t>
  </si>
  <si>
    <t xml:space="preserve">Whole Foods; Amazon; ~1,700 locator entries (Storemapper)</t>
  </si>
  <si>
    <t xml:space="preserve">https://www.wholefoodsmarket.com/api/search?text=raaka&amp;store=10162&amp;limit=60&amp;offset=0; https://www.wholefoodsmarket.com/api/search?text=raaka&amp;store=10131&amp;limit=60&amp;offset=0; https://www.storemapper.co/api/users/1035/stores.js?callback=SMcallback2 (data behind https://www.raakachocolate.com/pages/store-locator)</t>
  </si>
  <si>
    <t xml:space="preserve">Nathan Hodge</t>
  </si>
  <si>
    <t xml:space="preserve">The Org (updated 2024-10-31): CEO since 2021; Head Chocolate Maker and Co-Founder from 2010. Brand story page names co-founders "Ryan and Nate". Replaces the unverified stage-1 surname.</t>
  </si>
  <si>
    <t xml:space="preserve">William Mullan</t>
  </si>
  <si>
    <t xml:space="preserve">William</t>
  </si>
  <si>
    <t xml:space="preserve">Mullan</t>
  </si>
  <si>
    <t xml:space="preserve">Brand Manager</t>
  </si>
  <si>
    <t xml:space="preserve">The Org (updated 2024-10-31): Brand Manager since 2014, HQ office. Two years since the page was updated.</t>
  </si>
  <si>
    <t xml:space="preserve">https://www.instagram.com/raakachocolate/</t>
  </si>
  <si>
    <t xml:space="preserve">BR2:7</t>
  </si>
  <si>
    <t xml:space="preserve">WFM NoMad catalog showed 0 Raaka hits on 2026-10-23 although the brand locator lists it, so NoMad is brand_claim only. Locator entries may be stale. Why-now date is the Shopify publish date of the Chili Meltaway product.</t>
  </si>
  <si>
    <t xml:space="preserve">shelf_stable &lt;- https://www.raakachocolate.com/pages/wholesale (2026-10-24, opened); shelf_stable_basis &lt;- https://www.raakachocolate.com/pages/wholesale (2026-10-24, opened); </t>
  </si>
  <si>
    <t xml:space="preserve">https://theorg.com/org/raaka-chocolate/person/william-mullan</t>
  </si>
  <si>
    <t xml:space="preserve">2024-10-31</t>
  </si>
  <si>
    <t xml:space="preserve">AB-071</t>
  </si>
  <si>
    <t xml:space="preserve">Fine &amp; Raw</t>
  </si>
  <si>
    <t xml:space="preserve">Daniel</t>
  </si>
  <si>
    <t xml:space="preserve">Sklaar</t>
  </si>
  <si>
    <t xml:space="preserve">Founder</t>
  </si>
  <si>
    <t xml:space="preserve">New York City brand, store page shows Whole Foods Market NoMad inside the cluster, a new store listing 9 days ago, revenue unknown, contact named; founder review: shelf life not stated.</t>
  </si>
  <si>
    <t xml:space="preserve">Launched Josh Cellars x FINE &amp; RAW pairing collection and 2026 Halloween boxes on brand store (Oct 2026); note the pairing is with a wine brand</t>
  </si>
  <si>
    <t xml:space="preserve">https://www.fineandraw.com/</t>
  </si>
  <si>
    <t xml:space="preserve">2026-10-15</t>
  </si>
  <si>
    <t xml:space="preserve">https://www.fineandraw.com/pages/about</t>
  </si>
  <si>
    <t xml:space="preserve">find Daniel Sklaar at Fine &amp; Raw on LinkedIn and paste the profile URL; before using the retailer line, check Whole Foods Market NoMad still lists it: https://www.wholefoodsmarket.com/search?text=Fine%20%26%20Raw with your store set to NoMad (catalogs change daily); founder review (shelf life or online store): read founder_review_reason first</t>
  </si>
  <si>
    <t xml:space="preserve">Sea Salt Dark Chocolate Bar 2 oz; Almond Chunky 1.5 oz</t>
  </si>
  <si>
    <t xml:space="preserve">https://www.fineandraw.com</t>
  </si>
  <si>
    <t xml:space="preserve">Wrapped chocolate bars sold ambient at Whole Foods and shipped worldwide; shelf-life figure not published (founder to confirm)</t>
  </si>
  <si>
    <t xml:space="preserve">Whole Foods Market NoMad, 63 Madison Ave (store_selector, inside);Whole Foods Market Union Square, 4 Union Sq S (store_selector, inside)</t>
  </si>
  <si>
    <t xml:space="preserve">https://www.wholefoodsmarket.com/api/search?text=fine%20and%20raw&amp;store=10162&amp;limit=60&amp;offset=0; https://www.wholefoodsmarket.com/api/search?text=fine%20and%20raw&amp;store=10773&amp;limit=60&amp;offset=0</t>
  </si>
  <si>
    <t xml:space="preserve">Daniel Sklaar</t>
  </si>
  <si>
    <t xml:space="preserve">Brand about page: established in 2007 by Daniel Sklaar; homepage signs "Daniel, Founder, chocolate maker".</t>
  </si>
  <si>
    <t xml:space="preserve">https://www.instagram.com/fineandraw/</t>
  </si>
  <si>
    <t xml:space="preserve">BR2:8</t>
  </si>
  <si>
    <t xml:space="preserve">Founded 2007 in Williamsburg. Some WFM listings are under 'Cowgirl Fine And Raw' (distributor naming). Not in WFM Chelsea catalog. Why-now date from Shopify publish date of the pairing products.</t>
  </si>
  <si>
    <t xml:space="preserve">AB-082</t>
  </si>
  <si>
    <t xml:space="preserve">Steve &amp; Andy's</t>
  </si>
  <si>
    <t xml:space="preserve">Steve</t>
  </si>
  <si>
    <t xml:space="preserve">Marino</t>
  </si>
  <si>
    <t xml:space="preserve">New York City brand, store page shows Whole Foods Market NoMad inside the cluster, a new store listing 36 days ago, revenue unknown, contact named.</t>
  </si>
  <si>
    <t xml:space="preserve">New Ginger Snap cookies and soft-baked Chocolate Chip boxes added to brand store, Aug to Sept 2026</t>
  </si>
  <si>
    <t xml:space="preserve">https://steveandandys.com/</t>
  </si>
  <si>
    <t xml:space="preserve">2026-09-18</t>
  </si>
  <si>
    <t xml:space="preserve">https://steveandandys.com/pages/about</t>
  </si>
  <si>
    <t xml:space="preserve">find Steve Marino at Steve &amp; Andy's on LinkedIn and paste the profile URL; before using the retailer line, check Whole Foods Market NoMad still lists it: https://www.wholefoodsmarket.com/search?text=Steve%20%26%20Andy%27s with your store set to NoMad (catalogs change daily)</t>
  </si>
  <si>
    <t xml:space="preserve">Organic Chocolate Chip Cookies 5.5 oz (gluten-free)</t>
  </si>
  <si>
    <t xml:space="preserve">https://steveandandys.com</t>
  </si>
  <si>
    <t xml:space="preserve">Brand FAQ: 'Shelf life is 270 days from date of production'; store at room temperature</t>
  </si>
  <si>
    <t xml:space="preserve">Whole Foods; nationwide (brand home page)</t>
  </si>
  <si>
    <t xml:space="preserve">https://www.wholefoodsmarket.com/api/search?text=steve%20andys&amp;store=10162&amp;limit=60&amp;offset=0; https://www.wholefoodsmarket.com/api/search?text=steve%20andys&amp;store=10773&amp;limit=60&amp;offset=0; https://www.wholefoodsmarket.com/api/search?text=steve%20andys&amp;store=10131&amp;limit=60&amp;offset=0</t>
  </si>
  <si>
    <t xml:space="preserve">Steve Marino</t>
  </si>
  <si>
    <t xml:space="preserve">Brand about page: "Founders Steve Marino and Arjan 'Andy' Khiani".</t>
  </si>
  <si>
    <t xml:space="preserve">Arjan Khiani</t>
  </si>
  <si>
    <t xml:space="preserve">Arjan</t>
  </si>
  <si>
    <t xml:space="preserve">Khiani</t>
  </si>
  <si>
    <t xml:space="preserve">co-founder or executive</t>
  </si>
  <si>
    <t xml:space="preserve">Goes by "Andy" per the brand about page.</t>
  </si>
  <si>
    <t xml:space="preserve">https://www.instagram.com/steveandandys/</t>
  </si>
  <si>
    <t xml:space="preserve">BR2:19</t>
  </si>
  <si>
    <t xml:space="preserve">Company name on site: Steve &amp; Andy's Organics Inc. Brand Stockist locator (u21490) returned 0 locations within 3 km of Union Square. Single-serve format not confirmed (5.5 oz boxes at WFM). Why-now date from Shopify publish dates.</t>
  </si>
  <si>
    <t xml:space="preserve">hq_city &lt;- https://steveandandys.com/policies/contact-information (2026-10-24, opened); </t>
  </si>
  <si>
    <t xml:space="preserve">AB-002</t>
  </si>
  <si>
    <t xml:space="preserve">Zack's Mighty</t>
  </si>
  <si>
    <t xml:space="preserve">Zack</t>
  </si>
  <si>
    <t xml:space="preserve">Gazzaniga</t>
  </si>
  <si>
    <t xml:space="preserve">New York City brand, store page shows Whole Foods Market NoMad inside the cluster, a new store listing 12 days ago, revenue unknown, contact named plus a marketing lead; founder review: format.</t>
  </si>
  <si>
    <t xml:space="preserve">Relaunched brand store with new variety packs (tortilla and rolled)</t>
  </si>
  <si>
    <t xml:space="preserve">https://zacksmighty.com/products/rolled-variety-pack</t>
  </si>
  <si>
    <t xml:space="preserve">2026-10-12</t>
  </si>
  <si>
    <t xml:space="preserve">https://zacksmighty.com</t>
  </si>
  <si>
    <t xml:space="preserve">find Zack Gazzaniga at Zack's Mighty on LinkedIn and paste the profile URL; before using the retailer line, check Whole Foods Market NoMad still lists it: https://www.wholefoodsmarket.com/search?text=Zack%27s%20Mighty with your store set to NoMad (catalogs change daily); founder review (format): read founder_review_reason first</t>
  </si>
  <si>
    <t xml:space="preserve">https://www.snackandbakery.com/articles/110099-zacks-mighty-reveals-first-ever-non-gmo-rolled-tortilla-chips</t>
  </si>
  <si>
    <t xml:space="preserve">Zack's Mighty Chile Lime Rolled Tortilla Chips, 6 oz</t>
  </si>
  <si>
    <t xml:space="preserve">chips-crisps</t>
  </si>
  <si>
    <t xml:space="preserve">Only share-size bags (6 to 7.5 oz) found; no single-serve pack seen, so the 50-units-per-office format needs a pack-size check</t>
  </si>
  <si>
    <t xml:space="preserve">format</t>
  </si>
  <si>
    <t xml:space="preserve">Series A (unverified, founder to confirm; CB Insights snippet in search results, not opened)</t>
  </si>
  <si>
    <t xml:space="preserve">https://cbinsights.com/company/zacks-mighty</t>
  </si>
  <si>
    <t xml:space="preserve">Bagged tortilla chips sold ambient</t>
  </si>
  <si>
    <t xml:space="preserve">Whole Foods Market; Costco (Southwest region, per trade press headline)</t>
  </si>
  <si>
    <t xml:space="preserve">https://www.wholefoodsmarket.com/search?text=zack%27s%20mighty (store context Union Square 10162 and NoMad 10773; IN_STOCK 2026-10-23)</t>
  </si>
  <si>
    <t xml:space="preserve">Zack Gazzaniga</t>
  </si>
  <si>
    <t xml:space="preserve">Article: founded in 2020 by Zack Gazzaniga. "CEO" from a Spoiler Alert case study seen in search results. | Stage 3 fix: Spot check round 6: the opened article says 'founded in 2020 by ... Zack Gazzaniga'; 'CEO' came only from a search result, so it is dropped until a page shows it.</t>
  </si>
  <si>
    <t xml:space="preserve">Kate Scofield</t>
  </si>
  <si>
    <t xml:space="preserve">Kate</t>
  </si>
  <si>
    <t xml:space="preserve">Scofield</t>
  </si>
  <si>
    <t xml:space="preserve">Senior Brand Manager</t>
  </si>
  <si>
    <t xml:space="preserve">The Org (updated 2026-05-30): Senior Brand Manager since 2026.</t>
  </si>
  <si>
    <t xml:space="preserve">BR1</t>
  </si>
  <si>
    <t xml:space="preserve">BR1:3</t>
  </si>
  <si>
    <t xml:space="preserve">Founded 2020 by Zack Gazzaniga, previously first hire and COO at Sir Kensington's (Snack Food &amp; Wholesale Bakery). Brooklyn HQ (356 Wythe Ave) appears only in a CB Insights search snippet. why_now date is Shopify published_at from products.json.</t>
  </si>
  <si>
    <t xml:space="preserve">hq_city &lt;- https://www.cbinsights.com/company/zacks-mighty (2026-10-24, opened); </t>
  </si>
  <si>
    <t xml:space="preserve">https://theorg.com/org/zacks-mighty/person/kate-scofield</t>
  </si>
  <si>
    <t xml:space="preserve">2026-05-30</t>
  </si>
  <si>
    <t xml:space="preserve">AB-233</t>
  </si>
  <si>
    <t xml:space="preserve">Simply Gum</t>
  </si>
  <si>
    <t xml:space="preserve">Caron</t>
  </si>
  <si>
    <t xml:space="preserve">Proschan</t>
  </si>
  <si>
    <t xml:space="preserve">New York City brand, store page shows Whole Foods Market NoMad inside the cluster, a new store listing 241 days ago, revenue unknown, contact named plus a marketing lead; founder review: claim-borderline.</t>
  </si>
  <si>
    <t xml:space="preserve">Launched Simply Sours, a sour hard candy line (Citrus Berry, Fruit Punch), announced 2026-02-25 and previewed at Natural Products Expo West; pouches added 2026-04-16 and a limited Halloween bundle 2026-09-09</t>
  </si>
  <si>
    <t xml:space="preserve">https://www.simplygum.com/blogs/news/introducing-simply-sours</t>
  </si>
  <si>
    <t xml:space="preserve">2026-02-25</t>
  </si>
  <si>
    <t xml:space="preserve">https://www.simplygum.com/pages/about</t>
  </si>
  <si>
    <t xml:space="preserve">find Caron Proschan at Simply Gum on LinkedIn and paste the profile URL; before using the retailer line, check Whole Foods Market NoMad still lists it: https://www.wholefoodsmarket.com/search?text=Simply%20Gum with your store set to NoMad (catalogs change daily); founder review (claim-borderline): read founder_review_reason first</t>
  </si>
  <si>
    <t xml:space="preserve">https://www.snackandbakery.com/articles/112597-video-simply-on-vegan-candy-treats</t>
  </si>
  <si>
    <t xml:space="preserve">Peppermint Gum 15 ct pack; Peppermint Mints (tins and individually wrapped)</t>
  </si>
  <si>
    <t xml:space="preserve">Brooklyn (privacy policy: Simply Gum, 630 Flushing Ave, #16, Brooklyn NY 11206)</t>
  </si>
  <si>
    <t xml:space="preserve">https://www.simplygum.com</t>
  </si>
  <si>
    <t xml:space="preserve">Gum and mints are a candy-adjacent fit for a snack drop; sugar-free line cites xylitol 'dental health benefits' on about page (check pack wording)</t>
  </si>
  <si>
    <t xml:space="preserve">Gum and mints sold ambient with Best By dates (FAQ); no shelf-life figure, founder to confirm</t>
  </si>
  <si>
    <t xml:space="preserve">Whole Foods Market (WFM catalog); Amazon; store locator (not machine-readable)</t>
  </si>
  <si>
    <t xml:space="preserve">https://www.wholefoodsmarket.com/api/search?text=simply%20gum&amp;store=10773&amp;limit=60&amp;offset=0; https://www.wholefoodsmarket.com/api/search?text=simply%20gum&amp;store=10162&amp;limit=60&amp;offset=0; https://www.wholefoodsmarket.com/api/search?text=simply%20gum&amp;store=10131&amp;limit=60&amp;offset=0; https://www.wholefoodsmarket.com/api/search?text=simply%20gum&amp;store=10713&amp;limit=60&amp;offset=0</t>
  </si>
  <si>
    <t xml:space="preserve">Caron Proschan</t>
  </si>
  <si>
    <t xml:space="preserve">Candy Industry 2024-12-06: "Caron Proschan, founder and CEO". The Org shows "Caron P., CEO".</t>
  </si>
  <si>
    <t xml:space="preserve">Jeannie Kim</t>
  </si>
  <si>
    <t xml:space="preserve">Jeannie</t>
  </si>
  <si>
    <t xml:space="preserve">Kim</t>
  </si>
  <si>
    <t xml:space="preserve">Vice President, Marketing</t>
  </si>
  <si>
    <t xml:space="preserve">The Org (updated 2024-10-31): VP Marketing since 2019. FoodNavigator 2022 (https://www.foodnavigator-usa.com/Article/2022/01/17/Simply-Gum-expands-into-gummies-chocolate-with-low-key-launches-featuring-clean-labels/) quotes her as vice president of marketing. No 2026 confirmation.</t>
  </si>
  <si>
    <t xml:space="preserve">https://www.instagram.com/simplygum</t>
  </si>
  <si>
    <t xml:space="preserve">BR4:28</t>
  </si>
  <si>
    <t xml:space="preserve">Female and AANHPI founded (about page). Plastic-free gum, mints, sours, gummies and chocolate. WFM store-scoped catalog lists 5-7 SKUs at each cluster store and flags them Local (2026-10-23).</t>
  </si>
  <si>
    <t xml:space="preserve">founder_name &lt;- https://www.snackandbakery.com/articles/112597-video-simply-on-vegan-candy-treats (2026-10-24, opened); founder_title &lt;- https://www.snackandbakery.com/articles/112597-video-simply-on-vegan-candy-treats (2026-10-24, opened); founder_profile_url &lt;- https://www.snackandbakery.com/articles/112597-video-simply-on-vegan-candy-treats (2026-10-24, opened); why_now &lt;- https://www.simplygum.com/blogs/news/introducing-simply-sours (2026-10-24, opened); why_now_url &lt;- https://www.simplygum.com/blogs/news/introducing-simply-sours (2026-10-24, opened); why_now_date &lt;- https://www.simplygum.com/blogs/news/introducing-simply-sours (2026-10-24, opened); hq_city &lt;- https://www.simplygum.com/policies/privacy-policy (2026-10-24, opened); hq_state &lt;- https://www.simplygum.com/policies/privacy-policy (2026-10-24, opened); marketing_name &lt;- https://www.foodnavigator-usa.com/Article/2022/01/17/Simply-Gum-expands-into-gummies-chocolate-with-low-key-launches-featuring-clean-labels/ (2026-10-24, opened); marketing_title &lt;- https://www.foodnavigator-usa.com/Article/2022/01/17/Simply-Gum-expands-into-gummies-chocolate-with-low-key-launches-featuring-clean-labels/ (2026-10-24, opened); marketing_profile_url &lt;- https://www.foodnavigator-usa.com/Article/2022/01/17/Simply-Gum-expands-into-gummies-chocolate-with-low-key-launches-featuring-clean-labels/ (2026-10-24, opened); </t>
  </si>
  <si>
    <t xml:space="preserve">https://theorg.com/org/simply-gum/person/jeannie-kim</t>
  </si>
  <si>
    <t xml:space="preserve">AB-111</t>
  </si>
  <si>
    <t xml:space="preserve">Harken Sweets</t>
  </si>
  <si>
    <t xml:space="preserve">Lefkowitz</t>
  </si>
  <si>
    <t xml:space="preserve">https://www.linkedin.com/in/katielefkowitz/</t>
  </si>
  <si>
    <t xml:space="preserve">New York City brand, store page shows Whole Foods Market NoMad inside the cluster, news 163 days ago, revenue unknown, contact named; founder review: claim-borderline, scale.</t>
  </si>
  <si>
    <t xml:space="preserve">Taste Tomorrow Ventures invested in Harken Sweets' seed round (joining Selva and Grtsht); brand at Sprouts, Whole Foods, Kroger, Costco, Walmart, Wegmans and others</t>
  </si>
  <si>
    <t xml:space="preserve">https://www.snackandbakery.com/articles/115735-taste-tomorrow-ventures-invests-in-harken-sweets</t>
  </si>
  <si>
    <t xml:space="preserve">2026-05-14</t>
  </si>
  <si>
    <t xml:space="preserve">https://harkensweets.com/pages/our-story</t>
  </si>
  <si>
    <t xml:space="preserve">before using the retailer line, check Whole Foods Market NoMad still lists it: https://www.wholefoodsmarket.com/search?text=Harken%20Sweets with your store set to NoMad (catalogs change daily); founder review (claim-borderline, scale): read founder_review_reason first</t>
  </si>
  <si>
    <t xml:space="preserve">https://startupcpg.transistor.fm/episodes/founder-feature-katie-lefkowitz-of-harken-sweets</t>
  </si>
  <si>
    <t xml:space="preserve">Snack-size Date Caramel Candy Bars, individually wrapped (20 or 30 count); The Lil Nutty Ones</t>
  </si>
  <si>
    <t xml:space="preserve">https://harkensweets.com</t>
  </si>
  <si>
    <t xml:space="preserve">Borderline gut wording: '14g of gut-lovin' prebiotic fiber' and 'nourishes your body'; prebiotic and no-sugar nutrient positioning; founder to decide if this crosses into a structure/function claim | Health-claim scan 2026-10-24: the homepage says 'Gut-Lovin' Naturally high in prebiotic fiber!' and 'Now date-sweetened and gut-friendly'. 'Gut-friendly' implies an effect on the body without stating one: decide before outreach whether that crosses the CONTRACTS line ('supports gut health' is excluded); the tent card must not repeat it; scale signal in the why-now ('Costco'): likely above the $10M band; ask at intake; 60-day shelf life not stated</t>
  </si>
  <si>
    <t xml:space="preserve">claim-borderline;scale</t>
  </si>
  <si>
    <t xml:space="preserve">Seed (Taste Tomorrow Ventures, Selva, Grtsht)</t>
  </si>
  <si>
    <t xml:space="preserve">Brand FAQ: products must stay at or below room temperature (heat-sensitive, no refrigeration stated); shelf-life figure not found</t>
  </si>
  <si>
    <t xml:space="preserve">Whole Foods; Stockist locator</t>
  </si>
  <si>
    <t xml:space="preserve">https://www.wholefoodsmarket.com/api/search?text=harken&amp;store=10162&amp;limit=60&amp;offset=0; https://www.wholefoodsmarket.com/api/search?text=harken&amp;store=10773&amp;limit=60&amp;offset=0; https://www.wholefoodsmarket.com/api/search?text=harken&amp;store=10131&amp;limit=60&amp;offset=0</t>
  </si>
  <si>
    <t xml:space="preserve">https://startupcpg.com/startup-cpg-newswire-harken-sweets-brings-its-plant-based-candy-bars-to-nearly-5000-doors-across-leading-retailers/</t>
  </si>
  <si>
    <t xml:space="preserve">Katie Lefkowitz</t>
  </si>
  <si>
    <t xml:space="preserve">Episode links on the Startup CPG podcast page and on https://karagoldin.com/podcasts/katie-lefkowitz/ both give this LinkedIn URL; LinkedIn not opened. The Org (harken-sweets) also lists her as Founder &amp; CEO.</t>
  </si>
  <si>
    <t xml:space="preserve">Shaila Garde-Lester</t>
  </si>
  <si>
    <t xml:space="preserve">Seen only in a search summary of a 2025 Nosh Expo West article; Nosh returned 403 so the page was not opened. Title may have changed.</t>
  </si>
  <si>
    <t xml:space="preserve">https://www.instagram.com/harkensweets/</t>
  </si>
  <si>
    <t xml:space="preserve">BR2:49</t>
  </si>
  <si>
    <t xml:space="preserve">Snack-size individually wrapped format is a strong pantry fit. Stockist locator (u20848) returned 0 locations within 3 km of Union Square. Shopify product feed not readable.</t>
  </si>
  <si>
    <t xml:space="preserve">hq_city &lt;- https://startupcpg.com/startup-cpg-newswire-harken-sweets-brings-its-plant-based-candy-bars-to-nearly-5000-doors-across-leading-retailers/ (2026-10-24, opened); hq_state &lt;- https://startupcpg.com/startup-cpg-newswire-harken-sweets-brings-its-plant-based-candy-bars-to-nearly-5000-doors-across-leading-retailers/ (2026-10-24, opened); founder_name &lt;- https://startupcpg.com/startup-cpg-newswire-harken-sweets-brings-its-plant-based-candy-bars-to-nearly-5000-doors-across-leading-retailers/ (2026-10-24, opened); founder_title &lt;- https://startupcpg.com/founders-funders-2025-recap/ (2026-10-24, opened); founder_profile_url &lt;- https://startupcpg.com/founders-funders-2025-recap/ (2026-10-24, opened); startup_cpg_member &lt;- https://startupcpg.com/startup-cpg-newswire-harken-sweets-brings-its-plant-based-candy-bars-to-nearly-5000-doors-across-leading-retailers/ (2026-10-24, opened); startup_cpg_evidence_url &lt;- https://startupcpg.com/startup-cpg-newswire-harken-sweets-brings-its-plant-based-candy-bars-to-nearly-5000-doors-across-leading-retailers/ (2026-10-24, opened); why_now &lt;- https://www.snackandbakery.com/articles/115735-taste-tomorrow-ventures-invests-in-harken-sweets (2026-10-24, opened); why_now_url &lt;- https://www.snackandbakery.com/articles/115735-taste-tomorrow-ventures-invests-in-harken-sweets (2026-10-24, opened); why_now_date &lt;- https://www.snackandbakery.com/articles/115735-taste-tomorrow-ventures-invests-in-harken-sweets (2026-10-24, opened); funding_stage &lt;- https://www.snackandbakery.com/articles/115735-taste-tomorrow-ventures-invests-in-harken-sweets (2026-10-24, opened); founder_review_reason &lt;- https://harkensweets.com (2026-10-24, stage 3 correction); </t>
  </si>
  <si>
    <t xml:space="preserve">https://www.nosh.com/news/2025/expo-west-harken-secures-cash-rustic-bakery-adds-cookies-bubbies-goes-green</t>
  </si>
  <si>
    <t xml:space="preserve">AB-003</t>
  </si>
  <si>
    <t xml:space="preserve">PRETZELIZED</t>
  </si>
  <si>
    <t xml:space="preserve">Sammy</t>
  </si>
  <si>
    <t xml:space="preserve">Kestenbaum</t>
  </si>
  <si>
    <t xml:space="preserve">Co-founder and CEO</t>
  </si>
  <si>
    <t xml:space="preserve">https://www.linkedin.com/in/samuel-kestenbaum-26154418/</t>
  </si>
  <si>
    <t xml:space="preserve">Northeast brand (HQ unverified), store page shows Whole Foods Market NoMad inside the cluster, news 80 days ago, revenue unknown, contact named; founder review: shelf life not stated.</t>
  </si>
  <si>
    <t xml:space="preserve">Launched limited-edition Pretzelized x Crayola Sea Salt Pretzel Snackers Multipack (10 single-serve bags) at Target and Whole Foods for back-to-school</t>
  </si>
  <si>
    <t xml:space="preserve">https://www.snackandbakery.com/articles/116147-pretzelized-crayola-team-up-for-back-to-school-snacking</t>
  </si>
  <si>
    <t xml:space="preserve">https://pretzelized.com</t>
  </si>
  <si>
    <t xml:space="preserve">before using the retailer line, check Whole Foods Market NoMad still lists it: https://www.wholefoodsmarket.com/search?text=PRETZELIZED with your store set to NoMad (catalogs change daily); founder review (shelf life or online store): read founder_review_reason first</t>
  </si>
  <si>
    <t xml:space="preserve">https://pretzelized.com/pages/press</t>
  </si>
  <si>
    <t xml:space="preserve">PRETZELIZED Sea Salt Pretzel Crackers Multipack 7.5 oz; Honey Mustard Pretzel Crackers 6.5 oz</t>
  </si>
  <si>
    <t xml:space="preserve">Fairfield (unverified, founder to confirm)</t>
  </si>
  <si>
    <t xml:space="preserve">no online store: buy path is the store only</t>
  </si>
  <si>
    <t xml:space="preserve">grp-003-024</t>
  </si>
  <si>
    <t xml:space="preserve">NJ</t>
  </si>
  <si>
    <t xml:space="preserve">northeast (unverified)</t>
  </si>
  <si>
    <t xml:space="preserve">unknown (incubated by 7 Mile Brands per trade press)</t>
  </si>
  <si>
    <t xml:space="preserve">Boxed/bagged baked pretzel crackers and pita chips sold ambient</t>
  </si>
  <si>
    <t xml:space="preserve">Whole Foods Market; ShopRite; Target; Costco (per press list)</t>
  </si>
  <si>
    <t xml:space="preserve">https://www.wholefoodsmarket.com/search?text=pretzelized (store context NoMad 10773 shows Sea Salt Multipack 7.5 oz, Honey Mustard, Cheddar; Union Square and Chelsea also IN_STOCK 2026-10-23)</t>
  </si>
  <si>
    <t xml:space="preserve">Sammy Kestenbaum</t>
  </si>
  <si>
    <t xml:space="preserve">Press page: "PRETZELIZED CEO Sammy Kestenbaum". Kara Goldin Show page (https://karagoldin.com/podcasts/sammy-kestembaum/, title "Co-Founder &amp; CEO of PRETZELIZED") links this LinkedIn URL; LinkedIn not opened.</t>
  </si>
  <si>
    <t xml:space="preserve">Caitlin Mack</t>
  </si>
  <si>
    <t xml:space="preserve">Stage 1 saw a LinkedIn post, about two months old, on joining PRETZELIZED as VP of Marketing. Conflict: Snack and Bakery (2025 Snack Producer of the Year) lists Caitlin Mack as VP of Marketing at LesserEvil (rank 44). She may have moved; confirm which brand she is at before contacting either.</t>
  </si>
  <si>
    <t xml:space="preserve">search result, not opened</t>
  </si>
  <si>
    <t xml:space="preserve">BR1:4</t>
  </si>
  <si>
    <t xml:space="preserve">Site footer entity: STILL SNACKIN INC. Fairfield NJ HQ appears in search-result snippets (LinkedIn, company directories) not opened. Multipack implies single-serve bags inside; confirm unit size. Press page lists a Crayola back-to-school collaboration (undated on page).</t>
  </si>
  <si>
    <t xml:space="preserve">why_now &lt;- https://www.snackandbakery.com/articles/116147-pretzelized-crayola-team-up-for-back-to-school-snacking (2026-10-24, opened); why_now_url &lt;- https://www.snackandbakery.com/articles/116147-pretzelized-crayola-team-up-for-back-to-school-snacking (2026-10-24, opened); why_now_date &lt;- https://www.snackandbakery.com/articles/116147-pretzelized-crayola-team-up-for-back-to-school-snacking (2026-10-24, opened); marketing_name &lt;- https://www.linkedin.com/in/dylan-lipari-98314087/ (2026-10-24, snippet-unverified); marketing_title &lt;- https://www.linkedin.com/in/dylan-lipari-98314087/ (2026-10-24, snippet-unverified); marketing_profile_url &lt;- https://www.linkedin.com/in/dylan-lipari-98314087/ (2026-10-24, snippet-unverified); founder_profile_url &lt;- https://www.linkedin.com/in/samuel-kestenbaum-26154418/ (2026-10-24, snippet-unverified); </t>
  </si>
  <si>
    <t xml:space="preserve">product pages point to Amazon; site prices show $0.00</t>
  </si>
  <si>
    <t xml:space="preserve">person 'caitlin mack' shared with AB-024</t>
  </si>
  <si>
    <t xml:space="preserve">AB-235</t>
  </si>
  <si>
    <t xml:space="preserve">Issa's</t>
  </si>
  <si>
    <t xml:space="preserve">Andrew</t>
  </si>
  <si>
    <t xml:space="preserve">Issa</t>
  </si>
  <si>
    <t xml:space="preserve">New York State brand, store page shows Whole Foods Market NoMad inside the cluster, a new store listing 95 days ago, revenue unknown, contact named.</t>
  </si>
  <si>
    <t xml:space="preserve">Launched Restaurant Style Garlic &amp; Herb and Sea Salt Cooked in Olive Oil pita chips (store listings added 2026-07-21; Garlic &amp; Herb published 2026-10-11), after a 10 oz Restaurant Style sampler (2026-05-20); homepage flags Garlic &amp; Herb 'BRAND NEW'</t>
  </si>
  <si>
    <t xml:space="preserve">https://www.issaspitachips.com/store?format=json</t>
  </si>
  <si>
    <t xml:space="preserve">https://www.issaspitachips.com/our-story</t>
  </si>
  <si>
    <t xml:space="preserve">find Andrew Issa at Issa's on LinkedIn and paste the profile URL; before using the retailer line, check Whole Foods Market NoMad still lists it: https://www.wholefoodsmarket.com/search?text=Issa%27s with your store set to NoMad (catalogs change daily)</t>
  </si>
  <si>
    <t xml:space="preserve">https://www.wkbw.com/news/local-news/believe-in-buffalo/buffalo-born-issas-makes-pita-chips-like-no-other-in-the-nation-using-family-recipe-and-flame-baking-process</t>
  </si>
  <si>
    <t xml:space="preserve">Classic Sea Salt Pita Chips 2 oz single-serve bag (30 per case, foodservice); Classic and Za'atar + Thyme 6 oz bags at WFM</t>
  </si>
  <si>
    <t xml:space="preserve">Buffalo</t>
  </si>
  <si>
    <t xml:space="preserve">https://www.issaspitachips.com</t>
  </si>
  <si>
    <t xml:space="preserve">nys</t>
  </si>
  <si>
    <t xml:space="preserve">family-owned (Our Story)</t>
  </si>
  <si>
    <t xml:space="preserve">Bagged baked pita chips sold ambient; no shelf-life figure published, founder to confirm</t>
  </si>
  <si>
    <t xml:space="preserve">ShopRite, 766 6th Ave (brand_claim, inside);Whole Foods Market NoMad, 63 Madison Ave (store_selector, inside);Whole Foods Market Union Square, 4 Union Sq S (store_selector, inside);Whole Foods Market Chelsea, 250 7th Ave (store_selector, 3.0 blocks out);LifeThyme Natural Market, 410 6th Ave (brand_claim, 5.0 blocks out);ShopRite, 550 2nd Ave (brand_claim, 7.0 blocks out)</t>
  </si>
  <si>
    <t xml:space="preserve">Whole Foods Market Manhattan West (store_selector, 13.8 blocks out);Chelsea Market Baskets (brand_claim, 11.4 blocks out)</t>
  </si>
  <si>
    <t xml:space="preserve">Whole Foods Market (WFM catalog); store locator page</t>
  </si>
  <si>
    <t xml:space="preserve">https://www.wholefoodsmarket.com/api/search?text=issa%27s%20pita&amp;store=10773&amp;limit=60&amp;offset=0; https://www.wholefoodsmarket.com/api/search?text=issa%27s%20pita&amp;store=10162&amp;limit=60&amp;offset=0; https://www.wholefoodsmarket.com/api/search?text=issa%27s%20pita&amp;store=10131&amp;limit=60&amp;offset=0; https://www.wholefoodsmarket.com/api/search?text=issa%27s%20pita&amp;store=10713&amp;limit=60&amp;offset=0; https://api.storepoint.co/v1/1601c03005546f/locations?lat=40.7411&amp;long=-73.9897&amp;radius=5</t>
  </si>
  <si>
    <t xml:space="preserve">Andrew Issa</t>
  </si>
  <si>
    <t xml:space="preserve">WKBW: "Andrew, and his brother James Issa, co-founded Issa's Baked Pita Chips in 2016".</t>
  </si>
  <si>
    <t xml:space="preserve">James Issa</t>
  </si>
  <si>
    <t xml:space="preserve">Same article.</t>
  </si>
  <si>
    <t xml:space="preserve">https://www.instagram.com/issasflamebaked</t>
  </si>
  <si>
    <t xml:space="preserve">BR4:30</t>
  </si>
  <si>
    <t xml:space="preserve">'The only flame baked pita chip on the market' (Our Story). Upstate NY family business. WFM lists 3-4 SKUs at every cluster store and flags them Local (2026-10-23). 6 oz bags are share size, not single-serve.</t>
  </si>
  <si>
    <t xml:space="preserve">nyc_retailers_near_cluster &lt;- https://api.storepoint.co/v1/1601c03005546f/locations?lat=40.7411&amp;long=-73.9897&amp;radius=5 (2026-10-24, opened); retailer_evidence_urls &lt;- https://www.issaspitachips.com/locator (2026-10-24, opened); founder_name &lt;- https://www.wkbw.com/news/local-news/believe-in-buffalo/buffalo-born-issas-makes-pita-chips-like-no-other-in-the-nation-using-family-recipe-and-flame-baking-process (2026-10-24, opened); founder_title &lt;- https://www.wkbw.com/news/local-news/believe-in-buffalo/buffalo-born-issas-makes-pita-chips-like-no-other-in-the-nation-using-family-recipe-and-flame-baking-process (2026-10-24, opened); founder_profile_url &lt;- https://www.wkbw.com/news/local-news/believe-in-buffalo/buffalo-born-issas-makes-pita-chips-like-no-other-in-the-nation-using-family-recipe-and-flame-baking-process (2026-10-24, opened); product_example &lt;- https://argo.webstaurantstore.com/issas-classic-sea-salt-pita-chips-2-oz-case/200ISSASS2.html (2026-10-24, opened); why_now &lt;- https://www.issaspitachips.com/store?format=json (2026-10-24, opened); why_now_url &lt;- https://www.issaspitachips.com/store?format=json (2026-10-24, opened); why_now_date &lt;- https://www.issaspitachips.com/store?format=json (2026-10-24, opened); </t>
  </si>
  <si>
    <t xml:space="preserve">AB-236</t>
  </si>
  <si>
    <t xml:space="preserve">Goody's Granola</t>
  </si>
  <si>
    <t xml:space="preserve">New York City brand, store page shows Whole Foods Market NoMad inside the cluster, a new store listing 18 days ago, revenue unknown, no contact named; founder review: other.</t>
  </si>
  <si>
    <t xml:space="preserve">Released a new granola line on its store: Honey Crunch, Frostberry Bite and Crowenilla Chunk (2026-09-18), then Amber Maple Pecan Crunch, Navy Midnight Cocoa Blend and Soft-Baked Crimson Berry (2026-10-06)</t>
  </si>
  <si>
    <t xml:space="preserve">https://goodysgranola.nyc/products.json?limit=250</t>
  </si>
  <si>
    <t xml:space="preserve">2026-10-06</t>
  </si>
  <si>
    <t xml:space="preserve">https://goodysgranola.nyc/</t>
  </si>
  <si>
    <t xml:space="preserve">no person named on an opened page: not ready; before using the retailer line, check Whole Foods Market NoMad still lists it: https://www.wholefoodsmarket.com/search?text=Goody%27s%20Granola with your store set to NoMad (catalogs change daily); founder review (other): read founder_review_reason first</t>
  </si>
  <si>
    <t xml:space="preserve">Honey Granola 4 oz bag</t>
  </si>
  <si>
    <t xml:space="preserve">other-snack</t>
  </si>
  <si>
    <t xml:space="preserve">Brooklyn (homepage: 'Brooklyn Baked', 'From Brooklyn to your local Whole Foods shelf')</t>
  </si>
  <si>
    <t xml:space="preserve">https://goodysgranola.nyc</t>
  </si>
  <si>
    <t xml:space="preserve">Granola is snack-adjacent; 4 oz bag is closer to single-serve than most</t>
  </si>
  <si>
    <t xml:space="preserve">Bagged granola sold ambient; homepage says no preservatives and gives no shelf life, founder to confirm</t>
  </si>
  <si>
    <t xml:space="preserve">Whole Foods Market NoMad, 63 Madison Ave (store_selector, inside)</t>
  </si>
  <si>
    <t xml:space="preserve">Whole Foods Market</t>
  </si>
  <si>
    <t xml:space="preserve">https://www.wholefoodsmarket.com/api/search?text=goodys%20granola&amp;store=10773&amp;limit=60&amp;offset=0; https://www.wholefoodsmarket.com/api/search?text=goodys%20granola&amp;store=10713&amp;limit=60&amp;offset=0</t>
  </si>
  <si>
    <t xml:space="preserve">BR4:31</t>
  </si>
  <si>
    <t xml:space="preserve">WFM lists 4 SKUs at NoMad and 1 at Manhattan West, flagged Local (2026-10-23). Site also sells a 'Soft Baked Selection'.</t>
  </si>
  <si>
    <t xml:space="preserve">why_now &lt;- https://goodysgranola.nyc/products.json?limit=250 (2026-10-24, opened); why_now_url &lt;- https://goodysgranola.nyc/products.json?limit=250 (2026-10-24, opened); why_now_date &lt;- https://goodysgranola.nyc/products.json?limit=250 (2026-10-24, opened); </t>
  </si>
  <si>
    <t xml:space="preserve">AB-077</t>
  </si>
  <si>
    <t xml:space="preserve">Fruition Chocolate Works</t>
  </si>
  <si>
    <t xml:space="preserve">Bryan</t>
  </si>
  <si>
    <t xml:space="preserve">Graham</t>
  </si>
  <si>
    <t xml:space="preserve">New York State brand, store page shows Whole Foods Market NoMad inside the cluster, news 242 days ago, revenue unknown, contact named; founder review: shelf life not stated.</t>
  </si>
  <si>
    <t xml:space="preserve">Opened a pop-up shop inside Leavitt &amp; Peirce, Harvard Square, Cambridge MA, planned to run through at least spring 2026</t>
  </si>
  <si>
    <t xml:space="preserve">https://www.bostonglobe.com/2026/02/24/lifestyle/fruition-chocolate-works-pop-up-shop</t>
  </si>
  <si>
    <t xml:space="preserve">2026-02-24</t>
  </si>
  <si>
    <t xml:space="preserve">https://www.fruitionchocolateworks.com/pages/our-story</t>
  </si>
  <si>
    <t xml:space="preserve">find Bryan Graham at Fruition Chocolate Works on LinkedIn and paste the profile URL; before using the retailer line, check Whole Foods Market NoMad still lists it: https://www.wholefoodsmarket.com/search?text=Fruition%20Chocolate%20Works with your store set to NoMad (catalogs change daily); founder review (shelf life or online store): read founder_review_reason first</t>
  </si>
  <si>
    <t xml:space="preserve">Dominican Nacional Dark 77% bar; Milk Chocolate Caramel Crunch bar</t>
  </si>
  <si>
    <t xml:space="preserve">Shokan</t>
  </si>
  <si>
    <t xml:space="preserve">https://www.fruitionchocolateworks.com</t>
  </si>
  <si>
    <t xml:space="preserve">Wrapped chocolate bars sold ambient at Whole Foods; shelf-life figure not published</t>
  </si>
  <si>
    <t xml:space="preserve">Cocoa Store, 15 E 18th St (brand_claim, inside);Whole Foods Market NoMad, 63 Madison Ave (store_selector, inside);Whole Foods Market Union Square, 4 Union Sq S (store_selector, inside)</t>
  </si>
  <si>
    <t xml:space="preserve">Chelsea Market Baskets (brand_claim, 11.4 blocks out);Whole Foods Market Manhattan West (brand_claim, 13.8 blocks out)</t>
  </si>
  <si>
    <t xml:space="preserve">Whole Foods; Taste NY Grand Central; Chelsea Market Baskets (brand Stockist locator)</t>
  </si>
  <si>
    <t xml:space="preserve">https://www.wholefoodsmarket.com/api/search?text=fruition&amp;store=10162&amp;limit=60&amp;offset=0; https://www.wholefoodsmarket.com/api/search?text=fruition&amp;store=10773&amp;limit=60&amp;offset=0; https://stockist.co/api/v1/u1288/locations/search?latitude=40.7397&amp;longitude=-73.9897&amp;distance=3&amp;units=km (data behind https://www.fruitionchocolateworks.com/pages/store-locator-1)</t>
  </si>
  <si>
    <t xml:space="preserve">Bryan Graham</t>
  </si>
  <si>
    <t xml:space="preserve">Our Story page: "Bryan Graham is the founder of Fruition Chocolate Works and Confectionery". Boston Globe 2026-02-24 agrees.</t>
  </si>
  <si>
    <t xml:space="preserve">Dahlia</t>
  </si>
  <si>
    <t xml:space="preserve">Title not stated (works in the business with founder Bryan Graham)</t>
  </si>
  <si>
    <t xml:space="preserve">first-name-only</t>
  </si>
  <si>
    <t xml:space="preserve">Boston Globe: "With his wife, Dahlia, they craft chocolate". Surname not printed (stage 1 assumed Graham); founder to confirm. | Stage 3 fix: Spot check round 6: the Boston Globe says only 'With his wife, Dahlia, they craft chocolate'; 'Co-owner' was an inference.</t>
  </si>
  <si>
    <t xml:space="preserve">https://www.instagram.com/fruitionchocolate/</t>
  </si>
  <si>
    <t xml:space="preserve">BR2:14</t>
  </si>
  <si>
    <t xml:space="preserve">New York State maker (Hudson Valley/Catskills). Nearest WFM with store_selector evidence is NoMad. Some confections include bourbon caramels; offer the bars. Why-now date from Shopify publish date.</t>
  </si>
  <si>
    <t xml:space="preserve">hq_city &lt;- https://www.fruitionchocolateworks.com/pages/about (2026-10-24, opened); founder_name &lt;- https://www.bostonglobe.com/2026/02/24/lifestyle/fruition-chocolate-works-pop-up-shop (2026-10-24, opened); founder_title &lt;- https://www.bostonglobe.com/2026/02/24/lifestyle/fruition-chocolate-works-pop-up-shop (2026-10-24, opened); why_now &lt;- https://www.bostonglobe.com/2026/02/24/lifestyle/fruition-chocolate-works-pop-up-shop (2026-10-24, opened); why_now_url &lt;- https://www.bostonglobe.com/2026/02/24/lifestyle/fruition-chocolate-works-pop-up-shop (2026-10-24, opened); why_now_date &lt;- https://www.bostonglobe.com/2026/02/24/lifestyle/fruition-chocolate-works-pop-up-shop (2026-10-24, opened); </t>
  </si>
  <si>
    <t xml:space="preserve">AB-226</t>
  </si>
  <si>
    <t xml:space="preserve">B-SIDES</t>
  </si>
  <si>
    <t xml:space="preserve">Yousuf</t>
  </si>
  <si>
    <t xml:space="preserve">Ahmed</t>
  </si>
  <si>
    <t xml:space="preserve">https://www.linkedin.com/in/yousufmahmed/</t>
  </si>
  <si>
    <t xml:space="preserve">New York City brand, brand locator shows Westside Market NYC 1.0 blocks outside it, news 158 days ago, revenue unknown, contact named; founder review: claim-borderline.</t>
  </si>
  <si>
    <t xml:space="preserve">Westside Market NYC, 84 3rd Ave</t>
  </si>
  <si>
    <t xml:space="preserve">brand_claim</t>
  </si>
  <si>
    <t xml:space="preserve">Closed $500K seed to scale Northeast retail; rebrand debuted April 2026</t>
  </si>
  <si>
    <t xml:space="preserve">https://startupcpg.com/startup-cpg-newswire-b-sides-closes-500k-seed-round-to-scale-retail-expansion/</t>
  </si>
  <si>
    <t xml:space="preserve">2026-05-19</t>
  </si>
  <si>
    <t xml:space="preserve">https://www.enjoybsides.com/</t>
  </si>
  <si>
    <t xml:space="preserve">the retailer line rests on the brand's own store locator: say 'your store locator lists ...'; founder review (claim-borderline): read founder_review_reason first</t>
  </si>
  <si>
    <t xml:space="preserve">Jalapeno Crunch Puffs, single bag ($3/bag; sold in 12-packs online)</t>
  </si>
  <si>
    <t xml:space="preserve">popcorn-puffs</t>
  </si>
  <si>
    <t xml:space="preserve">Brooklyn (privacy policy: 87 Saint Marks Place #1, Brooklyn, NY 11217)</t>
  </si>
  <si>
    <t xml:space="preserve">https://www.enjoybsides.com</t>
  </si>
  <si>
    <t xml:space="preserve">Nutrient-content claim ('5g Plant Protein'); top-9-allergen-free positioning</t>
  </si>
  <si>
    <t xml:space="preserve">seed ($500K, May 2026)</t>
  </si>
  <si>
    <t xml:space="preserve">Brand FAQ: 'Unopened bags of B-SIDES Crunch Puffs have a 1-year shelf life'; 12 single-serve bags per case</t>
  </si>
  <si>
    <t xml:space="preserve">Release says 'on track to achieve 5x topline revenue growth year-over-year' (no base figure)</t>
  </si>
  <si>
    <t xml:space="preserve">Westside Market NYC, 84 3rd Ave (brand_claim, 1.0 blocks out);Lincoln Market, 501 6th Ave (brand_claim, 1.2 blocks out);Westside Market NYC, 170 W 23rd St (brand_claim, 2.0 blocks out);Westside Market NYC, 77 7th Ave (brand_claim, 2.0 blocks out);Eden Gourmet Marketplace Gramercy Park, 275 3rd Ave (brand_claim, 3.0 blocks out);Elm Wellness West Village, 56 7th Ave (brand_claim, 3.0 blocks out);Greenwich Village Farms, 33 Greenwich Ave (brand_claim, 5.1 blocks out);West 4th Market Place, 361 6th Ave (brand_claim, 7.6 blocks out)</t>
  </si>
  <si>
    <t xml:space="preserve">Heavenly Food Market (brand_claim, 17.6 blocks out)</t>
  </si>
  <si>
    <t xml:space="preserve">Westside Market; Dumbo Market; Westerly Natural Market; 1,500+ Northeast doors expected (release)</t>
  </si>
  <si>
    <t xml:space="preserve">https://www.enjoybsides.com/pages/find-us; https://stockist.co/api/v1/map_g3yz85zq/locations/search?latitude=40.7411&amp;longitude=-73.9897&amp;distance=3&amp;distance_unit=mi</t>
  </si>
  <si>
    <t xml:space="preserve">Yousuf Ahmed</t>
  </si>
  <si>
    <t xml:space="preserve">Release: "Founded by former Goldman Sachs private wealth advisor Yousuf Ahmed". The LinkedIn URL is linked from the brand's own homepage (https://www.enjoybsides.com/, site data "sameAs"); LinkedIn not opened.</t>
  </si>
  <si>
    <t xml:space="preserve">BR4:21</t>
  </si>
  <si>
    <t xml:space="preserve">Upcycled-ingredient puffs (oat flour from oat-milk production). Homepage: '60,000+ Bags Crunched', '100-Day Guarantee'. Stockist locator (map_g3yz85zq) queried 2026-10-23 lists Westside Market 170 W 23rd St at about 0.35 mi from Flatiron. Strong local fit: already on shelf near the cluster and raising for Northeast retail.</t>
  </si>
  <si>
    <t xml:space="preserve">hq_city &lt;- https://www.enjoybsides.com/policies/privacy-policy (2026-10-24, opened); shelf_stable_basis &lt;- https://www.enjoybsides.com/pages/faq (2026-10-24, opened); </t>
  </si>
  <si>
    <t xml:space="preserve">AB-016</t>
  </si>
  <si>
    <t xml:space="preserve">Ella's Flats</t>
  </si>
  <si>
    <t xml:space="preserve">Ellen</t>
  </si>
  <si>
    <t xml:space="preserve">Macks</t>
  </si>
  <si>
    <t xml:space="preserve">Brand based outside the Northeast (HQ unverified), store page shows Whole Foods Market NoMad inside the cluster, news 116 days ago, revenue unknown, contact named.</t>
  </si>
  <si>
    <t xml:space="preserve">Boston Globe feature on the seed crackers: sold at Wegmans and Whole Foods; new mini flats and a lightly date-sweetened version</t>
  </si>
  <si>
    <t xml:space="preserve">https://www.bostonglobe.com/2026/06/30/lifestyle/ellas-flats-seed-cracker/</t>
  </si>
  <si>
    <t xml:space="preserve">https://www.ellasflats.com/pages/about</t>
  </si>
  <si>
    <t xml:space="preserve">find Ellen Macks at Ella's Flats on LinkedIn and paste the profile URL; before using the retailer line, check Whole Foods Market NoMad still lists it: https://www.wholefoodsmarket.com/search?text=Ella%27s%20Flats with your store set to NoMad (catalogs change daily)</t>
  </si>
  <si>
    <t xml:space="preserve">https://www.ellasflats.com/</t>
  </si>
  <si>
    <t xml:space="preserve">Ella's Flats Everything Snack Pack (20-pack singles); Sesame Crisp 4.8 oz</t>
  </si>
  <si>
    <t xml:space="preserve">Naples (search snippets: Press Hook profile and Naples FL press datelines; unverified, founder to confirm)</t>
  </si>
  <si>
    <t xml:space="preserve">https://www.ellasflats.com</t>
  </si>
  <si>
    <t xml:space="preserve">FL</t>
  </si>
  <si>
    <t xml:space="preserve">elsewhere (unverified)</t>
  </si>
  <si>
    <t xml:space="preserve">Baked seed crisps sold ambient; 20-count snack packs on brand store</t>
  </si>
  <si>
    <t xml:space="preserve">Whole Foods Market; PopUp Grocer</t>
  </si>
  <si>
    <t xml:space="preserve">https://www.wholefoodsmarket.com/search?text=ella%27s%20flats (store context Union Square 10162 and NoMad 10773: Sesame Crisp 4.8 oz, Everything 6 oz, Hemp 6.5 oz IN_STOCK 2026-10-23); https://popupgrocer.com/products/ellas-flats</t>
  </si>
  <si>
    <t xml:space="preserve">Ellen Macks</t>
  </si>
  <si>
    <t xml:space="preserve">Homepage: started by Ellen Macks in 2017. The Org (ellas-flats) lists her as Owner.</t>
  </si>
  <si>
    <t xml:space="preserve">https://instagram.com/ellasflats</t>
  </si>
  <si>
    <t xml:space="preserve">BR1:17</t>
  </si>
  <si>
    <t xml:space="preserve">HQ not stated on site or policies. Snack-pack format suits office drops. why_now is weak (Shopify published_at of a bundle).</t>
  </si>
  <si>
    <t xml:space="preserve">hq_state &lt;- https://www.bostonglobe.com/2026/06/30/lifestyle/ellas-flats-seed-cracker/ (2026-10-24, opened); hq_city &lt;- https://presshook.com/brands/ellas-flats (2026-10-24, snippet-unverified); why_now &lt;- https://www.bostonglobe.com/2026/06/30/lifestyle/ellas-flats-seed-cracker/ (2026-10-24, opened); why_now_url &lt;- https://www.bostonglobe.com/2026/06/30/lifestyle/ellas-flats-seed-cracker/ (2026-10-24, opened); why_now_date &lt;- https://www.bostonglobe.com/2026/06/30/lifestyle/ellas-flats-seed-cracker/ (2026-10-24, opened); </t>
  </si>
  <si>
    <t xml:space="preserve">AB-081</t>
  </si>
  <si>
    <t xml:space="preserve">Mezcla</t>
  </si>
  <si>
    <t xml:space="preserve">Griffin</t>
  </si>
  <si>
    <t xml:space="preserve">Spolansky</t>
  </si>
  <si>
    <t xml:space="preserve">New York City brand, store page shows Whole Foods Market NoMad inside the cluster, news 233 days ago, revenue unknown, contact named plus a marketing lead; founder review: claim-borderline, scale.</t>
  </si>
  <si>
    <t xml:space="preserve">Raised a $9.5M Series B led by Bluestein Ventures ($16.5M total); in 9,000+ US stores; plans to grow its marketing team</t>
  </si>
  <si>
    <t xml:space="preserve">https://www.greenqueen.com.hk/mezcla-plant-based-protein-bar-vegan-funding/</t>
  </si>
  <si>
    <t xml:space="preserve">https://eatmezcla.com/pages/about</t>
  </si>
  <si>
    <t xml:space="preserve">find Griffin Spolansky at Mezcla on LinkedIn and paste the profile URL (this also confirms the name: The Org is crowd-edited); before using the retailer line, check Whole Foods Market NoMad still lists it: https://www.wholefoodsmarket.com/search?text=Mezcla with your store set to NoMad (catalogs change daily); founder review (claim-borderline, scale): read founder_review_reason first</t>
  </si>
  <si>
    <t xml:space="preserve">https://theorg.com/org/mezcla/person/griffin-spolansky</t>
  </si>
  <si>
    <t xml:space="preserve">Mint Chocolate Protein Bar 1.4 oz (single); Hazelnut Chocolate Puff Crispy Bar</t>
  </si>
  <si>
    <t xml:space="preserve">bars</t>
  </si>
  <si>
    <t xml:space="preserve">https://eatmezcla.com</t>
  </si>
  <si>
    <t xml:space="preserve">Plant-based protein bar (nutrient-content positioning); scale signal in the why-now ('Series B'): likely above the $10M band; ask at intake; 60-day shelf life not stated</t>
  </si>
  <si>
    <t xml:space="preserve">Series B ($9.5M, Bluestein Ventures, March 2026)</t>
  </si>
  <si>
    <t xml:space="preserve">Single wrapped bars sold ambient at Whole Foods and shipped by mail; shelf-life figure not published</t>
  </si>
  <si>
    <t xml:space="preserve">Whole Foods; local stores and online retailers (brand home page)</t>
  </si>
  <si>
    <t xml:space="preserve">https://www.wholefoodsmarket.com/api/search?text=mezcla&amp;store=10162&amp;limit=60&amp;offset=0; https://www.wholefoodsmarket.com/api/search?text=mezcla&amp;store=10773&amp;limit=60&amp;offset=0; https://www.wholefoodsmarket.com/api/search?text=mezcla&amp;store=10131&amp;limit=60&amp;offset=0</t>
  </si>
  <si>
    <t xml:space="preserve">Griffin Spolansky</t>
  </si>
  <si>
    <t xml:space="preserve">The Org company chart lists "Co-Founder | CEO"; Green Queen article names founders Griffin Spolansky and Coco Sotelo. The Org now lists Coco Sotelo as Director of Corporate and Social Responsibility. One search found no LinkedIn URL.</t>
  </si>
  <si>
    <t xml:space="preserve">Michelle Brintnall Chester</t>
  </si>
  <si>
    <t xml:space="preserve">Michelle</t>
  </si>
  <si>
    <t xml:space="preserve">Brintnall Chester</t>
  </si>
  <si>
    <t xml:space="preserve">Vice President of Marketing</t>
  </si>
  <si>
    <t xml:space="preserve">The Org (updated 2026-09-06): VP of Marketing since 2026.</t>
  </si>
  <si>
    <t xml:space="preserve">https://www.instagram.com/eatmezcla/</t>
  </si>
  <si>
    <t xml:space="preserve">BR2:18</t>
  </si>
  <si>
    <t xml:space="preserve">LinkedIn snippets: a new VP of Marketing joined Mezcla about two months ago, but the snippets attribute the announcement inconsistently (one shows the name Michelle Brintnall Chester), so no marketing_name is recorded. Griffin Spolansky's LinkedIn: https://www.linkedin.com/in/griffinspolansky/ (not opened).</t>
  </si>
  <si>
    <t xml:space="preserve">hq_city &lt;- https://eatmezcla.com/policies/terms-of-service (2026-10-24, opened); hq_state &lt;- https://eatmezcla.com/policies/terms-of-service (2026-10-24, opened); founder_name &lt;- https://www.greenqueen.com.hk/mezcla-plant-based-protein-bar-vegan-funding/ (2026-10-24, opened); founder_title &lt;- https://shelfhelppodcast.buzzsprout.com/2457035/episodes/19101177-griffin-spolansky-scaling-mezcla-from-boston-bodegas-to-9-000-doors (2026-10-24, opened); founder_profile_url &lt;- https://shelfhelppodcast.buzzsprout.com/2457035/episodes/19101177-griffin-spolansky-scaling-mezcla-from-boston-bodegas-to-9-000-doors (2026-10-24, opened); why_now &lt;- https://www.greenqueen.com.hk/mezcla-plant-based-protein-bar-vegan-funding/ (2026-10-24, opened); why_now_url &lt;- https://www.greenqueen.com.hk/mezcla-plant-based-protein-bar-vegan-funding/ (2026-10-24, opened); why_now_date &lt;- https://www.greenqueen.com.hk/mezcla-plant-based-protein-bar-vegan-funding/ (2026-10-24, opened); funding_stage &lt;- https://www.greenqueen.com.hk/mezcla-plant-based-protein-bar-vegan-funding/ (2026-10-24, opened); notes &lt;- https://www.linkedin.com/company/eat-mezcla (2026-10-24, snippet-unverified); </t>
  </si>
  <si>
    <t xml:space="preserve">https://theorg.com/org/mezcla/person/michelle-brintnall-chester</t>
  </si>
  <si>
    <t xml:space="preserve">2026-09-06</t>
  </si>
  <si>
    <t xml:space="preserve">AB-210</t>
  </si>
  <si>
    <t xml:space="preserve">Treat House</t>
  </si>
  <si>
    <t xml:space="preserve">Chris</t>
  </si>
  <si>
    <t xml:space="preserve">Russell</t>
  </si>
  <si>
    <t xml:space="preserve">Co-founder and co-owner</t>
  </si>
  <si>
    <t xml:space="preserve">New York City brand, store page shows Whole Foods Market NoMad inside the cluster, no dated why-now in the last 12 months, revenue unknown, contact named; founder review: other.</t>
  </si>
  <si>
    <t xml:space="preserve">https://treathouse.com/</t>
  </si>
  <si>
    <t xml:space="preserve">find Chris Russell at Treat House on LinkedIn and paste the profile URL; the source is dated 2015: check Chris still holds the role; before using the retailer line, check Whole Foods Market NoMad still lists it: https://www.wholefoodsmarket.com/search?text=Treat%20House with your store set to NoMad (catalogs change daily); founder review (other): read founder_review_reason first</t>
  </si>
  <si>
    <t xml:space="preserve">https://www.dnainfo.com/new-york/20150720/upper-east-side/gourmet-rice-krispies-treats-eatery-opens-on-ues-with-adults-mind/</t>
  </si>
  <si>
    <t xml:space="preserve">S'mores Rice Crispy Treat 3.2 oz single (WFM listing); Treat Bars and Classic Packs online</t>
  </si>
  <si>
    <t xml:space="preserve">Woodside, Queens (privacy policy: 3258 62nd Street, Woodside NY 11377)</t>
  </si>
  <si>
    <t xml:space="preserve">https://treathouse.com/collections/all</t>
  </si>
  <si>
    <t xml:space="preserve">Shelf life and storage not published; confirm 60+ days ambient before qualifying</t>
  </si>
  <si>
    <t xml:space="preserve">https://treathouse.com</t>
  </si>
  <si>
    <t xml:space="preserve">Brand product copy: bars are 'individually wrapped and will stay fresh for months'; deluxe donut boxes: 'individually wrapped for an extended 6 month shelf life' | brand product copy; founder to confirm 60+ days at delivery</t>
  </si>
  <si>
    <t xml:space="preserve">Whole Foods Market NoMad, 63 Madison Ave (store_selector, inside);Whole Foods Market Chelsea, 250 7th Ave (store_selector, 3.0 blocks out)</t>
  </si>
  <si>
    <t xml:space="preserve">Whole Foods Market (WFM catalog); wholesale and corporate gifting programs (brand site)</t>
  </si>
  <si>
    <t xml:space="preserve">https://www.wholefoodsmarket.com/api/search?text=treat%20house&amp;store=10773&amp;limit=60&amp;offset=0; https://www.wholefoodsmarket.com/api/search?text=treat%20house&amp;store=10131&amp;limit=60&amp;offset=0; https://www.wholefoodsmarket.com/api/search?text=treat%20house&amp;store=10713&amp;limit=60&amp;offset=0</t>
  </si>
  <si>
    <t xml:space="preserve">Chris Russell</t>
  </si>
  <si>
    <t xml:space="preserve">DNAinfo 2015: "the owners of Treat House, Chris and Jennifer Russell". Untapped Cities article (stage 1 source) names Chris, a chef, as the maker. Sources are 2015 to 2017.</t>
  </si>
  <si>
    <t xml:space="preserve">Jennifer Russell</t>
  </si>
  <si>
    <t xml:space="preserve">Jennifer</t>
  </si>
  <si>
    <t xml:space="preserve">Creators 2017: "Jennifer Russell is the co-founder and co-creator of Treat House".</t>
  </si>
  <si>
    <t xml:space="preserve">BR4:5</t>
  </si>
  <si>
    <t xml:space="preserve">Origin story: bake sale on the Upper West Side started by the founders' two kids (homepage). Has a Corporate Gifting page, so already sells to offices. Certified gluten-free logo on homepage. Not in WFM Union Square catalog on 2026-10-23.</t>
  </si>
  <si>
    <t xml:space="preserve">shelf_stable &lt;- https://treathouse.com/products.json?limit=250 (2026-10-24, opened); shelf_stable_basis &lt;- https://treathouse.com/products.json?limit=250 (2026-10-24, opened); founder_name &lt;- https://www.untappedcities.com/treat-house-rice-krispie-treat-store-opens-upper-west-side/ (2026-10-24, opened); founder_title &lt;- https://www.untappedcities.com/treat-house-rice-krispie-treat-store-opens-upper-west-side/ (2026-10-24, opened); founder_profile_url &lt;- https://www.untappedcities.com/treat-house-rice-krispie-treat-store-opens-upper-west-side/ (2026-10-24, opened); hq_city &lt;- https://treathouse.com/policies/privacy-policy (2026-10-24, opened); </t>
  </si>
  <si>
    <t xml:space="preserve">https://www.creators.com/read/this-womans-work/08/17/giving-back-with-love-and-chocolate-an-interview-with-jennifer-russell</t>
  </si>
  <si>
    <t xml:space="preserve">2015</t>
  </si>
  <si>
    <t xml:space="preserve">AB-266</t>
  </si>
  <si>
    <t xml:space="preserve">Gigantic (Candy Deluxe)</t>
  </si>
  <si>
    <t xml:space="preserve">Stu</t>
  </si>
  <si>
    <t xml:space="preserve">Davidoff</t>
  </si>
  <si>
    <t xml:space="preserve">New York State brand, brand locator shows Fairway Market inside the cluster, news 118 days ago, revenue unknown, contact named; founder review: other.</t>
  </si>
  <si>
    <t xml:space="preserve">Fairway Market, 766 6th Ave</t>
  </si>
  <si>
    <t xml:space="preserve">Exhibited Candy Deluxe at the 2026 Summer Fancy Food Show in the Startup CPG pavilion (NYC)</t>
  </si>
  <si>
    <t xml:space="preserve">https://startupcpg.com/startup-cpg-pavilion-at-summer-fancy-food-2026/</t>
  </si>
  <si>
    <t xml:space="preserve">2026-06-28</t>
  </si>
  <si>
    <t xml:space="preserve">https://events.specialtyfood.com/event/2026-summer-fancy-food-show/exhibitor/RXhoaWJpdG9yXzI0NDM1ODU=</t>
  </si>
  <si>
    <t xml:space="preserve">find Stu Davidoff at Gigantic (Candy Deluxe) on LinkedIn and paste the profile URL; the retailer line rests on the brand's own store locator: say 'your store locator lists ...'; founder review (other): read founder_review_reason first</t>
  </si>
  <si>
    <t xml:space="preserve">https://gritdaily.com/gigantic-candy-deluxe-smaller-deliberate-candy/</t>
  </si>
  <si>
    <t xml:space="preserve">Candy Deluxe Salted Peanut bar (dark chocolate, brown sugar caramel)</t>
  </si>
  <si>
    <t xml:space="preserve">https://giganticcandy.com</t>
  </si>
  <si>
    <t xml:space="preserve">Founder and HQ city not named on any page opened; pack size and per-bar price not confirmed (site sells $39 packs)</t>
  </si>
  <si>
    <t xml:space="preserve">Wrapped chocolate-caramel candy bar sold ambient online and in grocery; shelf life not stated on site</t>
  </si>
  <si>
    <t xml:space="preserve">No sourced sales figure found</t>
  </si>
  <si>
    <t xml:space="preserve">Fairway Market, 766 6th Ave (brand_claim, inside);Fairway Market, 550 2nd Ave (brand_claim, 7.0 blocks out);Casa Magazines, 22 8th Ave (brand_claim, 9.5 blocks out)</t>
  </si>
  <si>
    <t xml:space="preserve">Fairway Market; Gourmet Garage; Casa Magazines; Happier Grocery; The Goods Mart (brand Stockist locator)</t>
  </si>
  <si>
    <t xml:space="preserve">https://stockist.co/api/v1/u19294/locations/search?latitude=40.7411&amp;longitude=-73.9897&amp;distance=5 (widget tag on https://giganticcandy.com/pages/store-locator)</t>
  </si>
  <si>
    <t xml:space="preserve">Stu Davidoff</t>
  </si>
  <si>
    <t xml:space="preserve">Grit Daily: "Gigantic was founded by Stu Davidoff". The brand's Presshook page (https://www.presshook.com/brands/gigantic/) calls him a lifelong New Yorker; HQ is still unknown in the table.</t>
  </si>
  <si>
    <t xml:space="preserve">https://www.instagram.com/giganticcandy/</t>
  </si>
  <si>
    <t xml:space="preserve">BR5</t>
  </si>
  <si>
    <t xml:space="preserve">BR5:2</t>
  </si>
  <si>
    <t xml:space="preserve">Found via SFFS 2026 exhibitor directory (Gigantic LLC, State: New York) and the Startup CPG SFFS pavilion list. Fairway 766 6th Ave sits inside the cluster per the brand's own Stockist locator. Products.json shows four flavors published 2025-08-25. SFFS 2026 ran June 28 to 30, 2026 per https://startupcpg.com/startup-cpg-pavilion-at-summer-fancy-food-2026/ (opened 2026-10-24).</t>
  </si>
  <si>
    <t xml:space="preserve">AB-001</t>
  </si>
  <si>
    <t xml:space="preserve">BjornQorn</t>
  </si>
  <si>
    <t xml:space="preserve">Bjorn</t>
  </si>
  <si>
    <t xml:space="preserve">Quenemoen</t>
  </si>
  <si>
    <t xml:space="preserve">New York State brand, store page shows Whole Foods Market NoMad inside the cluster, a new store listing 316 days ago, revenue unknown, contact named.</t>
  </si>
  <si>
    <t xml:space="preserve">New flavor BjornQorn Ruby added to brand online store</t>
  </si>
  <si>
    <t xml:space="preserve">https://bjornqorn.com/products/bjornqorn-ruby</t>
  </si>
  <si>
    <t xml:space="preserve">2025-12-12</t>
  </si>
  <si>
    <t xml:space="preserve">https://bjornqorn.com/pages/about</t>
  </si>
  <si>
    <t xml:space="preserve">find Bjorn Quenemoen at BjornQorn on LinkedIn and paste the profile URL; before using the retailer line, check Whole Foods Market NoMad still lists it: https://www.wholefoodsmarket.com/search?text=BjornQorn with your store set to NoMad (catalogs change daily)</t>
  </si>
  <si>
    <t xml:space="preserve">BjornQorn Sun-Popped Corn, Classic, 1 oz bag (also 3 oz)</t>
  </si>
  <si>
    <t xml:space="preserve">Kerhonkson</t>
  </si>
  <si>
    <t xml:space="preserve">https://bjornqorn.com</t>
  </si>
  <si>
    <t xml:space="preserve">Sealed bagged popcorn sold ambient online (15 x 1 oz packs) and in WFM grocery aisle; brand states allergen-free facility</t>
  </si>
  <si>
    <t xml:space="preserve">Whole Foods Market; Eataly (Boston, NYC, LA per 2019 press); Vitacost; BKLYN Larder; Faire wholesale</t>
  </si>
  <si>
    <t xml:space="preserve">https://www.wholefoodsmarket.com/search?text=bjornqorn (store context Union Square 10162, NoMad 10773, Chelsea 10131 set via site store selector; IN_STOCK 2026-10-23; not listed for Austin Lamar store, negative control)</t>
  </si>
  <si>
    <t xml:space="preserve">Bjorn Quenemoen</t>
  </si>
  <si>
    <t xml:space="preserve">Modern Farmer via EcoWatch (2019): Bjorn Quenemoen and Jamie O'Shea, popcorn makers. | Stage 3 fix: Spot check round 6: the 2019 EcoWatch article calls the two 'popcorn makers'; the brand's own About page (opened 2026-10-24) presents 'BJORN &amp; JAMIE' as the people who started it. Better source.</t>
  </si>
  <si>
    <t xml:space="preserve">Jamie O'Shea</t>
  </si>
  <si>
    <t xml:space="preserve">Jamie</t>
  </si>
  <si>
    <t xml:space="preserve">O'Shea</t>
  </si>
  <si>
    <t xml:space="preserve">Stage 1 had him in the marketing slot; the page says co-founder only, so moved to backup. | Stage 3 fix: Spot check round 6: as above.</t>
  </si>
  <si>
    <t xml:space="preserve">BR1:2</t>
  </si>
  <si>
    <t xml:space="preserve">Hudson Valley solar-popped popcorn. 2019 press (Modern Farmer via EcoWatch) says popcorn is stocked in the staff pantries of Colbert and SNL, a strong office-pantry proof point. Office across from Kelder's Farm, Kerhonkson NY per same article. why_now date is the Shopify published_at date of the product (products.json), opened 2026-10-23. 1 oz bag seen only in Union Square context.</t>
  </si>
  <si>
    <t xml:space="preserve">AB-027</t>
  </si>
  <si>
    <t xml:space="preserve">Biena</t>
  </si>
  <si>
    <t xml:space="preserve">Poorvi</t>
  </si>
  <si>
    <t xml:space="preserve">Patodia</t>
  </si>
  <si>
    <t xml:space="preserve">Northeast brand, store page shows Whole Foods Market NoMad inside the cluster, a new store listing 5 days ago, revenue unknown, contact named plus a marketing lead; founder review: claim-borderline.</t>
  </si>
  <si>
    <t xml:space="preserve">Launched 1.05 oz single-serve edamame 9-packs (Himalayan Pink Salt, Chili Lime, Ranch) and Dill Pickle Edamame on brand store</t>
  </si>
  <si>
    <t xml:space="preserve">https://bienasnacks.com/products/edamame-chili-lime-1-05oz-9ct</t>
  </si>
  <si>
    <t xml:space="preserve">https://bienasnacks.com/pages/our-story</t>
  </si>
  <si>
    <t xml:space="preserve">find Poorvi Patodia at Biena on LinkedIn and paste the profile URL; before using the retailer line, check Whole Foods Market NoMad still lists it: https://www.wholefoodsmarket.com/search?text=Biena with your store set to NoMad (catalogs change daily); founder review (claim-borderline): read founder_review_reason first</t>
  </si>
  <si>
    <t xml:space="preserve">Biena Roasted Edamame, Chili Lime 1.05 oz (9-count); Roasted Chickpeas Sea Salt 5 oz</t>
  </si>
  <si>
    <t xml:space="preserve">Boston</t>
  </si>
  <si>
    <t xml:space="preserve">https://bienasnacks.com</t>
  </si>
  <si>
    <t xml:space="preserve">Positioned 'Packed with Protein + Fiber' (nutrient-content claims in site title and product names)</t>
  </si>
  <si>
    <t xml:space="preserve">MA</t>
  </si>
  <si>
    <t xml:space="preserve">northeast</t>
  </si>
  <si>
    <t xml:space="preserve">Dry-roasted chickpea and edamame snacks in sealed bags, ambient</t>
  </si>
  <si>
    <t xml:space="preserve">https://www.wholefoodsmarket.com/search?text=biena (store context Union Square 10162 and NoMad 10773: roasted chickpeas and edamame IN_STOCK 2026-10-23)</t>
  </si>
  <si>
    <t xml:space="preserve">Poorvi Patodia</t>
  </si>
  <si>
    <t xml:space="preserve">Our Story page.</t>
  </si>
  <si>
    <t xml:space="preserve">Samantha Sieloff</t>
  </si>
  <si>
    <t xml:space="preserve">Samantha</t>
  </si>
  <si>
    <t xml:space="preserve">Sieloff</t>
  </si>
  <si>
    <t xml:space="preserve">Director of Brand Marketing</t>
  </si>
  <si>
    <t xml:space="preserve">The Org (updated 2024-11-12): Director of Brand Marketing since 2023.</t>
  </si>
  <si>
    <t xml:space="preserve">BR1:28</t>
  </si>
  <si>
    <t xml:space="preserve">Legume snack (chickpea, edamame); category other-snack. HQ not stated on site or policy pages. why_now dates are Shopify published_at.</t>
  </si>
  <si>
    <t xml:space="preserve">hq_city &lt;- https://bienasnacks.com/policies/refund-policy (2026-10-24, opened); hq_state &lt;- https://bienasnacks.com/policies/refund-policy (2026-10-24, opened); </t>
  </si>
  <si>
    <t xml:space="preserve">https://theorg.com/org/biena-snacks/person/samantha-sieloff</t>
  </si>
  <si>
    <t xml:space="preserve">2024-11-12</t>
  </si>
  <si>
    <t xml:space="preserve">AB-207</t>
  </si>
  <si>
    <t xml:space="preserve">Stiller's Soda</t>
  </si>
  <si>
    <t xml:space="preserve">Alex</t>
  </si>
  <si>
    <t xml:space="preserve">Doman</t>
  </si>
  <si>
    <t xml:space="preserve">New York City brand, store page shows Whole Foods Market NoMad inside the cluster, news 208 days ago, revenue unknown, contact named; founder review: scale, claim-borderline.</t>
  </si>
  <si>
    <t xml:space="preserve">Launched fourth flavor Shirley Cola into Walmart and Whole Foods in the Northeast and Target nationwide</t>
  </si>
  <si>
    <t xml:space="preserve">https://www.bevindustry.com/articles/98256-stillers-soda-shirley-cola</t>
  </si>
  <si>
    <t xml:space="preserve">2026-03-30</t>
  </si>
  <si>
    <t xml:space="preserve">https://stillerssoda.com/</t>
  </si>
  <si>
    <t xml:space="preserve">find Alex Doman at Stiller's Soda on LinkedIn and paste the profile URL; before using the retailer line, check Whole Foods Market NoMad still lists it: https://www.wholefoodsmarket.com/search?text=Stiller%27s%20Soda with your store set to NoMad (catalogs change daily); founder review (scale, claim-borderline): read founder_review_reason first</t>
  </si>
  <si>
    <t xml:space="preserve">https://www.foodbusinessnews.net/articles/29686-the-goldilocks-of-soda</t>
  </si>
  <si>
    <t xml:space="preserve">Shirley Temple Soda 12 fl oz can (also Root Beer, Lemon Lime, Shirley Cola)</t>
  </si>
  <si>
    <t xml:space="preserve">Brooklyn (privacy policy: 184 Kent Avenue, B514, Brooklyn, NY 11249)</t>
  </si>
  <si>
    <t xml:space="preserve">https://stillerssoda.com</t>
  </si>
  <si>
    <t xml:space="preserve">Nutrient-content claims ('Only 30 Calories', 'low in calories'); celebrity co-founder (Ben Stiller) may mean a larger marketing budget than the target profile</t>
  </si>
  <si>
    <t xml:space="preserve">scale;claim-borderline</t>
  </si>
  <si>
    <t xml:space="preserve">Canned carbonated soft drink sold in ambient soda aisle (WFM lists 12 FZ cans); no shelf-life figure published, founder to confirm 60+ days</t>
  </si>
  <si>
    <t xml:space="preserve">Fairway Market Chelsea, 55 W 25th St (brand_claim, inside);Whole Foods Market NoMad, 63 Madison Ave (store_selector, inside);Whole Foods Market Union Square, 4 Union Sq S (store_selector, inside);Merci Market, 59 5th Ave (brand_claim, 1.0 blocks out);West Side Market, 170 W 23rd St (brand_claim, 2.0 blocks out);West Side Market, 180 3rd Ave (brand_claim, 2.0 blocks out);Whole Foods Market Chelsea, 250 7th Ave (store_selector, 3.0 blocks out);Citarella West Village, 424 6th Ave (brand_claim, 4.0 blocks out);Chelsea Fine Food, 300 8th Ave (brand_claim, 5.9 blocks out);Fairway Market Kips Bay, 580 2nd Ave (brand_claim, 7.0 blocks out)</t>
  </si>
  <si>
    <t xml:space="preserve">Whole Foods Market; Walmart; Target; Amazon; Katz's Deli (BevNET/QSR headlines, search results)</t>
  </si>
  <si>
    <t xml:space="preserve">https://www.wholefoodsmarket.com/api/search?text=stiller%27s%20soda&amp;store=10773&amp;limit=60&amp;offset=0; https://www.wholefoodsmarket.com/api/search?text=stiller%27s%20soda&amp;store=10162&amp;limit=60&amp;offset=0; https://www.wholefoodsmarket.com/api/search?text=stiller%27s%20soda&amp;store=10131&amp;limit=60&amp;offset=0; https://stockist.co/api/v1/map_63vzj673/locations/search?latitude=40.7411&amp;longitude=-73.9897&amp;distance=3&amp;distance_unit=mi</t>
  </si>
  <si>
    <t xml:space="preserve">Alex Doman</t>
  </si>
  <si>
    <t xml:space="preserve">Food Business News: co-launched in 2025 by Ben Stiller and Alex Doman. The Org (https://theorg.com/org/stillers-soda/person/alexander-doman, updated 2026-08-31) lists Alexander Doman, "President of Global Soda Affairs" and co-founder.</t>
  </si>
  <si>
    <t xml:space="preserve">https://www.instagram.com/stillerssoda</t>
  </si>
  <si>
    <t xml:space="preserve">BR4:2</t>
  </si>
  <si>
    <t xml:space="preserve">Homepage opened 2026-10-23: 'Find it at Whole Foods Market, Walmart, Target, and more'; Stockist store locator (tag map_63vzj673) queried 2026-10-23. WFM store-scoped catalog search lists Shirley Temple and Root Beer 12 FZ at all four cluster stores; catalog listing is not proof of shelf stock. Katz's Deli menu deal 2026 (BevNET headline, not opened). | Katz's Delicatessen added Stiller's as its first new soda in decades, about a year after the NYC launch, backed by a social campaign with Ben Stiller (QSR Magazine and BevNET 2026 headlines; pages blocked; unverified, founder to confirm). Snippets also call Alex Doman 'Co-Founder and CEO'. A strong NYC hook if confirmed; could replace the 2026-03-30 why-now once a dated source is opened.</t>
  </si>
  <si>
    <t xml:space="preserve">founder_title &lt;- https://www.foodbusinessnews.net/articles/29686-the-goldilocks-of-soda (2026-10-24, opened); founder_profile_url &lt;- https://www.foodbusinessnews.net/articles/29686-the-goldilocks-of-soda (2026-10-24, opened); hq_city &lt;- https://stillerssoda.com/policies/privacy-policy (2026-10-24, opened); notes &lt;- https://www.qsrmagazine.com/news/katzs-deli-adds-first-new-soda-in-decades/ (2026-10-24, snippet-unverified); </t>
  </si>
  <si>
    <t xml:space="preserve">Shop buttons route to Amazon</t>
  </si>
  <si>
    <t xml:space="preserve">AB-106</t>
  </si>
  <si>
    <t xml:space="preserve">Taza Chocolate</t>
  </si>
  <si>
    <t xml:space="preserve">Whitmore</t>
  </si>
  <si>
    <t xml:space="preserve">Northeast brand, store page shows Whole Foods Market NoMad inside the cluster, a new store listing 50 days ago, revenue unknown, contact named; founder review: shelf life not stated.</t>
  </si>
  <si>
    <t xml:space="preserve">Holiday 2026 bars and chocolate-covered fruit added to brand store, Aug to Sept 2026</t>
  </si>
  <si>
    <t xml:space="preserve">https://www.tazachocolate.com/</t>
  </si>
  <si>
    <t xml:space="preserve">2026-09-04</t>
  </si>
  <si>
    <t xml:space="preserve">https://www.tazachocolate.com/pages/about-taza</t>
  </si>
  <si>
    <t xml:space="preserve">find Alex Whitmore at Taza Chocolate on LinkedIn and paste the profile URL; before using the retailer line, check Whole Foods Market NoMad still lists it: https://www.wholefoodsmarket.com/search?text=Taza%20Chocolate with your store set to NoMad (catalogs change daily); founder review (shelf life or online store): read founder_review_reason first</t>
  </si>
  <si>
    <t xml:space="preserve">Organic Chocolate Coffee Disc 2.7 oz; Holiday Toffee, Almond &amp; Sea Salt Bar</t>
  </si>
  <si>
    <t xml:space="preserve">Somerville</t>
  </si>
  <si>
    <t xml:space="preserve">https://www.tazachocolate.com</t>
  </si>
  <si>
    <t xml:space="preserve">Wrapped stone-ground chocolate sold ambient at Whole Foods; shelf-life figure not found</t>
  </si>
  <si>
    <t xml:space="preserve">Whole Foods; factory store in Somerville</t>
  </si>
  <si>
    <t xml:space="preserve">https://www.wholefoodsmarket.com/api/search?text=taza%20chocolate&amp;store=10162&amp;limit=60&amp;offset=0; https://www.wholefoodsmarket.com/api/search?text=taza%20chocolate&amp;store=10773&amp;limit=60&amp;offset=0; https://www.wholefoodsmarket.com/api/search?text=taza%20chocolate&amp;store=10131&amp;limit=60&amp;offset=0</t>
  </si>
  <si>
    <t xml:space="preserve">Alex Whitmore</t>
  </si>
  <si>
    <t xml:space="preserve">About page: "Taza founder and CEO Alex Whitmore". Kara Goldin Show page agrees; it lists no LinkedIn URL.</t>
  </si>
  <si>
    <t xml:space="preserve">Stephanie Larason</t>
  </si>
  <si>
    <t xml:space="preserve">Stage-1 LinkedIn search snippet (one snapshot about 4.5 years old); not opened. Two searches on 2026-10-24 found no current marketing name (a 2018 COO and CMO appointment is stale).</t>
  </si>
  <si>
    <t xml:space="preserve">https://www.linkedin.com/in/slarason/</t>
  </si>
  <si>
    <t xml:space="preserve">https://www.instagram.com/tazachocolate/</t>
  </si>
  <si>
    <t xml:space="preserve">BR2:44</t>
  </si>
  <si>
    <t xml:space="preserve">Founded 2005, Direct Trade cacao. 'Spiked Eggnog' is a flavor name; confirm it has no alcohol before offering. Why-now from Shopify publish dates.</t>
  </si>
  <si>
    <t xml:space="preserve">founder_title &lt;- https://www.snackandbakery.com/articles/115175-taza-chocolate-ceo-talks-confectionery-issues (2026-10-24, opened); marketing_name &lt;- https://www.linkedin.com/in/slarason/ (2026-10-24, snippet-unverified); marketing_title &lt;- https://www.linkedin.com/in/slarason/ (2026-10-24, snippet-unverified); marketing_profile_url &lt;- https://www.linkedin.com/in/slarason/ (2026-10-24, snippet-unverified); </t>
  </si>
  <si>
    <t xml:space="preserve">AB-239</t>
  </si>
  <si>
    <t xml:space="preserve">Hella Cocktail Co.</t>
  </si>
  <si>
    <t xml:space="preserve">Tobin</t>
  </si>
  <si>
    <t xml:space="preserve">Ludwig</t>
  </si>
  <si>
    <t xml:space="preserve">Co-founder and COO</t>
  </si>
  <si>
    <t xml:space="preserve">New York City brand (HQ unverified), store page shows Whole Foods Market NoMad inside the cluster, no dated why-now in the last 12 months, revenue unknown, contact named plus a marketing lead; founder review: alcohol-adjacent.</t>
  </si>
  <si>
    <t xml:space="preserve">https://hellacocktail.co/</t>
  </si>
  <si>
    <t xml:space="preserve">find Tobin Ludwig at Hella Cocktail Co. on LinkedIn and paste the profile URL; before using the retailer line, check Whole Foods Market NoMad still lists it: https://www.wholefoodsmarket.com/search?text=Hella%20Cocktail%20Co. with your store set to NoMad (catalogs change daily); founder review (alcohol-adjacent): read founder_review_reason first</t>
  </si>
  <si>
    <t xml:space="preserve">https://hellacocktail.co/pages/meet-the-founders</t>
  </si>
  <si>
    <t xml:space="preserve">Dry Bitters &amp; Soda, 12 fl oz can (non-alcoholic sparkling aperitif)</t>
  </si>
  <si>
    <t xml:space="preserve">unknown (founders split: Jomaree Pinkard, co-founder and chairman, New York, NY; Eddie Simeón, CMO, Los Angeles, CA; Tobin Ludwig, COO, Ann Arbor, MI; BevNET 2023 headline calls it New York-based, page blocked, unverified, founder to confirm)</t>
  </si>
  <si>
    <t xml:space="preserve">https://hellacocktail.co</t>
  </si>
  <si>
    <t xml:space="preserve">Brand FAQ confirms Bitters &amp; Soda contains 'trace amounts of alcohol' from the bitters, 'below the legal limit of 0.5% ABV' (legally non-alcoholic). Company also sells alcohol-based bitters and cocktail mixers. Founder to decide whether trace alcohol breaks the no-alcohol rule; offices may veto.</t>
  </si>
  <si>
    <t xml:space="preserve">alcohol-adjacent</t>
  </si>
  <si>
    <t xml:space="preserve">nyc (unverified)</t>
  </si>
  <si>
    <t xml:space="preserve">Canned sparkling drink sold ambient; no shelf-life figure published, founder to confirm</t>
  </si>
  <si>
    <t xml:space="preserve">Whole Foods Market (WFM catalog); find-it page</t>
  </si>
  <si>
    <t xml:space="preserve">https://www.wholefoodsmarket.com/api/search?text=hella%20cocktail&amp;store=10773&amp;limit=60&amp;offset=0; https://www.wholefoodsmarket.com/api/search?text=hella%20cocktail&amp;store=10162&amp;limit=60&amp;offset=0; https://www.wholefoodsmarket.com/api/search?text=hella%20cocktail&amp;store=10131&amp;limit=60&amp;offset=0; https://www.wholefoodsmarket.com/api/search?text=hella%20cocktail&amp;store=10713&amp;limit=60&amp;offset=0</t>
  </si>
  <si>
    <t xml:space="preserve">Tobin Ludwig</t>
  </si>
  <si>
    <t xml:space="preserve">Meet the Founders page. Co-founder Jomaree Pinkard is now Chairman (backup row).</t>
  </si>
  <si>
    <t xml:space="preserve">Eddie Simeón</t>
  </si>
  <si>
    <t xml:space="preserve">Eddie</t>
  </si>
  <si>
    <t xml:space="preserve">Simeón</t>
  </si>
  <si>
    <t xml:space="preserve">Co-founder and CMO</t>
  </si>
  <si>
    <t xml:space="preserve">Meet the Founders page: "Eddie Simeón, Co-Founder &amp; CMO".</t>
  </si>
  <si>
    <t xml:space="preserve">https://www.instagram.com/hellacocktailco</t>
  </si>
  <si>
    <t xml:space="preserve">BR4:34</t>
  </si>
  <si>
    <t xml:space="preserve">Homepage: 'line of non-alcoholic, sparkling aperitifs'. Co-founder worked nearly a decade in NYC before co-founding Hella (Meet the Founders). WFM lists Bitters &amp; Soda at all four cluster stores (2026-10-23).</t>
  </si>
  <si>
    <t xml:space="preserve">marketing_name &lt;- https://hellacocktail.co/pages/meet-the-founders (2026-10-24, opened); marketing_title &lt;- https://hellacocktail.co/pages/meet-the-founders (2026-10-24, opened); marketing_profile_url &lt;- https://hellacocktail.co/pages/meet-the-founders (2026-10-24, opened); hq_city &lt;- https://hellacocktail.co/pages/meet-the-founders (2026-10-24, opened); founder_review_reason &lt;- https://hellacocktail.co/pages/frequently-asked-questions (2026-10-24, opened); </t>
  </si>
  <si>
    <t xml:space="preserve">AB-270</t>
  </si>
  <si>
    <t xml:space="preserve">Figa Foods</t>
  </si>
  <si>
    <t xml:space="preserve">Altman</t>
  </si>
  <si>
    <t xml:space="preserve">https://www.linkedin.com/in/ariel-altman-396b922b/</t>
  </si>
  <si>
    <t xml:space="preserve">New York City brand, no graded store within ten blocks, online store only, news 144 days ago, revenue unknown, contact named.</t>
  </si>
  <si>
    <t xml:space="preserve">none found within ten blocks</t>
  </si>
  <si>
    <t xml:space="preserve">Won the Audience Choice Award at Naturally New York's 2026 Naturally Rising pitch (May 28, 2026); launched Minis and Passion Fruit at SFFS 2026</t>
  </si>
  <si>
    <t xml:space="preserve">https://www.snackandbakery.com/articles/115817-naturally-new-york-announces-pitch-competition-winner</t>
  </si>
  <si>
    <t xml:space="preserve">https://events.specialtyfood.com/event/2026-summer-fancy-food-show/exhibitor/RXhoaWJpdG9yXzI0Mzk0MjM=</t>
  </si>
  <si>
    <t xml:space="preserve">https://startupcpg.com/founder-feature-ariel-altman-and-ronny-berger-of-figa-foods/</t>
  </si>
  <si>
    <t xml:space="preserve">Figa Minis 6-pack snack pouch (63% cupuaçu bar); Passion Fruit 60 g bar</t>
  </si>
  <si>
    <t xml:space="preserve">New York City</t>
  </si>
  <si>
    <t xml:space="preserve">https://figafoods.com</t>
  </si>
  <si>
    <t xml:space="preserve">Cupuaçu 'chocolate-style' bars sold ambient online and in groceries; shelf life not stated</t>
  </si>
  <si>
    <t xml:space="preserve">Chelsea Market Baskets (unverified, 11.5 blocks out)</t>
  </si>
  <si>
    <t xml:space="preserve">Chelsea Market Baskets; Fonty's; East Village Organics; TAP; Zabar's; Upstate Stock; others (brand Stockist locator)</t>
  </si>
  <si>
    <t xml:space="preserve">https://stockist.co/api/v1/map_9q962p43/locations/search?latitude=40.7411&amp;longitude=-73.9897&amp;distance=5 (widget on https://figafoods.com/pages/store-locator)</t>
  </si>
  <si>
    <t xml:space="preserve">Ariel Altman</t>
  </si>
  <si>
    <t xml:space="preserve">Startup CPG founder feature. LinkedIn URL from the episode links of the matching Startup CPG podcast episode (2025-08-01, public feed); LinkedIn not opened.</t>
  </si>
  <si>
    <t xml:space="preserve">Ronny Berger</t>
  </si>
  <si>
    <t xml:space="preserve">Ronny</t>
  </si>
  <si>
    <t xml:space="preserve">Berger</t>
  </si>
  <si>
    <t xml:space="preserve">Same feature and episode links.</t>
  </si>
  <si>
    <t xml:space="preserve">https://www.linkedin.com/in/ronnyberger/</t>
  </si>
  <si>
    <t xml:space="preserve">http://instagram.com/figafoods</t>
  </si>
  <si>
    <t xml:space="preserve">BR5:6</t>
  </si>
  <si>
    <t xml:space="preserve">Footer: 'OldMtnMan LLC, a New York limited liability company'. Minis published 2026-05-17 (products.json). Caffeine-free and vegan per meta description. Chelsea Market sits at 15th St and 9th Ave, about three avenues west of the cluster edge.</t>
  </si>
  <si>
    <t xml:space="preserve">AB-032</t>
  </si>
  <si>
    <t xml:space="preserve">Firehook</t>
  </si>
  <si>
    <t xml:space="preserve">Mottolese</t>
  </si>
  <si>
    <t xml:space="preserve">CEO</t>
  </si>
  <si>
    <t xml:space="preserve">Brand based outside the Northeast, store page shows Whole Foods Market NoMad inside the cluster, news 106 days ago, revenue unknown, contact named plus a marketing lead; founder review: other.</t>
  </si>
  <si>
    <t xml:space="preserve">Launched limited-time Firehook x Grillo's Dill Pickle Crackers (follows Avocado Oil, Sea Salt &amp; Chive cracker in April 2026 and an Ithaca Hummus LTO in March 2026)</t>
  </si>
  <si>
    <t xml:space="preserve">https://www.snackandbakery.com/articles/116020-firehook-crackers-grillos-strive-for-pickle-perfection</t>
  </si>
  <si>
    <t xml:space="preserve">2026-07-10</t>
  </si>
  <si>
    <t xml:space="preserve">https://www.wholefoodsmarket.com/search?text=firehook</t>
  </si>
  <si>
    <t xml:space="preserve">find Maura Mottolese at Firehook on LinkedIn and paste the profile URL; before using the retailer line, check Whole Foods Market NoMad still lists it: https://www.wholefoodsmarket.com/search?text=Firehook with your store set to NoMad (catalogs change daily); founder review (other): read founder_review_reason first</t>
  </si>
  <si>
    <t xml:space="preserve">CEO or owner (not shown as a founder)</t>
  </si>
  <si>
    <t xml:space="preserve">Firehook Sea Salt Mediterranean Crackers, 5.5 oz</t>
  </si>
  <si>
    <t xml:space="preserve">Chantilly</t>
  </si>
  <si>
    <t xml:space="preserve">Brand site unreachable through proxy on 2026-10-23, so HQ, owner and online store are unconfirmed; no online store: buy path is the store only</t>
  </si>
  <si>
    <t xml:space="preserve">https://firehook.com</t>
  </si>
  <si>
    <t xml:space="preserve">VA</t>
  </si>
  <si>
    <t xml:space="preserve">elsewhere</t>
  </si>
  <si>
    <t xml:space="preserve">Brand FAQ: 'Our signature line of crackers has a six-month shelf life.'</t>
  </si>
  <si>
    <t xml:space="preserve">https://www.wholefoodsmarket.com/search?text=firehook (7 items IN_STOCK in each of Union Square, NoMad, Chelsea contexts, 2026-10-23)</t>
  </si>
  <si>
    <t xml:space="preserve">Maura Mottolese</t>
  </si>
  <si>
    <t xml:space="preserve">Snack and Bakery 2026: "Maura Mottolese, CEO of Firehook Crackers". Not a founder (Firehook is an older bakery now private-equity owned); CEO is the budget owner.</t>
  </si>
  <si>
    <t xml:space="preserve">Ellen Howse</t>
  </si>
  <si>
    <t xml:space="preserve">Howse</t>
  </si>
  <si>
    <t xml:space="preserve">Chief Marketing Officer</t>
  </si>
  <si>
    <t xml:space="preserve">FoodNavigator 2025-05-13: "Ellen Howse, CMO at Firehook". The Org agrees (updated 2024-10-31).</t>
  </si>
  <si>
    <t xml:space="preserve">BR1:33</t>
  </si>
  <si>
    <t xml:space="preserve">Strong NYC shelf presence; everything else needs a second pass when the site is reachable.</t>
  </si>
  <si>
    <t xml:space="preserve">website &lt;- https://firehook.com/ (2026-10-24, opened); hq_city &lt;- https://firehook.com/pages/faq (2026-10-24, opened); hq_state &lt;- https://firehook.com/pages/faq (2026-10-24, opened); shelf_stable_basis &lt;- https://firehook.com/pages/faq (2026-10-24, opened); why_now &lt;- https://www.snackandbakery.com/articles/116020-firehook-crackers-grillos-strive-for-pickle-perfection (2026-10-24, opened); why_now_url &lt;- https://www.snackandbakery.com/articles/116020-firehook-crackers-grillos-strive-for-pickle-perfection (2026-10-24, opened); why_now_date &lt;- https://www.snackandbakery.com/articles/116020-firehook-crackers-grillos-strive-for-pickle-perfection (2026-10-24, opened); founder_name &lt;- https://www.snackandbakery.com/articles/116020-firehook-crackers-grillos-strive-for-pickle-perfection (2026-10-24, opened); founder_title &lt;- https://www.snackandbakery.com/articles/116020-firehook-crackers-grillos-strive-for-pickle-perfection (2026-10-24, opened); founder_profile_url &lt;- https://www.snackandbakery.com/articles/116020-firehook-crackers-grillos-strive-for-pickle-perfection (2026-10-24, opened); </t>
  </si>
  <si>
    <t xml:space="preserve">https://www.foodnavigator.com/Article/2025/05/13/natural-cracker-brand-collaborates-with-standout-cross-category-companies/</t>
  </si>
  <si>
    <t xml:space="preserve">2026</t>
  </si>
  <si>
    <t xml:space="preserve">AB-048</t>
  </si>
  <si>
    <t xml:space="preserve">FitJoy Foods</t>
  </si>
  <si>
    <t xml:space="preserve">Norman</t>
  </si>
  <si>
    <t xml:space="preserve">Taliaferro</t>
  </si>
  <si>
    <t xml:space="preserve">CEO and Founding Partner</t>
  </si>
  <si>
    <t xml:space="preserve">Brand based outside the Northeast, store page shows Whole Foods Market Union Square inside the cluster, a new store listing 176 days ago, revenue unknown, contact named plus a marketing lead.</t>
  </si>
  <si>
    <t xml:space="preserve">Launched Classic Cracker Squares and Chocolate Peanut Butter Filled Pretzel Nuggets on brand store</t>
  </si>
  <si>
    <t xml:space="preserve">https://fitjoyfoods.com/products/classic-club-crackers</t>
  </si>
  <si>
    <t xml:space="preserve">https://fitjoyfoods.com/pages/our-people</t>
  </si>
  <si>
    <t xml:space="preserve">find Norman Taliaferro at FitJoy Foods on LinkedIn and paste the profile URL; before using the retailer line, check Whole Foods Market Union Square still lists it: https://www.wholefoodsmarket.com/search?text=FitJoy%20Foods with your store set to Union Square (catalogs change daily)</t>
  </si>
  <si>
    <t xml:space="preserve">FitJoy Pretzel Twists Single-Serve Variety Pack; Grain-Free Salt Pretzel Twists 5 oz</t>
  </si>
  <si>
    <t xml:space="preserve">Austin</t>
  </si>
  <si>
    <t xml:space="preserve">https://fitjoyfoods.com</t>
  </si>
  <si>
    <t xml:space="preserve">TX</t>
  </si>
  <si>
    <t xml:space="preserve">Grain-free pretzels and crackers in sealed bags, ambient</t>
  </si>
  <si>
    <t xml:space="preserve">Whole Foods Market; Target; Amazon (customer quotes on homepage)</t>
  </si>
  <si>
    <t xml:space="preserve">https://www.wholefoodsmarket.com/search?text=pretzels (Union Square context: FitJoy Grain Free Salt Pretzel Twists 5 oz, Tangy Dijon Mustard 4.5 oz, PB Filled Nuggets IN_STOCK, category search 2026-10-23)</t>
  </si>
  <si>
    <t xml:space="preserve">Norman Taliaferro</t>
  </si>
  <si>
    <t xml:space="preserve">Brand Our People page. The Org (fitjoy) agrees and also lists Doss Cunningham as Co-Founder and Chairman.</t>
  </si>
  <si>
    <t xml:space="preserve">Micah Mills</t>
  </si>
  <si>
    <t xml:space="preserve">Micah</t>
  </si>
  <si>
    <t xml:space="preserve">Mills</t>
  </si>
  <si>
    <t xml:space="preserve">Director of Marketing</t>
  </si>
  <si>
    <t xml:space="preserve">Brand Our People page; The Org (updated 2024-11-17) agrees, Director of Marketing since 2023.</t>
  </si>
  <si>
    <t xml:space="preserve">BR1:49</t>
  </si>
  <si>
    <t xml:space="preserve">Team page also lists Angela Leonardo, VP Sales. Single-serve variety pack exists (published 2025-06). HQ not stated on pages opened.</t>
  </si>
  <si>
    <t xml:space="preserve">hq_city &lt;- https://theorg.com/org/fitjoy (2026-10-24, opened); hq_state &lt;- https://theorg.com/org/fitjoy (2026-10-24, opened); </t>
  </si>
  <si>
    <t xml:space="preserve">2024-11-17</t>
  </si>
  <si>
    <t xml:space="preserve">AB-004</t>
  </si>
  <si>
    <t xml:space="preserve">Daily Crunch</t>
  </si>
  <si>
    <t xml:space="preserve">Laurel</t>
  </si>
  <si>
    <t xml:space="preserve">Orley</t>
  </si>
  <si>
    <t xml:space="preserve">https://www.linkedin.com/in/laurel-orley/</t>
  </si>
  <si>
    <t xml:space="preserve">Brand based outside the Northeast, store page shows Whole Foods Market NoMad inside the cluster, news 5 days ago, revenue unknown, contact named; founder review: claim-borderline.</t>
  </si>
  <si>
    <t xml:space="preserve">"Ditch the Chip" savory lineup (Sea Salt + Vinegar, BBQ and more) launching at Whole Foods Market nationwide, Sprouts nationwide and Meijer</t>
  </si>
  <si>
    <t xml:space="preserve">https://www.snackandbakery.com/articles/116489-daily-crunch-invites-consumers-to-ditch-the-chip</t>
  </si>
  <si>
    <t xml:space="preserve">https://dailycrunchsnacks.com</t>
  </si>
  <si>
    <t xml:space="preserve">before using the retailer line, check Whole Foods Market NoMad still lists it: https://www.wholefoodsmarket.com/search?text=Daily%20Crunch with your store set to NoMad (catalogs change daily); founder review (claim-borderline): read founder_review_reason first</t>
  </si>
  <si>
    <t xml:space="preserve">https://theorg.com/org/daily-crunch/person/laurel-orley</t>
  </si>
  <si>
    <t xml:space="preserve">Daily Crunch Sprouted Almonds &amp; Pepitas, Dill Pickle, 4 oz; Snack Packs</t>
  </si>
  <si>
    <t xml:space="preserve">nuts-seeds-trail</t>
  </si>
  <si>
    <t xml:space="preserve">Nashville</t>
  </si>
  <si>
    <t xml:space="preserve">Homepage leads with nutrient-content claim '5g of Protein per serving'</t>
  </si>
  <si>
    <t xml:space="preserve">TN</t>
  </si>
  <si>
    <t xml:space="preserve">Bagged sprouted, dehydrated nuts sold ambient; snack packs on brand store</t>
  </si>
  <si>
    <t xml:space="preserve">https://www.wholefoodsmarket.com/search?text=daily%20crunch (store context Union Square 10162 and NoMad 10773; IN_STOCK 2026-10-23)</t>
  </si>
  <si>
    <t xml:space="preserve">https://startupcpg.com/startup-cpg-newswire-daily-crunch/</t>
  </si>
  <si>
    <t xml:space="preserve">Laurel Orley</t>
  </si>
  <si>
    <t xml:space="preserve">The Org (updated 2026-09-13): Co-Founder and CEO since 2018. LinkedIn URL from Startup CPG podcast #213 episode links (2025-09-09, public feed); LinkedIn not opened.</t>
  </si>
  <si>
    <t xml:space="preserve">Diane</t>
  </si>
  <si>
    <t xml:space="preserve">About page: "Diane, Laurel's aunt &amp; co-founder". Surname not given.</t>
  </si>
  <si>
    <t xml:space="preserve">BR1:5</t>
  </si>
  <si>
    <t xml:space="preserve">Nov 2025 trade press: expanding into 2,000 Albertsons stores and over 10,000 doors nationwide; won the 3rd Albertsons Innovation Launchpad ($198,000 prize). Scale signal for the $10M ceiling check.</t>
  </si>
  <si>
    <t xml:space="preserve">hq_city &lt;- https://startupcpg.com/startup-cpg-newswire-daily-crunch/ (2026-10-24, opened); founder_title &lt;- https://startupcpg.com/startup-cpg-newswire-daily-crunch/ (2026-10-24, opened); founder_profile_url &lt;- https://startupcpg.com/startup-cpg-newswire-daily-crunch/ (2026-10-24, opened); startup_cpg_member &lt;- https://startupcpg.com/startup-cpg-newswire-daily-crunch/ (2026-10-24, opened); startup_cpg_evidence_url &lt;- https://startupcpg.com/startup-cpg-newswire-daily-crunch/ (2026-10-24, opened); notes &lt;- https://www.snackandbakery.com/articles/114683-daily-crunch-lands-on-albertsons-shelves (2026-10-24, opened); </t>
  </si>
  <si>
    <t xml:space="preserve">https://dailycrunchsnacks.com/pages/about-us</t>
  </si>
  <si>
    <t xml:space="preserve">2026-09-13</t>
  </si>
  <si>
    <t xml:space="preserve">AB-072</t>
  </si>
  <si>
    <t xml:space="preserve">Blue Stripes</t>
  </si>
  <si>
    <t xml:space="preserve">Oded</t>
  </si>
  <si>
    <t xml:space="preserve">Brenner</t>
  </si>
  <si>
    <t xml:space="preserve">New York City brand, store page shows Whole Foods Market NoMad inside the cluster, news 288 days ago, revenue unknown, contact named; founder review: scale, claim-borderline.</t>
  </si>
  <si>
    <t xml:space="preserve">Superfruit Gummies launched at select Costco Southeast warehouses for a limited time, with the Northwest region to follow in February 2026</t>
  </si>
  <si>
    <t xml:space="preserve">https://www.snackandbakery.com/articles/114975-blue-stripes-superfruit-gummies-expand-to-costco</t>
  </si>
  <si>
    <t xml:space="preserve">https://www.bluestripes.com/pages/about-us</t>
  </si>
  <si>
    <t xml:space="preserve">find Oded Brenner at Blue Stripes on LinkedIn and paste the profile URL; before using the retailer line, check Whole Foods Market NoMad still lists it: https://www.wholefoodsmarket.com/search?text=Blue%20Stripes with your store set to NoMad (catalogs change daily); founder review (scale, claim-borderline): read founder_review_reason first</t>
  </si>
  <si>
    <t xml:space="preserve">Whole Cacao Truffle Bar (Peanut Butter Crunch); Pure Dark Chocolate Bar 2.1 oz; Chocolate Covered Whole Cacao Beans 3.5 oz</t>
  </si>
  <si>
    <t xml:space="preserve">https://www.bluestripes.com</t>
  </si>
  <si>
    <t xml:space="preserve">'Superfood'/'nutritional benefits of cacao' positioning; Series B and Hershey backing may put it above the size band; check labels for claims; 60-day shelf life not stated</t>
  </si>
  <si>
    <t xml:space="preserve">Series B ($20M, led by Zintinus, Oct 2024; Hershey's among backers)</t>
  </si>
  <si>
    <t xml:space="preserve">https://www.greenqueen.com.hk/blue-stripes-cacao-20m-hersheys-nick-digiovanni-chocolate-climate-change/</t>
  </si>
  <si>
    <t xml:space="preserve">Packaged chocolate bars and cacao snacks sold ambient at Whole Foods; shelf-life figure not published</t>
  </si>
  <si>
    <t xml:space="preserve">Whole Foods; Brooklyn Fare and Westside Market (search snippet, unverified)</t>
  </si>
  <si>
    <t xml:space="preserve">https://www.wholefoodsmarket.com/api/search?text=blue%20stripes&amp;store=10162&amp;limit=60&amp;offset=0; https://www.wholefoodsmarket.com/api/search?text=blue%20stripes&amp;store=10773&amp;limit=60&amp;offset=0; https://www.wholefoodsmarket.com/api/search?text=blue%20stripes&amp;store=10131&amp;limit=60&amp;offset=0</t>
  </si>
  <si>
    <t xml:space="preserve">Oded Brenner</t>
  </si>
  <si>
    <t xml:space="preserve">About page: the founder, Oded Brenner. The Org lists him as Chief Executive Officer.</t>
  </si>
  <si>
    <t xml:space="preserve">Aviv Schwietzer</t>
  </si>
  <si>
    <t xml:space="preserve">Aviv</t>
  </si>
  <si>
    <t xml:space="preserve">Schwietzer</t>
  </si>
  <si>
    <t xml:space="preserve">The Org (updated 2024-11-04): Co-founder &amp; Chief Operating Officer since 2019.</t>
  </si>
  <si>
    <t xml:space="preserve">https://www.instagram.com/bluestripescacao/</t>
  </si>
  <si>
    <t xml:space="preserve">BR2:9</t>
  </si>
  <si>
    <t xml:space="preserve">Terms of service list Blue Stripes LLC at a Cedar Falls IA address. HQ left as New York; founder to confirm which is the operating office.</t>
  </si>
  <si>
    <t xml:space="preserve">notes &lt;- https://www.bluestripes.com/policies/terms-of-service (2026-10-24, opened); why_now &lt;- https://www.snackandbakery.com/articles/114975-blue-stripes-superfruit-gummies-expand-to-costco (2026-10-24, opened); why_now_url &lt;- https://www.snackandbakery.com/articles/114975-blue-stripes-superfruit-gummies-expand-to-costco (2026-10-24, opened); why_now_date &lt;- https://www.snackandbakery.com/articles/114975-blue-stripes-superfruit-gummies-expand-to-costco (2026-10-24, opened); founder_title &lt;- https://www.snackandbakery.com/articles/115151-blue-stripes-morphs-cacao-waste-into-a-superfood-snack (2026-10-24, opened); </t>
  </si>
  <si>
    <t xml:space="preserve">https://theorg.com/org/blue-stripes/person/aviv-schwietzer</t>
  </si>
  <si>
    <t xml:space="preserve">AB-096</t>
  </si>
  <si>
    <t xml:space="preserve">Magic Spoon</t>
  </si>
  <si>
    <t xml:space="preserve">Gabi</t>
  </si>
  <si>
    <t xml:space="preserve">Lewis</t>
  </si>
  <si>
    <t xml:space="preserve">https://www.linkedin.com/in/gabi-lewis-88483447/</t>
  </si>
  <si>
    <t xml:space="preserve">New York City brand, store page shows Whole Foods Market NoMad inside the cluster, a new store listing 59 days ago, revenue unknown, contact named; founder review: scale, claim-borderline.</t>
  </si>
  <si>
    <t xml:space="preserve">New Cereal Treats flavors (Cookies &amp; Cream, Chocolate Chip Cookie Dough) and limited-edition cereals launched Aug to Sept 2026</t>
  </si>
  <si>
    <t xml:space="preserve">https://magicspoon.com/</t>
  </si>
  <si>
    <t xml:space="preserve">https://magicspoon.com/pages/our-story</t>
  </si>
  <si>
    <t xml:space="preserve">before using the retailer line, check Whole Foods Market NoMad still lists it: https://www.wholefoodsmarket.com/search?text=Magic%20Spoon with your store set to NoMad (catalogs change daily); founder review (scale, claim-borderline): read founder_review_reason first</t>
  </si>
  <si>
    <t xml:space="preserve">https://theorg.com/org/magic-spoon/person/gabi-lewis</t>
  </si>
  <si>
    <t xml:space="preserve">Magic Spoon Cereal Treats (Cookies &amp; Cream, Chocolate Chip Cookie Dough), 4-count boxes</t>
  </si>
  <si>
    <t xml:space="preserve">https://magicspoon.com</t>
  </si>
  <si>
    <t xml:space="preserve">High-protein, keto-friendly nutrient positioning; national DTC brand likely above size band; only cereal (not Treats) found at cluster WFM | Health-claim scan 2026-10-24: the homepage says 'High Fiber Gut-friendly with 6g fiber per pastry'. 'Gut-friendly' implies an effect on the body without stating one: founder to decide; the tent card must not repeat it; 60-day shelf life not stated</t>
  </si>
  <si>
    <t xml:space="preserve">Shelf-stable cereal and wrapped protein treats sold ambient online and in grocery; shelf-life figure not found</t>
  </si>
  <si>
    <t xml:space="preserve">Whole Foods (cereal)</t>
  </si>
  <si>
    <t xml:space="preserve">https://www.wholefoodsmarket.com/api/search?text=magic%20spoon&amp;store=10162&amp;limit=60&amp;offset=0; https://www.wholefoodsmarket.com/api/search?text=magic%20spoon&amp;store=10773&amp;limit=60&amp;offset=0; https://www.wholefoodsmarket.com/api/search?text=magic%20spoon&amp;store=10131&amp;limit=60&amp;offset=0</t>
  </si>
  <si>
    <t xml:space="preserve">Gabi Lewis</t>
  </si>
  <si>
    <t xml:space="preserve">The Org (updated 2026-08-12): Co-Founder (formerly co-CEO). Brand Our Story page: "we're Greg and Gabi, co-founders". LinkedIn URL linked from https://karagoldin.com/podcasts/gabi-lewis/; LinkedIn not opened. Co-founder Greg Sewitz also on The Org.</t>
  </si>
  <si>
    <t xml:space="preserve">Sarah Barnes</t>
  </si>
  <si>
    <t xml:space="preserve">Stage-1 LinkedIn search result title "Chief Marketing Officer at Magic Spoon"; not opened. A 2026-10-24 search found no press naming a CMO and a Senior Director of Brand Marketing role advertised.</t>
  </si>
  <si>
    <t xml:space="preserve">https://www.linkedin.com/in/sarah-barnes-30a301b/</t>
  </si>
  <si>
    <t xml:space="preserve">https://www.instagram.com/magicspooncereal/</t>
  </si>
  <si>
    <t xml:space="preserve">BR2:34</t>
  </si>
  <si>
    <t xml:space="preserve">HQ not stated on pages opened. Why-now dates from Shopify publish dates. Spot check 2026-10-23: Treats product description empty, so individual wrapping is not confirmed (downgraded from Y to unknown); WFM NoMad lists only Cocoa and Cinnamon Crunch cereal.</t>
  </si>
  <si>
    <t xml:space="preserve">hq_city &lt;- https://magicspoon.com/policies/terms-of-service (2026-10-24, opened); hq_state &lt;- https://magicspoon.com/policies/terms-of-service (2026-10-24, opened); founder_name &lt;- https://www.snackandbakery.com/articles/115434-magic-spoon-works-to-make-bfy-breakfasts-snacks-fun (2026-10-24, opened); founder_profile_url &lt;- https://www.snackandbakery.com/articles/115434-magic-spoon-works-to-make-bfy-breakfasts-snacks-fun (2026-10-24, opened); marketing_name &lt;- https://www.linkedin.com/in/sarah-barnes-30a301b/ (2026-10-24, snippet-unverified); marketing_title &lt;- https://www.linkedin.com/in/sarah-barnes-30a301b/ (2026-10-24, snippet-unverified); marketing_profile_url &lt;- https://www.linkedin.com/in/sarah-barnes-30a301b/ (2026-10-24, snippet-unverified); founder_title &lt;- https://www.linkedin.com/in/gabi-lewis-88483447/ (2026-10-24, snippet-unverified); founder_review_reason &lt;- https://magicspoon.com (2026-10-24, stage 3 correction); hq_city &lt;- https://theorg.com/org/magic-spoon (2026-10-24, stage 3 correction); </t>
  </si>
  <si>
    <t xml:space="preserve">AB-058</t>
  </si>
  <si>
    <t xml:space="preserve">Jack &amp; Friends</t>
  </si>
  <si>
    <t xml:space="preserve">Kwong</t>
  </si>
  <si>
    <t xml:space="preserve">New York City brand, store page shows Whole Foods Market NoMad inside the cluster, no dated why-now in the last 12 months, revenue unknown, contact named; founder review: claim-borderline.</t>
  </si>
  <si>
    <t xml:space="preserve">https://www.wholefoodsmarket.com/search?text=jack%20%26%20friends%20jackfruit</t>
  </si>
  <si>
    <t xml:space="preserve">find Jessica Kwong at Jack &amp; Friends on LinkedIn and paste the profile URL; before using the retailer line, check Whole Foods Market NoMad still lists it: https://www.wholefoodsmarket.com/search?text=Jack%20%26%20Friends with your store set to NoMad (catalogs change daily); founder review (claim-borderline): read founder_review_reason first</t>
  </si>
  <si>
    <t xml:space="preserve">https://jackandfriendsjerky.com/pages/about</t>
  </si>
  <si>
    <t xml:space="preserve">Jack &amp; Friends Jackfruit Jerky, Sweet BBQ, 2.2 oz (plant-based)</t>
  </si>
  <si>
    <t xml:space="preserve">meat-snacks</t>
  </si>
  <si>
    <t xml:space="preserve">Plant-based jerky (category meat-snacks is a stretch); WFM title leads with protein and fiber grams; brand site not found; no online store: buy path is the store only</t>
  </si>
  <si>
    <t xml:space="preserve">https://jackandfriendsjerky.com</t>
  </si>
  <si>
    <t xml:space="preserve">Packaged plant-based jerky sold in WFM grocery aisle</t>
  </si>
  <si>
    <t xml:space="preserve">https://www.wholefoodsmarket.com/search?text=jack%20%26%20friends%20jackfruit (Union Square and NoMad contexts: three jackfruit jerky flavors IN_STOCK 2026-10-23)</t>
  </si>
  <si>
    <t xml:space="preserve">Jessica Kwong</t>
  </si>
  <si>
    <t xml:space="preserve">About page: "our founder, Jessica Kwong". The Org (updated 2026-06-12): Founder &amp; CEO since 2018.</t>
  </si>
  <si>
    <t xml:space="preserve">BR1:59</t>
  </si>
  <si>
    <t xml:space="preserve">Search snippets (not opened): Sept 2024 roundup says the jerky reached its first Whole Foods, the Daily Shop on the Upper East Side (Lenox Hill), with a rollout to Whole Foods Northeast the next month. Older than 12 months, so not a why_now; worth a WFM store_selector check near the cluster.</t>
  </si>
  <si>
    <t xml:space="preserve">website &lt;- https://jackandfriendsjerky.com/ (2026-10-24, opened); hq_city &lt;- https://jackandfriendsjerky.com/pages/about (2026-10-24, opened); hq_state &lt;- https://jackandfriendsjerky.com/pages/about (2026-10-24, opened); founder_name &lt;- https://jackandfriendsjerky.com/pages/about (2026-10-24, opened); founder_title &lt;- https://jackandfriendsjerky.com/pages/about (2026-10-24, opened); founder_profile_url &lt;- https://jackandfriendsjerky.com/pages/about (2026-10-24, opened); founder_title &lt;- https://thechangeup.buzzsprout.com/1789177/episodes/15493185-jessica-kwong-founder-and-ceo-at-jack-friends (2026-10-24, opened); notes &lt;- https://www.foodbevy.com/?p=32732 (2026-10-24, snippet-unverified); </t>
  </si>
  <si>
    <t xml:space="preserve">2026-06-12</t>
  </si>
  <si>
    <t xml:space="preserve">AB-047</t>
  </si>
  <si>
    <t xml:space="preserve">Go Raw</t>
  </si>
  <si>
    <t xml:space="preserve">Robert</t>
  </si>
  <si>
    <t xml:space="preserve">Freeland</t>
  </si>
  <si>
    <t xml:space="preserve">Owner, Founder and CEO</t>
  </si>
  <si>
    <t xml:space="preserve">Brand based outside the Northeast, store page shows Whole Foods Market NoMad inside the cluster, news 171 days ago, revenue unknown, contact named plus a marketing lead; founder review: claim-borderline.</t>
  </si>
  <si>
    <t xml:space="preserve">Launched Snacking Crisps, the brand's first cracker (four flavors)</t>
  </si>
  <si>
    <t xml:space="preserve">https://www.snackandbakery.com/articles/115681-go-raw-expands-lineup-with-its-first-cracker</t>
  </si>
  <si>
    <t xml:space="preserve">2026-05-06</t>
  </si>
  <si>
    <t xml:space="preserve">https://www.wholefoodsmarket.com/search?text=go%20raw%20sprouted</t>
  </si>
  <si>
    <t xml:space="preserve">find Robert Freeland at Go Raw on LinkedIn and paste the profile URL (this also confirms the name: The Org is crowd-edited); the source is dated 2023-07-24: check Robert still holds the role; before using the retailer line, check Whole Foods Market NoMad still lists it: https://www.wholefoodsmarket.com/search?text=Go%20Raw with your store set to NoMad (catalogs change daily); founder review (claim-borderline): read founder_review_reason first</t>
  </si>
  <si>
    <t xml:space="preserve">https://theorg.com/org/go-raw/person/robert-freeland</t>
  </si>
  <si>
    <t xml:space="preserve">Go Raw Organic Sprouted Pumpkin Seeds, Sea Salted</t>
  </si>
  <si>
    <t xml:space="preserve">Northbrook</t>
  </si>
  <si>
    <t xml:space="preserve">Brand site unreachable on 2026-10-23 (domain guessed, may be wrong); owner and HQ unconfirmed; WFM title uses 'Keto' positioning; no online store: buy path is the store only</t>
  </si>
  <si>
    <t xml:space="preserve">https://goraw.com</t>
  </si>
  <si>
    <t xml:space="preserve">IL</t>
  </si>
  <si>
    <t xml:space="preserve">Sprouted, dried seeds in sealed bags, ambient</t>
  </si>
  <si>
    <t xml:space="preserve">https://www.wholefoodsmarket.com/search?text=go%20raw%20sprouted (pumpkin and sunflower seed SKUs IN_STOCK in cluster store contexts, 2026-10-23)</t>
  </si>
  <si>
    <t xml:space="preserve">Robert Freeland</t>
  </si>
  <si>
    <t xml:space="preserve">The Org (updated 2023-07-24): "Owner - Founder - CEO" since 2002. The same chart lists Peter Grumhaus as CEO since 2023 (backup row); who holds the budget now is unconfirmed. Stage 1 had the brand manager in this slot.</t>
  </si>
  <si>
    <t xml:space="preserve">Kimberly Waldron</t>
  </si>
  <si>
    <t xml:space="preserve">Kimberly</t>
  </si>
  <si>
    <t xml:space="preserve">Waldron</t>
  </si>
  <si>
    <t xml:space="preserve">The Org (updated 2026-01-29): VP of Marketing since 2024.</t>
  </si>
  <si>
    <t xml:space="preserve">BR1:48</t>
  </si>
  <si>
    <t xml:space="preserve">Website field is a guessed domain that did not respond; founder to confirm the correct site.</t>
  </si>
  <si>
    <t xml:space="preserve">website &lt;- https://goraw.com/ (2026-10-24, opened); hq_city &lt;- https://goraw.com/pages/contact-us (2026-10-24, opened); hq_state &lt;- https://goraw.com/pages/contact-us (2026-10-24, opened); why_now &lt;- https://www.snackandbakery.com/articles/115681-go-raw-expands-lineup-with-its-first-cracker (2026-10-24, opened); why_now_url &lt;- https://www.snackandbakery.com/articles/115681-go-raw-expands-lineup-with-its-first-cracker (2026-10-24, opened); why_now_date &lt;- https://www.snackandbakery.com/articles/115681-go-raw-expands-lineup-with-its-first-cracker (2026-10-24, opened); marketing_name &lt;- https://www.snackandbakery.com/articles/115681-go-raw-expands-lineup-with-its-first-cracker (2026-10-24, opened); marketing_title &lt;- https://www.snackandbakery.com/articles/115681-go-raw-expands-lineup-with-its-first-cracker (2026-10-24, opened); marketing_profile_url &lt;- https://www.snackandbakery.com/articles/115681-go-raw-expands-lineup-with-its-first-cracker (2026-10-24, opened); </t>
  </si>
  <si>
    <t xml:space="preserve">https://theorg.com/org/go-raw/person/kimberly-waldron</t>
  </si>
  <si>
    <t xml:space="preserve">2023-07-24</t>
  </si>
  <si>
    <t xml:space="preserve">2026-01-29</t>
  </si>
  <si>
    <t xml:space="preserve">AB-073</t>
  </si>
  <si>
    <t xml:space="preserve">Seed + Mill</t>
  </si>
  <si>
    <t xml:space="preserve">Rachel</t>
  </si>
  <si>
    <t xml:space="preserve">Simons</t>
  </si>
  <si>
    <t xml:space="preserve">CEO and Co-founder</t>
  </si>
  <si>
    <t xml:space="preserve">New York City brand, store page shows Whole Foods Market NoMad inside the cluster, no dated why-now in the last 12 months, revenue unknown, contact named; founder review: format, claim-borderline.</t>
  </si>
  <si>
    <t xml:space="preserve">https://www.seedandmill.com/pages/where-to-buy</t>
  </si>
  <si>
    <t xml:space="preserve">find Rachel Simons at Seed + Mill on LinkedIn and paste the profile URL; before using the retailer line, check Whole Foods Market NoMad still lists it: https://www.wholefoodsmarket.com/search?text=Seed%20%2B%20Mill with your store set to NoMad (catalogs change daily); founder review (format, claim-borderline): read founder_review_reason first</t>
  </si>
  <si>
    <t xml:space="preserve">https://www.seedandmill.com/a/press-kit</t>
  </si>
  <si>
    <t xml:space="preserve">Pistachio Halva 8 oz</t>
  </si>
  <si>
    <t xml:space="preserve">New York (Chelsea Market store)</t>
  </si>
  <si>
    <t xml:space="preserve">https://www.seedandmill.com</t>
  </si>
  <si>
    <t xml:space="preserve">No single-serve SKU found (8 oz halva); brand 'About Sesame' page says phytosterols are 'known to help reduce cholesterol' (check labels for claims)</t>
  </si>
  <si>
    <t xml:space="preserve">format;claim-borderline</t>
  </si>
  <si>
    <t xml:space="preserve">Brand FAQ: 'Halva lasts for 4-6 months when stored in a cool, dry place' and 'Halva does not require refrigeration.'</t>
  </si>
  <si>
    <t xml:space="preserve">Whole Foods Market NoMad, 63 Madison Ave (store_selector, inside);Whole Foods Market Union Square, 4 Union Sq S (store_selector, inside);Lincoln Market, 501 6th Ave (brand_claim, 1.2 blocks out);Elm Drugs, 56 7th Ave (brand_claim, 3.0 blocks out);Whole Foods Market Chelsea, 250 7th Ave (store_selector, 3.0 blocks out);Lifethyme Natural Foods, 408 6th Ave (brand_claim, 5.0 blocks out)</t>
  </si>
  <si>
    <t xml:space="preserve">Seed + Mill shop (brand_claim, 11.4 blocks out);Chelsea Market Baskets (brand_claim, 11.4 blocks out)</t>
  </si>
  <si>
    <t xml:space="preserve">500+ retailers (brand where-to-buy page); Whole Foods</t>
  </si>
  <si>
    <t xml:space="preserve">https://www.wholefoodsmarket.com/api/search?text=seed%20%2B%20mill%20halva&amp;store=10162&amp;limit=60&amp;offset=0; https://www.wholefoodsmarket.com/api/search?text=seed%20%2B%20mill%20halva&amp;store=10773&amp;limit=60&amp;offset=0; https://www.wholefoodsmarket.com/api/search?text=seed%20%2B%20mill%20halva&amp;store=10131&amp;limit=60&amp;offset=0; https://stockist.co/api/v1/u11268/locations/search?latitude=40.7397&amp;longitude=-73.9897&amp;distance=3&amp;units=km (data behind https://www.seedandmill.com/pages/store-locator-1)</t>
  </si>
  <si>
    <t xml:space="preserve">Rachel Simons</t>
  </si>
  <si>
    <t xml:space="preserve">Brand press kit quotes a 2022 article: "Rachel Simons, the Australian-born CEO and Co-Founder of Seed + Mill". About page names three founders, Lisa, Rachel and Monica. Stage 1 source (Goldbelly) returned 403 today.</t>
  </si>
  <si>
    <t xml:space="preserve">Lisa Mendelson</t>
  </si>
  <si>
    <t xml:space="preserve">Lisa</t>
  </si>
  <si>
    <t xml:space="preserve">Mendelson</t>
  </si>
  <si>
    <t xml:space="preserve">Press kit quotes Kitchn: "the three co-founders of Seed + Mill (Rachel Simons, Lisa Mendelson, and Monica Molenaar)".</t>
  </si>
  <si>
    <t xml:space="preserve">https://www.instagram.com/seedandmill/</t>
  </si>
  <si>
    <t xml:space="preserve">BR2:10</t>
  </si>
  <si>
    <t xml:space="preserve">Opened in Chelsea Market January 2016 per brand about page. Health_claim_flag set from a brand education page, not from a product label; founder to judge. Halva is a sesame confection, filed under chocolate-candy.</t>
  </si>
  <si>
    <t xml:space="preserve">shelf_stable_basis &lt;- https://www.seedandmill.com/pages/faq (2026-10-24, opened); founder_name &lt;- https://www.goldbelly.com/restaurants/seed-mill/best-seller-halva-trio (2026-10-24, opened); </t>
  </si>
  <si>
    <t xml:space="preserve">AB-130</t>
  </si>
  <si>
    <t xml:space="preserve">Moshi</t>
  </si>
  <si>
    <t xml:space="preserve">Alton</t>
  </si>
  <si>
    <t xml:space="preserve">But</t>
  </si>
  <si>
    <t xml:space="preserve">New York City brand, brand locator shows Dainobu 0.9 blocks outside it, a new store listing 43 days ago, revenue unknown, contact named plus a marketing lead; founder review: claim-borderline.</t>
  </si>
  <si>
    <t xml:space="preserve">Dainobu, 498 6th Ave</t>
  </si>
  <si>
    <t xml:space="preserve">Launched limited-edition DAN DA DAN x Moshi Sparkling Yuzu Hojicha (anime collab) on its store; also exhibited at Natural Products Expo West 2026 (booth N1934)</t>
  </si>
  <si>
    <t xml:space="preserve">https://tastemoshi.com/products/dandadan-x-moshi-yuzu-hojicha-sparkling-drink</t>
  </si>
  <si>
    <t xml:space="preserve">2026-09-11</t>
  </si>
  <si>
    <t xml:space="preserve">https://tastemoshi.com/pages/moshi</t>
  </si>
  <si>
    <t xml:space="preserve">find Alton But at Moshi on LinkedIn and paste the profile URL; the retailer line rests on the brand's own store locator: say 'your store locator lists ...'; founder review (claim-borderline): read founder_review_reason first</t>
  </si>
  <si>
    <t xml:space="preserve">https://attend.expowest.com/event/natural-products-expo-west-2026/exhibitor/RXhoaWJpdG9yXzIzNTgyMzE=</t>
  </si>
  <si>
    <t xml:space="preserve">Moshi Sparkling Yuzu Original, can; also Sparkling Uji Matcha and Sparkling Oolong Tea</t>
  </si>
  <si>
    <t xml:space="preserve">https://tastemoshi.com</t>
  </si>
  <si>
    <t xml:space="preserve">Shelf stability not stated by the brand; matcha and oolong SKUs contain caffeine (no claim seen). Same parent company (Brooklyn Food &amp; Beverage) as Bruce Cost Ginger Ale and Brooklyn Crafted: contact once; 60-day shelf life not stated</t>
  </si>
  <si>
    <t xml:space="preserve">grp-130-131-132</t>
  </si>
  <si>
    <t xml:space="preserve">Canned sparkling drink sold in ambient grocery per brand locator, but no shelf-stability statement found on site or product pages; founder to confirm</t>
  </si>
  <si>
    <t xml:space="preserve">No public sales figure found</t>
  </si>
  <si>
    <t xml:space="preserve">Dainobu, 498 6th Ave (brand_claim, 0.9 blocks out);H Mart, 38 W 32nd St (brand_claim, 1.0 blocks out);Merci Market, 59 5th Ave (brand_claim, 1.0 blocks out);TESO Life, 1265 Broadway (brand_claim, 1.0 blocks out);Westside Market, 84 3rd Ave (brand_claim, 1.0 blocks out);Westside Market, 180 3rd Ave (brand_claim, 2.0 blocks out)</t>
  </si>
  <si>
    <t xml:space="preserve">Pearl River Mart (brand_claim, 11.4 blocks out)</t>
  </si>
  <si>
    <t xml:space="preserve">H Mart; Westside Market; Pearl River Mart; Sunrise Mart; Katagiri; Dainobu; Merci Market; TESO Life (brand Storepoint locator)</t>
  </si>
  <si>
    <t xml:space="preserve">https://tastemoshi.com/pages/store-locator; https://api.storepoint.co/v1/16047a894dc65b/locations?lat=40.7400&amp;long=-73.9900&amp;radius=3</t>
  </si>
  <si>
    <t xml:space="preserve">Alton But</t>
  </si>
  <si>
    <t xml:space="preserve">Expo West 2026 listing for Brooklyn Food &amp; Beverage: "Founder Alton But ... launched Moshi" in 2020. The Org (brooklyn-food-and-beverage) lists him as Sales &amp; Operations. Same parent as Bruce Cost Ginger Ale (rank 57): treat as one company, one contact in flight.</t>
  </si>
  <si>
    <t xml:space="preserve">Horin Yip</t>
  </si>
  <si>
    <t xml:space="preserve">Horin</t>
  </si>
  <si>
    <t xml:space="preserve">Yip</t>
  </si>
  <si>
    <t xml:space="preserve">Brand Marketing Manager, Brooklyn Food &amp; Beverage</t>
  </si>
  <si>
    <t xml:space="preserve">Expo West 2026 exhibitor team list: "Horin Yip, Brand Marketing Manager, Brooklyn Crafted". Covers the parent's brands.</t>
  </si>
  <si>
    <t xml:space="preserve">https://www.instagram.com/drinkmoshi</t>
  </si>
  <si>
    <t xml:space="preserve">BR3</t>
  </si>
  <si>
    <t xml:space="preserve">BR3:4</t>
  </si>
  <si>
    <t xml:space="preserve">Expo West 2026 exhibitor listing: Brooklyn Food &amp; Beverage, New York City, founder Alton But, launched Moshi in 2020. why_now_date is the Shopify publish date of the collab product (tastemoshi.com/products.json). Brand added kettle chips in 2026-08, so it may also appear in snack slices. Locator has 82 NYC-area points incl. ~20 inside 4th-40th St.</t>
  </si>
  <si>
    <t xml:space="preserve">marketing_name &lt;- https://attend.expowest.com/event/natural-products-expo-west-2026/exhibitor/RXhoaWJpdG9yXzIzNTgyMzE= (2026-10-24, opened); marketing_title &lt;- https://attend.expowest.com/event/natural-products-expo-west-2026/exhibitor/RXhoaWJpdG9yXzIzNTgyMzE= (2026-10-24, opened); </t>
  </si>
  <si>
    <t xml:space="preserve">parent 'brooklyn food &amp; beverage' shared with AB-131; person 'horin yip' shared with AB-131, AB-132</t>
  </si>
  <si>
    <t xml:space="preserve">AB-084</t>
  </si>
  <si>
    <t xml:space="preserve">Elements Truffles</t>
  </si>
  <si>
    <t xml:space="preserve">Alak</t>
  </si>
  <si>
    <t xml:space="preserve">Vasa</t>
  </si>
  <si>
    <t xml:space="preserve">Northeast brand, store page shows Whole Foods Market NoMad inside the cluster, a new store listing 15 days ago, revenue unknown, contact named; founder review: claim-borderline.</t>
  </si>
  <si>
    <t xml:space="preserve">Diwali Gift Box limited edition and VegNews Daily Cacao bundles launched Oct 2026 on brand store</t>
  </si>
  <si>
    <t xml:space="preserve">https://www.elementstruffles.com/</t>
  </si>
  <si>
    <t xml:space="preserve">2026-10-09</t>
  </si>
  <si>
    <t xml:space="preserve">https://www.elementstruffles.com/pages/about-us</t>
  </si>
  <si>
    <t xml:space="preserve">find Alak Vasa at Elements Truffles on LinkedIn and paste the profile URL; before using the retailer line, check Whole Foods Market NoMad still lists it: https://www.wholefoodsmarket.com/search?text=Elements%20Truffles with your store set to NoMad (catalogs change daily); founder review (claim-borderline): read founder_review_reason first</t>
  </si>
  <si>
    <t xml:space="preserve">Orange Crunch Dark Chocolate Bar 1.8 oz; Filter Coffee Chocolate Bar</t>
  </si>
  <si>
    <t xml:space="preserve">Jersey City</t>
  </si>
  <si>
    <t xml:space="preserve">https://www.elementstruffles.com</t>
  </si>
  <si>
    <t xml:space="preserve">Ayurveda-based wellness positioning ('ingredients are the healthiest around'); brand also sells protein powders; check bar labels for claims</t>
  </si>
  <si>
    <t xml:space="preserve">Brand FAQ: chocolate bars 8 months, snack bars 9 months, drinking chocolate 18 months, truffle boxes 2 months; no refrigeration required.</t>
  </si>
  <si>
    <t xml:space="preserve">https://www.wholefoodsmarket.com/api/search?text=elements%20truffles&amp;store=10162&amp;limit=60&amp;offset=0; https://www.wholefoodsmarket.com/api/search?text=elements%20truffles&amp;store=10773&amp;limit=60&amp;offset=0; https://www.wholefoodsmarket.com/api/search?text=elements%20truffles&amp;store=10131&amp;limit=60&amp;offset=0</t>
  </si>
  <si>
    <t xml:space="preserve">Alak Vasa</t>
  </si>
  <si>
    <t xml:space="preserve">About page, "meet our founders".</t>
  </si>
  <si>
    <t xml:space="preserve">Kushal Choksi</t>
  </si>
  <si>
    <t xml:space="preserve">Kushal</t>
  </si>
  <si>
    <t xml:space="preserve">Choksi</t>
  </si>
  <si>
    <t xml:space="preserve">About page: "Kushal M. Choksi", co-founder with Alak.</t>
  </si>
  <si>
    <t xml:space="preserve">https://www.instagram.com/elementstruffles/</t>
  </si>
  <si>
    <t xml:space="preserve">BR2:21</t>
  </si>
  <si>
    <t xml:space="preserve">Founders are ex-Wall Street traders per brand story; HQ not stated on pages opened. Why-now date from Shopify publish dates.</t>
  </si>
  <si>
    <t xml:space="preserve">hq_city &lt;- https://www.elementstruffles.com/policies/terms-of-service (2026-10-24, opened); hq_state &lt;- https://www.elementstruffles.com/policies/terms-of-service (2026-10-24, opened); shelf_stable &lt;- https://www.elementstruffles.com/pages/faq (2026-10-24, opened); shelf_stable_basis &lt;- https://www.elementstruffles.com/pages/faq (2026-10-24, opened); </t>
  </si>
  <si>
    <t xml:space="preserve">AB-285</t>
  </si>
  <si>
    <t xml:space="preserve">Effie's Homemade</t>
  </si>
  <si>
    <t xml:space="preserve">MacIsaac</t>
  </si>
  <si>
    <t xml:space="preserve">Northeast brand, store page shows Whole Foods Market NoMad inside the cluster, news 5 days ago, revenue unknown, contact named; founder review: scale.</t>
  </si>
  <si>
    <t xml:space="preserve">Gruyere Biscuits named a 2027 sofi Award finalist (Bakery, Bread &amp; Crackers); new Walnut Biscuits launched</t>
  </si>
  <si>
    <t xml:space="preserve">https://www.specialtyfood.com/news-media/news-features/association-press-releases/2027-sofi-awards-finalists/</t>
  </si>
  <si>
    <t xml:space="preserve">find Joan MacIsaac at Effie's Homemade on LinkedIn and paste the profile URL; before using the retailer line, check Whole Foods Market NoMad still lists it: https://www.wholefoodsmarket.com/search?text=Effie%27s%20Homemade with your store set to NoMad (catalogs change daily); founder review (scale): read founder_review_reason first</t>
  </si>
  <si>
    <t xml:space="preserve">https://blog.harryanddavid.com/articles/profiles/effies-homemade-oatcake</t>
  </si>
  <si>
    <t xml:space="preserve">Oatcakes Single Serve pack; Cocoa Biscuits Single Serve</t>
  </si>
  <si>
    <t xml:space="preserve">Hyde Park (Boston)</t>
  </si>
  <si>
    <t xml:space="preserve">https://effieshomemade.com/products/oatcakes-single-serve</t>
  </si>
  <si>
    <t xml:space="preserve">May be above the $10M revenue ceiling given 4,000+ doors. WFM lists the 7.2 oz boxes; the single-serve packs were seen only on the brand site</t>
  </si>
  <si>
    <t xml:space="preserve">scale</t>
  </si>
  <si>
    <t xml:space="preserve">https://effieshomemade.com</t>
  </si>
  <si>
    <t xml:space="preserve">Shelf-stable biscuits sold in the specialty cheese aisle; Walnut Biscuits page states a 6-month shelf life</t>
  </si>
  <si>
    <t xml:space="preserve">No sales figure. Homepage: 'more than 4,000 specialty retail shops nationwide' (store count only; may sit above the $10M ceiling)</t>
  </si>
  <si>
    <t xml:space="preserve">More than 4,000 specialty retail shops nationwide; Whole Foods Market</t>
  </si>
  <si>
    <t xml:space="preserve">https://www.wholefoodsmarket.com/api/search?text=effie's&amp;store=10162 / 10773 / 10131 / 10713 (store-scoped catalog search; Union Square 10162, NoMad 10773, Chelsea 10131, Manhattan West 10713; opened 2026-10-24)</t>
  </si>
  <si>
    <t xml:space="preserve">Joan MacIsaac</t>
  </si>
  <si>
    <t xml:space="preserve">Harry &amp; David profile (2023-02-17, modified 2025-06-23): "Effie's Homemade founders and friends, Joan MacIsaac and Irene Costello". Brand about page names Joan (Effie's daughter). Fills the stage-1 surname gap.</t>
  </si>
  <si>
    <t xml:space="preserve">Irene Costello</t>
  </si>
  <si>
    <t xml:space="preserve">Irene</t>
  </si>
  <si>
    <t xml:space="preserve">Costello</t>
  </si>
  <si>
    <t xml:space="preserve">Same page.</t>
  </si>
  <si>
    <t xml:space="preserve">https://www.instagram.com/effieshomemade</t>
  </si>
  <si>
    <t xml:space="preserve">BR5:21</t>
  </si>
  <si>
    <t xml:space="preserve">Also a 2026 sofi finalist (Gruyere Biscuit). Single-serve oatcake packs published 2025-10-30 (products.json). WFM catalog shows Oatcakes, Cocoa, Pecan, Corn and Almond biscuits 7.2 oz at all four Manhattan stores checked. A catalog listing is not proof the product is on the shelf today.</t>
  </si>
  <si>
    <t xml:space="preserve">AB-237</t>
  </si>
  <si>
    <t xml:space="preserve">Z Crackers</t>
  </si>
  <si>
    <t xml:space="preserve">Keith</t>
  </si>
  <si>
    <t xml:space="preserve">Pollack</t>
  </si>
  <si>
    <t xml:space="preserve">Co-founder and President</t>
  </si>
  <si>
    <t xml:space="preserve">New York City brand, store page shows Whole Foods Market NoMad inside the cluster, no dated why-now in the last 12 months, revenue unknown, contact named; founder review: format.</t>
  </si>
  <si>
    <t xml:space="preserve">https://www.zcrackers.com/</t>
  </si>
  <si>
    <t xml:space="preserve">find Keith Pollack at Z Crackers on LinkedIn and paste the profile URL; before using the retailer line, check Whole Foods Market NoMad still lists it: https://www.wholefoodsmarket.com/search?text=Z%20Crackers with your store set to NoMad (catalogs change daily); founder review (format): read founder_review_reason first</t>
  </si>
  <si>
    <t xml:space="preserve">Everything Crackers 7.5 oz box; Garlic &amp; Basil Crackers 8 oz; breadsticks</t>
  </si>
  <si>
    <t xml:space="preserve">Brooklyn (Savory Pie Company, 215 Stratford Road, Brooklyn, NY 11218, per homepage contact block)</t>
  </si>
  <si>
    <t xml:space="preserve">7.5-8 oz boxes are share packs, not individually packaged; office use would need opened boxes or a smaller format; no online store: buy path is the store only</t>
  </si>
  <si>
    <t xml:space="preserve">https://www.zcrackers.com</t>
  </si>
  <si>
    <t xml:space="preserve">Boxed crackers sold ambient; no shelf-life figure published, founder to confirm</t>
  </si>
  <si>
    <t xml:space="preserve">Whole Foods Market (WFM catalog); store locator on site</t>
  </si>
  <si>
    <t xml:space="preserve">https://www.wholefoodsmarket.com/api/search?text=z%20crackers&amp;store=10773&amp;limit=60&amp;offset=0; https://www.wholefoodsmarket.com/api/search?text=z%20crackers&amp;store=10162&amp;limit=60&amp;offset=0; https://www.wholefoodsmarket.com/api/search?text=z%20crackers&amp;store=10713&amp;limit=60&amp;offset=0</t>
  </si>
  <si>
    <t xml:space="preserve">Keith Pollack</t>
  </si>
  <si>
    <t xml:space="preserve">Homepage: "Pam and Keith Pollack, Founders" and "Keith Pollack, Z President" (Savory Pie Company).</t>
  </si>
  <si>
    <t xml:space="preserve">Pam Pollack</t>
  </si>
  <si>
    <t xml:space="preserve">BR4:32</t>
  </si>
  <si>
    <t xml:space="preserve">Vegan, non-GMO cornmeal crackers. WFM flags Local at Union Square and NoMad (2026-10-23). Trade sell sheets downloadable from homepage.</t>
  </si>
  <si>
    <t xml:space="preserve">founder_name &lt;- https://www.zcrackers.com/ (2026-10-24, opened); founder_title &lt;- https://www.zcrackers.com/ (2026-10-24, opened); founder_profile_url &lt;- https://www.zcrackers.com/ (2026-10-24, opened); hq_city &lt;- https://www.zcrackers.com/ (2026-10-24, opened); </t>
  </si>
  <si>
    <t xml:space="preserve">AB-107</t>
  </si>
  <si>
    <t xml:space="preserve">Solely</t>
  </si>
  <si>
    <t xml:space="preserve">Simon</t>
  </si>
  <si>
    <t xml:space="preserve">Sacal</t>
  </si>
  <si>
    <t xml:space="preserve">Brand based outside the Northeast, store page shows Whole Foods Market NoMad inside the cluster, news 66 days ago, revenue unknown, contact named plus a marketing lead; founder review: scale.</t>
  </si>
  <si>
    <t xml:space="preserve">Expanded to Walmart stores nationwide (six items: Fruit Jerky 5-packs and Fruit Gummies 10-packs)</t>
  </si>
  <si>
    <t xml:space="preserve">https://www.snackandbakery.com/articles/116204-solely-expands-to-walmart-stores-nationwide</t>
  </si>
  <si>
    <t xml:space="preserve">2026-08-19</t>
  </si>
  <si>
    <t xml:space="preserve">https://solely.com/pages/about</t>
  </si>
  <si>
    <t xml:space="preserve">find Simon Sacal at Solely on LinkedIn and paste the profile URL; before using the retailer line, check Whole Foods Market NoMad still lists it: https://www.wholefoodsmarket.com/search?text=Solely with your store set to NoMad (catalogs change daily); founder review (scale): read founder_review_reason first</t>
  </si>
  <si>
    <t xml:space="preserve">https://karagoldin.com/podcasts/simon-sacal/</t>
  </si>
  <si>
    <t xml:space="preserve">Organic Pineapple Fruit Jerky 0.8 oz; Organic Mango and Blueberry Gummies 3.5 oz</t>
  </si>
  <si>
    <t xml:space="preserve">fruit-snacks</t>
  </si>
  <si>
    <t xml:space="preserve">La Jolla</t>
  </si>
  <si>
    <t xml:space="preserve">https://solely.com</t>
  </si>
  <si>
    <t xml:space="preserve">Kids-focused mission; Costco distribution and own farm network may put it above the size band</t>
  </si>
  <si>
    <t xml:space="preserve">CA</t>
  </si>
  <si>
    <t xml:space="preserve">Brand FAQ: 'Most Solely products have a one-year shelf life from manufactured date'; online orders ship with a best-by at least 90 days out.</t>
  </si>
  <si>
    <t xml:space="preserve">Whole Foods; Costco (linked press)</t>
  </si>
  <si>
    <t xml:space="preserve">https://www.wholefoodsmarket.com/api/search?text=solely&amp;store=10162&amp;limit=60&amp;offset=0; https://www.wholefoodsmarket.com/api/search?text=solely&amp;store=10773&amp;limit=60&amp;offset=0; https://www.wholefoodsmarket.com/api/search?text=solely&amp;store=10131&amp;limit=60&amp;offset=0</t>
  </si>
  <si>
    <t xml:space="preserve">Simon Sacal</t>
  </si>
  <si>
    <t xml:space="preserve">Kara Goldin Show page title "Simon Sacal: Founder &amp; CEO of Solely" (no LinkedIn link). Snack and Bakery 2026 calls him CEO.</t>
  </si>
  <si>
    <t xml:space="preserve">Manish Amin</t>
  </si>
  <si>
    <t xml:space="preserve">Manish</t>
  </si>
  <si>
    <t xml:space="preserve">Amin</t>
  </si>
  <si>
    <t xml:space="preserve">The Org (updated 2024-11-04): since 2022. Two years since update. The Org also lists a CRO and EVP Sales and Marketing.</t>
  </si>
  <si>
    <t xml:space="preserve">https://www.instagram.com/solelyfruit/</t>
  </si>
  <si>
    <t xml:space="preserve">BR2:45</t>
  </si>
  <si>
    <t xml:space="preserve">USDA Organic, sourced from own certified farms (FAQ). Why-now from Shopify publish date.</t>
  </si>
  <si>
    <t xml:space="preserve">shelf_stable &lt;- https://solely.com/pages/faq (2026-10-24, opened); shelf_stable_basis &lt;- https://solely.com/pages/faq (2026-10-24, opened); hq_city &lt;- https://solely.com/policies/terms-of-service (2026-10-24, opened); hq_state &lt;- https://solely.com/policies/terms-of-service (2026-10-24, opened); why_now &lt;- https://www.snackandbakery.com/articles/116204-solely-expands-to-walmart-stores-nationwide (2026-10-24, opened); why_now_url &lt;- https://www.snackandbakery.com/articles/116204-solely-expands-to-walmart-stores-nationwide (2026-10-24, opened); why_now_date &lt;- https://www.snackandbakery.com/articles/116204-solely-expands-to-walmart-stores-nationwide (2026-10-24, opened); founder_name &lt;- https://www.snackandbakery.com/articles/116007-solely-adds-to-its-fruit-jerky-lineup (2026-10-24, opened); founder_title &lt;- https://www.snackandbakery.com/articles/116007-solely-adds-to-its-fruit-jerky-lineup (2026-10-24, opened); founder_profile_url &lt;- https://www.snackandbakery.com/articles/116007-solely-adds-to-its-fruit-jerky-lineup (2026-10-24, opened); </t>
  </si>
  <si>
    <t xml:space="preserve">https://theorg.com/org/solely-inc/person/manish-amin</t>
  </si>
  <si>
    <t xml:space="preserve">AB-091</t>
  </si>
  <si>
    <t xml:space="preserve">Mavericks Snacks</t>
  </si>
  <si>
    <t xml:space="preserve">Livio</t>
  </si>
  <si>
    <t xml:space="preserve">Bisterzo</t>
  </si>
  <si>
    <t xml:space="preserve">Brand based outside the Northeast, store page shows Whole Foods Market NoMad inside the cluster, news 211 days ago, revenue unknown, contact named; founder review: other.</t>
  </si>
  <si>
    <t xml:space="preserve">Launched limited-time Lemon Creme Sandwich Cookies at select Whole Foods Market stores nationwide</t>
  </si>
  <si>
    <t xml:space="preserve">https://www.snackandbakery.com/articles/115453-mavericks-snacks-introduces-seasonal-lemon-cookies</t>
  </si>
  <si>
    <t xml:space="preserve">2026-03-27</t>
  </si>
  <si>
    <t xml:space="preserve">https://mavericksnacks.com/pages/about-page</t>
  </si>
  <si>
    <t xml:space="preserve">find Livio Bisterzo at Mavericks Snacks on LinkedIn and paste the profile URL; the source is dated 2024-10-11: check Livio still holds the role; before using the retailer line, check Whole Foods Market NoMad still lists it: https://www.wholefoodsmarket.com/search?text=Mavericks%20Snacks with your store set to NoMad (catalogs change daily); founder review (other): read founder_review_reason first</t>
  </si>
  <si>
    <t xml:space="preserve">https://startupcpg.com/startup-cpg-newswire-mavericks-snacks-partners-with-paramount-pictures-for-transformers-one-film-release/</t>
  </si>
  <si>
    <t xml:space="preserve">Chocolate Chip Bolt Cookies, Snack Packs; Kids Birthday Cake Cookies 7.05 oz</t>
  </si>
  <si>
    <t xml:space="preserve">https://mavericksnacks.com</t>
  </si>
  <si>
    <t xml:space="preserve">Kids' product positioning ('Kids' cookies, families); 60-day shelf life not stated</t>
  </si>
  <si>
    <t xml:space="preserve">Packaged cookies and snack packs sold ambient at Whole Foods; shelf-life figure not found</t>
  </si>
  <si>
    <t xml:space="preserve">Whole Foods; Amazon</t>
  </si>
  <si>
    <t xml:space="preserve">https://www.wholefoodsmarket.com/api/search?text=mavericks%20cookies&amp;store=10162&amp;limit=60&amp;offset=0; https://www.wholefoodsmarket.com/api/search?text=mavericks%20cookies&amp;store=10773&amp;limit=60&amp;offset=0; https://www.wholefoodsmarket.com/api/search?text=mavericks%20cookies&amp;store=10131&amp;limit=60&amp;offset=0</t>
  </si>
  <si>
    <t xml:space="preserve">Livio Bisterzo</t>
  </si>
  <si>
    <t xml:space="preserve">Release: "Livio Bisterzo, CEO of Green Park Brands, founded Mavericks Snacks". The Org (green-park-brands, updated 2024-10-11): CEO &amp; Founder of the parent.</t>
  </si>
  <si>
    <t xml:space="preserve">Tina Pate</t>
  </si>
  <si>
    <t xml:space="preserve">Seen only in a search summary of a 2022 Nosh article (not opened). Four years old; likely stale.</t>
  </si>
  <si>
    <t xml:space="preserve">https://www.instagram.com/mavericksnacks/</t>
  </si>
  <si>
    <t xml:space="preserve">BR2:28</t>
  </si>
  <si>
    <t xml:space="preserve">Garrison Jones is CEO of Mavericks Snacks as of 2026-03-27 (President in 2024). Likely the better first contact than founder Livio Bisterzo, who runs parent Green Park Brands.</t>
  </si>
  <si>
    <t xml:space="preserve">hq_city &lt;- https://startupcpg.com/startup-cpg-newswire-mavericks-snacks-partners-with-paramount-pictures-for-transformers-one-film-release/ (2026-10-24, opened); hq_state &lt;- https://startupcpg.com/startup-cpg-newswire-mavericks-snacks-partners-with-paramount-pictures-for-transformers-one-film-release/ (2026-10-24, opened); founder_name &lt;- https://startupcpg.com/startup-cpg-newswire-mavericks-snacks-partners-with-paramount-pictures-for-transformers-one-film-release/ (2026-10-24, opened); founder_title &lt;- https://startupcpg.com/startup-cpg-newswire-mavericks-snacks-partners-with-paramount-pictures-for-transformers-one-film-release/ (2026-10-24, opened); founder_profile_url &lt;- https://startupcpg.com/startup-cpg-newswire-mavericks-snacks-partners-with-paramount-pictures-for-transformers-one-film-release/ (2026-10-24, opened); startup_cpg_member &lt;- https://startupcpg.com/startup-cpg-newswire-mavericks-snacks-partners-with-paramount-pictures-for-transformers-one-film-release/ (2026-10-24, opened); startup_cpg_evidence_url &lt;- https://startupcpg.com/startup-cpg-newswire-mavericks-snacks-partners-with-paramount-pictures-for-transformers-one-film-release/ (2026-10-24, opened); why_now &lt;- https://www.snackandbakery.com/articles/115453-mavericks-snacks-introduces-seasonal-lemon-cookies (2026-10-24, opened); why_now_url &lt;- https://www.snackandbakery.com/articles/115453-mavericks-snacks-introduces-seasonal-lemon-cookies (2026-10-24, opened); why_now_date &lt;- https://www.snackandbakery.com/articles/115453-mavericks-snacks-introduces-seasonal-lemon-cookies (2026-10-24, opened); notes &lt;- https://www.snackandbakery.com/articles/115453-mavericks-snacks-introduces-seasonal-lemon-cookies (2026-10-24, opened); </t>
  </si>
  <si>
    <t xml:space="preserve">https://www.nosh.com/news/2022/mavericks-cookies-focuses-on-branding-to-land-target-store-partnership</t>
  </si>
  <si>
    <t xml:space="preserve">2024-10-11</t>
  </si>
  <si>
    <t xml:space="preserve">AB-087</t>
  </si>
  <si>
    <t xml:space="preserve">Mayana Chocolate</t>
  </si>
  <si>
    <t xml:space="preserve">Herskovic</t>
  </si>
  <si>
    <t xml:space="preserve">Owner</t>
  </si>
  <si>
    <t xml:space="preserve">Brand based outside the Northeast, store page shows Whole Foods Market NoMad inside the cluster, a new store listing 172 days ago, revenue unknown, contact named; founder review: shelf life not stated.</t>
  </si>
  <si>
    <t xml:space="preserve">New Mayan Spice and Mother Fluffer candy bars added to brand store (Apr to May 2026)</t>
  </si>
  <si>
    <t xml:space="preserve">https://www.mayanachocolate.com/</t>
  </si>
  <si>
    <t xml:space="preserve">2026-05-05</t>
  </si>
  <si>
    <t xml:space="preserve">https://www.mayanachocolate.com/pages/about-mayana-chocolate</t>
  </si>
  <si>
    <t xml:space="preserve">find Daniel Herskovic at Mayana Chocolate on LinkedIn and paste the profile URL; before using the retailer line, check Whole Foods Market NoMad still lists it: https://www.wholefoodsmarket.com/search?text=Mayana%20Chocolate with your store set to NoMad (catalogs change daily); founder review (shelf life or online store): read founder_review_reason first</t>
  </si>
  <si>
    <t xml:space="preserve">Mini Cloud 9 Bar 1.4 oz; Strawberry Rose Mini Chocolate Bar</t>
  </si>
  <si>
    <t xml:space="preserve">Spooner (brand about page calls Spooner 'Mayana's future home')</t>
  </si>
  <si>
    <t xml:space="preserve">https://www.mayanachocolate.com</t>
  </si>
  <si>
    <t xml:space="preserve">WI</t>
  </si>
  <si>
    <t xml:space="preserve">Wrapped candy bars sold ambient at Whole Foods; shelf-life figure not published</t>
  </si>
  <si>
    <t xml:space="preserve">Chelsea Market Baskets (brand_claim, 11.4 blocks out)</t>
  </si>
  <si>
    <t xml:space="preserve">Whole Foods; Chelsea Market Baskets (brand Storepoint locator)</t>
  </si>
  <si>
    <t xml:space="preserve">https://www.wholefoodsmarket.com/api/search?text=mayana&amp;store=10162&amp;limit=60&amp;offset=0; https://www.wholefoodsmarket.com/api/search?text=mayana&amp;store=10773&amp;limit=60&amp;offset=0; https://www.wholefoodsmarket.com/api/search?text=mayana&amp;store=10131&amp;limit=60&amp;offset=0; https://api.storepoint.co/v1/165c62771a1a74/locations?lat=40.7397&amp;long=-73.9897&amp;radius=3</t>
  </si>
  <si>
    <t xml:space="preserve">Daniel Herskovic</t>
  </si>
  <si>
    <t xml:space="preserve">About page: run by husband and wife Daniel and Tamara Herskovic. The Org (updated 2026-09-28) lists him as CEO since 2008.</t>
  </si>
  <si>
    <t xml:space="preserve">Tamara Herskovic</t>
  </si>
  <si>
    <t xml:space="preserve">Tamara</t>
  </si>
  <si>
    <t xml:space="preserve">https://www.instagram.com/eatmayana/</t>
  </si>
  <si>
    <t xml:space="preserve">BR2:24</t>
  </si>
  <si>
    <t xml:space="preserve">Not a New York brand but stocked at all three cluster Whole Foods. Why-now dates from Shopify publish dates.</t>
  </si>
  <si>
    <t xml:space="preserve">2026-09-28</t>
  </si>
  <si>
    <t xml:space="preserve">AB-172</t>
  </si>
  <si>
    <t xml:space="preserve">Explorer Cold Brew</t>
  </si>
  <si>
    <t xml:space="preserve">Cason</t>
  </si>
  <si>
    <t xml:space="preserve">Crane</t>
  </si>
  <si>
    <t xml:space="preserve">https://www.linkedin.com/in/casoncrane/</t>
  </si>
  <si>
    <t xml:space="preserve">New York City brand, no graded store within ten blocks, online store only, news 79 days ago, revenue unknown, contact named; founder review: format.</t>
  </si>
  <si>
    <t xml:space="preserve">Acquired Savorista, a decaf and half-caff coffee company (Food Business News, 2026-01-20); 2026 Startup CPG Shelfie finalist, Coffee category (2026-08-06); Matcha Oat Latte cans listed 2026-08-27</t>
  </si>
  <si>
    <t xml:space="preserve">https://startupcpg.com/startup-cpg-shelfie-finalists-2026/</t>
  </si>
  <si>
    <t xml:space="preserve">https://explorercoldbrew.com/pages/meet-the-team</t>
  </si>
  <si>
    <t xml:space="preserve">founder review (format): read founder_review_reason first</t>
  </si>
  <si>
    <t xml:space="preserve">Explorer Cold Brew Oat Latte (choose caffeine level), can 12-pack</t>
  </si>
  <si>
    <t xml:space="preserve">coffee-rtd</t>
  </si>
  <si>
    <t xml:space="preserve">https://explorercoldbrew.com</t>
  </si>
  <si>
    <t xml:space="preserve">HQ and NYC retail not confirmed; 128 oz box is not a fit, only the cans; 60-day shelf life not stated</t>
  </si>
  <si>
    <t xml:space="preserve">No storage statement found in product copy</t>
  </si>
  <si>
    <t xml:space="preserve">unknown (Dathic locator not readable)</t>
  </si>
  <si>
    <t xml:space="preserve">Cason Crane</t>
  </si>
  <si>
    <t xml:space="preserve">Meet the Team page. LinkedIn URL from the Startup CPG podcast "Founder Feature: Cason Crane" episode links (2024-11-22, public feed); LinkedIn not opened.</t>
  </si>
  <si>
    <t xml:space="preserve">Michael O'Hagan</t>
  </si>
  <si>
    <t xml:space="preserve">Michael</t>
  </si>
  <si>
    <t xml:space="preserve">O'Hagan</t>
  </si>
  <si>
    <t xml:space="preserve">Head of Ecommerce and Growth (consultant)</t>
  </si>
  <si>
    <t xml:space="preserve">The Org (updated 2024-11-01): consultant role since 2022. Not on the brand's Meet the Team page, so he may have left. Growth, not a marketing title.</t>
  </si>
  <si>
    <t xml:space="preserve">BR3:46</t>
  </si>
  <si>
    <t xml:space="preserve">Founded 2020 (meet-the-team). Caffeine-level choice (decaf, half-caff) is an office-friendly angle. Matcha date is Shopify publish date.</t>
  </si>
  <si>
    <t xml:space="preserve">hq_city &lt;- https://explorercoldbrew.com/policies/privacy-policy (2026-10-24, opened); hq_state &lt;- https://explorercoldbrew.com/policies/privacy-policy (2026-10-24, opened); why_now &lt;- https://www.foodbusinessnews.net/articles/29640-explorer-cold-brew-grows-coffee-portfolio-through-acquisition (2026-10-24, opened); why_now_date &lt;- https://startupcpg.com/startup-cpg-shelfie-finalists-2026/ (2026-10-24, opened); founder_title &lt;- https://www.foodbusinessnews.net/articles/29640-explorer-cold-brew-grows-coffee-portfolio-through-acquisition (2026-10-24, opened); </t>
  </si>
  <si>
    <t xml:space="preserve">https://theorg.com/org/explorer-cold-brew/person/michael-ohagan</t>
  </si>
  <si>
    <t xml:space="preserve">2024-11-01</t>
  </si>
  <si>
    <t xml:space="preserve">AB-222</t>
  </si>
  <si>
    <t xml:space="preserve">Shinzo Matcha</t>
  </si>
  <si>
    <t xml:space="preserve">Zach</t>
  </si>
  <si>
    <t xml:space="preserve">Hayworth</t>
  </si>
  <si>
    <t xml:space="preserve">New York City brand, no graded store within ten blocks, online store only, news 176 days ago, revenue unknown, contact named; founder review: claim-borderline.</t>
  </si>
  <si>
    <t xml:space="preserve">Launched sparkling matcha soda in 8.4 oz cans at 30+ NYC specialty grocers; 2026 Shelfie Award finalist (Tea)</t>
  </si>
  <si>
    <t xml:space="preserve">https://startupcpg.com/startup-cpg-newswire-shinzo-matcha-launches-sparkling-matcha-soda/</t>
  </si>
  <si>
    <t xml:space="preserve">https://shinzomatcha.com/pages/for-work</t>
  </si>
  <si>
    <t xml:space="preserve">find Zach Hayworth at Shinzo Matcha on LinkedIn and paste the profile URL; founder review (claim-borderline): read founder_review_reason first</t>
  </si>
  <si>
    <t xml:space="preserve">Yuzu Mint Sparkling Matcha, 8.4 oz can (also Coconut Mango); matcha latte stick packs</t>
  </si>
  <si>
    <t xml:space="preserve">tea-juice</t>
  </si>
  <si>
    <t xml:space="preserve">New York (privacy policy: 169 Madison Ave, Ste 38135, New York, NY 10016, a mailbox-style suite; release: 'a New York-based beverage brand')</t>
  </si>
  <si>
    <t xml:space="preserve">https://shinzomatcha.com</t>
  </si>
  <si>
    <t xml:space="preserve">Caffeinated matcha with energy positioning ('smooth, steady energy', 'delicious and healthy'); sparkling RTD launched April 2026, shelf life not stated; 60-day shelf life not stated</t>
  </si>
  <si>
    <t xml:space="preserve">Canned RTD sold in beverage aisle per release; storage and shelf life not stated, founder to confirm</t>
  </si>
  <si>
    <t xml:space="preserve">Westside Market (NYC; specific location not stated) (unverified, unplaced)</t>
  </si>
  <si>
    <t xml:space="preserve">30+ NYC specialty grocers incl. Westside Market, Gourmet Fresh, Dumbo Market (release); online</t>
  </si>
  <si>
    <t xml:space="preserve">Zach Hayworth</t>
  </si>
  <si>
    <t xml:space="preserve">Release quotes "co-founder Zach Hayworth". One web search found no other co-founder.</t>
  </si>
  <si>
    <t xml:space="preserve">BR4:17</t>
  </si>
  <si>
    <t xml:space="preserve">Has a 'Matcha for Work' page offering bulk workplace pricing; lists General Catalyst and Kleiner Perkins as workplace customers. Also a BevNET Live NYC 2026 New Beverage Showdown semifinalist (search-result snippet, not opened). Westside Market has several Manhattan stores, incl. 77 7th Ave; which one stocks it is not stated.</t>
  </si>
  <si>
    <t xml:space="preserve">hq_city &lt;- https://shinzomatcha.com/policies/privacy-policy (2026-10-24, opened); </t>
  </si>
  <si>
    <t xml:space="preserve">AB-278</t>
  </si>
  <si>
    <t xml:space="preserve">Doosra</t>
  </si>
  <si>
    <t xml:space="preserve">Kartik</t>
  </si>
  <si>
    <t xml:space="preserve">Das</t>
  </si>
  <si>
    <t xml:space="preserve">https://www.linkedin.com/in/daskartik/</t>
  </si>
  <si>
    <t xml:space="preserve">New York City brand, no graded store within ten blocks, online store only, a new store listing 8 days ago, revenue unknown, contact named.</t>
  </si>
  <si>
    <t xml:space="preserve">Launched The Gift Box (bowl, spoon and 4 oz bags of each flavor) for the 2026 holidays</t>
  </si>
  <si>
    <t xml:space="preserve">https://eatdoosra.com/products.json</t>
  </si>
  <si>
    <t xml:space="preserve">2026-10-16</t>
  </si>
  <si>
    <t xml:space="preserve">https://www.entrepreneurspace.org/clients</t>
  </si>
  <si>
    <t xml:space="preserve">https://eatdoosra.com/pages/about</t>
  </si>
  <si>
    <t xml:space="preserve">Doosra Peanut &amp; Caramelized White Chocolate Indian snack mix, 4 oz bag</t>
  </si>
  <si>
    <t xml:space="preserve">Queens</t>
  </si>
  <si>
    <t xml:space="preserve">https://eatdoosra.com</t>
  </si>
  <si>
    <t xml:space="preserve">Dry snack mix in sealed bags sold online and in groceries; shelf life not stated</t>
  </si>
  <si>
    <t xml:space="preserve">Pearl River Mart Foods (unverified, 13.2 blocks out)</t>
  </si>
  <si>
    <t xml:space="preserve">Pearl River Mart Foods (Chelsea Market); Pearl River Mart (452 Broadway); Fonty's; Desi Galli; Happier Grocery; Jubilee Marketplace; Food Cellar Market; The Goods Mart (brand Stockist locator)</t>
  </si>
  <si>
    <t xml:space="preserve">https://stockist.co/api/v1/u18827/locations/search?latitude=40.7411&amp;longitude=-73.9897&amp;distance=5 (widget on https://eatdoosra.com/pages/store-locator)</t>
  </si>
  <si>
    <t xml:space="preserve">Kartik Das</t>
  </si>
  <si>
    <t xml:space="preserve">About page signed Kartik Das. LinkedIn URL from the Startup CPG podcast "Founder Feature: Kartik Das of Doosra" episode links (2026-02-06, public feed); LinkedIn not opened.</t>
  </si>
  <si>
    <t xml:space="preserve">https://www.instagram.com/eatdoosra/</t>
  </si>
  <si>
    <t xml:space="preserve">BR5:14</t>
  </si>
  <si>
    <t xml:space="preserve">Entrepreneur Space (QEDC, Long Island City) current client: 'Doosra, Indian Snack Mix'. About page: 'proudly made in Queens, New York in small batches'. Startup CPG search returned only a 2024 Shelfie finalist post, which is older than 12 months, so startup_cpg_member stays unknown.</t>
  </si>
  <si>
    <t xml:space="preserve">AB-174</t>
  </si>
  <si>
    <t xml:space="preserve">OOSO Sparkling Tea</t>
  </si>
  <si>
    <t xml:space="preserve">Oliver</t>
  </si>
  <si>
    <t xml:space="preserve">Spring</t>
  </si>
  <si>
    <t xml:space="preserve">https://www.linkedin.com/in/oliverhspring/</t>
  </si>
  <si>
    <t xml:space="preserve">New York City brand, no graded store within ten blocks, online store only, a new store listing 37 days ago, revenue unknown, contact named plus a marketing lead; founder review: claim-borderline.</t>
  </si>
  <si>
    <t xml:space="preserve">New flavors added: Chamomile Peach Yuzu (2026-06-01) and Mint Limeade, Hibiscus Raspberry, Earl Grey Lemonade (2026-09-17)</t>
  </si>
  <si>
    <t xml:space="preserve">https://drinkooso.com/products.json</t>
  </si>
  <si>
    <t xml:space="preserve">https://drinkooso.com/pages/faqs</t>
  </si>
  <si>
    <t xml:space="preserve">founder review (claim-borderline): read founder_review_reason first</t>
  </si>
  <si>
    <t xml:space="preserve">https://theorg.com/org/ooso-sparkling-tea/person/oliver-spring</t>
  </si>
  <si>
    <t xml:space="preserve">OOSO Hibiscus Ginger Currant caffeine-free sparkling tea, can</t>
  </si>
  <si>
    <t xml:space="preserve">https://drinkooso.com</t>
  </si>
  <si>
    <t xml:space="preserve">Startup CPG describes 'functional ingredients' (no claim seen on pages read; check label); positioned as a wine alternative. HQ and NYC store not confirmed</t>
  </si>
  <si>
    <t xml:space="preserve">FAQ: 'OOSO is shelf stable and lasts 18 months after production when stored in a cool, dry environment' (drinkooso.com/pages/faqs, opened 2026-10-23)</t>
  </si>
  <si>
    <t xml:space="preserve">Pop Up Grocer (directory); 'bars, restaurants, and retailers all across the country' (FAQ); stockist page not readable</t>
  </si>
  <si>
    <t xml:space="preserve">https://drinkooso.com/pages/ooso-irl</t>
  </si>
  <si>
    <t xml:space="preserve">https://startupcpg.com/shelfie-awards-2025-meet-the-winners/</t>
  </si>
  <si>
    <t xml:space="preserve">Oliver Spring</t>
  </si>
  <si>
    <t xml:space="preserve">The Org (updated 2026-10-14): CEO &amp; Co-founder. Team page lists him as co-founder. LinkedIn URL from the Startup CPG podcast "Founder Feature: Ollie &amp; Sophie Spring of OOSO Sparkling Tea" episode links (2025-10-10, public feed); LinkedIn not opened. Stage 1 had Sophia in the founder slot; swapped because she leads marketing.</t>
  </si>
  <si>
    <t xml:space="preserve">Sophia Racciatti</t>
  </si>
  <si>
    <t xml:space="preserve">Racciatti</t>
  </si>
  <si>
    <t xml:space="preserve">Co-founder (leads marketing)</t>
  </si>
  <si>
    <t xml:space="preserve">Team page: co-founder who has "masterminded everything from how to market OOSO". The podcast episode title calls her Sophie Spring; she may use either surname. LinkedIn URL from the same episode links; not opened.</t>
  </si>
  <si>
    <t xml:space="preserve">https://www.linkedin.com/in/sophiaracciatti/</t>
  </si>
  <si>
    <t xml:space="preserve">https://www.instagram.com/drinkooso</t>
  </si>
  <si>
    <t xml:space="preserve">BR3:48</t>
  </si>
  <si>
    <t xml:space="preserve">2025 Startup CPG Shelfie winner, Non-Alcoholic (page dated 2025-09-03). Caffeine-free and sweetened only with organic honey (FAQ). Dates are Shopify publish dates.</t>
  </si>
  <si>
    <t xml:space="preserve">hq_city &lt;- https://drinkooso.com/policies/terms-of-service (2026-10-24, opened); hq_state &lt;- https://drinkooso.com/policies/terms-of-service (2026-10-24, opened); marketing_name &lt;- https://thingtesting.com/stories/industry-watch-ooso (2026-10-24, opened); marketing_title &lt;- https://thingtesting.com/stories/industry-watch-ooso (2026-10-24, opened); marketing_profile_url &lt;- https://startupcpg.com/portfolio/founder-feature-ollie-sophie-spring-of-ooso-sparkling-tea-2/ (2026-10-24, opened); </t>
  </si>
  <si>
    <t xml:space="preserve">https://drinkooso.com/pages/the-team</t>
  </si>
  <si>
    <t xml:space="preserve">2026-10-14</t>
  </si>
  <si>
    <t xml:space="preserve">AB-117</t>
  </si>
  <si>
    <t xml:space="preserve">GoMacro</t>
  </si>
  <si>
    <t xml:space="preserve">Jola</t>
  </si>
  <si>
    <t xml:space="preserve">Sonkin</t>
  </si>
  <si>
    <t xml:space="preserve">Brand based outside the Northeast, store page shows Whole Foods Market NoMad inside the cluster, news 137 days ago, revenue unknown, contact named plus a marketing lead; founder review: scale, claim-borderline.</t>
  </si>
  <si>
    <t xml:space="preserve">Launched MacroSquare, its first new product format in six years, exclusively at Whole Foods Market nationwide</t>
  </si>
  <si>
    <t xml:space="preserve">https://www.snackandbakery.com/articles/115859-gomacro-launches-its-first-new-product-format-in-six-years</t>
  </si>
  <si>
    <t xml:space="preserve">https://gomacro.com/pages/our-story</t>
  </si>
  <si>
    <t xml:space="preserve">find Jola Sonkin at GoMacro on LinkedIn and paste the profile URL (this also confirms the name: The Org is crowd-edited); before using the retailer line, check Whole Foods Market NoMad still lists it: https://www.wholefoodsmarket.com/search?text=GoMacro with your store set to NoMad (catalogs change daily); founder review (scale, claim-borderline): read founder_review_reason first</t>
  </si>
  <si>
    <t xml:space="preserve">https://theorg.com/org/gomacro/person/jola-sonkin</t>
  </si>
  <si>
    <t xml:space="preserve">MacroBar Organic Vegan Protein Bar; MacroSquare (Dark Chocolate Nuts + Sea Salt)</t>
  </si>
  <si>
    <t xml:space="preserve">Viola</t>
  </si>
  <si>
    <t xml:space="preserve">https://gomacro.com</t>
  </si>
  <si>
    <t xml:space="preserve">33 to 39 SKUs at each cluster WFM suggests scale above the band; protein positioning; kids MacroBar line; 60-day shelf life not stated</t>
  </si>
  <si>
    <t xml:space="preserve">Wrapped bars sold ambient at Whole Foods; shelf-life figure not found</t>
  </si>
  <si>
    <t xml:space="preserve">Whole Foods; store locator</t>
  </si>
  <si>
    <t xml:space="preserve">https://www.wholefoodsmarket.com/api/search?text=gomacro&amp;store=10162&amp;limit=60&amp;offset=0; https://www.wholefoodsmarket.com/api/search?text=gomacro&amp;store=10773&amp;limit=60&amp;offset=0; https://www.wholefoodsmarket.com/api/search?text=gomacro&amp;store=10131&amp;limit=60&amp;offset=0</t>
  </si>
  <si>
    <t xml:space="preserve">Jola Sonkin</t>
  </si>
  <si>
    <t xml:space="preserve">The Org (updated 2026-08-30): "CEO | Co-Founder". Brand story page: Amelia Kirchoff began GoMacro with her daughter, Jola. Fills the stage-1 surname gap.</t>
  </si>
  <si>
    <t xml:space="preserve">Dan Hickle</t>
  </si>
  <si>
    <t xml:space="preserve">Dan</t>
  </si>
  <si>
    <t xml:space="preserve">Hickle</t>
  </si>
  <si>
    <t xml:space="preserve">SVP, Head of Marketing</t>
  </si>
  <si>
    <t xml:space="preserve">The Org (updated 2026-01-18): since 2025.</t>
  </si>
  <si>
    <t xml:space="preserve">https://www.instagram.com/gomacro/</t>
  </si>
  <si>
    <t xml:space="preserve">BR2:55</t>
  </si>
  <si>
    <t xml:space="preserve">Founded 2004. Why-now from Shopify publish dates.</t>
  </si>
  <si>
    <t xml:space="preserve">hq_city &lt;- https://gomacro.com/policies/contact-information (2026-10-24, opened); why_now &lt;- https://www.snackandbakery.com/articles/115859-gomacro-launches-its-first-new-product-format-in-six-years (2026-10-24, opened); why_now_url &lt;- https://www.snackandbakery.com/articles/115859-gomacro-launches-its-first-new-product-format-in-six-years (2026-10-24, opened); why_now_date &lt;- https://www.snackandbakery.com/articles/115859-gomacro-launches-its-first-new-product-format-in-six-years (2026-10-24, opened); </t>
  </si>
  <si>
    <t xml:space="preserve">https://theorg.com/org/gomacro/person/dan-hickle</t>
  </si>
  <si>
    <t xml:space="preserve">2026-08-30</t>
  </si>
  <si>
    <t xml:space="preserve">2026-01-18</t>
  </si>
  <si>
    <t xml:space="preserve">AB-034</t>
  </si>
  <si>
    <t xml:space="preserve">Reelie (formerly Artisan Tropic)</t>
  </si>
  <si>
    <t xml:space="preserve">Juan</t>
  </si>
  <si>
    <t xml:space="preserve">Nino</t>
  </si>
  <si>
    <t xml:space="preserve">Brand based outside the Northeast, store page shows Whole Foods Market NoMad inside the cluster, a new store listing 213 days ago, revenue unknown, marketing lead named (founder not confirmed).</t>
  </si>
  <si>
    <t xml:space="preserve">Rebranded from Artisan Tropic to Reelie and relaunched brand store (new Serrano Lime Cassava Chips)</t>
  </si>
  <si>
    <t xml:space="preserve">https://www.reelie.com/products/serrano-lime-cassava-chips</t>
  </si>
  <si>
    <t xml:space="preserve">https://www.reelie.com/pages/reelie-about-us</t>
  </si>
  <si>
    <t xml:space="preserve">find Juan Nino at Reelie (formerly Artisan Tropic) on LinkedIn and paste the profile URL; the source is dated 2021: check Juan still holds the role; before using the retailer line, check Whole Foods Market NoMad still lists it: https://www.wholefoodsmarket.com/search?text=Reelie with your store set to NoMad (catalogs change daily)</t>
  </si>
  <si>
    <t xml:space="preserve">https://accelerators.target.com/alumni-stories/meet-artisan-tropic-of-target-takeoff-food-beverage-2021/</t>
  </si>
  <si>
    <t xml:space="preserve">Reelie Sea Salt Plantain Chips; single-serve 1 oz 6-pack at WFM</t>
  </si>
  <si>
    <t xml:space="preserve">Charlotte</t>
  </si>
  <si>
    <t xml:space="preserve">https://www.reelie.com</t>
  </si>
  <si>
    <t xml:space="preserve">NC</t>
  </si>
  <si>
    <t xml:space="preserve">Bagged plantain and cassava chips and grain-free crackers, ambient</t>
  </si>
  <si>
    <t xml:space="preserve">https://www.wholefoodsmarket.com/search?text=artisan%20tropic (Union Square, NoMad, Chelsea contexts: plantain chips, cassava chips, crackers IN_STOCK 2026-10-23)</t>
  </si>
  <si>
    <t xml:space="preserve">Juan Nino</t>
  </si>
  <si>
    <t xml:space="preserve">Target Takeoff interview (2021): "Juan Nino, Director of Marketing". Five years old, before the rename to Reelie. Stage 1 had him in the founder slot.</t>
  </si>
  <si>
    <t xml:space="preserve">Jose Nino</t>
  </si>
  <si>
    <t xml:space="preserve">Jose</t>
  </si>
  <si>
    <t xml:space="preserve">Director of Sales</t>
  </si>
  <si>
    <t xml:space="preserve">Same 2021 interview.</t>
  </si>
  <si>
    <t xml:space="preserve">BR1:35</t>
  </si>
  <si>
    <t xml:space="preserve">Entity Artisan Tropic LLC, office in Charlotte NC (contact page). artisantropic.com redirects to reelie.com. Seed-oil-free positioning.</t>
  </si>
  <si>
    <t xml:space="preserve">marketing_name &lt;- https://accelerators.target.com/alumni-stories/meet-artisan-tropic-of-target-takeoff-food-beverage-2021/ (2026-10-24, opened); marketing_title &lt;- https://accelerators.target.com/alumni-stories/meet-artisan-tropic-of-target-takeoff-food-beverage-2021/ (2026-10-24, opened); marketing_profile_url &lt;- https://accelerators.target.com/alumni-stories/meet-artisan-tropic-of-target-takeoff-food-beverage-2021/ (2026-10-24, opened); founder_name &lt;- https://accelerators.target.com/alumni-stories/meet-artisan-tropic-of-target-takeoff-food-beverage-2021/ (2026-10-24, opened); </t>
  </si>
  <si>
    <t xml:space="preserve">2021</t>
  </si>
  <si>
    <t xml:space="preserve">AB-104</t>
  </si>
  <si>
    <t xml:space="preserve">88 Acres</t>
  </si>
  <si>
    <t xml:space="preserve">Nicole</t>
  </si>
  <si>
    <t xml:space="preserve">Ledoux</t>
  </si>
  <si>
    <t xml:space="preserve">Northeast brand, store page shows Whole Foods Market NoMad inside the cluster, no dated why-now in the last 12 months, revenue unknown, contact named plus a marketing lead; founder review: claim-borderline.</t>
  </si>
  <si>
    <t xml:space="preserve">https://88acres.com/pages/our-story</t>
  </si>
  <si>
    <t xml:space="preserve">find Nicole Ledoux at 88 Acres on LinkedIn and paste the profile URL; the source is dated 2023-03-06: check Nicole still holds the role; before using the retailer line, check Whole Foods Market NoMad still lists it: https://www.wholefoodsmarket.com/search?text=88%20Acres with your store set to NoMad (catalogs change daily); founder review (claim-borderline): read founder_review_reason first</t>
  </si>
  <si>
    <t xml:space="preserve">Cookies and Cream Seed + Oat Bar; Dark Chocolate Brownie Seed Protein Bar 1.9 oz</t>
  </si>
  <si>
    <t xml:space="preserve">Canton</t>
  </si>
  <si>
    <t xml:space="preserve">https://88acres.com</t>
  </si>
  <si>
    <t xml:space="preserve">Protein bar line (nutrient-content positioning); allergen-friendly</t>
  </si>
  <si>
    <t xml:space="preserve">Brand FAQ: 'Seed Bars have a 12-month shelf life.'</t>
  </si>
  <si>
    <t xml:space="preserve">4,000+ stores (brand store locator page); Whole Foods</t>
  </si>
  <si>
    <t xml:space="preserve">https://www.wholefoodsmarket.com/api/search?text=88%20acres&amp;store=10162&amp;limit=60&amp;offset=0; https://www.wholefoodsmarket.com/api/search?text=88%20acres&amp;store=10773&amp;limit=60&amp;offset=0; https://www.wholefoodsmarket.com/api/search?text=88%20acres&amp;store=10131&amp;limit=60&amp;offset=0</t>
  </si>
  <si>
    <t xml:space="preserve">Nicole Ledoux</t>
  </si>
  <si>
    <t xml:space="preserve">Stage 3 (entered the top 60). The brand's Our Story page (opened 2026-10-24): 'Co-founder Nicole Ledoux grew up on an 88-acre farm'. The Org (https://theorg.com/org/88-acres, opened 2026-10-24, updated 2023-03-06) lists her as Co-founder &amp; CEO.</t>
  </si>
  <si>
    <t xml:space="preserve">Luke Jarvis</t>
  </si>
  <si>
    <t xml:space="preserve">Luke</t>
  </si>
  <si>
    <t xml:space="preserve">Jarvis</t>
  </si>
  <si>
    <t xml:space="preserve">Director of Performance Marketing</t>
  </si>
  <si>
    <t xml:space="preserve">The Org org chart (opened 2026-10-24); his position was last updated 2023-03-06, so it may be stale. Founder to confirm on LinkedIn before using.</t>
  </si>
  <si>
    <t xml:space="preserve">https://www.instagram.com/88acres/</t>
  </si>
  <si>
    <t xml:space="preserve">BR2:42</t>
  </si>
  <si>
    <t xml:space="preserve">Northeast brand (Boston). Last new SKU on brand store dated 2025-10-02, outside the 12-month window.</t>
  </si>
  <si>
    <t xml:space="preserve">shelf_stable &lt;- https://88acres.com/pages/faq (2026-10-24, opened); shelf_stable_basis &lt;- https://88acres.com/pages/faq (2026-10-24, opened); hq_city &lt;- https://88acres.com/pages/contact-us (2026-10-24, opened); </t>
  </si>
  <si>
    <t xml:space="preserve">https://theorg.com/org/88-acres</t>
  </si>
  <si>
    <t xml:space="preserve">stage 3</t>
  </si>
  <si>
    <t xml:space="preserve">2023-03-06</t>
  </si>
  <si>
    <t xml:space="preserve">AB-173</t>
  </si>
  <si>
    <t xml:space="preserve">JONI</t>
  </si>
  <si>
    <t xml:space="preserve">Claire</t>
  </si>
  <si>
    <t xml:space="preserve">Matern</t>
  </si>
  <si>
    <t xml:space="preserve">New York City brand, no graded store within ten blocks, online store only, news 79 days ago, revenue unknown, contact named; founder review: alcohol-adjacent.</t>
  </si>
  <si>
    <t xml:space="preserve">2026 Startup CPG Shelfie Award finalist, Non-Alcoholic category; new Discovery Pack listed 2026-05-05</t>
  </si>
  <si>
    <t xml:space="preserve">https://drinkjoni.com/pages/our-story</t>
  </si>
  <si>
    <t xml:space="preserve">find Claire Matern at JONI on LinkedIn and paste the profile URL; founder review (alcohol-adjacent): read founder_review_reason first</t>
  </si>
  <si>
    <t xml:space="preserve">https://andreastrong.substack.com/p/please-meet-joni</t>
  </si>
  <si>
    <t xml:space="preserve">JONI Blanc verjus drink (non-alcoholic), can</t>
  </si>
  <si>
    <t xml:space="preserve">other-drink</t>
  </si>
  <si>
    <t xml:space="preserve">https://drinkjoni.com</t>
  </si>
  <si>
    <t xml:space="preserve">Wine-adjacent product (verjus from pre-harvest wine grapes) sold mostly in wine and bottle shops; confirm 0.0% ABV and label. HQ not found; 60-day shelf life not stated</t>
  </si>
  <si>
    <t xml:space="preserve">No storage statement found</t>
  </si>
  <si>
    <t xml:space="preserve">Big Night West Village (brand_claim, 13.1 blocks out)</t>
  </si>
  <si>
    <t xml:space="preserve">Big Night (Greenpoint, West Village); Beer Table Grand Central; Willoughby General; Minus Moonshine; Vinal General Store (brand closeBy locator)</t>
  </si>
  <si>
    <t xml:space="preserve">https://drinkjoni.com/pages/find-joni</t>
  </si>
  <si>
    <t xml:space="preserve">Claire Matern</t>
  </si>
  <si>
    <t xml:space="preserve">The Strong Buzz newsletter: "Joni was launched in January by Claire Matern".</t>
  </si>
  <si>
    <t xml:space="preserve">BR3:47</t>
  </si>
  <si>
    <t xml:space="preserve">Locator text read 2026-10-23; only one Manhattan point between 4th and 40th St (Beer Table is at Grand Central, 42nd St, outside the band).</t>
  </si>
  <si>
    <t xml:space="preserve">hq_city &lt;- https://drinkjoni.com/policies/contact-information (2026-10-24, opened); hq_state &lt;- https://drinkjoni.com/policies/contact-information (2026-10-24, opened); founder_name &lt;- https://andreastrong.substack.com/p/please-meet-joni (2026-10-24, opened); founder_title &lt;- https://andreastrong.substack.com/p/please-meet-joni (2026-10-24, opened); founder_profile_url &lt;- https://andreastrong.substack.com/p/please-meet-joni (2026-10-24, opened); </t>
  </si>
  <si>
    <t xml:space="preserve">AB-217</t>
  </si>
  <si>
    <t xml:space="preserve">UMAMI GRANOLA</t>
  </si>
  <si>
    <t xml:space="preserve">Cindy</t>
  </si>
  <si>
    <t xml:space="preserve">Lam</t>
  </si>
  <si>
    <t xml:space="preserve">New York City brand, no graded store within ten blocks, online store only, news 65 days ago, revenue unknown, contact named; founder review: under-floor, format.</t>
  </si>
  <si>
    <t xml:space="preserve">Retail debut at Pearl River Mart Foods in Chelsea Market, NYC</t>
  </si>
  <si>
    <t xml:space="preserve">https://startupcpg.com/startup-cpg-newswire-umami-granola-makes-its-retail-debut/</t>
  </si>
  <si>
    <t xml:space="preserve">2026-08-20</t>
  </si>
  <si>
    <t xml:space="preserve">find Cindy Lam at UMAMI GRANOLA on LinkedIn and paste the profile URL; founder review (under-floor, format): read founder_review_reason first</t>
  </si>
  <si>
    <t xml:space="preserve">Dau-Si-Do dim sum granola, 8 oz pouch</t>
  </si>
  <si>
    <t xml:space="preserve">Brooklyn (privacy policy: 999 Atlantic Avenue, Brooklyn NY 11238)</t>
  </si>
  <si>
    <t xml:space="preserve">https://umamigranola.com</t>
  </si>
  <si>
    <t xml:space="preserve">8 oz pouches, not single-serve; first-year brand may be below the $500k floor (no sales figure); granola is snack-adjacent</t>
  </si>
  <si>
    <t xml:space="preserve">under-floor;format</t>
  </si>
  <si>
    <t xml:space="preserve">Granola in pouches sold ambient; no shelf-life figure published, founder to confirm</t>
  </si>
  <si>
    <t xml:space="preserve">No sales figure published. Launched DTC May 2026, first retail Aug 2026 (Startup CPG 2026-08-20): early stage, band founder to confirm</t>
  </si>
  <si>
    <t xml:space="preserve">Pearl River Mart Foods (brand_claim, 11.4 blocks out)</t>
  </si>
  <si>
    <t xml:space="preserve">Pearl River Mart Foods (Chelsea Market); Here Here Market; online</t>
  </si>
  <si>
    <t xml:space="preserve">Cindy Lam</t>
  </si>
  <si>
    <t xml:space="preserve">Release (2026-08-20): "Cindy Lam, Founder of UMAMI GRANOLA".</t>
  </si>
  <si>
    <t xml:space="preserve">BR4:12</t>
  </si>
  <si>
    <t xml:space="preserve">AAPI-founded, woman-owned, Brooklyn-made (release). revenue_band 'under-500k' rests on launch timing only (DTC May 2026); treat as founder to confirm. Chelsea Market is at 15th St and 9th Ave, inside the 4th-40th St band.</t>
  </si>
  <si>
    <t xml:space="preserve">hq_city &lt;- https://umamigranola.com/policies/privacy-policy (2026-10-24, opened); </t>
  </si>
  <si>
    <t xml:space="preserve">AB-129</t>
  </si>
  <si>
    <t xml:space="preserve">Wandering Bear Coffee</t>
  </si>
  <si>
    <t xml:space="preserve">Matt</t>
  </si>
  <si>
    <t xml:space="preserve">Bachmann</t>
  </si>
  <si>
    <t xml:space="preserve">New York City brand, no graded store within ten blocks, online store only, news 74 days ago, revenue unknown, contact named plus a marketing lead; founder review: scale, not-emerging, claim-borderline.</t>
  </si>
  <si>
    <t xml:space="preserve">Went national at Target with four 8 oz canned single-serves, a couple of months after a first three-SKU placement</t>
  </si>
  <si>
    <t xml:space="preserve">https://beerinsights.com/archive-article/60627</t>
  </si>
  <si>
    <t xml:space="preserve">https://wanderingbearcoffee.com/pages/about</t>
  </si>
  <si>
    <t xml:space="preserve">find Matt Bachmann at Wandering Bear Coffee on LinkedIn and paste the profile URL; founder review (scale, not-emerging, claim-borderline): read founder_review_reason first</t>
  </si>
  <si>
    <t xml:space="preserve">https://thechangeup.buzzsprout.com/1789177/15420044</t>
  </si>
  <si>
    <t xml:space="preserve">Original Black Cold Brew, 8 fl oz can; Cold Brew Latte 8 oz cans (Vanilla, Mocha, Double)</t>
  </si>
  <si>
    <t xml:space="preserve">https://wanderingbearcoffee.com/collections/single-serve</t>
  </si>
  <si>
    <t xml:space="preserve">Cold Brew Latte marketed on '11g of complete protein per can' (nutrient-content claim). Brand is 12 years old with national Target and Whole Foods; may be above $10M (no sourced figure). Target store-level stock near cluster not checkable</t>
  </si>
  <si>
    <t xml:space="preserve">scale;not-emerging;claim-borderline</t>
  </si>
  <si>
    <t xml:space="preserve">https://wanderingbearcoffee.com</t>
  </si>
  <si>
    <t xml:space="preserve">Series A ($8M, 2018)</t>
  </si>
  <si>
    <t xml:space="preserve">https://www.foodnavigator.com/Article/2018/02/08/Wandering-Bear-aims-to-push-cold-brew-category-in-positive-direction-with-8M-in-series-A-funds/</t>
  </si>
  <si>
    <t xml:space="preserve">Target product page for 8 fl oz can: 'Shelf-stable before opening' (opened 2026-10-23). Note the boxes and cartons are positioned for the fridge; only the 8 oz cans and 11 oz single-serve cartons fit</t>
  </si>
  <si>
    <t xml:space="preserve">No press revenue figure found. Data aggregator Prospeo lists about 19M annual revenue (estimate, not company-reported; unverified, founder to confirm). BevNET 2020 snippet: the office channel had been roughly 50-60% of revenue before the pandemic</t>
  </si>
  <si>
    <t xml:space="preserve">Target (national, 8 oz cans, 2026); Whole Foods (Cold Brew Latte launched as Whole Foods exclusive 2025); Costco; Kings (2018 press)</t>
  </si>
  <si>
    <t xml:space="preserve">https://beerinsights.com/archive-article/60627; https://www.target.com/p/wandering-bear-coffee-original-black-cold-brew-8-fl-oz/-/A-95095911</t>
  </si>
  <si>
    <t xml:space="preserve">Matt Bachmann</t>
  </si>
  <si>
    <t xml:space="preserve">Stage 3 (entered the top 60). The Changeup podcast episode page (opened 2026-10-24): 'Matt Bachmann, CEO &amp; Co-Founder of Wandering Bear Coffee'. The brand's About page (opened) names the founders only as 'Matt and Ben'. The Org (https://theorg.com/org/wandering-bear-coffee, opened) lists him too.</t>
  </si>
  <si>
    <t xml:space="preserve">Ana Madriz</t>
  </si>
  <si>
    <t xml:space="preserve">Madriz</t>
  </si>
  <si>
    <t xml:space="preserve">VP, Brand Marketing</t>
  </si>
  <si>
    <t xml:space="preserve">The Org org chart (opened 2026-10-24): Brand Marketing team; position updated 2026-06-26.</t>
  </si>
  <si>
    <t xml:space="preserve">BR3:3</t>
  </si>
  <si>
    <t xml:space="preserve">About page: founded 2014 by 'Matt and Ben', first brewed in a Queens facility. Co-founder Ben Gordon named in Columbia Entrepreneurship search snippets (not opened; unverified, founder to confirm). Already sells B2B office subscriptions (FoodNavigator 2018), so offices are a familiar channel. Target.com lists the 8 oz can at $3.99.</t>
  </si>
  <si>
    <t xml:space="preserve">marketing_title &lt;- https://coralcoast9219.kardow.com/companies/wandering-bear-coffee/jobs/brand-marketing-manager-70e2ebfddfd7463a9e5e7e777c2087c9 (2026-10-24, opened); founder_title &lt;- https://thechangeup.buzzsprout.com/1789177/15420044 (2026-10-24, opened); revenue_basis &lt;- https://prospeo.io/c/wandering-bear-coffee-revenue (2026-10-24, snippet-unverified); </t>
  </si>
  <si>
    <t xml:space="preserve">https://theorg.com/org/wandering-bear-coffee</t>
  </si>
  <si>
    <t xml:space="preserve">2026-06-26</t>
  </si>
  <si>
    <t xml:space="preserve">AB-086</t>
  </si>
  <si>
    <t xml:space="preserve">Joyride</t>
  </si>
  <si>
    <t xml:space="preserve">Tyler</t>
  </si>
  <si>
    <t xml:space="preserve">Merrick</t>
  </si>
  <si>
    <t xml:space="preserve">Brand based outside the Northeast, store page shows Whole Foods Market NoMad inside the cluster, news 36 days ago, revenue unknown, contact named plus a marketing lead; founder review: scale, claim-borderline.</t>
  </si>
  <si>
    <t xml:space="preserve">Limited-edition Halloween flavors and two 30-count trick-or-treat variety packs (individually wrapped) available at Target</t>
  </si>
  <si>
    <t xml:space="preserve">https://www.snackandbakery.com/articles/116352-joyride-gives-halloween-a-bfy-glow-up</t>
  </si>
  <si>
    <t xml:space="preserve">https://www.joyridesweets.com/pages/joyride-story</t>
  </si>
  <si>
    <t xml:space="preserve">find Tyler Merrick at Joyride on LinkedIn and paste the profile URL; before using the retailer line, check Whole Foods Market NoMad still lists it: https://www.wholefoodsmarket.com/search?text=Joyride with your store set to NoMad (catalogs change daily); founder review (scale, claim-borderline): read founder_review_reason first</t>
  </si>
  <si>
    <t xml:space="preserve">Sour Strawberries Gummies 3.5 oz; Fruit Zips Chewy Candy 3.5 oz</t>
  </si>
  <si>
    <t xml:space="preserve">https://www.joyridesweets.com</t>
  </si>
  <si>
    <t xml:space="preserve">'Less sugar' allulose-sweetened 'better-for-you' candy (nutrient-content positioning); creator-backed brand (YouTuber co-founder) may be above size band; 60-day shelf life not stated</t>
  </si>
  <si>
    <t xml:space="preserve">Packaged gummy candy sold ambient at Whole Foods; shelf-life figure not published</t>
  </si>
  <si>
    <t xml:space="preserve">https://www.wholefoodsmarket.com/api/search?text=joyride&amp;store=10162&amp;limit=60&amp;offset=0; https://www.wholefoodsmarket.com/api/search?text=joyride&amp;store=10773&amp;limit=60&amp;offset=0; https://www.wholefoodsmarket.com/api/search?text=joyride&amp;store=10131&amp;limit=60&amp;offset=0</t>
  </si>
  <si>
    <t xml:space="preserve">Tyler Merrick</t>
  </si>
  <si>
    <t xml:space="preserve">Brand story page.</t>
  </si>
  <si>
    <t xml:space="preserve">Ryan Trahan</t>
  </si>
  <si>
    <t xml:space="preserve">Ryan</t>
  </si>
  <si>
    <t xml:space="preserve">Trahan</t>
  </si>
  <si>
    <t xml:space="preserve">Chief Creative Officer and co-owner</t>
  </si>
  <si>
    <t xml:space="preserve">Candy Industry 2026-06-11: "chief creative officer and co-owner Ryan Trahan". He is a large YouTube creator; expect a gatekept inbox.</t>
  </si>
  <si>
    <t xml:space="preserve">https://www.instagram.com/JoyrideSweets/</t>
  </si>
  <si>
    <t xml:space="preserve">BR2:23</t>
  </si>
  <si>
    <t xml:space="preserve">Founded 2022. Locator page has no machine-readable store list. Why-now date from Shopify publish date.</t>
  </si>
  <si>
    <t xml:space="preserve">why_now &lt;- https://www.snackandbakery.com/articles/116352-joyride-gives-halloween-a-bfy-glow-up (2026-10-24, opened); why_now_url &lt;- https://www.snackandbakery.com/articles/116352-joyride-gives-halloween-a-bfy-glow-up (2026-10-24, opened); why_now_date &lt;- https://www.snackandbakery.com/articles/116352-joyride-gives-halloween-a-bfy-glow-up (2026-10-24, opened); marketing_name &lt;- https://www.snackandbakery.com/articles/115858-joyride-launches-consumer-powered-50-states-challenge (2026-10-24, opened); marketing_title &lt;- https://www.snackandbakery.com/articles/115858-joyride-launches-consumer-powered-50-states-challenge (2026-10-24, opened); marketing_profile_url &lt;- https://www.snackandbakery.com/articles/115858-joyride-launches-consumer-powered-50-states-challenge (2026-10-24, opened); hq_city &lt;- https://www.joyridesweets.com/pages/joyride-story (2026-10-24, opened); hq_state &lt;- https://www.joyridesweets.com/pages/joyride-story (2026-10-24, opened); </t>
  </si>
  <si>
    <t xml:space="preserve">https://www.snackandbakery.com/articles/115858-joyride-launches-consumer-powered-50-states-challenge</t>
  </si>
  <si>
    <t xml:space="preserve">AB-286</t>
  </si>
  <si>
    <t xml:space="preserve">Vermont Nut Free Chocolates</t>
  </si>
  <si>
    <t xml:space="preserve">Mark</t>
  </si>
  <si>
    <t xml:space="preserve">Elvidge</t>
  </si>
  <si>
    <t xml:space="preserve">Northeast brand, store page shows Whole Foods Market Union Square inside the cluster, a new store listing 43 days ago, revenue unknown, contact named; founder review: not-emerging.</t>
  </si>
  <si>
    <t xml:space="preserve">Launched Snack Packs (chocolate covered pretzels, Skipper, trail mix) in September 2026</t>
  </si>
  <si>
    <t xml:space="preserve">https://www.vermontnutfree.com/products.json</t>
  </si>
  <si>
    <t xml:space="preserve">https://events.specialtyfood.com/event/2026-summer-fancy-food-show/exhibitor/RXhoaWJpdG9yXzI0MjMzMzU=</t>
  </si>
  <si>
    <t xml:space="preserve">find Mark Elvidge at Vermont Nut Free Chocolates on LinkedIn and paste the profile URL; before using the retailer line, check Whole Foods Market Union Square still lists it: https://www.wholefoodsmarket.com/search?text=Vermont%20Nut%20Free%20Chocolates with your store set to Union Square (catalogs change daily); founder review (not-emerging): read founder_review_reason first</t>
  </si>
  <si>
    <t xml:space="preserve">https://www.vermontnutfree.com/pages/about-us</t>
  </si>
  <si>
    <t xml:space="preserve">Chocolate Covered Pretzel Snack Packs; Skipper Snack Packs</t>
  </si>
  <si>
    <t xml:space="preserve">South Hero</t>
  </si>
  <si>
    <t xml:space="preserve">https://www.vermontnutfree.com</t>
  </si>
  <si>
    <t xml:space="preserve">Founded 1998, so established rather than emerging; revenue unknown. WFM lists 5 oz pretzel bags; the snack-pack SKU was seen only on the brand site. Chocolate in warm months</t>
  </si>
  <si>
    <t xml:space="preserve">not-emerging</t>
  </si>
  <si>
    <t xml:space="preserve">VT</t>
  </si>
  <si>
    <t xml:space="preserve">Wrapped chocolates and snack packs sold ambient online and at WFM; made in a dedicated peanut and tree nut free facility</t>
  </si>
  <si>
    <t xml:space="preserve">Whole Foods Market Union Square, 4 Union Sq S (store_selector, inside);Whole Foods Market Chelsea, 250 7th Ave (store_selector, 3.0 blocks out)</t>
  </si>
  <si>
    <t xml:space="preserve">Whole Foods Market; online</t>
  </si>
  <si>
    <t xml:space="preserve">https://www.wholefoodsmarket.com/api/search?text=vermont nut free&amp;store=10162 / 10131 / 10713; not listed at NoMad 10773 (store-scoped catalog search; Union Square 10162, NoMad 10773, Chelsea 10131, Manhattan West 10713; opened 2026-10-24)</t>
  </si>
  <si>
    <t xml:space="preserve">Mark Elvidge</t>
  </si>
  <si>
    <t xml:space="preserve">Stage 3 (entered the top 60 after the health-claim scan removed five brands). The brand's About Us page (opened 2026-10-24): 'Vermont Nut Free Chocolate's founders Mark and Gail Elvidge'. Stage 1 had read him as first name only.</t>
  </si>
  <si>
    <t xml:space="preserve">Gail Elvidge</t>
  </si>
  <si>
    <t xml:space="preserve">Gail</t>
  </si>
  <si>
    <t xml:space="preserve">Same About Us page (opened 2026-10-24).</t>
  </si>
  <si>
    <t xml:space="preserve">https://www.instagram.com/vermontnutfree/</t>
  </si>
  <si>
    <t xml:space="preserve">BR5:22</t>
  </si>
  <si>
    <t xml:space="preserve">Nut-free production is a strong office-pantry angle (allergen-safe). SFFS 2026 exhibitor (State: Vermont; brands Vermont Nut Free, Sun Blossoms, TANABAR). About page: moved from the founders' home to a facility in South Hero, Vermont.</t>
  </si>
  <si>
    <t xml:space="preserve">AB-088</t>
  </si>
  <si>
    <t xml:space="preserve">Jonesbar</t>
  </si>
  <si>
    <t xml:space="preserve">Taylor</t>
  </si>
  <si>
    <t xml:space="preserve">Northeast brand, store page shows Whole Foods Market NoMad inside the cluster, no dated why-now in the last 12 months, revenue unknown, contact named; founder review: shelf life not stated.</t>
  </si>
  <si>
    <t xml:space="preserve">https://jonesbar.com/pages/our-story-2</t>
  </si>
  <si>
    <t xml:space="preserve">find Taylor Jones at Jonesbar on LinkedIn and paste the profile URL; before using the retailer line, check Whole Foods Market NoMad still lists it: https://www.wholefoodsmarket.com/search?text=Jonesbar with your store set to NoMad (catalogs change daily); founder review (shelf life or online store): read founder_review_reason first</t>
  </si>
  <si>
    <t xml:space="preserve">Organic Dark Chocolate Almond Bar 1.7 oz; Organic PB &amp; J Bar</t>
  </si>
  <si>
    <t xml:space="preserve">Wall Township</t>
  </si>
  <si>
    <t xml:space="preserve">https://jonesbar.com</t>
  </si>
  <si>
    <t xml:space="preserve">Single wrapped fruit-and-nut bars sold ambient at Whole Foods; shelf-life figure not found</t>
  </si>
  <si>
    <t xml:space="preserve">Whole Foods; Wawa (store-finder links Wawa locator)</t>
  </si>
  <si>
    <t xml:space="preserve">https://www.wholefoodsmarket.com/api/search?text=jonesbar&amp;store=10162&amp;limit=60&amp;offset=0; https://www.wholefoodsmarket.com/api/search?text=jonesbar&amp;store=10773&amp;limit=60&amp;offset=0; https://www.wholefoodsmarket.com/api/search?text=jonesbar&amp;store=10131&amp;limit=60&amp;offset=0</t>
  </si>
  <si>
    <t xml:space="preserve">Taylor Jones</t>
  </si>
  <si>
    <t xml:space="preserve">Our Story page: "taylor jones - founder/ceo".</t>
  </si>
  <si>
    <t xml:space="preserve">https://www.instagram.com/jonesbars/</t>
  </si>
  <si>
    <t xml:space="preserve">BR2:25</t>
  </si>
  <si>
    <t xml:space="preserve">Certified organic, OU kosher; three bars paleo per FAQ. Northeast (NJ shore) founder. No dated signal found.</t>
  </si>
  <si>
    <t xml:space="preserve">hq_city &lt;- https://jonesbar.com/pages/contact (2026-10-24, opened); </t>
  </si>
  <si>
    <t xml:space="preserve">AB-124</t>
  </si>
  <si>
    <t xml:space="preserve">Goodio</t>
  </si>
  <si>
    <t xml:space="preserve">Jukka</t>
  </si>
  <si>
    <t xml:space="preserve">Peltola</t>
  </si>
  <si>
    <t xml:space="preserve">Founder and Chief Creative Officer</t>
  </si>
  <si>
    <t xml:space="preserve">Brand based outside the Northeast, store page shows Whole Foods Market NoMad inside the cluster, a new store listing 43 days ago, revenue unknown, contact named; founder review: claim-borderline.</t>
  </si>
  <si>
    <t xml:space="preserve">Launched Minty Crunch and Cranberry &amp; Rosemary bars (Sept 2026) and holiday advent calendar (Oct 2026)</t>
  </si>
  <si>
    <t xml:space="preserve">https://goodiochocolate.com/</t>
  </si>
  <si>
    <t xml:space="preserve">https://goodiochocolate.com/pages/about-us</t>
  </si>
  <si>
    <t xml:space="preserve">find Jukka Peltola at Goodio on LinkedIn and paste the profile URL; before using the retailer line, check Whole Foods Market NoMad still lists it: https://www.wholefoodsmarket.com/search?text=Goodio with your store set to NoMad (catalogs change daily); founder review (claim-borderline): read founder_review_reason first</t>
  </si>
  <si>
    <t xml:space="preserve">Minty Crunch Chocolate bar; Arriba Chocolate Bar 1.7 oz</t>
  </si>
  <si>
    <t xml:space="preserve">Helsinki</t>
  </si>
  <si>
    <t xml:space="preserve">https://goodiochocolate.com</t>
  </si>
  <si>
    <t xml:space="preserve">Sells functional bars named 'Natural Focus', 'Calm &amp; Balanced' and 'Sweet Dreams' (likely functional ingredients); foreign brand with import logistics; 60-day shelf life not stated</t>
  </si>
  <si>
    <t xml:space="preserve">Finland</t>
  </si>
  <si>
    <t xml:space="preserve">https://www.wholefoodsmarket.com/api/search?text=goodio&amp;store=10162&amp;limit=60&amp;offset=0; https://www.wholefoodsmarket.com/api/search?text=goodio&amp;store=10773&amp;limit=60&amp;offset=0</t>
  </si>
  <si>
    <t xml:space="preserve">Jukka Peltola</t>
  </si>
  <si>
    <t xml:space="preserve">About page: "Chief Creative Officer and founder of Goodio, Jukka Peltola". The Org lists Jonni Sinkkonen as CEO &amp; Founder (backup row) and Sami Nupponen as CEO; titles conflict. Finnish company, US sales contact unknown.</t>
  </si>
  <si>
    <t xml:space="preserve">Jonni Sinkkonen</t>
  </si>
  <si>
    <t xml:space="preserve">Jonni</t>
  </si>
  <si>
    <t xml:space="preserve">Sinkkonen</t>
  </si>
  <si>
    <t xml:space="preserve">CEO and Founder</t>
  </si>
  <si>
    <t xml:space="preserve">The Org (updated 2026-06-10): CEO &amp; Founder since 2015.</t>
  </si>
  <si>
    <t xml:space="preserve">https://www.instagram.com/goodiogoods/</t>
  </si>
  <si>
    <t xml:space="preserve">BR2:62</t>
  </si>
  <si>
    <t xml:space="preserve">Founded 2015, organic vegan craft chocolate made in Helsinki. Brand store defaults to Finland; US online store not confirmed. Why-now from Shopify publish dates.</t>
  </si>
  <si>
    <t xml:space="preserve">https://theorg.com/org/goodio/person/jonni-sinkkonen</t>
  </si>
  <si>
    <t xml:space="preserve">2026-06-10</t>
  </si>
  <si>
    <t xml:space="preserve">AB-090</t>
  </si>
  <si>
    <t xml:space="preserve">Maxine's Heavenly</t>
  </si>
  <si>
    <t xml:space="preserve">Petrarca</t>
  </si>
  <si>
    <t xml:space="preserve">Brand based outside the Northeast, store page shows Whole Foods Market NoMad inside the cluster, a new store listing 11 days ago, revenue unknown, contact named; founder review: claim-borderline.</t>
  </si>
  <si>
    <t xml:space="preserve">Launched seasonal Gingerbread, Peppermint, Pumpkin Spice and Chai Spice creme sandwich cookies, Oct 2026</t>
  </si>
  <si>
    <t xml:space="preserve">https://maxinesheavenly.com/</t>
  </si>
  <si>
    <t xml:space="preserve">2026-10-13</t>
  </si>
  <si>
    <t xml:space="preserve">https://maxinesheavenly.com/pages/story</t>
  </si>
  <si>
    <t xml:space="preserve">find Robert Petrarca at Maxine's Heavenly on LinkedIn and paste the profile URL; the source is dated 2023-01-13: check Robert still holds the role; before using the retailer line, check Whole Foods Market NoMad still lists it: https://www.wholefoodsmarket.com/search?text=Maxine%27s%20Heavenly with your store set to NoMad (catalogs change daily); founder review (claim-borderline): read founder_review_reason first</t>
  </si>
  <si>
    <t xml:space="preserve">https://maxinesheavenly.com/pages/press</t>
  </si>
  <si>
    <t xml:space="preserve">Chocolate Creme Sandwich Cookie 4.6 oz; seasonal Gingerbread Creme Sandwich</t>
  </si>
  <si>
    <t xml:space="preserve">https://maxinesheavenly.com</t>
  </si>
  <si>
    <t xml:space="preserve">'Better-for-you', 'Sweetened by Nature' positioning; check pack copy for claims</t>
  </si>
  <si>
    <t xml:space="preserve">Brand FAQ: 'The shelf life of our cookies is about 11 months.' No preservatives.</t>
  </si>
  <si>
    <t xml:space="preserve">Stores across the US (brand home page); Whole Foods</t>
  </si>
  <si>
    <t xml:space="preserve">https://www.wholefoodsmarket.com/api/search?text=maxines%20heavenly&amp;store=10162&amp;limit=60&amp;offset=0; https://www.wholefoodsmarket.com/api/search?text=maxines%20heavenly&amp;store=10773&amp;limit=60&amp;offset=0; https://www.wholefoodsmarket.com/api/search?text=maxines%20heavenly&amp;store=10131&amp;limit=60&amp;offset=0</t>
  </si>
  <si>
    <t xml:space="preserve">Robert Petrarca</t>
  </si>
  <si>
    <t xml:space="preserve">Press page: "Its founder Robert Petrarca" and "talks business with our CEO". The Org (updated 2023-01-13): Co-Founder &amp; CEO.</t>
  </si>
  <si>
    <t xml:space="preserve">https://www.instagram.com/maxinesheavenly/</t>
  </si>
  <si>
    <t xml:space="preserve">BR2:27</t>
  </si>
  <si>
    <t xml:space="preserve">Gluten-free, vegan per story page. Storemapper locator present but its ID was not readable. Why-now date from Shopify publish dates.</t>
  </si>
  <si>
    <t xml:space="preserve">shelf_stable &lt;- https://maxinesheavenly.com/pages/faqs (2026-10-24, opened); shelf_stable_basis &lt;- https://maxinesheavenly.com/pages/faqs (2026-10-24, opened); founder_name &lt;- https://maxinesheavenly.com/pages/press (2026-10-24, opened); founder_title &lt;- https://maxinesheavenly.com/pages/press (2026-10-24, opened); founder_profile_url &lt;- https://maxinesheavenly.com/pages/press (2026-10-24, opened); hq_city &lt;- https://www.cbinsights.com/investor/maxines-heavenly (2026-10-24, opened); hq_state &lt;- https://www.cbinsights.com/investor/maxines-heavenly (2026-10-24, opened); founder_title &lt;- https://maxinesheavenly.com/pages/press (2026-10-24, stage 1 correction); </t>
  </si>
  <si>
    <t xml:space="preserve">2023-01-13</t>
  </si>
  <si>
    <t xml:space="preserve">AB-220</t>
  </si>
  <si>
    <t xml:space="preserve">Unhinged</t>
  </si>
  <si>
    <t xml:space="preserve">Byron</t>
  </si>
  <si>
    <t xml:space="preserve">Sorrells</t>
  </si>
  <si>
    <t xml:space="preserve">New York City brand (HQ unverified), no graded store within ten blocks, online store only, news 15 days ago, revenue unknown, contact named; founder review: under-floor, claim-borderline.</t>
  </si>
  <si>
    <t xml:space="preserve">Raised $1.1M pre-seed</t>
  </si>
  <si>
    <t xml:space="preserve">https://startupcpg.com/startup-cpg-newswire-unhinged-raises-1-1m-pre-seed/</t>
  </si>
  <si>
    <t xml:space="preserve">https://alwaysunhinged.com/pages/faq</t>
  </si>
  <si>
    <t xml:space="preserve">find Byron Sorrells at Unhinged on LinkedIn and paste the profile URL; founder review (under-floor, claim-borderline): read founder_review_reason first</t>
  </si>
  <si>
    <t xml:space="preserve">Chocolate + Coffee caffeine and protein bar (75mg caffeine, 11-14g protein)</t>
  </si>
  <si>
    <t xml:space="preserve">New York (privacy-policy contact address 169 Madison Avenue #11442, New York NY 10016, a mailbox-style suite; release datelined New York, NY). A Newport Beach, CA business-directory snippet lists 'Always Unhinged, Inc.' with co-founder Matt Paine in Orange County: unverified, founder to confirm.</t>
  </si>
  <si>
    <t xml:space="preserve">https://alwaysunhinged.com</t>
  </si>
  <si>
    <t xml:space="preserve">Caffeinated protein bar with L-theanine and 'No crash' wording (functional positioning); pre-seed, may be below the $500k floor (no sales figure); 60-day shelf life not stated</t>
  </si>
  <si>
    <t xml:space="preserve">under-floor;claim-borderline</t>
  </si>
  <si>
    <t xml:space="preserve">pre-seed ($1.1M, Republic Ventures participating)</t>
  </si>
  <si>
    <t xml:space="preserve">Bar sold online and via Amazon; FAQ says 'No... preservatives' and gives no shelf life, founder to confirm</t>
  </si>
  <si>
    <t xml:space="preserve">No sales figure published. Online-only, $1.1M pre-seed Oct 2026 (funding not used for band); founder to confirm</t>
  </si>
  <si>
    <t xml:space="preserve">alwaysunhinged.com; Amazon; TikTok Shop; Faire wholesale</t>
  </si>
  <si>
    <t xml:space="preserve">https://alwaysunhinged.com/</t>
  </si>
  <si>
    <t xml:space="preserve">Byron Sorrells</t>
  </si>
  <si>
    <t xml:space="preserve">Release (2026-10): "co-founder Byron Sorrells".</t>
  </si>
  <si>
    <t xml:space="preserve">Matt Paine</t>
  </si>
  <si>
    <t xml:space="preserve">Seen only in a search summary of a Newport Beach business directory listing (403). The listing places Always Unhinged, Inc. in Orange County, which conflicts with the New York HQ in the table.</t>
  </si>
  <si>
    <t xml:space="preserve">https://www.instagram.com/always_unhinged</t>
  </si>
  <si>
    <t xml:space="preserve">BR4:15</t>
  </si>
  <si>
    <t xml:space="preserve">Site has an Offices page ('Unhinged for offices', 'Stock the office'), so the brand already targets office pantries. Superior Taste Award 2026 mentioned in site footer (not opened). | A Newport Beach, CA business-directory snippet names Matt Paine as co-founder of Always Unhinged, Inc. and says a CIA-trained chef co-founded it (unverified, founder to confirm). Byron Sorrells is named co-founder in the opened Startup CPG release.</t>
  </si>
  <si>
    <t xml:space="preserve">hq_city &lt;- https://alwaysunhinged.com/policies/privacy-policy (2026-10-24, opened); notes &lt;- https://business.newportbeach.com/directory/Details/always-unhinged-inc-4636037 (2026-10-24, snippet-unverified); </t>
  </si>
  <si>
    <t xml:space="preserve">https://business.newportbeach.com/directory/Details/always-unhinged-inc-4636037</t>
  </si>
  <si>
    <t xml:space="preserve">AB-083</t>
  </si>
  <si>
    <t xml:space="preserve">Goodie Girl</t>
  </si>
  <si>
    <t xml:space="preserve">Shira</t>
  </si>
  <si>
    <t xml:space="preserve">Berk</t>
  </si>
  <si>
    <t xml:space="preserve">Northeast brand (HQ unverified), store page shows Whole Foods Market NoMad inside the cluster, a new store listing 163 days ago, revenue unknown, contact named; founder review: scale.</t>
  </si>
  <si>
    <t xml:space="preserve">Launched Breakfast Bars (May 2026) and Snack Mix 3-packs (Sept 2026) on brand store</t>
  </si>
  <si>
    <t xml:space="preserve">https://goodiegirl.com/</t>
  </si>
  <si>
    <t xml:space="preserve">https://goodiegirl.com/pages/our-story</t>
  </si>
  <si>
    <t xml:space="preserve">find Shira Berk at Goodie Girl on LinkedIn and paste the profile URL; before using the retailer line, check Whole Foods Market NoMad still lists it: https://www.wholefoodsmarket.com/search?text=Goodie%20Girl with your store set to NoMad (catalogs change daily); founder review (scale): read founder_review_reason first</t>
  </si>
  <si>
    <t xml:space="preserve">Mini Chocolate Chip Cookies Snack Pack 0.75 oz; Magical Animal Crackers Snack Packs</t>
  </si>
  <si>
    <t xml:space="preserve">Ridgefield (search snippet: founder mostly works out of Toufayan Bakeries' corporate offices in Ridgefield NJ; unverified, founder to confirm)</t>
  </si>
  <si>
    <t xml:space="preserve">https://goodiegirl.com</t>
  </si>
  <si>
    <t xml:space="preserve">Kids snack-pack angle (animal crackers); 'thousands of retailers' may put it above the size band</t>
  </si>
  <si>
    <t xml:space="preserve">NJ (unverified, founder to confirm)</t>
  </si>
  <si>
    <t xml:space="preserve">Brand FAQ: 'Some cookies are 6 months and most are 9 months from bake'</t>
  </si>
  <si>
    <t xml:space="preserve">Thousands of retailers, natural or gluten-free aisle (brand where-to-buy page); Whole Foods</t>
  </si>
  <si>
    <t xml:space="preserve">https://www.wholefoodsmarket.com/api/search?text=goodie%20girl&amp;store=10162&amp;limit=60&amp;offset=0; https://www.wholefoodsmarket.com/api/search?text=goodie%20girl&amp;store=10773&amp;limit=60&amp;offset=0; https://www.wholefoodsmarket.com/api/search?text=goodie%20girl&amp;store=10131&amp;limit=60&amp;offset=0</t>
  </si>
  <si>
    <t xml:space="preserve">Shira Berk</t>
  </si>
  <si>
    <t xml:space="preserve">https://www.instagram.com/goodiegirlcookies/</t>
  </si>
  <si>
    <t xml:space="preserve">BR2:20</t>
  </si>
  <si>
    <t xml:space="preserve">Certified gluten-free. Locator is Destini (not machine-read). Why-now dates from Shopify publish dates.</t>
  </si>
  <si>
    <t xml:space="preserve">hq_city &lt;- https://presshook.com/brands/goodie-girl/ (2026-10-24, snippet-unverified); hq_state &lt;- https://presshook.com/brands/goodie-girl/ (2026-10-24, snippet-unverified); founder_title &lt;- https://www.thedailymeal.com/eat/goodie-girl-cookies-founder-her-journey-model-music-business-cookies/ (2026-10-24, snippet-unverified); </t>
  </si>
  <si>
    <t xml:space="preserve">AB-105</t>
  </si>
  <si>
    <t xml:space="preserve">Unreal</t>
  </si>
  <si>
    <t xml:space="preserve">Bronner</t>
  </si>
  <si>
    <t xml:space="preserve">Northeast brand, store page shows Whole Foods Market NoMad inside the cluster, news 220 days ago, revenue unknown, contact named; founder review: scale.</t>
  </si>
  <si>
    <t xml:space="preserve">Re-released limited-edition Easter packaging for Dark Chocolate Coconut Bars and Peanut Butter Cups at Whole Foods, Kroger, Sprouts, Thrive and Amazon</t>
  </si>
  <si>
    <t xml:space="preserve">https://www.snackandbakery.com/articles/115413-unreal-rereleases-easter-packaging-for-two-treats</t>
  </si>
  <si>
    <t xml:space="preserve">2026-03-18</t>
  </si>
  <si>
    <t xml:space="preserve">https://unrealsnacks.com/pages/about-us</t>
  </si>
  <si>
    <t xml:space="preserve">find Michael Bronner at Unreal on LinkedIn and paste the profile URL; before using the retailer line, check Whole Foods Market NoMad still lists it: https://www.wholefoodsmarket.com/search?text=Unreal with your store set to NoMad (catalogs change daily); founder review (scale): read founder_review_reason first</t>
  </si>
  <si>
    <t xml:space="preserve">https://en.wikipedia.org/wiki/Unreal_Snacks</t>
  </si>
  <si>
    <t xml:space="preserve">Dark Chocolate Coconut Bars; Dark Chocolate Peanut Butter Cups</t>
  </si>
  <si>
    <t xml:space="preserve">https://unrealsnacks.com</t>
  </si>
  <si>
    <t xml:space="preserve">Broad national distribution (16 to 18 SKUs per cluster WFM) suggests it may be above the $10M ceiling; no revenue source found</t>
  </si>
  <si>
    <t xml:space="preserve">Brand FAQ: most dark chocolate gems, cups, bars and covered nuts and pretzels have a 12 month shelf life; Milk Chocolate Gems and Crispy Quinoa Gems 18 months. Store below about 68F.</t>
  </si>
  <si>
    <t xml:space="preserve">Whole Foods; product locator (iframe, not machine-read)</t>
  </si>
  <si>
    <t xml:space="preserve">https://www.wholefoodsmarket.com/api/search?text=unreal%20chocolate&amp;store=10162&amp;limit=60&amp;offset=0; https://www.wholefoodsmarket.com/api/search?text=unreal%20chocolate&amp;store=10773&amp;limit=60&amp;offset=0; https://www.wholefoodsmarket.com/api/search?text=unreal%20chocolate&amp;store=10131&amp;limit=60&amp;offset=0</t>
  </si>
  <si>
    <t xml:space="preserve">Michael Bronner</t>
  </si>
  <si>
    <t xml:space="preserve">Stage 3 (entered the top 60). Wikipedia infobox (opened 2026-10-24): Founders Michael Bronner, Nicky Bronner, Kristopher Bronner; Key people Kevin McCarthy (CEO); 70 employees (2025); HQ Boston. Whether the founders still run the brand is not shown.</t>
  </si>
  <si>
    <t xml:space="preserve">Kevin McCarthy</t>
  </si>
  <si>
    <t xml:space="preserve">Wikipedia infobox (opened 2026-10-24) lists him as CEO under Key people; the citation date is not shown. A CEO who is not a founder may own the sampling budget at a brand of 70 people.</t>
  </si>
  <si>
    <t xml:space="preserve">https://www.instagram.com/unreal.snacks/</t>
  </si>
  <si>
    <t xml:space="preserve">BR2:43</t>
  </si>
  <si>
    <t xml:space="preserve">Vegan-certified dark chocolate items per FAQ. HQ not stated on pages opened. Why-now from Shopify publish dates.</t>
  </si>
  <si>
    <t xml:space="preserve">shelf_stable &lt;- https://unrealsnacks.com/pages/faqs (2026-10-24, opened); shelf_stable_basis &lt;- https://unrealsnacks.com/pages/faqs (2026-10-24, opened); why_now &lt;- https://www.snackandbakery.com/articles/115413-unreal-rereleases-easter-packaging-for-two-treats (2026-10-24, opened); why_now_url &lt;- https://www.snackandbakery.com/articles/115413-unreal-rereleases-easter-packaging-for-two-treats (2026-10-24, opened); why_now_date &lt;- https://www.snackandbakery.com/articles/115413-unreal-rereleases-easter-packaging-for-two-treats (2026-10-24, opened); hq_city &lt;- https://en.wikipedia.org/wiki/Unreal_Snacks (2026-10-24, opened); hq_state &lt;- https://en.wikipedia.org/wiki/Unreal_Snacks (2026-10-24, opened); founder_name &lt;- https://en.wikipedia.org/wiki/Unreal_Snacks (2026-10-24, opened); founder_title &lt;- https://en.wikipedia.org/wiki/Unreal_Snacks (2026-10-24, opened); </t>
  </si>
  <si>
    <t xml:space="preserve">AB-025</t>
  </si>
  <si>
    <t xml:space="preserve">Nantucket Crisps</t>
  </si>
  <si>
    <t xml:space="preserve">Hayden</t>
  </si>
  <si>
    <t xml:space="preserve">Arnot</t>
  </si>
  <si>
    <t xml:space="preserve">https://www.linkedin.com/in/hayden-arnot-ab9457107/</t>
  </si>
  <si>
    <t xml:space="preserve">Northeast brand (HQ unverified), no graded store within ten blocks, online store only, news 106 days ago, revenue unknown, contact named.</t>
  </si>
  <si>
    <t xml:space="preserve">Brought limited-edition All Time Low collaboration to the Summer Fancy Food Show (NYC); switched to avocado oil and named CEO Paul Nardone (2026-05-28)</t>
  </si>
  <si>
    <t xml:space="preserve">https://startupcpg.com/startup-cpg-newswire-nantucket-crisps-brings-limited-edition-all-time-low-collaboration-to-the-summer-fancy-food-show-the-latest-in-a-growing-slate-of-artist-partnerships/</t>
  </si>
  <si>
    <t xml:space="preserve">https://nantucketcrisps.com/pages/about-us</t>
  </si>
  <si>
    <t xml:space="preserve">https://startupcpg.com/14-chip-brands-taking-your-tastebuds-on-a-flavor-tour/</t>
  </si>
  <si>
    <t xml:space="preserve">Nantucket Crisps Sconset Sea Salt potato crisps, 1 oz (50-count case)</t>
  </si>
  <si>
    <t xml:space="preserve">Nantucket (unverified, founder to confirm)</t>
  </si>
  <si>
    <t xml:space="preserve">https://nantucketcrisps.com</t>
  </si>
  <si>
    <t xml:space="preserve">Kettle potato crisps in sealed bags, ambient</t>
  </si>
  <si>
    <t xml:space="preserve">Winn-Dixie; Stop &amp; Shop; Roche Bros; MOM's Organic Market; Wakefern/ShopRite; Market Basket; Grocery Outlet; Raley's; King's/Balducci's; Central Market; TJ Maxx; Marshalls; HomeGoods; Burlington; 7-Eleven; Cumberland Farms (Startup CPG, 2026-07-21)</t>
  </si>
  <si>
    <t xml:space="preserve">https://startupcpg.com/14-chip-brands-taking-your-tastebuds-on-a-flavor-tour/ (retailer list); https://www.wholefoodsmarket.com/search?text=nantucket%20crisps (no WFM results in cluster stores, 2026-10-23)</t>
  </si>
  <si>
    <t xml:space="preserve">Hayden Arnot</t>
  </si>
  <si>
    <t xml:space="preserve">Startup CPG roundup lists "Founders: Hayden Arnot" and links this LinkedIn URL; LinkedIn not opened. The Org (updated 2026-06-06): Co-Founder since 2022.</t>
  </si>
  <si>
    <t xml:space="preserve">Paul Nardone</t>
  </si>
  <si>
    <t xml:space="preserve">Nardone</t>
  </si>
  <si>
    <t xml:space="preserve">Release (2026-05): named CEO. Stage 1 had him in the marketing slot; CEO is the likely budget owner.</t>
  </si>
  <si>
    <t xml:space="preserve">BR1:26</t>
  </si>
  <si>
    <t xml:space="preserve">May 2026 NOSH release (seen in search results; unverified) names Paul Nardone CEO, consistent with the existing marketing_name/title cells; the Al Greer interim-CEO listing is probably stale.</t>
  </si>
  <si>
    <t xml:space="preserve">notes &lt;- https://www.linkedin.com/in/al-greer-558ab533/ (2026-10-24, snippet-unverified); notes &lt;- https://www.nosh.com/pr/2026/05/18/nantucket-crisps-transitions-brand-platform-to-avocado-oil-and-names-cpg-industry-veteran-paul-nardone-ceo (2026-10-24, snippet-unverified); </t>
  </si>
  <si>
    <t xml:space="preserve">https://startupcpg.com/nantucket-crisps-transitions-brand-platform-to-avocado-oil-and-names-cpg-industry-veteran-paul-nardone-ceo/</t>
  </si>
  <si>
    <t xml:space="preserve">2026-06-06</t>
  </si>
  <si>
    <t xml:space="preserve">AB-118</t>
  </si>
  <si>
    <t xml:space="preserve">Good Word Foods</t>
  </si>
  <si>
    <t xml:space="preserve">Brad</t>
  </si>
  <si>
    <t xml:space="preserve">Snedden</t>
  </si>
  <si>
    <t xml:space="preserve">Brand based outside the Northeast, store page shows Whole Foods Market NoMad inside the cluster, a new store listing 275 days ago, revenue unknown, contact named; founder review: claim-borderline.</t>
  </si>
  <si>
    <t xml:space="preserve">Launched Protein Squares, Jan 2026 (brand about page: 'This year we're finally launching something new')</t>
  </si>
  <si>
    <t xml:space="preserve">https://www.goodwordfoods.com/pages/about</t>
  </si>
  <si>
    <t xml:space="preserve">find Brad Snedden at Good Word Foods on LinkedIn and paste the profile URL; before using the retailer line, check Whole Foods Market NoMad still lists it: https://www.wholefoodsmarket.com/search?text=Good%20Word%20Foods with your store set to NoMad (catalogs change daily); founder review (claim-borderline): read founder_review_reason first</t>
  </si>
  <si>
    <t xml:space="preserve">https://commercialbaking.com/good-word-expands-distribution-to-whole-foods-nationwide/</t>
  </si>
  <si>
    <t xml:space="preserve">Chocolate Chip Protein Cookie 1.69 oz; Protein Squares</t>
  </si>
  <si>
    <t xml:space="preserve">https://www.goodwordfoods.com</t>
  </si>
  <si>
    <t xml:space="preserve">Protein cookie (nutrient-content positioning)</t>
  </si>
  <si>
    <t xml:space="preserve">Brand FAQ: keep in a cool, dry place and they stay soft 'for the full shelf life' (ambient storage; length not stated)</t>
  </si>
  <si>
    <t xml:space="preserve">Whole Foods; Amazon (brand find-us page)</t>
  </si>
  <si>
    <t xml:space="preserve">https://www.wholefoodsmarket.com/api/search?text=good%20word&amp;store=10162&amp;limit=60&amp;offset=0; https://www.wholefoodsmarket.com/api/search?text=good%20word&amp;store=10773&amp;limit=60&amp;offset=0; https://www.wholefoodsmarket.com/api/search?text=good%20word&amp;store=10131&amp;limit=60&amp;offset=0; https://stockist.co/api/v1/u11733/locations/search?latitude=40.7397&amp;longitude=-73.9897&amp;distance=3&amp;units=km</t>
  </si>
  <si>
    <t xml:space="preserve">Brad Snedden</t>
  </si>
  <si>
    <t xml:space="preserve">https://www.instagram.com/goodwordfoods/</t>
  </si>
  <si>
    <t xml:space="preserve">BR2:56</t>
  </si>
  <si>
    <t xml:space="preserve">Got into Whole Foods via a local forager in 2019. Brand Stockist locator also lists all three cluster WFM stores. Gluten-free, grain-free. Why-now date from the Shopify publish date of Protein Squares; launch wording from brand about page.</t>
  </si>
  <si>
    <t xml:space="preserve">hq_city &lt;- https://commercialbaking.com/good-word-expands-distribution-to-whole-foods-nationwide/ (2026-10-24, opened); founder_name &lt;- https://commercialbaking.com/good-word-expands-distribution-to-whole-foods-nationwide/ (2026-10-24, opened); founder_profile_url &lt;- https://commercialbaking.com/good-word-expands-distribution-to-whole-foods-nationwide/ (2026-10-24, opened); </t>
  </si>
  <si>
    <t xml:space="preserve">stage 1 only</t>
  </si>
  <si>
    <t xml:space="preserve">AB-146</t>
  </si>
  <si>
    <t xml:space="preserve">St. Agrestis (Phony Negroni)</t>
  </si>
  <si>
    <t xml:space="preserve">Steven</t>
  </si>
  <si>
    <t xml:space="preserve">DeAngelo</t>
  </si>
  <si>
    <t xml:space="preserve">Principal and Founder</t>
  </si>
  <si>
    <t xml:space="preserve">New York City brand, brand locator shows Eataly NYC Flatiron inside the cluster, news 178 days ago, revenue unknown, contact named; founder review: owner, alcohol-adjacent, claim-borderline, scale.</t>
  </si>
  <si>
    <t xml:space="preserve">Eataly NYC Flatiron, 200 5th Ave</t>
  </si>
  <si>
    <t xml:space="preserve">The Wine Group (Ripon, CA) acquired the Phony Negroni non-alcoholic line (and Amaro Falso) from St. Agrestis; founders stay on near term; St. Agrestis portfolio in 7,000+ doors</t>
  </si>
  <si>
    <t xml:space="preserve">https://www.thewinegroup.com/the-wine-group-acquires-phony-negroni-non-alcoholic-brand/</t>
  </si>
  <si>
    <t xml:space="preserve">2026-04-29</t>
  </si>
  <si>
    <t xml:space="preserve">https://stagrestis.com/pages/find-st-agrestis</t>
  </si>
  <si>
    <t xml:space="preserve">find Steven DeAngelo at St. Agrestis (Phony Negroni) on LinkedIn and paste the profile URL; the retailer line rests on the brand's own store locator: say 'your store locator lists ...'; founder review (owner, alcohol-adjacent, claim-borderline, scale): read founder_review_reason first</t>
  </si>
  <si>
    <t xml:space="preserve">Non-Alcoholic Phony Negroni, 200 ml single-serve bottle</t>
  </si>
  <si>
    <t xml:space="preserve">https://stagrestis.com</t>
  </si>
  <si>
    <t xml:space="preserve">Non-alcoholic product from a spirits (amaro) maker; locator mixes NA and alcoholic SKUs, so the Eataly listing may be for the amaro. Cocktail positioning in an office pantry; Espresso version has 100 mg caffeine | Added 2026-10-24: Phony Negroni line acquired by The Wine Group on 2026-04-29; no longer an independent emerging brand and the budget owner likely sits at TWG; scale signal in the why-now ('7,000+ doors'): likely above the $10M band; ask at intake; 60-day shelf life not stated</t>
  </si>
  <si>
    <t xml:space="preserve">owner;alcohol-adjacent;claim-borderline;scale</t>
  </si>
  <si>
    <t xml:space="preserve">No storage statement found; founder to confirm</t>
  </si>
  <si>
    <t xml:space="preserve">Eataly NYC Flatiron, 200 5th Ave (brand_claim, inside);L Express, 249 Park Ave S (brand_claim, inside)</t>
  </si>
  <si>
    <t xml:space="preserve">Eataly; bars, restaurants and bottle shops (Stockist locator: 451 points, 154 near the cluster)</t>
  </si>
  <si>
    <t xml:space="preserve">https://stagrestis.com/pages/find-st-agrestis; https://stockist.co/api/v1/u25133/locations/search?latitude=40.7400&amp;longitude=-73.9900&amp;distance=3</t>
  </si>
  <si>
    <t xml:space="preserve">Steven DeAngelo</t>
  </si>
  <si>
    <t xml:space="preserve">Helen Kurtz</t>
  </si>
  <si>
    <t xml:space="preserve">Helen</t>
  </si>
  <si>
    <t xml:space="preserve">Kurtz</t>
  </si>
  <si>
    <t xml:space="preserve">Chief Marketing Officer, The Wine Group</t>
  </si>
  <si>
    <t xml:space="preserve">marketing</t>
  </si>
  <si>
    <t xml:space="preserve">The Wine Group</t>
  </si>
  <si>
    <t xml:space="preserve">https://www.instagram.com/st_agrestis</t>
  </si>
  <si>
    <t xml:space="preserve">BR3:20</t>
  </si>
  <si>
    <t xml:space="preserve">Site: 'Greenpoint, Brooklyn', 'Made in Brooklyn'; press page cites Wirecutter, Washington Post, BevNET. Stockist query 2026-10-23. Date is Shopify publish date.</t>
  </si>
  <si>
    <t xml:space="preserve">founder_name &lt;- https://www.thewinegroup.com/the-wine-group-acquires-phony-negroni-non-alcoholic-brand/ (2026-10-24, opened); founder_title &lt;- https://www.thewinegroup.com/the-wine-group-acquires-phony-negroni-non-alcoholic-brand/ (2026-10-24, opened); why_now &lt;- https://www.thewinegroup.com/the-wine-group-acquires-phony-negroni-non-alcoholic-brand/ (2026-10-24, opened); why_now_date &lt;- https://www.thewinegroup.com/the-wine-group-acquires-phony-negroni-non-alcoholic-brand/ (2026-10-24, opened); marketing_name &lt;- https://www.thewinegroup.com/the-wine-group-acquires-phony-negroni-non-alcoholic-brand/ (2026-10-24, opened); marketing_title &lt;- https://www.thewinegroup.com/the-wine-group-acquires-phony-negroni-non-alcoholic-brand/ (2026-10-24, opened); why_now_url &lt;- https://www.thewinegroup.com/the-wine-group-acquires-phony-negroni-non-alcoholic-brand/ (2026-10-24, opened); founder_review_reason &lt;- https://www.thewinegroup.com/the-wine-group-acquires-phony-negroni-non-alcoholic-brand/ (2026-10-24, opened); founder_profile_url &lt;- https://www.thewinegroup.com/the-wine-group-acquires-phony-negroni-non-alcoholic-brand/ (2026-10-24, opened); </t>
  </si>
  <si>
    <t xml:space="preserve">AB-035</t>
  </si>
  <si>
    <t xml:space="preserve">Veggie Vice</t>
  </si>
  <si>
    <t xml:space="preserve">Riddhima</t>
  </si>
  <si>
    <t xml:space="preserve">Founder (exact title not stated)</t>
  </si>
  <si>
    <t xml:space="preserve">Northeast brand, brand locator shows Rooted inside the cluster, a new store listing 4 days ago, revenue unknown, contact named (first name only).</t>
  </si>
  <si>
    <t xml:space="preserve">Rooted, 38 E 23rd St</t>
  </si>
  <si>
    <t xml:space="preserve">Launched Bell Pepper Chips (Sea Salt) on brand store</t>
  </si>
  <si>
    <t xml:space="preserve">https://www.veggievice.com/products/bell-pepper-chips</t>
  </si>
  <si>
    <t xml:space="preserve">https://www.veggievice.com/</t>
  </si>
  <si>
    <t xml:space="preserve">find Riddhima at Veggie Vice on LinkedIn and paste the profile URL; surname not public: take it from LinkedIn; the retailer line rests on the brand's own store locator: say 'your store locator lists ...'</t>
  </si>
  <si>
    <t xml:space="preserve">Veggie Vice Zucchini Chips, Sea Salt ($6.99 bag); new Bell Pepper Chips</t>
  </si>
  <si>
    <t xml:space="preserve">East Windsor</t>
  </si>
  <si>
    <t xml:space="preserve">https://www.veggievice.com</t>
  </si>
  <si>
    <t xml:space="preserve">Crisped vegetable chips in sealed bags sold ambient</t>
  </si>
  <si>
    <t xml:space="preserve">Rooted, 38 E 23rd St (brand_claim, inside)</t>
  </si>
  <si>
    <t xml:space="preserve">Sprouts (all US stores, per homepage); store at 38 E 23rd St New York (homepage, shown with a 'Rooted' logo); PopUp Grocer 205 Bleecker St</t>
  </si>
  <si>
    <t xml:space="preserve">https://www.veggievice.com/ (Find Us In Store: 38 E 23rd St, New York NY 10010; 205 Bleecker St); https://popupgrocer.com/products/veggie-vice (PopUp Grocer directory availability 'NYC Flagship')</t>
  </si>
  <si>
    <t xml:space="preserve">first name in brand contact email on privacy policy; title not stated</t>
  </si>
  <si>
    <t xml:space="preserve">https://instagram.com/eatveggievice</t>
  </si>
  <si>
    <t xml:space="preserve">BR1:36</t>
  </si>
  <si>
    <t xml:space="preserve">Store at 38 E 23rd St sits inside the cluster (Madison Square). The store name is inferred from the 'Rooted_Logo' image beside the address; founder to confirm. AAPI- and women-owned per PopUp Grocer tags. Business city from privacy policy.</t>
  </si>
  <si>
    <t xml:space="preserve">AB-062</t>
  </si>
  <si>
    <t xml:space="preserve">Marimix</t>
  </si>
  <si>
    <t xml:space="preserve">Mari</t>
  </si>
  <si>
    <t xml:space="preserve">Fassett</t>
  </si>
  <si>
    <t xml:space="preserve">Brand based outside the Northeast, no graded store within ten blocks, online store only, news 122 days ago, revenue unknown, contact named.</t>
  </si>
  <si>
    <t xml:space="preserve">Won Good Housekeeping 2026 Snack Award (third consecutive year) for Hatch Chile Lime Snackmix</t>
  </si>
  <si>
    <t xml:space="preserve">https://startupcpg.com/startup-cpg-newswire-marimix-earns-third-consecutive-good-housekeeping-snack-award-for-hatch-chile-lime-crunch-baked-snackmix/</t>
  </si>
  <si>
    <t xml:space="preserve">2026-06-24</t>
  </si>
  <si>
    <t xml:space="preserve">find Mari Fassett at Marimix on LinkedIn and paste the profile URL</t>
  </si>
  <si>
    <t xml:space="preserve">Marimix Hatch Chile Lime Crunch-Baked Snackmix (minis and multiserve)</t>
  </si>
  <si>
    <t xml:space="preserve">Orange</t>
  </si>
  <si>
    <t xml:space="preserve">https://marimix.com</t>
  </si>
  <si>
    <t xml:space="preserve">Brand FAQ: sealed pouch is freshest through the printed date, 'Technically, this is 10 months from the day we bake your order.'</t>
  </si>
  <si>
    <t xml:space="preserve">https://www.wholefoodsmarket.com/search?text=marimix (no WFM results, 2026-10-23)</t>
  </si>
  <si>
    <t xml:space="preserve">Mari Fassett</t>
  </si>
  <si>
    <t xml:space="preserve">Kirra Johnson</t>
  </si>
  <si>
    <t xml:space="preserve">Kirra</t>
  </si>
  <si>
    <t xml:space="preserve">Johnson</t>
  </si>
  <si>
    <t xml:space="preserve">Press contact on release</t>
  </si>
  <si>
    <t xml:space="preserve">BR1:63</t>
  </si>
  <si>
    <t xml:space="preserve">Woman- and minority-owned, Orange CA (release). Mix of rice pillows and other crunch pieces; check nut content per SKU.</t>
  </si>
  <si>
    <t xml:space="preserve">shelf_stable_basis &lt;- https://marimix.com/pages/faq (2026-10-24, opened); </t>
  </si>
  <si>
    <t xml:space="preserve">AB-131</t>
  </si>
  <si>
    <t xml:space="preserve">Bruce Cost Ginger Ale</t>
  </si>
  <si>
    <t xml:space="preserve">New York City brand, no graded store within ten blocks, online store only, a new store listing 135 days ago, revenue unknown, contact seen only in a snippet; founder review: other.</t>
  </si>
  <si>
    <t xml:space="preserve">New Yuzu Unfiltered Ginger Ale and a 12 oz can format added to its store</t>
  </si>
  <si>
    <t xml:space="preserve">https://brucecostgingerale.com/products/bruce-cost-ginger-ale-yuzu</t>
  </si>
  <si>
    <t xml:space="preserve">https://brucecostgingerale.com</t>
  </si>
  <si>
    <t xml:space="preserve">no person named on an opened page: not ready; founder review (other): read founder_review_reason first</t>
  </si>
  <si>
    <t xml:space="preserve">https://www.bevnet.com/news/2017/bruce-cost-ginger-ale-look-separate-futures</t>
  </si>
  <si>
    <t xml:space="preserve">Bruce Cost Original Unfiltered Ginger Ale, 12 oz bottle; new 12 oz can</t>
  </si>
  <si>
    <t xml:space="preserve">Shelf stability not stated; namesake founder Bruce Cost reportedly no longer involved (BevNET headline, not opened); same parent (Brooklyn Food &amp; Beverage) as Moshi and Brooklyn Crafted: contact once; 60-day shelf life not stated</t>
  </si>
  <si>
    <t xml:space="preserve">No shelf-stability statement found on brand site; founder to confirm</t>
  </si>
  <si>
    <t xml:space="preserve">Pearl River Mart; Mr. K; Tallgrass Burger; Marufuku Ramen (brand Storepoint locator, 13 NYC points)</t>
  </si>
  <si>
    <t xml:space="preserve">https://brucecostgingerale.com/pages/find-us; https://api.storepoint.co/v1/1625dbfed3d0fc/locations?lat=40.7400&amp;long=-73.9900&amp;radius=3</t>
  </si>
  <si>
    <t xml:space="preserve">Terry Tang</t>
  </si>
  <si>
    <t xml:space="preserve">Seen only in search summaries: BevNET 2017 says Tang bought out founder Bruce Cost in 2016 (BevNET 403). A 2020 BevNET item (search summary) says Brooklyn Food and Beverage makes Bruce Cost, Brooklyn Crafted and Moshi. Same parent as Moshi (rank 32): treat as one company, one contact in flight.</t>
  </si>
  <si>
    <t xml:space="preserve">Title confirmed on the opened Expo West 2026 page for Brooklyn Food &amp; Beverage, but that this parent owns Bruce Cost rests on a BevNET search summary, so the brand link is unverified. Same person as Moshi's marketing row.</t>
  </si>
  <si>
    <t xml:space="preserve">https://www.instagram.com/bcgingerale</t>
  </si>
  <si>
    <t xml:space="preserve">BR3:5</t>
  </si>
  <si>
    <t xml:space="preserve">Homepage banner: 'Introducing Our New Yuzu Unfiltered Ginger Ale'. Dates are Shopify publish dates (products.json): Yuzu 2026-06-11, 12 oz can 2026-05-27. HQ Brooklyn per Brooklyn Food &amp; Beverage (Faire listing in search results, not opened; Expo West 2026 listing says New York City). | Added 2026-10-24: Parent link: a 2020 BevNET headline (snippet, 403) names Brooklyn Food and Beverage as maker of Bruce Cost Ginger Ale and Brooklyn Crafted. If so, the current marketing contact is Horin Yip, Brand Marketing Manager (Expo West 2026 exhibitor page, opened) rather than the 2017 contact</t>
  </si>
  <si>
    <t xml:space="preserve">marketing_name &lt;- https://supermarketnews.co.nz/global/global-innovation/bcga/ (2026-10-24, opened); marketing_title &lt;- https://supermarketnews.co.nz/global/global-innovation/bcga/ (2026-10-24, opened); founder_name &lt;- https://www.bevnet.com/news/2017/bruce-cost-ginger-ale-look-separate-futures (2026-10-24, snippet-unverified); founder_title &lt;- https://www.bevnet.com/news/2017/bruce-cost-ginger-ale-look-separate-futures (2026-10-24, snippet-unverified); notes &lt;- https://attend.expowest.com/event/natural-products-expo-west-2026/exhibitor/RXhoaWJpdG9yXzIzNTgyMzE= (2026-10-24, opened); </t>
  </si>
  <si>
    <t xml:space="preserve">2017</t>
  </si>
  <si>
    <t xml:space="preserve">parent 'brooklyn food &amp; beverage' shared with AB-130; person 'horin yip' shared with AB-130, AB-132; person 'terry tang' shared with AB-132</t>
  </si>
  <si>
    <t xml:space="preserve">AB-311</t>
  </si>
  <si>
    <t xml:space="preserve">RIND Snacks</t>
  </si>
  <si>
    <t xml:space="preserve">Weiss</t>
  </si>
  <si>
    <t xml:space="preserve">New York City brand, no graded store within ten blocks, online store only, news 346 days ago, revenue unknown, contact named; founder review: other.</t>
  </si>
  <si>
    <t xml:space="preserve">Launched Raspberry Almond Granola Squares exclusively at Sam's Club nationwide (first granola product since acquiring Small Batch Organics)</t>
  </si>
  <si>
    <t xml:space="preserve">https://www.snackandbakery.com/articles/114709-rind-snacks-debuts-raspberry-almond-granola-squares</t>
  </si>
  <si>
    <t xml:space="preserve">2025-11-12</t>
  </si>
  <si>
    <t xml:space="preserve">https://www.rindsnacks.com/pages/about</t>
  </si>
  <si>
    <t xml:space="preserve">find Matt Weiss at RIND Snacks on LinkedIn and paste the profile URL; founder review (other): read founder_review_reason first</t>
  </si>
  <si>
    <t xml:space="preserve">Straw-Peary whole fruit medley (skin-on dried fruit)</t>
  </si>
  <si>
    <t xml:space="preserve">https://www.rindsnacks.com</t>
  </si>
  <si>
    <t xml:space="preserve">Every product on the brand store showed as unavailable on 2026-10-23 and no product added since 2021; brand may be paused; 60-day shelf life not stated</t>
  </si>
  <si>
    <t xml:space="preserve">Part of Keep It Real Foods platform (Mar 2026)</t>
  </si>
  <si>
    <t xml:space="preserve">Dried fruit sold in bags; shelf-life figure not found</t>
  </si>
  <si>
    <t xml:space="preserve">Target; Hungryroot (logos on brand home page)</t>
  </si>
  <si>
    <t xml:space="preserve">https://www.wholefoodsmarket.com/api/search?text=rind%20snacks&amp;store=10162&amp;limit=60&amp;offset=0</t>
  </si>
  <si>
    <t xml:space="preserve">Matt Weiss</t>
  </si>
  <si>
    <t xml:space="preserve">https://www.instagram.com/rindsnacks/</t>
  </si>
  <si>
    <t xml:space="preserve">BR2:30</t>
  </si>
  <si>
    <t xml:space="preserve">Footer: 'New York, NY'. Not in WFM cluster catalogs.</t>
  </si>
  <si>
    <t xml:space="preserve">why_now &lt;- https://www.snackandbakery.com/articles/114709-rind-snacks-debuts-raspberry-almond-granola-squares (2026-10-24, opened); why_now_url &lt;- https://www.snackandbakery.com/articles/114709-rind-snacks-debuts-raspberry-almond-granola-squares (2026-10-24, opened); why_now_date &lt;- https://www.snackandbakery.com/articles/114709-rind-snacks-debuts-raspberry-almond-granola-squares (2026-10-24, opened); founder_title &lt;- https://www.snackandbakery.com/articles/114709-rind-snacks-debuts-raspberry-almond-granola-squares (2026-10-24, opened); funding_stage &lt;- https://www.snackandbakery.com/articles/115350-keep-it-real-foods-launches-manufacturing-platform (2026-10-24, opened); </t>
  </si>
  <si>
    <t xml:space="preserve">AB-036</t>
  </si>
  <si>
    <t xml:space="preserve">S'NOODS</t>
  </si>
  <si>
    <t xml:space="preserve">Lauryn</t>
  </si>
  <si>
    <t xml:space="preserve">Bodden</t>
  </si>
  <si>
    <t xml:space="preserve">New York City brand (HQ unverified), no graded store within ten blocks, online store only, a new store listing 95 days ago, revenue unknown, contact named.</t>
  </si>
  <si>
    <t xml:space="preserve">Featured in Startup CPG 'Chipsplosion' roundup; new Italian Combo and variety 6-packs on brand store (2026-09-10)</t>
  </si>
  <si>
    <t xml:space="preserve">https://www.eatsnoods.com/pages/about</t>
  </si>
  <si>
    <t xml:space="preserve">find Lauryn Bodden at S'NOODS on LinkedIn and paste the profile URL</t>
  </si>
  <si>
    <t xml:space="preserve">S'NOODS Spicy Miso Ramen noodle chips, 4 oz bag</t>
  </si>
  <si>
    <t xml:space="preserve">New York (search snippet: a trade outlet calls it 'New York-based'; unverified, founder to confirm)</t>
  </si>
  <si>
    <t xml:space="preserve">https://www.eatsnoods.com</t>
  </si>
  <si>
    <t xml:space="preserve">NY (unverified, founder to confirm)</t>
  </si>
  <si>
    <t xml:space="preserve">Bagged noodle chips sold ambient; DTC and Amazon</t>
  </si>
  <si>
    <t xml:space="preserve">215+ retail doors across the Eastern U.S.; distributors Chex Finer Foods and Rainforest; Amazon; Faire (Startup CPG, 2026-07-21)</t>
  </si>
  <si>
    <t xml:space="preserve">https://startupcpg.com/14-chip-brands-taking-your-tastebuds-on-a-flavor-tour/; https://www.wholefoodsmarket.com/search?text=s%27noods%20noodle%20chips (no WFM results in cluster stores, 2026-10-23)</t>
  </si>
  <si>
    <t xml:space="preserve">Lauryn Bodden</t>
  </si>
  <si>
    <t xml:space="preserve">BR1:37</t>
  </si>
  <si>
    <t xml:space="preserve">East Coast distribution footprint; HQ not stated on site or policy pages.</t>
  </si>
  <si>
    <t xml:space="preserve">hq_city &lt;- https://www.nosh.com/news/2024/pasta-snack (2026-10-24, snippet-unverified); hq_state &lt;- https://www.nosh.com/news/2024/pasta-snack (2026-10-24, snippet-unverified); </t>
  </si>
  <si>
    <t xml:space="preserve">AB-159</t>
  </si>
  <si>
    <t xml:space="preserve">Hoplark</t>
  </si>
  <si>
    <t xml:space="preserve">Dean</t>
  </si>
  <si>
    <t xml:space="preserve">Eberhardt</t>
  </si>
  <si>
    <t xml:space="preserve">Brand based outside the Northeast, brand locator shows Wegmans Astor Place 4.0 blocks outside it, news 136 days ago, revenue unknown, contact named; founder review: alcohol-adjacent, claim-borderline.</t>
  </si>
  <si>
    <t xml:space="preserve">Wegmans Astor Place, 499 Lafayette St</t>
  </si>
  <si>
    <t xml:space="preserve">Spring 2026 packaging refresh across sparkling teas, waters and NA beers, aimed at off-premise retail shelf (Global Drinks Intel, 2026-06-10); seasonal SKUs on store 2026-09-24 and 2026-10-13</t>
  </si>
  <si>
    <t xml:space="preserve">https://drinks-intel.com/news/brooklyn-brewery-backed-hoplark-unveils-brand-refresh/</t>
  </si>
  <si>
    <t xml:space="preserve">https://hoplark.com/pages/faq</t>
  </si>
  <si>
    <t xml:space="preserve">find Dean Eberhardt at Hoplark on LinkedIn and paste the profile URL; the retailer line rests on the brand's own store locator: say 'your store locator lists ...'; founder review (alcohol-adjacent, claim-borderline): read founder_review_reason first</t>
  </si>
  <si>
    <t xml:space="preserve">Hoplark Sparkling Hop Tea 'The Golden Hour One', 16 oz can</t>
  </si>
  <si>
    <t xml:space="preserve">Boulder</t>
  </si>
  <si>
    <t xml:space="preserve">https://hoplark.com</t>
  </si>
  <si>
    <t xml:space="preserve">Beer-adjacent hop positioning ('0.0 Hazy Style'); FAQ says zero alcohol and nothing fermented, but offices may read it as NA beer. Some SKUs have 20 to 60 mg caffeine. Colorado brand; 60-day shelf life not stated</t>
  </si>
  <si>
    <t xml:space="preserve">alcohol-adjacent;claim-borderline</t>
  </si>
  <si>
    <t xml:space="preserve">CO</t>
  </si>
  <si>
    <t xml:space="preserve">No storage statement in FAQ</t>
  </si>
  <si>
    <t xml:space="preserve">Wegmans Astor Place, 499 Lafayette St (brand_claim, 4.0 blocks out)</t>
  </si>
  <si>
    <t xml:space="preserve">Wegmans (brand Storepoint locator; only 2 NYC-area points returned)</t>
  </si>
  <si>
    <t xml:space="preserve">https://hoplark.com/pages/retail-locations; https://api.storepoint.co/v1/161b7481f09706/locations?lat=40.7400&amp;long=-73.9900&amp;radius=3</t>
  </si>
  <si>
    <t xml:space="preserve">https://startupcpg.com/startup-cpg-newswire-hoplark-expands-portfolio-with-limited-edition-soda-12-pack/</t>
  </si>
  <si>
    <t xml:space="preserve">Dean Eberhardt</t>
  </si>
  <si>
    <t xml:space="preserve">Shannon Wright</t>
  </si>
  <si>
    <t xml:space="preserve">Shannon</t>
  </si>
  <si>
    <t xml:space="preserve">Wright</t>
  </si>
  <si>
    <t xml:space="preserve">Senior Marketing Manager</t>
  </si>
  <si>
    <t xml:space="preserve">https://www.instagram.com/drinkhoplark</t>
  </si>
  <si>
    <t xml:space="preserve">BR3:33</t>
  </si>
  <si>
    <t xml:space="preserve">Story page mentions explorations through 'the Colorado foothills' (basis for hq_state CO; city not stated). Dates are Shopify publish dates.</t>
  </si>
  <si>
    <t xml:space="preserve">hq_city &lt;- https://drinks-intel.com/news/brooklyn-brewery-backed-hoplark-unveils-brand-refresh/ (2026-10-24, opened); marketing_name &lt;- https://startupcpg.com/startup-cpg-newswire-hoplark-expands-portfolio-with-limited-edition-soda-12-pack/ (2026-10-24, opened); marketing_title &lt;- https://startupcpg.com/startup-cpg-newswire-hoplark-expands-portfolio-with-limited-edition-soda-12-pack/ (2026-10-24, opened); startup_cpg_member &lt;- https://startupcpg.com/startup-cpg-newswire-hoplark-expands-portfolio-with-limited-edition-soda-12-pack/ (2026-10-24, opened); startup_cpg_evidence_url &lt;- https://startupcpg.com/startup-cpg-newswire-hoplark-expands-portfolio-with-limited-edition-soda-12-pack/ (2026-10-24, opened); founder_name &lt;- https://drinks-intel.com/news/brooklyn-brewery-backed-hoplark-unveils-brand-refresh/ (2026-10-24, opened); founder_title &lt;- https://drinks-intel.com/news/brooklyn-brewery-backed-hoplark-unveils-brand-refresh/ (2026-10-24, opened); why_now &lt;- https://drinks-intel.com/news/brooklyn-brewery-backed-hoplark-unveils-brand-refresh/ (2026-10-24, opened); why_now_url &lt;- https://drinks-intel.com/news/brooklyn-brewery-backed-hoplark-unveils-brand-refresh/ (2026-10-24, opened); why_now_date &lt;- https://drinks-intel.com/news/brooklyn-brewery-backed-hoplark-unveils-brand-refresh/ (2026-10-24, opened); founder_profile_url &lt;- https://drinks-intel.com/news/brooklyn-brewery-backed-hoplark-unveils-brand-refresh/ (2026-10-24, opened); marketing_profile_url &lt;- https://startupcpg.com/startup-cpg-newswire-hoplark-expands-portfolio-with-limited-edition-soda-12-pack/ (2026-10-24, opened); </t>
  </si>
  <si>
    <t xml:space="preserve">AB-182</t>
  </si>
  <si>
    <t xml:space="preserve">OOZ Birch Water</t>
  </si>
  <si>
    <t xml:space="preserve">New York City brand (HQ unverified), brand locator shows Fairway Market Chelsea inside the cluster, no dated why-now in the last 12 months, revenue unknown, contact seen only in a snippet; founder review: claim-borderline.</t>
  </si>
  <si>
    <t xml:space="preserve">Fairway Market Chelsea, 766 6th Ave</t>
  </si>
  <si>
    <t xml:space="preserve">Press release: OOZ debuts single-ingredient hydration tapped from birch trees (launch announcement, NYC independents plus DTC) (unverified, founder to confirm)</t>
  </si>
  <si>
    <t xml:space="preserve">https://popupgrocer.com/products/ooz</t>
  </si>
  <si>
    <t xml:space="preserve">2026-04-30</t>
  </si>
  <si>
    <t xml:space="preserve">https://oozwater.com/pages/our-story</t>
  </si>
  <si>
    <t xml:space="preserve">no person named on an opened page: not ready; the retailer line rests on the brand's own store locator: say 'your store locator lists ...'; founder review (claim-borderline): read founder_review_reason first</t>
  </si>
  <si>
    <t xml:space="preserve">OOZ Organic Birch Water (100% birch sap), glass bottle</t>
  </si>
  <si>
    <t xml:space="preserve">New York (unverified, founder to confirm)</t>
  </si>
  <si>
    <t xml:space="preserve">https://oozwater.com</t>
  </si>
  <si>
    <t xml:space="preserve">Wellness framing ('antioxidants, manganese, and electrolytes'; 'connected to your own wellness') is nutrient-content and soft wording; check label for structure or function claims. Glass bottle (breakage risk on drop day)</t>
  </si>
  <si>
    <t xml:space="preserve">Our-story page: 'pasteurized, and bottled in glass... allowing OOZ to remain shelf stable for up to one year' (oozwater.com/pages/our-story, opened 2026-10-23)</t>
  </si>
  <si>
    <t xml:space="preserve">Fairway Market Chelsea, 766 6th Ave (brand_claim, inside);Elm Wellness, 56 7th Ave (brand_claim, 3.0 blocks out);TMPL Madison, 200 Madison Ave (brand_claim, 5.1 blocks out);Fairway Market Kips Bay, 550 2nd Ave (brand_claim, 7.0 blocks out)</t>
  </si>
  <si>
    <t xml:space="preserve">Pearl River Mart at Chelsea Market (brand_claim, 11.4 blocks out);Galleria Marketplace (brand_claim, 13.5 blocks out)</t>
  </si>
  <si>
    <t xml:space="preserve">Fairway Market; TMPL; Elm Wellness; Pearl River Mart; Pop Up Grocer; Happier Grocery; Hamptons markets; many Brooklyn and Queens grocers (brand stockists file, 85 points)</t>
  </si>
  <si>
    <t xml:space="preserve">https://oozwater.com/pages/store-locator; https://oozwater.com/cdn/shop/t/10/assets/stockists.json?v=178731794020656742571783376028; https://popupgrocer.com/products/ooz</t>
  </si>
  <si>
    <t xml:space="preserve">Christina Zhang</t>
  </si>
  <si>
    <t xml:space="preserve">BR3:56</t>
  </si>
  <si>
    <t xml:space="preserve">Stockists file read 2026-10-23: dense NYC footprint (Manhattan, Brooklyn, Queens, Hamptons), so probably NY-based but HQ not stated. AAPI and women-owned per Pop Up Grocer. One of the better near-cluster buy paths in this slice.</t>
  </si>
  <si>
    <t xml:space="preserve">founder_name &lt;- https://www.bevnet.com/pr/2026/04/30/ooz-debuts-singleingredient-hydration-tapped-from-birch-trees (2026-10-24, snippet-unverified); why_now &lt;- https://www.bevnet.com/pr/2026/04/30/ooz-debuts-singleingredient-hydration-tapped-from-birch-trees (2026-10-24, snippet-unverified); why_now_date &lt;- https://www.bevnet.com/pr/2026/04/30/ooz-debuts-singleingredient-hydration-tapped-from-birch-trees (2026-10-24, snippet-unverified); hq_city &lt;- https://www.faire.com/brand/b_4jhfwpet2d (2026-10-24, snippet-unverified); hq_state &lt;- https://www.faire.com/brand/b_4jhfwpet2d (2026-10-24, snippet-unverified); </t>
  </si>
  <si>
    <t xml:space="preserve">AB-281</t>
  </si>
  <si>
    <t xml:space="preserve">Cirrus 9 Candy</t>
  </si>
  <si>
    <t xml:space="preserve">Morganne</t>
  </si>
  <si>
    <t xml:space="preserve">New York State brand, no graded store within ten blocks, online store only, news 5 days ago, revenue unknown, contact named (first name only); founder review: other.</t>
  </si>
  <si>
    <t xml:space="preserve">New York Maple and Wild Raspberry cotton candy named 2027 sofi Award finalists (Sweet Snacks)</t>
  </si>
  <si>
    <t xml:space="preserve">find Morganne at Cirrus 9 Candy on LinkedIn and paste the profile URL; surname not public: take it from LinkedIn; founder review (other): read founder_review_reason first</t>
  </si>
  <si>
    <t xml:space="preserve">https://cirrus9candy.com/pages/about</t>
  </si>
  <si>
    <t xml:space="preserve">New York Maple organic cotton candy</t>
  </si>
  <si>
    <t xml:space="preserve">Hudson Valley (town unknown)</t>
  </si>
  <si>
    <t xml:space="preserve">https://cirrus9candy.com</t>
  </si>
  <si>
    <t xml:space="preserve">Cotton candy is fragile and humidity-sensitive; check pack format, shelf life and whether 50 units per office suits pantries</t>
  </si>
  <si>
    <t xml:space="preserve">Spun sugar candy sold online and in stores; shelf life and humidity tolerance not stated</t>
  </si>
  <si>
    <t xml:space="preserve">unknown ('Find a store' link; no list read)</t>
  </si>
  <si>
    <t xml:space="preserve">About page: "Morganne, Founder, Flavor &amp; craft". Surname not given; one web search found none.</t>
  </si>
  <si>
    <t xml:space="preserve">Makenna</t>
  </si>
  <si>
    <t xml:space="preserve">Co-founder (tech)</t>
  </si>
  <si>
    <t xml:space="preserve">About page: "Makenna, Co-founder &amp; tech". Stage 1 had her in the marketing slot; the page gives a tech role, so moved to backup.</t>
  </si>
  <si>
    <t xml:space="preserve">https://www.instagram.com/cirrus9candy/</t>
  </si>
  <si>
    <t xml:space="preserve">BR5:17</t>
  </si>
  <si>
    <t xml:space="preserve">About page: 'Founded and run by women, here in the Hudson Valley', 'Hand spun in the Hudson Valley'. Sour Melon cotton candy was a 2026 Startup CPG Shelfie finalist (2026-08-06).</t>
  </si>
  <si>
    <t xml:space="preserve">AB-067</t>
  </si>
  <si>
    <t xml:space="preserve">Rule Breaker Snacks</t>
  </si>
  <si>
    <t xml:space="preserve">Nancy</t>
  </si>
  <si>
    <t xml:space="preserve">Kalish</t>
  </si>
  <si>
    <t xml:space="preserve">New York City brand, no graded store within ten blocks, online store only, no dated why-now in the last 12 months, revenue in band, contact named; founder review: claim-borderline.</t>
  </si>
  <si>
    <t xml:space="preserve">https://www.rulebreakersnacks.com/pages/about-us</t>
  </si>
  <si>
    <t xml:space="preserve">find Nancy Kalish at Rule Breaker Snacks on LinkedIn and paste the profile URL; founder review (claim-borderline): read founder_review_reason first</t>
  </si>
  <si>
    <t xml:space="preserve">https://www.bakeryandsnacks.com/Article/2022/03/30/Bimbo-backed-Rule-Breaker-sets-its-sights-on-2.2m-in-2022</t>
  </si>
  <si>
    <t xml:space="preserve">Chocolate Brownie Singles, 1.9 oz individually wrapped (chickpea-based)</t>
  </si>
  <si>
    <t xml:space="preserve">https://www.rulebreakersnacks.com</t>
  </si>
  <si>
    <t xml:space="preserve">Nutrient-content positioning ('packed with protein and fiber', 'guilt-free'); allergen-free kids/lunchbox angle</t>
  </si>
  <si>
    <t xml:space="preserve">strategic (Bimbo Ventures) plus equity crowdfunding (Republic, 2022)</t>
  </si>
  <si>
    <t xml:space="preserve">Brand FAQ: 'stay fresh at room temperature for at least 12 months'</t>
  </si>
  <si>
    <t xml:space="preserve">500k-10m</t>
  </si>
  <si>
    <t xml:space="preserve">reported</t>
  </si>
  <si>
    <t xml:space="preserve">Bakery and Snacks 2022-03-30: sales $1.3m in 2021 vs $444k in 2020; projected $2.2m 2022 (dated figure)</t>
  </si>
  <si>
    <t xml:space="preserve">2,500+ locations; Kroger; Ralphs; Wegmans (brand locator text); Whole Foods Northeast (WFM supplier story, search result)</t>
  </si>
  <si>
    <t xml:space="preserve">https://www.rulebreakersnacks.com/pages/store-locator; https://www.wholefoodsmarket.com/api/search?text=rule%20breaker&amp;store=10162&amp;limit=60&amp;offset=0</t>
  </si>
  <si>
    <t xml:space="preserve">Nancy Kalish</t>
  </si>
  <si>
    <t xml:space="preserve">https://www.instagram.com/rulebreakersnacks/</t>
  </si>
  <si>
    <t xml:space="preserve">BR2:4</t>
  </si>
  <si>
    <t xml:space="preserve">Shark Tank Season 12 (no deal). Not found in WFM Union Square/NoMad/Chelsea catalogs on 2026-10-23. Locator loads dynamically (Secomapp widget) so no store list was readable. No dated signal in the last 12 months found.</t>
  </si>
  <si>
    <t xml:space="preserve">AB-023</t>
  </si>
  <si>
    <t xml:space="preserve">SuperSeedz</t>
  </si>
  <si>
    <t xml:space="preserve">Northeast brand, store page shows Whole Foods Market Chelsea 3.0 blocks outside it, a new store listing 36 days ago, revenue unknown, no contact named; founder review: claim-borderline.</t>
  </si>
  <si>
    <t xml:space="preserve">Whole Foods Market Chelsea, 250 7th Ave</t>
  </si>
  <si>
    <t xml:space="preserve">New 1 oz single-serve Sea Salt pack of 12 on brand store; Pumpkin Spice flavor announced via Startup CPG Newswire (2025-10-01)</t>
  </si>
  <si>
    <t xml:space="preserve">https://www.superseedz.com/products/sea-salt-1-ounce-pack-of-12</t>
  </si>
  <si>
    <t xml:space="preserve">https://www.superseedz.com</t>
  </si>
  <si>
    <t xml:space="preserve">no person named on an opened page: not ready; before using the retailer line, check Whole Foods Market Chelsea still lists it: https://www.wholefoodsmarket.com/search?text=SuperSeedz with your store set to Chelsea (catalogs change daily); founder review (claim-borderline): read founder_review_reason first</t>
  </si>
  <si>
    <t xml:space="preserve">SuperSeedz Sea Salt gourmet pumpkin seeds, 1 oz single-serve (pack of 12)</t>
  </si>
  <si>
    <t xml:space="preserve">Guilford</t>
  </si>
  <si>
    <t xml:space="preserve">Product titles use 'Antioxidant Boost' and WFM listing leads with '8g Protein' (nutrient-content style wording); check pack</t>
  </si>
  <si>
    <t xml:space="preserve">CT</t>
  </si>
  <si>
    <t xml:space="preserve">Brand FAQ (cinnamon sugar seeds): 'Store your pumpkin seeds in an airtight container at room temperature. They will keep this way for several weeks.' No unopened shelf-life figure found.</t>
  </si>
  <si>
    <t xml:space="preserve">Whole Foods Market NoMad, 63 Madison Ave (unverified, inside);Whole Foods Market Chelsea, 250 7th Ave (store_selector, 3.0 blocks out)</t>
  </si>
  <si>
    <t xml:space="preserve">https://www.wholefoodsmarket.com/search?text=superseedz (store context NoMad 10773 and Chelsea 10131: Dry Roasted Pumpkin Seeds with Sea Salt 5 oz IN_STOCK 2026-10-23; not shown for Union Square)</t>
  </si>
  <si>
    <t xml:space="preserve">https://startupcpg.com/startup-cpg-newswire-superseedz-launches-pumpkin-spice/</t>
  </si>
  <si>
    <t xml:space="preserve">BR1:24</t>
  </si>
  <si>
    <t xml:space="preserve">Footer: PO Box 198, Guilford CT. Startup CPG flag from a brand press release on Startup CPG Newswire (title seen in newswire listing via startupcpg.com wp-json post list).</t>
  </si>
  <si>
    <t xml:space="preserve">shelf_stable_basis &lt;- https://www.superseedz.com/pages/faq (2026-10-24, opened); </t>
  </si>
  <si>
    <t xml:space="preserve">AB-119</t>
  </si>
  <si>
    <t xml:space="preserve">Amazi Foods</t>
  </si>
  <si>
    <t xml:space="preserve">Renee</t>
  </si>
  <si>
    <t xml:space="preserve">Dunn</t>
  </si>
  <si>
    <t xml:space="preserve">Brand based outside the Northeast, store page shows Whole Foods Market NoMad inside the cluster, no dated why-now in the last 12 months, revenue unknown, contact named; founder review: shelf life not stated.</t>
  </si>
  <si>
    <t xml:space="preserve">https://amazifoods.com/pages/our-story</t>
  </si>
  <si>
    <t xml:space="preserve">find Renee Dunn at Amazi Foods on LinkedIn and paste the profile URL; before using the retailer line, check Whole Foods Market NoMad still lists it: https://www.wholefoodsmarket.com/search?text=Amazi%20Foods with your store set to NoMad (catalogs change daily); founder review (shelf life or online store): read founder_review_reason first</t>
  </si>
  <si>
    <t xml:space="preserve">https://www.foodbusinessnews.net/articles/22974-amazi-rebrands-expands-lineup</t>
  </si>
  <si>
    <t xml:space="preserve">Pina Colada Dried Pineapple 2.3 oz; Minis 12-packs</t>
  </si>
  <si>
    <t xml:space="preserve">Washington (contact page lists 'Washington, DC')</t>
  </si>
  <si>
    <t xml:space="preserve">https://amazifoods.com</t>
  </si>
  <si>
    <t xml:space="preserve">DC</t>
  </si>
  <si>
    <t xml:space="preserve">Dried fruit in sealed bags sold ambient at Whole Foods; shelf-life figure not found</t>
  </si>
  <si>
    <t xml:space="preserve">https://www.wholefoodsmarket.com/api/search?text=amazi&amp;store=10162&amp;limit=60&amp;offset=0; https://www.wholefoodsmarket.com/api/search?text=amazi&amp;store=10773&amp;limit=60&amp;offset=0</t>
  </si>
  <si>
    <t xml:space="preserve">Renee Dunn</t>
  </si>
  <si>
    <t xml:space="preserve">https://www.instagram.com/amazifoods/</t>
  </si>
  <si>
    <t xml:space="preserve">BR2:57</t>
  </si>
  <si>
    <t xml:space="preserve">Ugandan-sourced dried fruit and jackfruit; keeps production in Uganda. Mid-Atlantic (DC). No new SKU since 2025-04. Not in WFM Chelsea catalog.</t>
  </si>
  <si>
    <t xml:space="preserve">founder_name &lt;- https://www.foodbusinessnews.net/articles/22974-amazi-rebrands-expands-lineup (2026-10-24, opened); founder_title &lt;- https://www.foodbusinessnews.net/articles/22974-amazi-rebrands-expands-lineup (2026-10-24, opened); founder_profile_url &lt;- https://www.foodbusinessnews.net/articles/22974-amazi-rebrands-expands-lineup (2026-10-24, opened); </t>
  </si>
  <si>
    <t xml:space="preserve">AB-215</t>
  </si>
  <si>
    <t xml:space="preserve">Early Bird Foods &amp; Co.</t>
  </si>
  <si>
    <t xml:space="preserve">Nekisia</t>
  </si>
  <si>
    <t xml:space="preserve">Davis</t>
  </si>
  <si>
    <t xml:space="preserve">Brand based outside the Northeast (HQ unverified), store page shows Whole Foods Market NoMad inside the cluster, no dated why-now in the last 12 months, revenue unknown, contact named; founder review: other.</t>
  </si>
  <si>
    <t xml:space="preserve">https://earlybirdfoods.com/pages/about</t>
  </si>
  <si>
    <t xml:space="preserve">find Nekisia Davis at Early Bird Foods &amp; Co. on LinkedIn and paste the profile URL; before using the retailer line, check Whole Foods Market NoMad still lists it: https://www.wholefoodsmarket.com/search?text=Early%20Bird%20Foods%20%26%20Co. with your store set to NoMad (catalogs change daily); founder review (other): read founder_review_reason first</t>
  </si>
  <si>
    <t xml:space="preserve">Granola in 2 oz single-serve bags (brand shop); Farmhand Pecan Granola 12 oz (WFM)</t>
  </si>
  <si>
    <t xml:space="preserve">Michigan (operated from the founders' home 'in the Michigan woods', per The FruitGuys 2025-05-10; brand began in Brooklyn in 2008). City not stated, founder to confirm.</t>
  </si>
  <si>
    <t xml:space="preserve">https://earlybirdfoods.com</t>
  </si>
  <si>
    <t xml:space="preserve">Granola is snack-adjacent (often eaten with milk); WFM stocks the 12 oz bag, while the 2 oz single-serve bags are confirmed online only</t>
  </si>
  <si>
    <t xml:space="preserve">MI (founder to confirm)</t>
  </si>
  <si>
    <t xml:space="preserve">Bagged granola sold ambient; FAQ gives no shelf-life figure, founder to confirm 60+ days</t>
  </si>
  <si>
    <t xml:space="preserve">Blank Slate Gourmet Market, 121 Madison Ave (brand_claim, inside);Eataly Flatiron, 200 5th Ave (brand_claim, inside);Fairway Market Chelsea, 55 W 25th St (brand_claim, inside);Garden of Eden, 7 E 14th St (brand_claim, inside);Whole Foods Market NoMad, 63 Madison Ave (store_selector, inside);Whole Foods Market Union Square, 4 Union Sq S (store_selector, inside);Bedford Cheese Shop, 67 Irving Pl (brand_claim, 0.9 blocks out);Kalustyan's, 123 Lexington Ave (brand_claim, 1.0 blocks out);Merci Market, 59 5th Ave (brand_claim, 1.0 blocks out);Westside Market, 77 7th Ave (brand_claim, 2.0 blocks out);Foragers City Grocer, 300 W 22nd St (brand_claim, 6.6 blocks out)</t>
  </si>
  <si>
    <t xml:space="preserve">Whole Foods Market (WFM catalog); wholesale program; where-to-buy page (not machine-readable)</t>
  </si>
  <si>
    <t xml:space="preserve">https://www.wholefoodsmarket.com/api/search?text=early%20bird%20granola&amp;store=10773&amp;limit=60&amp;offset=0; https://www.wholefoodsmarket.com/api/search?text=early%20bird%20granola&amp;store=10162&amp;limit=60&amp;offset=0; https://www.wholefoodsmarket.com/api/search?text=early%20bird%20granola&amp;store=10713&amp;limit=60&amp;offset=0; https://www.storemapper.co/api/users/2689/stores.js?callback=SMcallback2</t>
  </si>
  <si>
    <t xml:space="preserve">Nekisia Davis</t>
  </si>
  <si>
    <t xml:space="preserve">https://www.instagram.com/earlybirdfoods</t>
  </si>
  <si>
    <t xml:space="preserve">BR4:10</t>
  </si>
  <si>
    <t xml:space="preserve">Woman-owned, gluten-free and vegan granola made with olive oil (homepage banner). WFM store-scoped catalog lists 3 SKUs at NoMad, Union Square and Manhattan West on 2026-10-23. No dated 12-month signal on site. | Nekisia Davis runs the business with her partner in life and business, Jen Watson (no formal title; not recorded as marketing lead). The FruitGuys office-snack service featured the brand in 2025.</t>
  </si>
  <si>
    <t xml:space="preserve">nyc_retailers_near_cluster &lt;- https://www.storemapper.co/api/users/2689/stores.js?callback=SMcallback2 (2026-10-24, opened); retailer_evidence_urls &lt;- https://earlybirdfoods.com/pages/where-to-buy (2026-10-24, opened); hq_city &lt;- https://fruitguys.com/blog/this-lgbtq-owned-snack-brand-makes-granola-with-love (2026-10-24, opened); hq_state &lt;- https://fruitguys.com/blog/this-lgbtq-owned-snack-brand-makes-granola-with-love (2026-10-24, opened); notes &lt;- https://fruitguys.com/blog/this-lgbtq-owned-snack-brand-makes-granola-with-love (2026-10-24, opened); </t>
  </si>
  <si>
    <t xml:space="preserve">AB-244</t>
  </si>
  <si>
    <t xml:space="preserve">Kelly's Four Plus Granola</t>
  </si>
  <si>
    <t xml:space="preserve">Cordy</t>
  </si>
  <si>
    <t xml:space="preserve">Kelly</t>
  </si>
  <si>
    <t xml:space="preserve">Northeast brand, store page shows Whole Foods Market NoMad inside the cluster, no dated why-now in the last 12 months, revenue unknown, contact named; founder review: format.</t>
  </si>
  <si>
    <t xml:space="preserve">https://www.kellysfourplus.com/pages/kfp-story</t>
  </si>
  <si>
    <t xml:space="preserve">find Cordy Kelly at Kelly's Four Plus Granola on LinkedIn and paste the profile URL; before using the retailer line, check Whole Foods Market NoMad still lists it: https://www.wholefoodsmarket.com/search?text=Kelly%27s%20Four%20Plus%20Granola with your store set to NoMad (catalogs change daily); founder review (format): read founder_review_reason first</t>
  </si>
  <si>
    <t xml:space="preserve">Cranberry Nut Granola 12 oz bag (gluten free)</t>
  </si>
  <si>
    <t xml:space="preserve">South Norwalk</t>
  </si>
  <si>
    <t xml:space="preserve">https://www.kellysfourplus.com</t>
  </si>
  <si>
    <t xml:space="preserve">12 oz share bags, not single-serve; granola is snack-adjacent</t>
  </si>
  <si>
    <t xml:space="preserve">family-owned (story page)</t>
  </si>
  <si>
    <t xml:space="preserve">Bagged granola sold ambient; no shelf-life figure published, founder to confirm</t>
  </si>
  <si>
    <t xml:space="preserve">Whole Foods Market (WFM catalog); sold throughout the Northeast and New England and online (story page)</t>
  </si>
  <si>
    <t xml:space="preserve">https://www.wholefoodsmarket.com/api/search?text=kellys%20four%20plus&amp;store=10773&amp;limit=60&amp;offset=0; https://www.wholefoodsmarket.com/api/search?text=kellys%20four%20plus&amp;store=10162&amp;limit=60&amp;offset=0; https://www.wholefoodsmarket.com/api/search?text=kellys%20four%20plus&amp;store=10713&amp;limit=60&amp;offset=0</t>
  </si>
  <si>
    <t xml:space="preserve">Cordy Kelly</t>
  </si>
  <si>
    <t xml:space="preserve">BR4:39</t>
  </si>
  <si>
    <t xml:space="preserve">WFM lists Cranberry Nut, Apple Cinnamon and Cherry Chocolate at Union Square and NoMad, flagged Local (sweep 2026-10-23, query 'granola').</t>
  </si>
  <si>
    <t xml:space="preserve">AB-123</t>
  </si>
  <si>
    <t xml:space="preserve">Numa Foods</t>
  </si>
  <si>
    <t xml:space="preserve">Joyce</t>
  </si>
  <si>
    <t xml:space="preserve">Northeast brand, store page shows Whole Foods Market NoMad inside the cluster, no dated why-now in the last 12 months, revenue unknown, contact named (first name only); founder review: claim-borderline.</t>
  </si>
  <si>
    <t xml:space="preserve">https://numafoods.com/pages/our-story-new</t>
  </si>
  <si>
    <t xml:space="preserve">find Joyce at Numa Foods on LinkedIn and paste the profile URL; surname not public: take it from LinkedIn; before using the retailer line, check Whole Foods Market NoMad still lists it: https://www.wholefoodsmarket.com/search?text=Numa%20Foods with your store set to NoMad (catalogs change daily); founder review (claim-borderline): read founder_review_reason first</t>
  </si>
  <si>
    <t xml:space="preserve">Banana Cream Taffy 3.3 oz; Mini Peanut Butter Cocoa Bars</t>
  </si>
  <si>
    <t xml:space="preserve">Bridgewater</t>
  </si>
  <si>
    <t xml:space="preserve">https://numafoods.com</t>
  </si>
  <si>
    <t xml:space="preserve">'Healthier sweet alternative' and 'lead healthier lives' wellness language; check pack copy</t>
  </si>
  <si>
    <t xml:space="preserve">Brand FAQ: 'Our chews are shelf-stable and have a shelf life of 12 months from the date of production.'</t>
  </si>
  <si>
    <t xml:space="preserve">https://www.wholefoodsmarket.com/api/search?text=numa%20taffy&amp;store=10162&amp;limit=60&amp;offset=0; https://www.wholefoodsmarket.com/api/search?text=numa%20taffy&amp;store=10773&amp;limit=60&amp;offset=0; https://www.wholefoodsmarket.com/api/search?text=numa%20taffy&amp;store=10131&amp;limit=60&amp;offset=0</t>
  </si>
  <si>
    <t xml:space="preserve">Nu first name on brand Our Story</t>
  </si>
  <si>
    <t xml:space="preserve">https://www.instagram.com/numafoods/</t>
  </si>
  <si>
    <t xml:space="preserve">BR2:61</t>
  </si>
  <si>
    <t xml:space="preserve">Family brand. No new SKU since 2025-06. Taffy individual wrapping not confirmed from pages opened; mini bars are single-serve.</t>
  </si>
  <si>
    <t xml:space="preserve">shelf_stable_basis &lt;- https://numafoods.com/pages/faq (2026-10-24, opened); hq_city &lt;- https://numafoods.com/policies/terms-of-service (2026-10-24, opened); hq_state &lt;- https://numafoods.com/policies/terms-of-service (2026-10-24, opened); </t>
  </si>
  <si>
    <t xml:space="preserve">AB-241</t>
  </si>
  <si>
    <t xml:space="preserve">Nomi Crunch</t>
  </si>
  <si>
    <t xml:space="preserve">Sarah</t>
  </si>
  <si>
    <t xml:space="preserve">Harasaki</t>
  </si>
  <si>
    <t xml:space="preserve">New York City brand, brand locator shows Jack's Market 1.3 blocks outside it, no dated why-now in the last 12 months, revenue unknown, contact named; founder review: format, claim-borderline.</t>
  </si>
  <si>
    <t xml:space="preserve">Jack's Market, 110 W 32nd St</t>
  </si>
  <si>
    <t xml:space="preserve">https://nomicrunch.com/</t>
  </si>
  <si>
    <t xml:space="preserve">find Sarah Harasaki at Nomi Crunch on LinkedIn and paste the profile URL; the retailer line rests on the brand's own store locator: say 'your store locator lists ...'; founder review (format, claim-borderline): read founder_review_reason first</t>
  </si>
  <si>
    <t xml:space="preserve">https://www.pearlriver.com/products/nomi-crunch-granola-earl-grey-yuzu</t>
  </si>
  <si>
    <t xml:space="preserve">Black Sesame protein granola bag (also Earl Grey Yuzu)</t>
  </si>
  <si>
    <t xml:space="preserve">New York (homepage: 'crafted in nyc'; Pearl River listing: 'Born in New York City')</t>
  </si>
  <si>
    <t xml:space="preserve">https://nomicrunch.com</t>
  </si>
  <si>
    <t xml:space="preserve">Protein positioning ('50g of protein per bag', whey protein isolate); multi-serve bag, not single-serve</t>
  </si>
  <si>
    <t xml:space="preserve">Jack's Market, 110 W 32nd St (brand_claim, 1.3 blocks out)</t>
  </si>
  <si>
    <t xml:space="preserve">Pearl River Mart (online catalog)</t>
  </si>
  <si>
    <t xml:space="preserve">https://www.pearlriver.com/products/nomi-crunch-granola-earl-grey-yuzu; https://stockist.co/api/v1/map_pqkkeeyq/locations/search?latitude=40.7411&amp;longitude=-73.9897&amp;distance=3&amp;distance_unit=mi</t>
  </si>
  <si>
    <t xml:space="preserve">Sarah Harasaki</t>
  </si>
  <si>
    <t xml:space="preserve">BR4:36</t>
  </si>
  <si>
    <t xml:space="preserve">Woman and minority owned, gluten free (homepage). Pearl River Mart catalog (pearlriver.com online store; Chelsea Market food store at 75 9th Ave not confirmed for this item)</t>
  </si>
  <si>
    <t xml:space="preserve">nyc_retailers_near_cluster &lt;- https://stockist.co/api/v1/map_pqkkeeyq/locations/search?latitude=40.7411&amp;longitude=-73.9897&amp;distance=3&amp;distance_unit=mi (2026-10-24, opened); nearest_stocked_retailer &lt;- https://stockist.co/api/v1/map_pqkkeeyq/locations/search?latitude=40.7411&amp;longitude=-73.9897&amp;distance=3&amp;distance_unit=mi (2026-10-24, opened); nearest_retailer_grade &lt;- https://stockist.co/api/v1/map_pqkkeeyq/locations/search?latitude=40.7411&amp;longitude=-73.9897&amp;distance=3&amp;distance_unit=mi (2026-10-24, opened); retailer_evidence_urls &lt;- https://nomicrunch.com/pages/store-locator (2026-10-24, opened); </t>
  </si>
  <si>
    <t xml:space="preserve">AB-144</t>
  </si>
  <si>
    <t xml:space="preserve">Joe Coffee Company</t>
  </si>
  <si>
    <t xml:space="preserve">Jonathan</t>
  </si>
  <si>
    <t xml:space="preserve">Rubinstein</t>
  </si>
  <si>
    <t xml:space="preserve">New York City brand, no graded store within ten blocks, online store only, news 177 days ago, revenue unknown, contact named; founder review: not-emerging, dormant.</t>
  </si>
  <si>
    <t xml:space="preserve">Founder Jonathan Rubinstein stepped down as CEO and moved to a new leadership role; successor is a long-serving employee (name behind paywall); 24 outlets across New York incl. Union Square</t>
  </si>
  <si>
    <t xml:space="preserve">https://worldcoffeeportal.com/news/new-ceo-for-new-yorks-joe-coffee/</t>
  </si>
  <si>
    <t xml:space="preserve">https://joecoffeecompany.com/pages/locations</t>
  </si>
  <si>
    <t xml:space="preserve">find Jonathan Rubinstein at Joe Coffee Company on LinkedIn and paste the profile URL; founder review (not-emerging, dormant): read founder_review_reason first</t>
  </si>
  <si>
    <t xml:space="preserve">https://joecoffeecompany.com/pages/about</t>
  </si>
  <si>
    <t xml:space="preserve">Joe Coffee Cold Brew cans (Great Heights single origin), 12-pack</t>
  </si>
  <si>
    <t xml:space="preserve">https://joecoffeecompany.com/products/cold-brew</t>
  </si>
  <si>
    <t xml:space="preserve">Cafe group, not a pure CPG brand; cold brew cans showed 'Sold out' (2026-10-23); shelf stability not stated. Already runs corporate catering, so may see Desk Drop as overlap; 60-day shelf life not stated</t>
  </si>
  <si>
    <t xml:space="preserve">not-emerging;dormant</t>
  </si>
  <si>
    <t xml:space="preserve">https://joecoffeecompany.com</t>
  </si>
  <si>
    <t xml:space="preserve">No storage statement on the cold brew product page; founder to confirm</t>
  </si>
  <si>
    <t xml:space="preserve">Joe Coffee Flatiron (unverified, unplaced);Joe Coffee Union Square West (unverified, unplaced);Joe Pro Shop (unverified, unplaced)</t>
  </si>
  <si>
    <t xml:space="preserve">Own cafes incl. Flatiron, 13th Street, Union Square West, Pro Shop W 21st St, Chelsea, Bryant Park, Grand Central</t>
  </si>
  <si>
    <t xml:space="preserve">Jonathan Rubinstein</t>
  </si>
  <si>
    <t xml:space="preserve">https://www.instagram.com/joecoffeecompany</t>
  </si>
  <si>
    <t xml:space="preserve">BR3:18</t>
  </si>
  <si>
    <t xml:space="preserve">why_now_date is the Shopify publish date (2025-08-25), inside the 12-month window. Location names listed on the site; street addresses not captured. | Added 2026-10-24: Joe Coffee HQ and Education Lab: 443 Park Avenue South, Suite 1000, New York, NY 10016 (Park Ave S at 30th St, at the north edge of the cluster)</t>
  </si>
  <si>
    <t xml:space="preserve">notes &lt;- https://joecoffeecompany.com/pages/contact-us (2026-10-24, opened); founder_name &lt;- https://joecoffeecompany.com/pages/about (2026-10-24, opened); founder_title &lt;- https://worldcoffeeportal.com/news/new-ceo-for-new-yorks-joe-coffee/ (2026-10-24, opened); why_now &lt;- https://worldcoffeeportal.com/news/new-ceo-for-new-yorks-joe-coffee/ (2026-10-24, opened); why_now_url &lt;- https://worldcoffeeportal.com/news/new-ceo-for-new-yorks-joe-coffee/ (2026-10-24, opened); why_now_date &lt;- https://worldcoffeeportal.com/news/new-ceo-for-new-yorks-joe-coffee/ (2026-10-24, opened); founder_profile_url &lt;- https://joecoffeecompany.com/pages/about (2026-10-24, opened); </t>
  </si>
  <si>
    <t xml:space="preserve">AB-250</t>
  </si>
  <si>
    <t xml:space="preserve">NouBon</t>
  </si>
  <si>
    <t xml:space="preserve">Pierrelande</t>
  </si>
  <si>
    <t xml:space="preserve">Saint Cyr</t>
  </si>
  <si>
    <t xml:space="preserve">New York State brand, no graded store within ten blocks, online store only, news 142 days ago, revenue unknown, contact named; founder review: under-floor.</t>
  </si>
  <si>
    <t xml:space="preserve">Debuted Caribbean snack bags and craft peanut butters</t>
  </si>
  <si>
    <t xml:space="preserve">https://startupcpg.com/startup-cpg-newswire-noubon-bringing-bold-small-batch-caribbean-flavors-to-store-shelves/</t>
  </si>
  <si>
    <t xml:space="preserve">2026-06-04</t>
  </si>
  <si>
    <t xml:space="preserve">find Pierrelande Saint Cyr at NouBon on LinkedIn and paste the profile URL; founder review (under-floor): read founder_review_reason first</t>
  </si>
  <si>
    <t xml:space="preserve">Caribbean street-confection snack bags: Coconut Clusters, Coconut Bites, Peanut Crunch, Vanilla Fudge (also spiced peanut butters)</t>
  </si>
  <si>
    <t xml:space="preserve">Deer Park, Long Island (privacy policy: NouBon, 669 Acorn St, Suite D, Deer Park NY 11729)</t>
  </si>
  <si>
    <t xml:space="preserve">http://www.noubon.com</t>
  </si>
  <si>
    <t xml:space="preserve">Debut-stage brand may be under the $500k floor (no sales figure); no NYC retailer named yet; 60-day shelf life not stated</t>
  </si>
  <si>
    <t xml:space="preserve">under-floor</t>
  </si>
  <si>
    <t xml:space="preserve">Snack bags; storage not stated, founder to confirm</t>
  </si>
  <si>
    <t xml:space="preserve">No sales figure published. Debut lineup DTC plus Faire/Airgoods (Startup CPG 2026-06-04)</t>
  </si>
  <si>
    <t xml:space="preserve">DTC (noubon.com); wholesale via Faire and Airgoods</t>
  </si>
  <si>
    <t xml:space="preserve">Pierrelande Saint Cyr</t>
  </si>
  <si>
    <t xml:space="preserve">BR4:45</t>
  </si>
  <si>
    <t xml:space="preserve">Haitian American sister founders. Peanut butters are spreads (not a drop item); the snack bags are the fit.</t>
  </si>
  <si>
    <t xml:space="preserve">nearest_stocked_retailer &lt;- https://stockist.co/api/v1/map_pqkk8eyq/locations/search?latitude=40.7411&amp;longitude=-73.9897&amp;distance=3&amp;distance_unit=mi (2026-10-24, opened); hq_city &lt;- http://www.noubon.com/policies/privacy-policy (2026-10-24, opened); </t>
  </si>
  <si>
    <t xml:space="preserve">AB-282</t>
  </si>
  <si>
    <t xml:space="preserve">Dona</t>
  </si>
  <si>
    <t xml:space="preserve">New York City brand, no graded store within ten blocks, online store only, a new store listing 93 days ago, revenue unknown, no contact named; founder review: other.</t>
  </si>
  <si>
    <t xml:space="preserve">Added a Mini Chai Streusel Granola single pack and a chai and granola bundle</t>
  </si>
  <si>
    <t xml:space="preserve">https://drinkdona.com/products.json</t>
  </si>
  <si>
    <t xml:space="preserve">Mini Chai Streusel Granola with Honey ($5 single pack)</t>
  </si>
  <si>
    <t xml:space="preserve">Brooklyn (1365 Halsey St, 11237)</t>
  </si>
  <si>
    <t xml:space="preserve">https://drinkdona.com</t>
  </si>
  <si>
    <t xml:space="preserve">Core line is tea, matcha and chai concentrate, which need preparation (excluded); only the mini granola fits. Check who makes it and which SKU is eligible</t>
  </si>
  <si>
    <t xml:space="preserve">Packaged granola and dry teas sold ambient online; shelf life not stated</t>
  </si>
  <si>
    <t xml:space="preserve">https://www.instagram.com/drinkdona</t>
  </si>
  <si>
    <t xml:space="preserve">BR5:18</t>
  </si>
  <si>
    <t xml:space="preserve">Dona's Cardamom Rose Tea Concentrate is a 2027 sofi finalist (Coffee &amp; Tea, announced 2026-10-19); that SKU needs mixing, so it is not the placement product. Footer: '©2026 DONA CHAI LLC | 1365 HALSEY ST, BROOKLYN, NY 11237'.</t>
  </si>
  <si>
    <t xml:space="preserve">AB-276</t>
  </si>
  <si>
    <t xml:space="preserve">Live Loud Foods</t>
  </si>
  <si>
    <t xml:space="preserve">Keesha</t>
  </si>
  <si>
    <t xml:space="preserve">New York City brand, no graded store within ten blocks, online store only, a new store listing 53 days ago, revenue unknown, contact named (first name only); founder review: under-floor, format.</t>
  </si>
  <si>
    <t xml:space="preserve">In the Made in NYC Bodega at Brooklyn Navy Yard, September to November 2026 (site banner)</t>
  </si>
  <si>
    <t xml:space="preserve">https://www.liveloudfoods.com</t>
  </si>
  <si>
    <t xml:space="preserve">2026-09</t>
  </si>
  <si>
    <t xml:space="preserve">https://hotbreadkitchen.org/breadwinners-marketplace/</t>
  </si>
  <si>
    <t xml:space="preserve">find Keesha at Live Loud Foods on LinkedIn and paste the profile URL; surname not public: take it from LinkedIn; founder review (under-floor, format): read founder_review_reason first</t>
  </si>
  <si>
    <t xml:space="preserve">https://hotbreadkitchen.org/hbki/</t>
  </si>
  <si>
    <t xml:space="preserve">Caribbean Jerk Candied Mixed Nuts; Candied Citrus Pistachio</t>
  </si>
  <si>
    <t xml:space="preserve">Hot Bread Kitchen incubator alumna; likely well under $500k. Founder name not on any page opened. Bag size not confirmed</t>
  </si>
  <si>
    <t xml:space="preserve">Candied nuts in sealed retail bags sold online; shelf life not stated</t>
  </si>
  <si>
    <t xml:space="preserve">Made in NYC Bodega pop-up at Brooklyn Navy Yard (Sept to Nov 2026); store locator page not reachable</t>
  </si>
  <si>
    <t xml:space="preserve">surname not given</t>
  </si>
  <si>
    <t xml:space="preserve">https://www.instagram.com/live.loud.foods</t>
  </si>
  <si>
    <t xml:space="preserve">BR5:12</t>
  </si>
  <si>
    <t xml:space="preserve">Listed in Hot Bread Kitchen's Breadwinners Marketplace: 'bold, globally inspired flavored nuts with a New York City soul'. The HBKi page quotes 'Keesha, Live Loud Foods' about getting into a shared kitchen; that only implies she is the founder. Also runs paid tasting events (Oct to Nov 2026).</t>
  </si>
  <si>
    <t xml:space="preserve">AB-243</t>
  </si>
  <si>
    <t xml:space="preserve">Moon Man (Hello Moon Man)</t>
  </si>
  <si>
    <t xml:space="preserve">Nigel</t>
  </si>
  <si>
    <t xml:space="preserve">Sielegar</t>
  </si>
  <si>
    <t xml:space="preserve">New York City brand (HQ unverified), no graded store within ten blocks, online store only, a new store listing 0 days ago, revenue unknown, contact named; founder review: under-floor.</t>
  </si>
  <si>
    <t xml:space="preserve">Scheduled at Queens Night Market on 2026-10-24 and 2026-10-31 (homepage 'Next Missions')</t>
  </si>
  <si>
    <t xml:space="preserve">https://hellomoonman.com/</t>
  </si>
  <si>
    <t xml:space="preserve">find Nigel Sielegar at Moon Man (Hello Moon Man) on LinkedIn and paste the profile URL; founder review (under-floor): read founder_review_reason first</t>
  </si>
  <si>
    <t xml:space="preserve">https://untappedcities.com/2017/09/29/10-not-to-miss-vendors-at-the-queens-international-night-market/4/</t>
  </si>
  <si>
    <t xml:space="preserve">Moon Man Sweet Chili Micro Fries (bag)</t>
  </si>
  <si>
    <t xml:space="preserve">Queens, New York (vendor at Queens Night Market per homepage schedule; HQ address not stated, founder to confirm)</t>
  </si>
  <si>
    <t xml:space="preserve">https://hellomoonman.com</t>
  </si>
  <si>
    <t xml:space="preserve">Very small maker (market-stall brand); likely under the $500k floor and capacity for 275 units unknown</t>
  </si>
  <si>
    <t xml:space="preserve">Bagged crunchy snack sold ambient at Pearl River Mart; no shelf-life figure published, founder to confirm</t>
  </si>
  <si>
    <t xml:space="preserve">Pearl River Mart Foods (unverified, 11.4 blocks out)</t>
  </si>
  <si>
    <t xml:space="preserve">Pearl River Mart (online catalog); Queens Night Market stall</t>
  </si>
  <si>
    <t xml:space="preserve">https://www.pearlriver.com/products/moon-man-sweet-chili-micro-fries</t>
  </si>
  <si>
    <t xml:space="preserve">Nigel Sielegar</t>
  </si>
  <si>
    <t xml:space="preserve">with cousin Wenny Purnomo</t>
  </si>
  <si>
    <t xml:space="preserve">BR4:38</t>
  </si>
  <si>
    <t xml:space="preserve">Southeast Asian desserts and kaya jams brand; micro fries are its packaged snack. Homepage cites an Eater NY feature (2022). Pearl River Mart catalog (pearlriver.com online store; Chelsea Market food store at 75 9th Ave not confirmed for this item)</t>
  </si>
  <si>
    <t xml:space="preserve">founder_name &lt;- https://untappedcities.com/2017/09/29/10-not-to-miss-vendors-at-the-queens-international-night-market/4/ (2026-10-24, opened); founder_title &lt;- https://untappedcities.com/2017/09/29/10-not-to-miss-vendors-at-the-queens-international-night-market/4/ (2026-10-24, opened); founder_profile_url &lt;- https://untappedcities.com/2017/09/29/10-not-to-miss-vendors-at-the-queens-international-night-market/4/ (2026-10-24, opened); </t>
  </si>
  <si>
    <t xml:space="preserve">AB-225</t>
  </si>
  <si>
    <t xml:space="preserve">Blind Tiger Spirit-Free Cocktails</t>
  </si>
  <si>
    <t xml:space="preserve">Styn</t>
  </si>
  <si>
    <t xml:space="preserve">Northeast brand, brand locator shows Whole Foods Market NoMad inside the cluster, news 263 days ago, revenue unknown, contact named; founder review: alcohol-adjacent.</t>
  </si>
  <si>
    <t xml:space="preserve">Expanded national pilot to 400 Whole Foods Market stores (Jan 26 to end of Feb 2026)</t>
  </si>
  <si>
    <t xml:space="preserve">https://startupcpg.com/startup-cpg-newswire-blind-tiger-spirit-free-cocktails-expands-national-pilot-across-400-whole-foods-market-stores/</t>
  </si>
  <si>
    <t xml:space="preserve">2026-02-03</t>
  </si>
  <si>
    <t xml:space="preserve">https://blindtigerspiritfree.com/</t>
  </si>
  <si>
    <t xml:space="preserve">find Rebecca Styn at Blind Tiger Spirit-Free Cocktails on LinkedIn and paste the profile URL; the retailer line rests on the brand's own store locator: say 'your store locator lists ...'; founder review (alcohol-adjacent): read founder_review_reason first</t>
  </si>
  <si>
    <t xml:space="preserve">Southside Mojito spirit-free cocktail, can (8-can packs online; 4-packs at WFM)</t>
  </si>
  <si>
    <t xml:space="preserve">Erie</t>
  </si>
  <si>
    <t xml:space="preserve">https://blindtigerspiritfree.com</t>
  </si>
  <si>
    <t xml:space="preserve">Non-alcoholic cocktail positioned for bars and for mixing with spirits (alcohol-adjacent); an office may veto; 60-day shelf life not stated</t>
  </si>
  <si>
    <t xml:space="preserve">PA</t>
  </si>
  <si>
    <t xml:space="preserve">Canned RTD; storage not stated on homepage, founder to confirm</t>
  </si>
  <si>
    <t xml:space="preserve">Release: 1,600+ retailers nationwide (store count, not used for band)</t>
  </si>
  <si>
    <t xml:space="preserve">Whole Foods Market NoMad, 63 Madison Ave (brand_claim, inside);Whole Foods Market Union Square, 4 Union Sq S (brand_claim, inside);Whole Foods Market Chelsea, 250 7th Ave (brand_claim, 3.0 blocks out)</t>
  </si>
  <si>
    <t xml:space="preserve">Whole Foods Market Manhattan West (brand_claim, 13.8 blocks out)</t>
  </si>
  <si>
    <t xml:space="preserve">Whole Foods Market (400-store national pilot Jan-Feb 2026; ~100 stores Nov 2025 incl. New York); Wegmans; Total Wine &amp; More; Royal Caribbean</t>
  </si>
  <si>
    <t xml:space="preserve">https://www.wholefoodsmarket.com/api/search?text=blind%20tiger&amp;store=10773&amp;limit=60&amp;offset=0</t>
  </si>
  <si>
    <t xml:space="preserve">Rebecca Styn</t>
  </si>
  <si>
    <t xml:space="preserve">BR4:20</t>
  </si>
  <si>
    <t xml:space="preserve">Spirit-free (no alcohol) per brand; recorded under other-drink. WFM pilot was time-limited; current cluster listing not found.</t>
  </si>
  <si>
    <t xml:space="preserve">nyc_retailers_near_cluster &lt;- https://api.storepoint.co/v1/164a5606e521cf/locations?lat=40.7411&amp;long=-73.9897&amp;radius=5 (2026-10-24, opened); nearest_stocked_retailer &lt;- https://api.storepoint.co/v1/164a5606e521cf/locations?lat=40.7411&amp;long=-73.9897&amp;radius=5 (2026-10-24, opened); nearest_retailer_grade &lt;- https://api.storepoint.co/v1/164a5606e521cf/locations?lat=40.7411&amp;long=-73.9897&amp;radius=5 (2026-10-24, opened); </t>
  </si>
  <si>
    <t xml:space="preserve">AB-169</t>
  </si>
  <si>
    <t xml:space="preserve">Banagua</t>
  </si>
  <si>
    <t xml:space="preserve">Rob</t>
  </si>
  <si>
    <t xml:space="preserve">Smithson</t>
  </si>
  <si>
    <t xml:space="preserve">Brand based outside the Northeast, no graded store within ten blocks, online store only, news 61 days ago, revenue in band, contact named; founder review: claim-borderline.</t>
  </si>
  <si>
    <t xml:space="preserve">Won the 2026 Startup CPG Shelfie Award, Beverage (2026-08-24); announced a 5.5M investment from Hingham Growth Partners and 3,500+ doors incl. Sprouts, Albertsons, Kroger, Erewhon (2026-06-02); named Best New Brand by Beverage Digest (2026-01-12)</t>
  </si>
  <si>
    <t xml:space="preserve">https://startupcpg.com/startup-cpg-shelfie-winners-2026/</t>
  </si>
  <si>
    <t xml:space="preserve">2026-08-24</t>
  </si>
  <si>
    <t xml:space="preserve">https://banagua.com/pages/about-us</t>
  </si>
  <si>
    <t xml:space="preserve">find Rob Smithson at Banagua on LinkedIn and paste the profile URL; founder review (claim-borderline): read founder_review_reason first</t>
  </si>
  <si>
    <t xml:space="preserve">https://www.newhope.com/brands/banaguas-rapid-banana-water-growth-rivals-coconut-water</t>
  </si>
  <si>
    <t xml:space="preserve">Banagua Original Banana Water, aluminum can</t>
  </si>
  <si>
    <t xml:space="preserve">Nashville (office in Smyrna, TN)</t>
  </si>
  <si>
    <t xml:space="preserve">https://banagua.com</t>
  </si>
  <si>
    <t xml:space="preserve">NYC retail and HQ not confirmed; product copy says 'antioxidant-rich and full of natural energy' (soft wording, check label). Startup CPG community brand, which suits a warm intro; national retail distribution in the why-now ('3,500+ doors'): check the revenue band at intake</t>
  </si>
  <si>
    <t xml:space="preserve">5.5M round led by Hingham Growth Partners (2026); round stage not stated</t>
  </si>
  <si>
    <t xml:space="preserve">About page: 'lightly pasteurize... aluminum cans... shelf-stable for up to 18 months' (banagua.com/pages/about-us, opened 2026-10-23)</t>
  </si>
  <si>
    <t xml:space="preserve">company projection, not actuals</t>
  </si>
  <si>
    <t xml:space="preserve">Co-founder Rob Smithson in New Hope 2026-07-22: a little more than $5 million expected in year one; a little over 3,000 doors within four months | about 5M expected in first year (company projection, not actuals)</t>
  </si>
  <si>
    <t xml:space="preserve">unknown (Destini locator not readable)</t>
  </si>
  <si>
    <t xml:space="preserve">Rob Smithson</t>
  </si>
  <si>
    <t xml:space="preserve">Jose Carlos Herrera</t>
  </si>
  <si>
    <t xml:space="preserve">Carlos Herrera</t>
  </si>
  <si>
    <t xml:space="preserve">co-founder</t>
  </si>
  <si>
    <t xml:space="preserve">BR3:43</t>
  </si>
  <si>
    <t xml:space="preserve">Shelfie finalists page (2026-08-06) describes 'Single ingredient banana water with no funny stuff'. Flavors: Original, Strawberry, Blueberry, Cocoa Vanilla (listed 2025-05-13).</t>
  </si>
  <si>
    <t xml:space="preserve">hq_city &lt;- https://www.newhope.com/brands/banaguas-rapid-banana-water-growth-rivals-coconut-water (2026-10-24, opened); hq_state &lt;- https://banagua.com/policies/privacy-policy (2026-10-24, opened); founder_name &lt;- https://www.newhope.com/brands/banaguas-rapid-banana-water-growth-rivals-coconut-water (2026-10-24, opened); founder_title &lt;- https://business.vanderbilt.edu/news/2026/01/23/how-rob-smithson-emba25-and-jose-carlos-herrera-emba25-turned-a-grocery-store-find-into-banagua-2/ (2026-10-24, opened); revenue_band &lt;- https://www.newhope.com/brands/banaguas-rapid-banana-water-growth-rivals-coconut-water (2026-10-24, opened); revenue_basis &lt;- https://www.newhope.com/brands/banaguas-rapid-banana-water-growth-rivals-coconut-water (2026-10-24, opened); funding_stage &lt;- https://www.newhope.com/brands/banaguas-rapid-banana-water-growth-rivals-coconut-water (2026-10-24, opened); why_now &lt;- https://startupcpg.com/startup-cpg-newswire-banagua-secures-5-5-million-investment-from-hingham-growth-partners-to-accelerate-national-expansion/ (2026-10-24, opened); founder_profile_url &lt;- https://business.vanderbilt.edu/news/2026/01/23/how-rob-smithson-emba25-and-jose-carlos-herrera-emba25-turned-a-grocery-store-find-into-banagua-2/ (2026-10-24, opened); </t>
  </si>
  <si>
    <t xml:space="preserve">AB-224</t>
  </si>
  <si>
    <t xml:space="preserve">Day Out Snacks</t>
  </si>
  <si>
    <t xml:space="preserve">Becky</t>
  </si>
  <si>
    <t xml:space="preserve">Dheri</t>
  </si>
  <si>
    <t xml:space="preserve">Northeast brand (HQ unverified), no graded store within ten blocks, online store only, news 60 days ago, revenue unknown, contact named; founder review: claim-borderline.</t>
  </si>
  <si>
    <t xml:space="preserve">Launched limited-edition Apple Pie and Pumpkin Cheesecake flavors for fall; landed nationwide at Target in June 2026</t>
  </si>
  <si>
    <t xml:space="preserve">https://startupcpg.com/startup-cpg-newswire-day-out-snacks-launches-limited-edition-apple-pie-and-pumpkin-cheesecake-flavors-for-fall/</t>
  </si>
  <si>
    <t xml:space="preserve">2026-08-25</t>
  </si>
  <si>
    <t xml:space="preserve">https://startupcpg.com/startup-cpg-newswire-day-out-snacks-lands-nationwide-at-target/</t>
  </si>
  <si>
    <t xml:space="preserve">find Becky Dheri at Day Out Snacks on LinkedIn and paste the profile URL; founder review (claim-borderline): read founder_review_reason first</t>
  </si>
  <si>
    <t xml:space="preserve">Dessert-inspired plant-protein balls, single-serve pouches (4 per box at Target); 4.5 oz resealable bag</t>
  </si>
  <si>
    <t xml:space="preserve">Red Bank, NJ per the August 2026 release; an October 2026 release dateline and an NJBIZ article give Montville, NJ (search snippets only; unverified, founder to confirm)</t>
  </si>
  <si>
    <t xml:space="preserve">https://getdayout.com</t>
  </si>
  <si>
    <t xml:space="preserve">Protein positioning ('functional snacking', 9-12g plant protein per serving); kids' activities angle in boilerplate; national retail distribution in the why-now ('nationwide at Target'): check the revenue band at intake</t>
  </si>
  <si>
    <t xml:space="preserve">Brand FAQ: 'good for 8 months sealed'; no refrigeration needed ('can be kept at room temperature'); resealable bags</t>
  </si>
  <si>
    <t xml:space="preserve">Target nationwide (June 2026; endcaps in ~800 stores June 14-July 25); 54 Costco locations across the Northeast (Sept 2025); ShopRite (rollout before Sept 2025)</t>
  </si>
  <si>
    <t xml:space="preserve">Becky Dheri</t>
  </si>
  <si>
    <t xml:space="preserve">BR4:19</t>
  </si>
  <si>
    <t xml:space="preserve">Boilerplate names 'a busy workday' as a use case. Target's Manhattan stores (e.g., Kips Bay, Herald Square) not checked. Brand website not reached.</t>
  </si>
  <si>
    <t xml:space="preserve">website &lt;- https://startupcpg.com/startup-cpg-newswire-day-out-snacks-lands-nationwide-at-target/ (2026-10-24, opened); online_store &lt;- https://getdayout.com/products.json?limit=250 (2026-10-24, opened); online_store_url &lt;- https://getdayout.com/ (2026-10-24, opened); retailers_claimed &lt;- https://www.foodnavigator-usa.com/Article/2025/09/03/functional-snacks-boom-as-day-out-expands-retail-reach/ (2026-10-24, opened); hq_city &lt;- https://www.nosh.com/pr/2026/10/07/day-out-snacks-welcomes-back-limited-edition-peppermint-bark-flavor (2026-10-24, snippet-unverified); shelf_stable &lt;- https://getdayout.com/pages/faqs (2026-10-24, opened); shelf_stable_basis &lt;- https://getdayout.com/pages/faqs (2026-10-24, opened); </t>
  </si>
  <si>
    <t xml:space="preserve">AB-042</t>
  </si>
  <si>
    <t xml:space="preserve">Terranean</t>
  </si>
  <si>
    <t xml:space="preserve">Chamoun</t>
  </si>
  <si>
    <t xml:space="preserve">Founder, CPCO</t>
  </si>
  <si>
    <t xml:space="preserve">Brand based outside the Northeast, no graded store within ten blocks, online store only, news 164 days ago, revenue unknown, contact named.</t>
  </si>
  <si>
    <t xml:space="preserve">Launched Avocado Oil Pita Chips with World Market rollout (June 2026); Spicy Za'atar Pita Chips added 2026-08-16</t>
  </si>
  <si>
    <t xml:space="preserve">https://startupcpg.com/startup-cpg-newswire-terranean-expands-avocado-oil-pita-chips-and-national-retail-presence/</t>
  </si>
  <si>
    <t xml:space="preserve">2026-05-13</t>
  </si>
  <si>
    <t xml:space="preserve">https://terraneanherbs.com/pages/about-us</t>
  </si>
  <si>
    <t xml:space="preserve">find Tina Chamoun at Terranean on LinkedIn and paste the profile URL</t>
  </si>
  <si>
    <t xml:space="preserve">Terranean Za'atar Pita Chips ($6.99 bag); new Spicy Za'atar</t>
  </si>
  <si>
    <t xml:space="preserve">Cleveland</t>
  </si>
  <si>
    <t xml:space="preserve">https://terraneanherbs.com</t>
  </si>
  <si>
    <t xml:space="preserve">OH</t>
  </si>
  <si>
    <t xml:space="preserve">Twice-baked pita chips in sealed bags, ambient</t>
  </si>
  <si>
    <t xml:space="preserve">PopUp Grocer (brand_claim, unplaced)</t>
  </si>
  <si>
    <t xml:space="preserve">World Market (from June 2026); Fresh Thyme Market; Sendik's; Festival Foods; Heinen's; PopUp Grocer (NYC)</t>
  </si>
  <si>
    <t xml:space="preserve">https://popupgrocer.com/pages/directory (Terranean Herbs &amp; Spices availability 'NYC Flagship', 2026-10-23); https://popupgrocer.com/products/terranean-herbs-spices</t>
  </si>
  <si>
    <t xml:space="preserve">Tina Chamoun</t>
  </si>
  <si>
    <t xml:space="preserve">Mia Salvano</t>
  </si>
  <si>
    <t xml:space="preserve">Mia</t>
  </si>
  <si>
    <t xml:space="preserve">Salvano</t>
  </si>
  <si>
    <t xml:space="preserve">Product Demo &amp; Store Relations Manager</t>
  </si>
  <si>
    <t xml:space="preserve">https://instagram.com/TerraneanHerbs</t>
  </si>
  <si>
    <t xml:space="preserve">BR1:43</t>
  </si>
  <si>
    <t xml:space="preserve">Homepage banner: 'Good Housekeeping's Best of List 2026!' An award signal to pair with the May 2026 World Market launch already in why_now.</t>
  </si>
  <si>
    <t xml:space="preserve">notes &lt;- https://terraneanherbs.com/ (2026-10-24, opened); </t>
  </si>
  <si>
    <t xml:space="preserve">https://terraneanherbs.com/</t>
  </si>
  <si>
    <t xml:space="preserve">AB-218</t>
  </si>
  <si>
    <t xml:space="preserve">WildBoard</t>
  </si>
  <si>
    <t xml:space="preserve">Amy</t>
  </si>
  <si>
    <t xml:space="preserve">Boysen</t>
  </si>
  <si>
    <t xml:space="preserve">Northeast brand, no graded store within ten blocks, online store only, news 24 days ago, revenue unknown, contact named; founder review: claim-borderline.</t>
  </si>
  <si>
    <t xml:space="preserve">Launched savory trail mix clusters in three flavors after sampling 3,500+ units incl. Expo West 2026</t>
  </si>
  <si>
    <t xml:space="preserve">https://startupcpg.com/startup-cpg-newswire-wildboard-launches-savory-trail-mix-clusters-bringing-the-appetizer-board-to-everyday-snacking/</t>
  </si>
  <si>
    <t xml:space="preserve">2026-09-30</t>
  </si>
  <si>
    <t xml:space="preserve">https://wildboardsnacks.com/</t>
  </si>
  <si>
    <t xml:space="preserve">find Amy Boysen at WildBoard on LinkedIn and paste the profile URL; founder review (claim-borderline): read founder_review_reason first</t>
  </si>
  <si>
    <t xml:space="preserve">Mezze (Pistachios &amp; Za'atar) savory trail mix clusters, 3.5 oz bag</t>
  </si>
  <si>
    <t xml:space="preserve">https://wildboardsnacks.com</t>
  </si>
  <si>
    <t xml:space="preserve">Nutrient-content claims (15g protein, 12g fiber per bag); brand just launched, no NYC retailer yet</t>
  </si>
  <si>
    <t xml:space="preserve">Brand product page: '12 months shelf life from production, shelf stable, no refrigeration' (3.5 oz stand-up pouch)</t>
  </si>
  <si>
    <t xml:space="preserve">No sales figure published. Launched Sept 2026 (Startup CPG 2026-09-30): early stage, band founder to confirm</t>
  </si>
  <si>
    <t xml:space="preserve">Online (wildboardsnacks.com); Expo West 2026 sampling</t>
  </si>
  <si>
    <t xml:space="preserve">Amy Boysen</t>
  </si>
  <si>
    <t xml:space="preserve">BR4:13</t>
  </si>
  <si>
    <t xml:space="preserve">Homepage positions it as 'Built for the desk' and 'The 3pm slump' snack, a strong office-pantry fit. Release datelined New York, NY but founders are out of Guilford, CT. Women- and LGBTQIA+-owned.</t>
  </si>
  <si>
    <t xml:space="preserve">nearest_stocked_retailer &lt;- https://stockist.co/api/v1/map_rq48522q/locations/search?latitude=40.7411&amp;longitude=-73.9897&amp;distance=3&amp;distance_unit=mi (2026-10-24, opened); shelf_stable_basis &lt;- https://wildboardsnacks.com/products.json?limit=250 (2026-10-24, opened); </t>
  </si>
  <si>
    <t xml:space="preserve">AB-007</t>
  </si>
  <si>
    <t xml:space="preserve">Eccentric Bagel Chips</t>
  </si>
  <si>
    <t xml:space="preserve">Darryn</t>
  </si>
  <si>
    <t xml:space="preserve">Weinstein</t>
  </si>
  <si>
    <t xml:space="preserve">New York State brand, no graded store within ten blocks, online store only, a new store listing 65 days ago, revenue unknown, contact named.</t>
  </si>
  <si>
    <t xml:space="preserve">Five-flavor mini chip line and variety pack published on new brand store</t>
  </si>
  <si>
    <t xml:space="preserve">https://eccentricbagelchips.com/pages/shop</t>
  </si>
  <si>
    <t xml:space="preserve">https://eccentricbagelchips.com/pages/about</t>
  </si>
  <si>
    <t xml:space="preserve">find Darryn Weinstein at Eccentric Bagel Chips on LinkedIn and paste the profile URL</t>
  </si>
  <si>
    <t xml:space="preserve">https://northforker.com/2025/03/my-favorite-things-darryn-weinstein-eccentric-bagel/</t>
  </si>
  <si>
    <t xml:space="preserve">Eccentric Bagel Mini Chips, Everything ($8 bag)</t>
  </si>
  <si>
    <t xml:space="preserve">Shelter Island</t>
  </si>
  <si>
    <t xml:space="preserve">https://eccentricbagelchips.com</t>
  </si>
  <si>
    <t xml:space="preserve">Brand FAQ: 'Our bagel chips have a 5-month shelf life when unopened.' Passes the 60-day rule if delivered within about 3 months of bake.</t>
  </si>
  <si>
    <t xml:space="preserve">PopUp Grocer (NYC)</t>
  </si>
  <si>
    <t xml:space="preserve">https://popupgrocer.com/pages/directory (availability 'NYC Flagship', 2026-10-23); https://popupgrocer.com/products/eccentric-bagel-chips</t>
  </si>
  <si>
    <t xml:space="preserve">Darryn Weinstein</t>
  </si>
  <si>
    <t xml:space="preserve">https://instagram.com/eccentricbagelchips</t>
  </si>
  <si>
    <t xml:space="preserve">BR1:8</t>
  </si>
  <si>
    <t xml:space="preserve">About page: founder spent 30+ years in luxury travel, started during COVID; Shelter Island NY. Seed-oil free, Jewish- and women-owned per PopUp Grocer tags. why_now date is Shopify published_at (products.json). Bag size not confirmed.</t>
  </si>
  <si>
    <t xml:space="preserve">shelf_stable_basis &lt;- https://eccentricbagelchips.com/pages/faq (2026-10-24, opened); founder_name &lt;- https://northforker.com/2025/03/my-favorite-things-darryn-weinstein-eccentric-bagel/ (2026-10-24, opened); founder_profile_url &lt;- https://northforker.com/2025/03/my-favorite-things-darryn-weinstein-eccentric-bagel/ (2026-10-24, opened); </t>
  </si>
  <si>
    <t xml:space="preserve">AB-136</t>
  </si>
  <si>
    <t xml:space="preserve">Hal's New York</t>
  </si>
  <si>
    <t xml:space="preserve">Hershkowitz</t>
  </si>
  <si>
    <t xml:space="preserve">CEO, Big Geyser</t>
  </si>
  <si>
    <t xml:space="preserve">New York City brand, no graded store within ten blocks, online store only, no dated why-now in the last 12 months, revenue unknown, contact named; founder review: other.</t>
  </si>
  <si>
    <t xml:space="preserve">https://www.halsnewyork.com/hals-story/</t>
  </si>
  <si>
    <t xml:space="preserve">find Lewis Hershkowitz at Hal's New York on LinkedIn and paste the profile URL; founder review (other): read founder_review_reason first</t>
  </si>
  <si>
    <t xml:space="preserve">https://www.longisland.com/news/11-09-22/hals-new-york-home-grown-seltzer-snack-company-making-waves-nationwide.html</t>
  </si>
  <si>
    <t xml:space="preserve">Hal's New York Seltzer, can; also ginger ale</t>
  </si>
  <si>
    <t xml:space="preserve">Maspeth (Queens, New York City)</t>
  </si>
  <si>
    <t xml:space="preserve">https://www.halsnewyork.com</t>
  </si>
  <si>
    <t xml:space="preserve">Brand of a large NY distributor (Big Geyser), so likely not budget-constrained the way an emerging brand is; also sells kettle chips (check snack slices for overlap); 60-day shelf life not stated</t>
  </si>
  <si>
    <t xml:space="preserve">distributor-owned (Big Geyser, per NOSH 2019 snippet, not opened)</t>
  </si>
  <si>
    <t xml:space="preserve">https://www.nosh.com/news/2019/big-geyser-expands-hals-new-york-into-snacks</t>
  </si>
  <si>
    <t xml:space="preserve">Canned seltzer; no shelf-life statement on brand site</t>
  </si>
  <si>
    <t xml:space="preserve">7-Eleven (CSP Daily News headline in search results)</t>
  </si>
  <si>
    <t xml:space="preserve">Lewis Hershkowitz</t>
  </si>
  <si>
    <t xml:space="preserve">Stephanie Reda</t>
  </si>
  <si>
    <t xml:space="preserve">Stephanie</t>
  </si>
  <si>
    <t xml:space="preserve">Reda</t>
  </si>
  <si>
    <t xml:space="preserve">Director of Brand Development</t>
  </si>
  <si>
    <t xml:space="preserve">https://www.instagram.com/halsnewyork</t>
  </si>
  <si>
    <t xml:space="preserve">BR3:10</t>
  </si>
  <si>
    <t xml:space="preserve">Site tagline 'New York born, New York made'; store locator is JS (no data read).</t>
  </si>
  <si>
    <t xml:space="preserve">hq_city &lt;- https://www.halsnewyork.com/pages/contact (2026-10-24, opened); founder_name &lt;- https://www.longisland.com/news/11-09-22/hals-new-york-home-grown-seltzer-snack-company-making-waves-nationwide.html (2026-10-24, opened); founder_title &lt;- https://www.longisland.com/news/11-09-22/hals-new-york-home-grown-seltzer-snack-company-making-waves-nationwide.html (2026-10-24, opened); </t>
  </si>
  <si>
    <t xml:space="preserve">AB-283</t>
  </si>
  <si>
    <t xml:space="preserve">Caltein</t>
  </si>
  <si>
    <t xml:space="preserve">Aaron</t>
  </si>
  <si>
    <t xml:space="preserve">New York City brand (HQ unverified), brand locator shows CompleteBody Chelsea inside the cluster, no dated why-now in the last 12 months, revenue unknown, contact named (first name only); founder review: claim-borderline.</t>
  </si>
  <si>
    <t xml:space="preserve">CompleteBody Chelsea, 22 W 19th St</t>
  </si>
  <si>
    <t xml:space="preserve">find Aaron at Caltein on LinkedIn and paste the profile URL; surname not public: take it from LinkedIn; the retailer line rests on the brand's own store locator: say 'your store locator lists ...'; founder review (claim-borderline): read founder_review_reason first</t>
  </si>
  <si>
    <t xml:space="preserve">https://caltein.com/pages/about-us</t>
  </si>
  <si>
    <t xml:space="preserve">Chocolate Chip Protein Butter Cookie pouches, 6-pack</t>
  </si>
  <si>
    <t xml:space="preserve">Queens (Entrepreneur Space client; unverified, founder to confirm)</t>
  </si>
  <si>
    <t xml:space="preserve">https://caltein.com</t>
  </si>
  <si>
    <t xml:space="preserve">Protein positioning ('protein snacks') is a nutrient-content claim. No dated news in the last 12 months; newest online SKU is from 2025-02; 60-day shelf life not stated</t>
  </si>
  <si>
    <t xml:space="preserve">Cookie pouches sold online in 6-packs and in gyms and nut shops; shelf life not stated</t>
  </si>
  <si>
    <t xml:space="preserve">CompleteBody Chelsea, 22 W 19th St (brand_claim, inside)</t>
  </si>
  <si>
    <t xml:space="preserve">Nuts Factory Union Square (brand_claim, unplaced);Nuts Factory Chelsea (brand_claim, unplaced)</t>
  </si>
  <si>
    <t xml:space="preserve">CompleteBody (Chelsea, Grand Central); Nuts Factory (Chelsea, Union Square, East Village); TMPL; Happier Grocery; The Shelf (brand Stockist locator)</t>
  </si>
  <si>
    <t xml:space="preserve">https://stockist.co/api/v1/map_93ezz7vq/locations/search?latitude=40.7411&amp;longitude=-73.9897&amp;distance=5 (widget on https://caltein.com/pages/store-locator)</t>
  </si>
  <si>
    <t xml:space="preserve">https://www.instagram.com/eatcaltein/</t>
  </si>
  <si>
    <t xml:space="preserve">BR5:19</t>
  </si>
  <si>
    <t xml:space="preserve">Entrepreneur Space current client: 'Caltein, Protein Butter Cookies'. A gym (CompleteBody, 22 W 19th St) inside the cluster is a brand-claimed stockist.</t>
  </si>
  <si>
    <t xml:space="preserve">AB-011</t>
  </si>
  <si>
    <t xml:space="preserve">Jöey Nordic Seed Crisps</t>
  </si>
  <si>
    <t xml:space="preserve">Joseph</t>
  </si>
  <si>
    <t xml:space="preserve">Chen</t>
  </si>
  <si>
    <t xml:space="preserve">Brand based outside the Northeast, no graded store within ten blocks, online store only, news 43 days ago, revenue unknown, contact named; founder review: other.</t>
  </si>
  <si>
    <t xml:space="preserve">Won 2026 Startup CPG Shelfie Award, Healthy Snack category</t>
  </si>
  <si>
    <t xml:space="preserve">https://startupcpg.com/startup-cpg-newswire-joey-nordic-seed-crisps-wins-2026-shelfie-award-in-the-health-snack-category/</t>
  </si>
  <si>
    <t xml:space="preserve">https://joeynordicseedcrisps.com/pages/our-founder</t>
  </si>
  <si>
    <t xml:space="preserve">find Joseph Chen at Jöey Nordic Seed Crisps on LinkedIn and paste the profile URL; founder review (other): read founder_review_reason first</t>
  </si>
  <si>
    <t xml:space="preserve">Jöey Rosemary &amp; Black Pepper Nordic Seed Crisps</t>
  </si>
  <si>
    <t xml:space="preserve">Toronto</t>
  </si>
  <si>
    <t xml:space="preserve">https://joeynordicseedcrisps.com</t>
  </si>
  <si>
    <t xml:space="preserve">Canadian brand (Toronto); US shipping of 275 units and US product liability coverage need checking</t>
  </si>
  <si>
    <t xml:space="preserve">ON (Canada)</t>
  </si>
  <si>
    <t xml:space="preserve">Brand wholesale FAQ: 'can be stored for 9 months (up to 274 days)' in a cool, dry place.</t>
  </si>
  <si>
    <t xml:space="preserve">PopUp Grocer (NYC); brand store locator</t>
  </si>
  <si>
    <t xml:space="preserve">https://popupgrocer.com/pages/directory (availability 'NYC Flagship', 2026-10-23); https://popupgrocer.com/products/joey-nordic-seed-crisps</t>
  </si>
  <si>
    <t xml:space="preserve">Joseph Chen</t>
  </si>
  <si>
    <t xml:space="preserve">Zach Goodwin</t>
  </si>
  <si>
    <t xml:space="preserve">Goodwin</t>
  </si>
  <si>
    <t xml:space="preserve">Press contact named on release</t>
  </si>
  <si>
    <t xml:space="preserve">https://instagram.com/joeyseedcrisps</t>
  </si>
  <si>
    <t xml:space="preserve">BR1:12</t>
  </si>
  <si>
    <t xml:space="preserve">Founder previously worked at Kraft, Unilever, Hershey, McDonald's, Mondelez (founder page). Release datelined Toronto ON.</t>
  </si>
  <si>
    <t xml:space="preserve">shelf_stable_basis &lt;- https://joeynordicseedcrisps.com/pages/wholesale (2026-10-24, opened); </t>
  </si>
  <si>
    <t xml:space="preserve">AB-056</t>
  </si>
  <si>
    <t xml:space="preserve">Stellar Snacks</t>
  </si>
  <si>
    <t xml:space="preserve">Elisabeth</t>
  </si>
  <si>
    <t xml:space="preserve">Galvin</t>
  </si>
  <si>
    <t xml:space="preserve">Brand based outside the Northeast, no graded store within ten blocks, online store only, news 65 days ago, revenue unknown, contact named; founder review: other.</t>
  </si>
  <si>
    <t xml:space="preserve">Trade-press interview on pretzel growth and new flavors</t>
  </si>
  <si>
    <t xml:space="preserve">https://www.snackandbakery.com/articles/116213-stellar-snacks-cofounders-rosy-about-the-future-of-pretzels</t>
  </si>
  <si>
    <t xml:space="preserve">find Elisabeth Galvin at Stellar Snacks on LinkedIn and paste the profile URL; founder review (other): read founder_review_reason first</t>
  </si>
  <si>
    <t xml:space="preserve">Stellar Snacks clean-label pretzels (flavored)</t>
  </si>
  <si>
    <t xml:space="preserve">Carson City</t>
  </si>
  <si>
    <t xml:space="preserve">https://stellarsnacks.com/collections/all</t>
  </si>
  <si>
    <t xml:space="preserve">Only one trade article opened; site, HQ, retail and pack sizes unconfirmed</t>
  </si>
  <si>
    <t xml:space="preserve">https://stellarsnacks.com</t>
  </si>
  <si>
    <t xml:space="preserve">NV</t>
  </si>
  <si>
    <t xml:space="preserve">Baked pretzels, ambient</t>
  </si>
  <si>
    <t xml:space="preserve">Elisabeth Galvin</t>
  </si>
  <si>
    <t xml:space="preserve">Andy Yee</t>
  </si>
  <si>
    <t xml:space="preserve">Andy</t>
  </si>
  <si>
    <t xml:space="preserve">Yee</t>
  </si>
  <si>
    <t xml:space="preserve">BR1:57</t>
  </si>
  <si>
    <t xml:space="preserve">Thin row; keep only if a second pass confirms NYC buy path. | Stage 1 online-store check 2026-10-24: Shopify store: products.json lists 21 products, 20 variants available (https://stellarsnacks.com/products.json)</t>
  </si>
  <si>
    <t xml:space="preserve">website &lt;- https://stellarsnacks.com/ (2026-10-24, opened); hq_city &lt;- https://stellarsnacks.com/pages/contact (2026-10-24, opened); hq_state &lt;- https://stellarsnacks.com/pages/contact (2026-10-24, opened); founder_title &lt;- https://stellarsnacks.com/pages/about (2026-10-24, opened); marketing_name &lt;- https://stellarsnacks.com/pages/about (2026-10-24, opened); marketing_title &lt;- https://stellarsnacks.com/pages/about (2026-10-24, opened); marketing_profile_url &lt;- https://stellarsnacks.com/pages/about (2026-10-24, opened); online_store &lt;- https://stellarsnacks.com/products.json (2026-10-24, opened, stage 1); </t>
  </si>
  <si>
    <t xml:space="preserve">https://stellarsnacks.com/pages/about</t>
  </si>
  <si>
    <t xml:space="preserve">AB-267</t>
  </si>
  <si>
    <t xml:space="preserve">Heartland NY Popcorn</t>
  </si>
  <si>
    <t xml:space="preserve">New York City brand, no graded store within ten blocks, online store only, a new store listing 121 days ago, revenue unknown, no contact named; founder review: claim-borderline.</t>
  </si>
  <si>
    <t xml:space="preserve">Launched its own-brand popcorn line (six flavors) in June 2026 and showed it at the 2026 Summer Fancy Food Show</t>
  </si>
  <si>
    <t xml:space="preserve">https://heartlandnystore.com/products.json</t>
  </si>
  <si>
    <t xml:space="preserve">2026-06-25</t>
  </si>
  <si>
    <t xml:space="preserve">https://events.specialtyfood.com/event/2026-summer-fancy-food-show/exhibitor/RXhoaWJpdG9yXzI0NTQwOTM=</t>
  </si>
  <si>
    <t xml:space="preserve">no person named on an opened page: not ready; founder review (claim-borderline): read founder_review_reason first</t>
  </si>
  <si>
    <t xml:space="preserve">Heartland NY Matcha Popcorn, 50 g (1.76 oz) bag</t>
  </si>
  <si>
    <t xml:space="preserve">Flushing (Queens)</t>
  </si>
  <si>
    <t xml:space="preserve">https://heartlandnystore.com/products/heartland-ny-matcha-popcorn</t>
  </si>
  <si>
    <t xml:space="preserve">Made in Taiwan and sold by a Flushing vegetarian grocery under its own label; check whether it can ship 275 units and has US product liability cover. Seaweed SKU carries a '7g protein' nutrient claim (use a different SKU or review)</t>
  </si>
  <si>
    <t xml:space="preserve">https://heartlandnystore.com</t>
  </si>
  <si>
    <t xml:space="preserve">Product page states 'Shelf Life: One Year'; sealed 50 g bag; allergen statement (soy, shared facility) printed on page</t>
  </si>
  <si>
    <t xml:space="preserve">Own Heartland NY store (Flushing) and online store</t>
  </si>
  <si>
    <t xml:space="preserve">https://www.instagram.com/heartlandny/</t>
  </si>
  <si>
    <t xml:space="preserve">BR5:3</t>
  </si>
  <si>
    <t xml:space="preserve">SFFS listing: 'based in Flushing NY... new product - Taiwan inspired fun flavors Popcorn'. Product pages say 'Product of Taiwan'. why_now date is Shopify published_at for the popcorn SKUs (opened 2026-10-24). Store is a retailer as well as the brand owner.</t>
  </si>
  <si>
    <t xml:space="preserve">AB-126</t>
  </si>
  <si>
    <t xml:space="preserve">MarieBelle New York</t>
  </si>
  <si>
    <t xml:space="preserve">Maribel</t>
  </si>
  <si>
    <t xml:space="preserve">Lieberman</t>
  </si>
  <si>
    <t xml:space="preserve">New York City brand, no graded store within ten blocks, online store only, news 255 days ago, revenue unknown, contact named; founder review: not-emerging.</t>
  </si>
  <si>
    <t xml:space="preserve">Unveiled Valentine's Day 2026 collection (ganache boxes, truffles, bars)</t>
  </si>
  <si>
    <t xml:space="preserve">https://www.snackandbakery.com/articles/115193-mariebelle-new-york-unwraps-its-valentines-collection</t>
  </si>
  <si>
    <t xml:space="preserve">2026-02-11</t>
  </si>
  <si>
    <t xml:space="preserve">https://mariebelle.com/pages/faqs</t>
  </si>
  <si>
    <t xml:space="preserve">find Maribel Lieberman at MarieBelle New York on LinkedIn and paste the profile URL; founder review (not-emerging): read founder_review_reason first</t>
  </si>
  <si>
    <t xml:space="preserve">https://mariebelle.com/pages/our-story</t>
  </si>
  <si>
    <t xml:space="preserve">9g Cacao Market Mini Chocolate Bars; Grace Pin-Up Dark Chocolate Bar</t>
  </si>
  <si>
    <t xml:space="preserve">https://mariebelle.com</t>
  </si>
  <si>
    <t xml:space="preserve">Luxury gift chocolatier (30+ years), not an emerging snack brand; only bars and minis meet the 60-day rule</t>
  </si>
  <si>
    <t xml:space="preserve">Brand FAQ: chocolate bars have a shelf life of 2 years, caramels 6 months (ganache 6 weeks, brownies 1 week: exclude those)</t>
  </si>
  <si>
    <t xml:space="preserve">Own stores (brand FAQ 'Our Stores')</t>
  </si>
  <si>
    <t xml:space="preserve">https://www.wholefoodsmarket.com/api/search?text=mariebelle&amp;store=10162&amp;limit=60&amp;offset=0</t>
  </si>
  <si>
    <t xml:space="preserve">Maribel Lieberman</t>
  </si>
  <si>
    <t xml:space="preserve">https://www.instagram.com/mariebelleofficial/</t>
  </si>
  <si>
    <t xml:space="preserve">BR2:64</t>
  </si>
  <si>
    <t xml:space="preserve">Not in WFM cluster catalogs. Why-now from Shopify publish dates.</t>
  </si>
  <si>
    <t xml:space="preserve">why_now &lt;- https://www.snackandbakery.com/articles/115193-mariebelle-new-york-unwraps-its-valentines-collection (2026-10-24, opened); why_now_url &lt;- https://www.snackandbakery.com/articles/115193-mariebelle-new-york-unwraps-its-valentines-collection (2026-10-24, opened); why_now_date &lt;- https://www.snackandbakery.com/articles/115193-mariebelle-new-york-unwraps-its-valentines-collection (2026-10-24, opened); </t>
  </si>
  <si>
    <t xml:space="preserve">AB-280</t>
  </si>
  <si>
    <t xml:space="preserve">Sivaro Snacks</t>
  </si>
  <si>
    <t xml:space="preserve">New York City brand, no graded store within ten blocks, online store only, a new store listing 4 days ago, revenue unknown, no contact named; founder review: claim-borderline.</t>
  </si>
  <si>
    <t xml:space="preserve">Launched limited-edition Pumpkin Spice Cashews</t>
  </si>
  <si>
    <t xml:space="preserve">https://www.thesivarosnacks.com/products.json</t>
  </si>
  <si>
    <t xml:space="preserve">Everything Bagel Cashews, seed-oil-free, 3.5 oz bag</t>
  </si>
  <si>
    <t xml:space="preserve">https://www.thesivarosnacks.com</t>
  </si>
  <si>
    <t xml:space="preserve">Founder unnamed and no retailer list found. 'Seed oil free' and 'no added sulfites' are absence claims, not health claims, but check the pack</t>
  </si>
  <si>
    <t xml:space="preserve">Maple-roasted nuts and unsulfured dried fruit in sealed 3.5 oz and 5 oz bags; shelf life not stated</t>
  </si>
  <si>
    <t xml:space="preserve">https://www.instagram.com/sivarosnacks/</t>
  </si>
  <si>
    <t xml:space="preserve">BR5:16</t>
  </si>
  <si>
    <t xml:space="preserve">Entrepreneur Space current client: 'Sivaro Snacks, Nuts and Dried Fruits'. Homepage: 'Queens family business · MWBE · ACDBE · NMSDC', 'hand-packed in Queens'. why_now date is Shopify published_at.</t>
  </si>
  <si>
    <t xml:space="preserve">AB-271</t>
  </si>
  <si>
    <t xml:space="preserve">Upstate Stock (Birch Sap Seltzer)</t>
  </si>
  <si>
    <t xml:space="preserve">New York City brand, no graded store within ten blocks, online store only, a new store listing 80 days ago, revenue unknown, no contact named; founder review: claim-borderline.</t>
  </si>
  <si>
    <t xml:space="preserve">Launched the Original Birch Sap Seltzer, after a three-flavor variety pack in March 2026</t>
  </si>
  <si>
    <t xml:space="preserve">https://www.upstatestock.com/products/original-100-pute-ny-organic-birch-sap-seltzer</t>
  </si>
  <si>
    <t xml:space="preserve">https://events.specialtyfood.com/event/2026-summer-fancy-food-show/exhibitor/RXhoaWJpdG9yXzI0MjEzMDQ=</t>
  </si>
  <si>
    <t xml:space="preserve">Original 100% Pure NY Organic Birch Sap Seltzer (can); variety pack of three</t>
  </si>
  <si>
    <t xml:space="preserve">Brooklyn (Gowanus factory; shop at 2 Berry St, Williamsburg)</t>
  </si>
  <si>
    <t xml:space="preserve">https://www.upstatestock.com/products/varierty-pack-birch-sap-seltzer</t>
  </si>
  <si>
    <t xml:space="preserve">Website and SFFS listing say birch sap 'offers numerous health benefits' and cite electrolytes and antioxidants; check the can for health wording before approving. Company is mainly a knitwear and goods maker; drinks are a new line</t>
  </si>
  <si>
    <t xml:space="preserve">https://www.upstatestock.com</t>
  </si>
  <si>
    <t xml:space="preserve">Canned seltzer, 'canned in New Hampshire'; 'best served chilled' (not 'keep refrigerated')</t>
  </si>
  <si>
    <t xml:space="preserve">Upstate Stock (unverified, 39.9 blocks out)</t>
  </si>
  <si>
    <t xml:space="preserve">Own Upstate Stock shop; stocks other NY makers</t>
  </si>
  <si>
    <t xml:space="preserve">https://instagram.com/upstatestock</t>
  </si>
  <si>
    <t xml:space="preserve">BR5:7</t>
  </si>
  <si>
    <t xml:space="preserve">Berry St address comes from Figa's Stockist list (Upstate Stock is a Figa stockist), not from Upstate Stock's own site. why_now dates are Shopify published_at (variety pack 2026-03-22). SFFS flags 'In The Fancy Bodega' and 'Has a New Product'.</t>
  </si>
  <si>
    <t xml:space="preserve">AB-143</t>
  </si>
  <si>
    <t xml:space="preserve">Irving Farm New York</t>
  </si>
  <si>
    <t xml:space="preserve">David</t>
  </si>
  <si>
    <t xml:space="preserve">Elwell</t>
  </si>
  <si>
    <t xml:space="preserve">Co-founder and original owners</t>
  </si>
  <si>
    <t xml:space="preserve">New York City brand, no graded store within ten blocks, online store only, a new store listing 193 days ago, revenue unknown, contact named; founder review: not-emerging.</t>
  </si>
  <si>
    <t xml:space="preserve">Irving Farm cafe Gramercy, 71 Irving Place</t>
  </si>
  <si>
    <t xml:space="preserve">Launched RTD cold brew cans: 12 x 12 oz pack (store listing 2025-11-05), then a four-pack (2026-04-14)</t>
  </si>
  <si>
    <t xml:space="preserve">https://irvingfarmcoffee.com/products/cold-brew-can-four-pack</t>
  </si>
  <si>
    <t xml:space="preserve">https://irvingfarmcoffee.com/pages/history</t>
  </si>
  <si>
    <t xml:space="preserve">find David Elwell at Irving Farm New York on LinkedIn and paste the profile URL; founder review (not-emerging): read founder_review_reason first</t>
  </si>
  <si>
    <t xml:space="preserve">https://lakevillejournal.com/former-owners-return-and-irving-farm-returns-its-roots</t>
  </si>
  <si>
    <t xml:space="preserve">Irving Farm Cold Brew, 12 oz shelf-stable can (Blackstrap blend)</t>
  </si>
  <si>
    <t xml:space="preserve">New York (cafes); roastery Millerton</t>
  </si>
  <si>
    <t xml:space="preserve">Coffee roaster and cafe group rather than a pure CPG brand; revenue band unknown; RTD cans are a new line, which is the why-now. Has an office subscription and wholesale program</t>
  </si>
  <si>
    <t xml:space="preserve">https://irvingfarmcoffee.com</t>
  </si>
  <si>
    <t xml:space="preserve">Product pages: '12-pack of 12oz shelf-stable cans' and 'These cans can be stored at room temperature' (irvingfarmcoffee.com/products.json, read 2026-10-23)</t>
  </si>
  <si>
    <t xml:space="preserve">Irving Farm cafe Gramercy, 71 Irving Place (unverified, 0.9 blocks out);Irving Farm cafe, 79 E 10th St (unverified, 2.4 blocks out)</t>
  </si>
  <si>
    <t xml:space="preserve">Own cafes: Gramercy (71 Irving Place), 79 E 10th St, Washington Square (78 W 3rd St), Olympic Tower, Upper West Side, Hudson Valley</t>
  </si>
  <si>
    <t xml:space="preserve">https://irvingfarmcoffee.com/pages/locations</t>
  </si>
  <si>
    <t xml:space="preserve">David Elwell</t>
  </si>
  <si>
    <t xml:space="preserve">Chad Freilino</t>
  </si>
  <si>
    <t xml:space="preserve">Chad</t>
  </si>
  <si>
    <t xml:space="preserve">Freilino</t>
  </si>
  <si>
    <t xml:space="preserve">CEO since 2020</t>
  </si>
  <si>
    <t xml:space="preserve">CEO, not a marketing title</t>
  </si>
  <si>
    <t xml:space="preserve">https://www.instagram.com/irvingfarmcoffee</t>
  </si>
  <si>
    <t xml:space="preserve">BR3:17</t>
  </si>
  <si>
    <t xml:space="preserve">History page: first cafe at 52 Irving Place (1996), flagship 71 Irving Place since 2001, roasts in Millerton NY. Flagship cafe is inside the cluster, a natural tie-in. Dates are Shopify publish dates.</t>
  </si>
  <si>
    <t xml:space="preserve">founder_name &lt;- https://lakevillejournal.com/former-owners-return-and-irving-farm-returns-its-roots (2026-10-24, opened); founder_title &lt;- https://lakevillejournal.com/former-owners-return-and-irving-farm-returns-its-roots (2026-10-24, opened); marketing_name &lt;- https://mastmarket.com/blogs/the-mast-journal/focusing-on-the-origin-with-chad-freilino (2026-10-24, opened); marketing_title &lt;- https://mastmarket.com/blogs/the-mast-journal/focusing-on-the-origin-with-chad-freilino (2026-10-24, opened); </t>
  </si>
  <si>
    <t xml:space="preserve">https://mastmarket.com/blogs/the-mast-journal/focusing-on-the-origin-with-chad-freilino</t>
  </si>
  <si>
    <t xml:space="preserve">AB-157</t>
  </si>
  <si>
    <t xml:space="preserve">JUST Water</t>
  </si>
  <si>
    <t xml:space="preserve">Jaden</t>
  </si>
  <si>
    <t xml:space="preserve">Smith</t>
  </si>
  <si>
    <t xml:space="preserve">https://justwater.com/pages/faqs</t>
  </si>
  <si>
    <t xml:space="preserve">find Jaden Smith at JUST Water on LinkedIn and paste the profile URL; founder review (other): read founder_review_reason first</t>
  </si>
  <si>
    <t xml:space="preserve">https://justwater.com/pages/about</t>
  </si>
  <si>
    <t xml:space="preserve">JUST Spring Water 16.9 fl oz plant-based carton; JUST Bubbles flavored sparkling water</t>
  </si>
  <si>
    <t xml:space="preserve">https://justwater.com</t>
  </si>
  <si>
    <t xml:space="preserve">Celebrity-founded national water brand; probably not budget-constrained like an emerging brand; plain water is a weak trial product for a survey</t>
  </si>
  <si>
    <t xml:space="preserve">Brand FAQ: Still best within 18 months of bottling, Bubbles within 12 months; store in a cool, dry place (justwater.com/pages/faqs, opened 2026-10-24)</t>
  </si>
  <si>
    <t xml:space="preserve">Jaden Smith</t>
  </si>
  <si>
    <t xml:space="preserve">BR3:31</t>
  </si>
  <si>
    <t xml:space="preserve">FAQ: still water sourced from the Glens Falls watershed, Adirondacks, upstate New York, under an agreement with the City of Glens Falls. Company HQ not stated.</t>
  </si>
  <si>
    <t xml:space="preserve">hq_city &lt;- https://justwater.com/policies/privacy-policy (2026-10-24, opened); hq_state &lt;- https://justwater.com/policies/privacy-policy (2026-10-24, opened); shelf_stable &lt;- https://justwater.com/pages/faqs (2026-10-24, opened); shelf_stable_basis &lt;- https://justwater.com/pages/faqs (2026-10-24, opened); </t>
  </si>
  <si>
    <t xml:space="preserve">AB-260</t>
  </si>
  <si>
    <t xml:space="preserve">Sol Cacao</t>
  </si>
  <si>
    <t xml:space="preserve">Maloney</t>
  </si>
  <si>
    <t xml:space="preserve">https://www.solcacao.com/about-us</t>
  </si>
  <si>
    <t xml:space="preserve">find Daniel Maloney at Sol Cacao on LinkedIn and paste the profile URL; founder review (other): read founder_review_reason first</t>
  </si>
  <si>
    <t xml:space="preserve">https://business.bronxchamber.org/list/member/sol-cacao-llc-4669</t>
  </si>
  <si>
    <t xml:space="preserve">70% Peru single-origin dark chocolate bar, 1.86 oz</t>
  </si>
  <si>
    <t xml:space="preserve">Bronx (780 E 133rd St)</t>
  </si>
  <si>
    <t xml:space="preserve">https://www.solcacao.com</t>
  </si>
  <si>
    <t xml:space="preserve">Small family bean-to-bar maker; capacity for 275 units and budget unknown; no cluster retailer found (online shop is the buy path)</t>
  </si>
  <si>
    <t xml:space="preserve">family business (about page)</t>
  </si>
  <si>
    <t xml:space="preserve">Wrapped dark chocolate bars sold ambient; no shelf-life figure published, founder to confirm</t>
  </si>
  <si>
    <t xml:space="preserve">Whole Foods Market Williamsburg, Brooklyn (WFM catalog, flagged Local); brand online shop</t>
  </si>
  <si>
    <t xml:space="preserve">https://www.wholefoodsmarket.com/api/search?text=chocolate&amp;store=10487&amp;limit=60&amp;offset=0&amp;featured=local</t>
  </si>
  <si>
    <t xml:space="preserve">Daniel Maloney</t>
  </si>
  <si>
    <t xml:space="preserve">with brothers Dominic and Nicholas Maloney</t>
  </si>
  <si>
    <t xml:space="preserve">BR4:55</t>
  </si>
  <si>
    <t xml:space="preserve">'First bean to bar chocolate factory in the Bronx' (about page). Strong NYC story for an office card. WFM Williamsburg (store 10487) lists Ecuador, Madagascar and Peru bars, flagged Local (2026-10-23).</t>
  </si>
  <si>
    <t xml:space="preserve">founder_name &lt;- https://business.bronxchamber.org/list/member/sol-cacao-llc-4669 (2026-10-24, opened); founder_title &lt;- https://business.bronxchamber.org/list/member/sol-cacao-llc-4669 (2026-10-24, opened); founder_profile_url &lt;- https://business.bronxchamber.org/list/member/sol-cacao-llc-4669 (2026-10-24, opened); </t>
  </si>
  <si>
    <t xml:space="preserve">AB-240</t>
  </si>
  <si>
    <t xml:space="preserve">Bessou</t>
  </si>
  <si>
    <t xml:space="preserve">Maiko</t>
  </si>
  <si>
    <t xml:space="preserve">Kyogoku</t>
  </si>
  <si>
    <t xml:space="preserve">New York City brand, brand locator shows Rose Bakery (Dover Street Market) 0.8 blocks outside it, no dated why-now in the last 12 months, revenue unknown, contact named; founder review: not-emerging.</t>
  </si>
  <si>
    <t xml:space="preserve">Rose Bakery (Dover Street Market), 160 Lexington Ave</t>
  </si>
  <si>
    <t xml:space="preserve">Ran a Bessou Snack Shop pop-up at Bryant Park (Pom Pom Popcorn and Japanese bodega-style snacks) through 2026-01-04, and reopened as a kiosk at the Pier 57 food hall (unverified, founder to confirm)</t>
  </si>
  <si>
    <t xml:space="preserve">https://www.trendhunter.com/trends/bessou-snack-shop</t>
  </si>
  <si>
    <t xml:space="preserve">2026-01-04</t>
  </si>
  <si>
    <t xml:space="preserve">https://bessou.nyc/</t>
  </si>
  <si>
    <t xml:space="preserve">find Maiko Kyogoku at Bessou on LinkedIn and paste the profile URL; the retailer line rests on the brand's own store locator: say 'your store locator lists ...'; founder review (not-emerging): read founder_review_reason first</t>
  </si>
  <si>
    <t xml:space="preserve">https://bessou.nyc/pages/meet-the-team</t>
  </si>
  <si>
    <t xml:space="preserve">Nori Crunch Popcorn (box of 3 online); Japanese-flavored popcorn bags (Shiso Sour Cream, Miso Caramel Corn)</t>
  </si>
  <si>
    <t xml:space="preserve">New York, Manhattan (privacy policy: 25 11th Avenue, Bessou Kiosk 9, Pier 57, New York NY 10011)</t>
  </si>
  <si>
    <t xml:space="preserve">https://bessou.nyc</t>
  </si>
  <si>
    <t xml:space="preserve">Restaurant-led side line; production scale and wholesale capacity for 275 units unknown</t>
  </si>
  <si>
    <t xml:space="preserve">Bagged popcorn sold ambient at Pearl River Mart; no shelf-life figure published, founder to confirm</t>
  </si>
  <si>
    <t xml:space="preserve">Rose Bakery (Dover Street Market), 160 Lexington Ave (brand_claim, 0.8 blocks out);The Locavore Variety Store, 434 6th Ave (brand_claim, 3.7 blocks out)</t>
  </si>
  <si>
    <t xml:space="preserve">Pearl River Mart (online catalog); 'Find Bessou Goods' locations page; Bessou restaurant</t>
  </si>
  <si>
    <t xml:space="preserve">https://www.pearlriver.com/products/bessou-japanese-flavored-popcorn; https://stockist.co/api/v1/map_p3x8ne63/locations/search?latitude=40.7411&amp;longitude=-73.9897&amp;distance=3&amp;distance_unit=mi</t>
  </si>
  <si>
    <t xml:space="preserve">Maiko Kyogoku</t>
  </si>
  <si>
    <t xml:space="preserve">BR4:35</t>
  </si>
  <si>
    <t xml:space="preserve">AAPI- and woman-owned (Pearl River listing). Site sells Signature Popcorn Tin and Pom Pom Popcorn; has a 'Find Bessou Goods' page (not opened). Pearl River Mart catalog (pearlriver.com online store; Chelsea Market food store at 75 9th Ave not confirmed for this item)</t>
  </si>
  <si>
    <t xml:space="preserve">nyc_retailers_near_cluster &lt;- https://stockist.co/api/v1/map_p3x8ne63/locations/search?latitude=40.7411&amp;longitude=-73.9897&amp;distance=3&amp;distance_unit=mi (2026-10-24, opened); nearest_stocked_retailer &lt;- https://stockist.co/api/v1/map_p3x8ne63/locations/search?latitude=40.7411&amp;longitude=-73.9897&amp;distance=3&amp;distance_unit=mi (2026-10-24, opened); nearest_retailer_grade &lt;- https://stockist.co/api/v1/map_p3x8ne63/locations/search?latitude=40.7411&amp;longitude=-73.9897&amp;distance=3&amp;distance_unit=mi (2026-10-24, opened); retailer_evidence_urls &lt;- https://bessou.nyc/pages/find-bessou-goods (2026-10-24, opened); founder_name &lt;- https://bessou.nyc/pages/meet-the-team (2026-10-24, opened); founder_title &lt;- https://bessou.nyc/pages/meet-the-team (2026-10-24, opened); founder_profile_url &lt;- https://bessou.nyc/pages/meet-the-team (2026-10-24, opened); hq_city &lt;- https://bessou.nyc/policies/privacy-policy (2026-10-24, opened); why_now &lt;- https://www.trendhunter.com/trends/bessou-snack-shop (2026-10-24, snippet-unverified); why_now_url &lt;- https://www.trendhunter.com/trends/bessou-snack-shop (2026-10-24, snippet-unverified); why_now_date &lt;- https://www.trendhunter.com/trends/bessou-snack-shop (2026-10-24, snippet-unverified); </t>
  </si>
  <si>
    <t xml:space="preserve">AB-293</t>
  </si>
  <si>
    <t xml:space="preserve">Ivy's Gourmet</t>
  </si>
  <si>
    <t xml:space="preserve">Tamm</t>
  </si>
  <si>
    <t xml:space="preserve">Northeast brand, no graded store within ten blocks, online store only, news 118 days ago, revenue unknown, contact named; founder review: format.</t>
  </si>
  <si>
    <t xml:space="preserve">First-time exhibitor at the 2026 Summer Fancy Food Show, billed as a sofi Award finalist</t>
  </si>
  <si>
    <t xml:space="preserve">https://events.specialtyfood.com/event/2026-summer-fancy-food-show/exhibitor/RXhoaWJpdG9yXzIzMzA2ODA=</t>
  </si>
  <si>
    <t xml:space="preserve">find Sarah Tamm at Ivy's Gourmet on LinkedIn and paste the profile URL; founder review (format): read founder_review_reason first</t>
  </si>
  <si>
    <t xml:space="preserve">Hazelnut Coffee Granola (gluten-free)</t>
  </si>
  <si>
    <t xml:space="preserve">https://www.ivysgourmet.com</t>
  </si>
  <si>
    <t xml:space="preserve">Single-serve format not seen; granola is usually a breakfast item, so check fit with the pantry brief</t>
  </si>
  <si>
    <t xml:space="preserve">Packaged granola; site says 'baked daily, our freshness is guaranteed'; shelf life not stated</t>
  </si>
  <si>
    <t xml:space="preserve">unknown (ships to CT, NY, NJ per site)</t>
  </si>
  <si>
    <t xml:space="preserve">Sarah Tamm</t>
  </si>
  <si>
    <t xml:space="preserve">BR5:29</t>
  </si>
  <si>
    <t xml:space="preserve">SFFS 2026: 'founded in 2017 in Westport, CT by Sarah Tamm'; brands field reads 'sofi Award finalist; First time exhibitor; 18+ flavors of granola'. Its 2026 sofi finalist listing (Hazelnut Coffee Granola) was published 2025-10-23, just outside the 12-month window.</t>
  </si>
  <si>
    <t xml:space="preserve">AB-068</t>
  </si>
  <si>
    <t xml:space="preserve">Partake Foods</t>
  </si>
  <si>
    <t xml:space="preserve">Denise</t>
  </si>
  <si>
    <t xml:space="preserve">Woodard</t>
  </si>
  <si>
    <t xml:space="preserve">https://www.linkedin.com/in/denisegwoodard/</t>
  </si>
  <si>
    <t xml:space="preserve">New York State brand (HQ unverified), no graded store within ten blocks, online store only, news 46 days ago, revenue unknown, contact named; founder review: scale.</t>
  </si>
  <si>
    <t xml:space="preserve">Girl Scouts announced Sparkables, its first allergy-friendly cookie, developed with Partake; on sale online from January 2027</t>
  </si>
  <si>
    <t xml:space="preserve">https://www.wowt.com/2026/09/08/girl-scouts-debuts-2-new-cookie-flavors-heres-what-they-are/</t>
  </si>
  <si>
    <t xml:space="preserve">2026-09-08</t>
  </si>
  <si>
    <t xml:space="preserve">https://partakefoods.com/pages/about</t>
  </si>
  <si>
    <t xml:space="preserve">founder review (scale): read founder_review_reason first</t>
  </si>
  <si>
    <t xml:space="preserve">Teeny Tiny Chocolate Chip cookie snack packs</t>
  </si>
  <si>
    <t xml:space="preserve">Jersey City (search snippets: company profile 'Jersey City, NJ' and founder lives in Jersey City; unverified, founder to confirm)</t>
  </si>
  <si>
    <t xml:space="preserve">https://partakefoods.com</t>
  </si>
  <si>
    <t xml:space="preserve">Kids/lunchbox positioning; 11,000+ doors may put it above the $10M ceiling</t>
  </si>
  <si>
    <t xml:space="preserve">NY or NJ (unverified)</t>
  </si>
  <si>
    <t xml:space="preserve">nys (unverified)</t>
  </si>
  <si>
    <t xml:space="preserve">venture-backed (seed led by Marcy Venture Partners, $1M, per brand about page; later rounds unknown)</t>
  </si>
  <si>
    <t xml:space="preserve">Brand FAQ: shelf life 12 months</t>
  </si>
  <si>
    <t xml:space="preserve">Brand about page says 11,000+ stores (store count, not used for band)</t>
  </si>
  <si>
    <t xml:space="preserve">Whole Foods; 11,000+ stores</t>
  </si>
  <si>
    <t xml:space="preserve">https://www.wholefoodsmarket.com/api/search?text=partake&amp;store=10162&amp;limit=60&amp;offset=0</t>
  </si>
  <si>
    <t xml:space="preserve">Denise Woodard</t>
  </si>
  <si>
    <t xml:space="preserve">Nikita McKinney</t>
  </si>
  <si>
    <t xml:space="preserve">LinkedIn snippet; unverified, founder to confirm</t>
  </si>
  <si>
    <t xml:space="preserve">https://www.linkedin.com/in/niki-mckinney/</t>
  </si>
  <si>
    <t xml:space="preserve">https://www.instagram.com/partakefoods/</t>
  </si>
  <si>
    <t xml:space="preserve">BR2:5</t>
  </si>
  <si>
    <t xml:space="preserve">Free of top 9 allergens; certified B Corp per brand about page. Not found in WFM cluster store catalogs on 2026-10-23.</t>
  </si>
  <si>
    <t xml:space="preserve">marketing_name &lt;- https://www.linkedin.com/in/niki-mckinney/ (2026-10-24, snippet-unverified); marketing_title &lt;- https://www.linkedin.com/in/niki-mckinney/ (2026-10-24, snippet-unverified); marketing_profile_url &lt;- https://www.linkedin.com/in/niki-mckinney/ (2026-10-24, snippet-unverified); founder_profile_url &lt;- https://www.linkedin.com/in/denisegwoodard/ (2026-10-24, snippet-unverified); hq_city &lt;- https://startupintros.com/orgs/partake-foods (2026-10-24, snippet-unverified); </t>
  </si>
  <si>
    <t xml:space="preserve">AB-063</t>
  </si>
  <si>
    <t xml:space="preserve">The Hermit (calamari jerky)</t>
  </si>
  <si>
    <t xml:space="preserve">Shonts</t>
  </si>
  <si>
    <t xml:space="preserve">Brand based outside the Northeast, no graded store within ten blocks, online store only, news 143 days ago, revenue unknown, contact named; founder review: under-floor, claim-borderline.</t>
  </si>
  <si>
    <t xml:space="preserve">Relaunched calamari jerky line with reformulated texture (limited 500-bag run)</t>
  </si>
  <si>
    <t xml:space="preserve">https://startupcpg.com/startup-cpg-newswire-the-hermit-relaunches-wild-caught-calamari-jerky-with-improved-texture/</t>
  </si>
  <si>
    <t xml:space="preserve">find Steven Shonts at The Hermit (calamari jerky) on LinkedIn and paste the profile URL; founder review (under-floor, claim-borderline): read founder_review_reason first</t>
  </si>
  <si>
    <t xml:space="preserve">The Hermit Calamari Jerky, Thai Chili Lime, 2 oz</t>
  </si>
  <si>
    <t xml:space="preserve">Reno</t>
  </si>
  <si>
    <t xml:space="preserve">https://thehermit.com</t>
  </si>
  <si>
    <t xml:space="preserve">Very early stage (500-bag batches); release leads with protein, collagen and omega-3 amounts; shellfish/mollusk allergen for shared pantries</t>
  </si>
  <si>
    <t xml:space="preserve">Smoked, dried calamari jerky in 2 oz bags, sold ambient DTC</t>
  </si>
  <si>
    <t xml:space="preserve">Not banded: release (2026-06-03) describes a limited 500-bag relaunch run at $11.99 per bag; batch size is not a sales figure</t>
  </si>
  <si>
    <t xml:space="preserve">DTC only</t>
  </si>
  <si>
    <t xml:space="preserve">Steven Shonts</t>
  </si>
  <si>
    <t xml:space="preserve">BR1:64</t>
  </si>
  <si>
    <t xml:space="preserve">Revenue band inferred only from the release's own batch size statement (500 bags x $11.99); treat as indicative.</t>
  </si>
  <si>
    <t xml:space="preserve">AB-272</t>
  </si>
  <si>
    <t xml:space="preserve">Namkeen Queens</t>
  </si>
  <si>
    <t xml:space="preserve">Aiswarya</t>
  </si>
  <si>
    <t xml:space="preserve">New York City brand, no graded store within ten blocks, online store only, a new store listing 17 days ago, revenue unknown, contact named (first name only); founder review: under-floor.</t>
  </si>
  <si>
    <t xml:space="preserve">Launched the NamQueen Gift Box with single ladoos and 4 oz chivda (a Diwali gift add-on followed on 2026-10-18)</t>
  </si>
  <si>
    <t xml:space="preserve">https://namkeenqueens.com/products.json</t>
  </si>
  <si>
    <t xml:space="preserve">https://events.specialtyfood.com/event/2026-summer-fancy-food-show/exhibitor/RXhoaWJpdG9yXzI0Mzk0OTY=</t>
  </si>
  <si>
    <t xml:space="preserve">find Aiswarya at Namkeen Queens on LinkedIn and paste the profile URL; surname not public: take it from LinkedIn; founder review (under-floor): read founder_review_reason first</t>
  </si>
  <si>
    <t xml:space="preserve">https://namkeenqueens.com/pages/about</t>
  </si>
  <si>
    <t xml:space="preserve">Chivda 4 oz snack mix; Besan Ladoo single</t>
  </si>
  <si>
    <t xml:space="preserve">New York (packaged in NY; handmade in Mumbai)</t>
  </si>
  <si>
    <t xml:space="preserve">https://namkeenqueens.com</t>
  </si>
  <si>
    <t xml:space="preserve">Shelf life of ladoos and chivda unknown (60-day test); products are handmade in Mumbai and packaged in New York, so labeling, import and insurance need checking; very small brand; 60-day shelf life not stated</t>
  </si>
  <si>
    <t xml:space="preserve">Dry savory mix and ladoos shipped ambient; site gives no shelf life and calls the snacks 'homemade'</t>
  </si>
  <si>
    <t xml:space="preserve">Online only (ships across the US)</t>
  </si>
  <si>
    <t xml:space="preserve">surnames not given</t>
  </si>
  <si>
    <t xml:space="preserve">Sushila</t>
  </si>
  <si>
    <t xml:space="preserve">https://instagram.com/thenamkeenqueens/</t>
  </si>
  <si>
    <t xml:space="preserve">BR5:8</t>
  </si>
  <si>
    <t xml:space="preserve">Found in the SFFS 2026 exhibitor directory (State: New York). Homepage: 'Handmade in Mumbai. Packaged in New York.' why_now date is Shopify published_at of the gift box and its single-unit components.</t>
  </si>
  <si>
    <t xml:space="preserve">AB-184</t>
  </si>
  <si>
    <t xml:space="preserve">nero black coffee</t>
  </si>
  <si>
    <t xml:space="preserve">New York City brand, no graded store within ten blocks, online store only, a new store listing 115 days ago, revenue unknown, no contact named; founder review: under-floor.</t>
  </si>
  <si>
    <t xml:space="preserve">Appeared in Pop Up Grocer directory (listed 2026-07-01, now a past brand)</t>
  </si>
  <si>
    <t xml:space="preserve">https://popupgrocer.com/products/nero-black-coffee</t>
  </si>
  <si>
    <t xml:space="preserve">2026-07-01</t>
  </si>
  <si>
    <t xml:space="preserve">https://drinknero.com/pages/about-us</t>
  </si>
  <si>
    <t xml:space="preserve">no person named on an opened page: not ready; founder review (under-floor): read founder_review_reason first</t>
  </si>
  <si>
    <t xml:space="preserve">nero ready-to-drink unsweetened black coffee, can (100 mg caffeine)</t>
  </si>
  <si>
    <t xml:space="preserve">https://drinknero.com</t>
  </si>
  <si>
    <t xml:space="preserve">Very small, little public information (no founder or HQ); find-in-store page lists no stores</t>
  </si>
  <si>
    <t xml:space="preserve">Product copy: Shelf-stable and ready to drink, no fridge needed (drinknero.com/products.json, nero-black-coffee-can-12-pack, read 2026-10-24)</t>
  </si>
  <si>
    <t xml:space="preserve">Pop Up Grocer (past brand, directory)</t>
  </si>
  <si>
    <t xml:space="preserve">BR3:58</t>
  </si>
  <si>
    <t xml:space="preserve">Two-ingredient canned black coffee, 12-pack $24.99. Low priority.</t>
  </si>
  <si>
    <t xml:space="preserve">hq_city &lt;- https://drinknero.com/policies/privacy-policy (2026-10-24, opened); hq_state &lt;- https://drinknero.com/policies/privacy-policy (2026-10-24, opened); shelf_stable &lt;- https://drinknero.com/products.json (2026-10-24, opened); shelf_stable_basis &lt;- https://drinknero.com/products.json (2026-10-24, opened); </t>
  </si>
  <si>
    <t xml:space="preserve">AB-066</t>
  </si>
  <si>
    <t xml:space="preserve">Rip Van</t>
  </si>
  <si>
    <t xml:space="preserve">Rip</t>
  </si>
  <si>
    <t xml:space="preserve">Pruisken</t>
  </si>
  <si>
    <t xml:space="preserve">New York City brand, store page shows Whole Foods Market NoMad inside the cluster, news 17 days ago, revenue over $10M, contact named; founder review: scale-reported, scale, claim-borderline.</t>
  </si>
  <si>
    <t xml:space="preserve">Named former Hershey US president Todd Tillemans CEO; adding ~1,800 doors at Albertsons, Walmart, BJ's and Wawa</t>
  </si>
  <si>
    <t xml:space="preserve">https://theshelbyreport.com/2026/10/07/rip-van-names-former-hershey-u-s-president-as-ceo/</t>
  </si>
  <si>
    <t xml:space="preserve">find Rip Pruisken at Rip Van on LinkedIn and paste the profile URL; before using the retailer line, check Whole Foods Market NoMad still lists it: https://www.wholefoodsmarket.com/search?text=Rip%20Van with your store set to NoMad (catalogs change daily); founder review (scale-reported, scale, claim-borderline): read founder_review_reason first</t>
  </si>
  <si>
    <t xml:space="preserve">Dutch Caramel &amp; Vanilla Wafels (stroopwafel); Crispy Dunes wafer sticks</t>
  </si>
  <si>
    <t xml:space="preserve">https://www.ripvan.com</t>
  </si>
  <si>
    <t xml:space="preserve">Likely above the $10M ceiling (&gt;$100M retail sales, 26,000 doors, ex-Hershey CEO); prebiotic fiber and low-sugar nutrient positioning; 60-day shelf life not stated</t>
  </si>
  <si>
    <t xml:space="preserve">scale-reported;scale;claim-borderline</t>
  </si>
  <si>
    <t xml:space="preserve">venture-backed (stage unknown); Kickstarter origin per brand Our Story</t>
  </si>
  <si>
    <t xml:space="preserve">https://www.ripvan.com/pages/our-story</t>
  </si>
  <si>
    <t xml:space="preserve">Brand product page: 'Each wafel is individually wrapped'; sold ambient online and in grocery; no shelf-life figure published (founder to confirm 60+ days)</t>
  </si>
  <si>
    <t xml:space="preserve">over-10m</t>
  </si>
  <si>
    <t xml:space="preserve">Shelby Report 2026-10-07: company 'surpasses $100 million in retail sales' (retail sales, period not stated)</t>
  </si>
  <si>
    <t xml:space="preserve">Whole Foods; Costco; Starbucks; Albertsons; Walmart; BJ's; Wawa; 26,000+ doors</t>
  </si>
  <si>
    <t xml:space="preserve">https://www.wholefoodsmarket.com/api/search?text=rip%20van&amp;store=10162&amp;limit=60&amp;offset=0; https://www.wholefoodsmarket.com/api/search?text=rip%20van&amp;store=10773&amp;limit=60&amp;offset=0; https://www.wholefoodsmarket.com/api/search?text=rip%20van&amp;store=10131&amp;limit=60&amp;offset=0</t>
  </si>
  <si>
    <t xml:space="preserve">Rip Pruisken</t>
  </si>
  <si>
    <t xml:space="preserve">Mollie Crudden</t>
  </si>
  <si>
    <t xml:space="preserve">https://www.instagram.com/ripvansnacks/</t>
  </si>
  <si>
    <t xml:space="preserve">BR2:3</t>
  </si>
  <si>
    <t xml:space="preserve">Co-founder Marco De Leon is CFO (Shelby Report). WFM catalog: wafel cookies and Leos at Union Square and NoMad; 2 SKUs at Chelsea. WFM evidence = wholefoodsmarket.com store-scoped catalog search, opened 2026-10-23; catalog listing is not proof of shelf stock.</t>
  </si>
  <si>
    <t xml:space="preserve">marketing_name &lt;- https://www.linkedin.com/company/ripvan (2026-10-24, snippet-unverified); marketing_title &lt;- https://www.linkedin.com/company/ripvan (2026-10-24, snippet-unverified); </t>
  </si>
  <si>
    <t xml:space="preserve">AB-116</t>
  </si>
  <si>
    <t xml:space="preserve">Bobo's</t>
  </si>
  <si>
    <t xml:space="preserve">Beryl</t>
  </si>
  <si>
    <t xml:space="preserve">Stafford</t>
  </si>
  <si>
    <t xml:space="preserve">Brand based outside the Northeast, store page shows Whole Foods Market NoMad inside the cluster, a new store listing 11 days ago, revenue unknown, contact named; founder review: scale, claim-borderline.</t>
  </si>
  <si>
    <t xml:space="preserve">Launched Blueberry and Raspberry Breakfast Bars on brand store, Oct 2026</t>
  </si>
  <si>
    <t xml:space="preserve">https://eatbobos.com/</t>
  </si>
  <si>
    <t xml:space="preserve">https://eatbobos.com/pages/our-story</t>
  </si>
  <si>
    <t xml:space="preserve">find Beryl Stafford at Bobo's on LinkedIn and paste the profile URL; before using the retailer line, check Whole Foods Market NoMad still lists it: https://www.wholefoodsmarket.com/search?text=Bobo%27s with your store set to NoMad (catalogs change daily); founder review (scale, claim-borderline): read founder_review_reason first</t>
  </si>
  <si>
    <t xml:space="preserve">Chocolate Chip Oat Bar 3 oz; Stuff'd Oat Bars</t>
  </si>
  <si>
    <t xml:space="preserve">Loveland (bakery location per brand FAQ; founded in Boulder)</t>
  </si>
  <si>
    <t xml:space="preserve">https://eatbobos.com</t>
  </si>
  <si>
    <t xml:space="preserve">10 to 12 SKUs at each cluster WFM and national distribution suggest it may be above the $10M ceiling; no revenue source found | Health-claim scan 2026-10-24: the homepage links a blog post, 'Foods That Help Digestion', saying foods 'help aid your digestion'. Blog copy, not pack copy; founder to read; 60-day shelf life not stated</t>
  </si>
  <si>
    <t xml:space="preserve">Wrapped baked oat bars sold ambient at Whole Foods; shelf-life figure not found</t>
  </si>
  <si>
    <t xml:space="preserve">Whole Foods; retailer locator</t>
  </si>
  <si>
    <t xml:space="preserve">https://www.wholefoodsmarket.com/api/search?text=bobos&amp;store=10162&amp;limit=60&amp;offset=0; https://www.wholefoodsmarket.com/api/search?text=bobos&amp;store=10773&amp;limit=60&amp;offset=0; https://www.wholefoodsmarket.com/api/search?text=bobos&amp;store=10131&amp;limit=60&amp;offset=0</t>
  </si>
  <si>
    <t xml:space="preserve">Beryl Stafford</t>
  </si>
  <si>
    <t xml:space="preserve">https://www.instagram.com/eatbobos/</t>
  </si>
  <si>
    <t xml:space="preserve">BR2:54</t>
  </si>
  <si>
    <t xml:space="preserve">Gluten-free whole grain oat bars. Why-now from Shopify publish dates.</t>
  </si>
  <si>
    <t xml:space="preserve">founder_review_reason &lt;- https://eatbobos.com (2026-10-24, stage 3 correction); </t>
  </si>
  <si>
    <t xml:space="preserve">AB-112</t>
  </si>
  <si>
    <t xml:space="preserve">ChocXO</t>
  </si>
  <si>
    <t xml:space="preserve">Brand based outside the Northeast, store page shows Whole Foods Market NoMad inside the cluster, a new store listing 23 days ago, revenue unknown, no contact named; founder review: claim-borderline.</t>
  </si>
  <si>
    <t xml:space="preserve">Launched Milk Chocolate Cookie Butter Cups on brand store, Oct 2026</t>
  </si>
  <si>
    <t xml:space="preserve">https://chocxo.com/</t>
  </si>
  <si>
    <t xml:space="preserve">2026-10-01</t>
  </si>
  <si>
    <t xml:space="preserve">https://chocxo.com/pages/about-chocxo</t>
  </si>
  <si>
    <t xml:space="preserve">no person named on an opened page: not ready; before using the retailer line, check Whole Foods Market NoMad still lists it: https://www.wholefoodsmarket.com/search?text=ChocXO with your store set to NoMad (catalogs change daily); founder review (claim-borderline): read founder_review_reason first</t>
  </si>
  <si>
    <t xml:space="preserve">Organic Dubai Style Pistachio Cups 3.45 oz; Milk Chocolate Cookie Butter Cups</t>
  </si>
  <si>
    <t xml:space="preserve">Delta, BC (address on brand about page)</t>
  </si>
  <si>
    <t xml:space="preserve">https://chocxo.com</t>
  </si>
  <si>
    <t xml:space="preserve">Canadian brand (cross-border freight and insurance); 'naturally lower in sugar' positioning; 60-day shelf life not stated</t>
  </si>
  <si>
    <t xml:space="preserve">BC (Canada)</t>
  </si>
  <si>
    <t xml:space="preserve">Packaged chocolate cups sold ambient at Whole Foods; shelf-life figure not found</t>
  </si>
  <si>
    <t xml:space="preserve">https://www.wholefoodsmarket.com/api/search?text=chocxo&amp;store=10162&amp;limit=60&amp;offset=0; https://www.wholefoodsmarket.com/api/search?text=chocxo&amp;store=10773&amp;limit=60&amp;offset=0; https://www.wholefoodsmarket.com/api/search?text=chocxo&amp;store=10131&amp;limit=60&amp;offset=0</t>
  </si>
  <si>
    <t xml:space="preserve">https://www.instagram.com/chocxochocolatier/</t>
  </si>
  <si>
    <t xml:space="preserve">BR2:50</t>
  </si>
  <si>
    <t xml:space="preserve">Organic. Why-now from Shopify publish date.</t>
  </si>
  <si>
    <t xml:space="preserve">AB-055</t>
  </si>
  <si>
    <t xml:space="preserve">American Ostrich Farms</t>
  </si>
  <si>
    <t xml:space="preserve">McCoy</t>
  </si>
  <si>
    <t xml:space="preserve">Brand based outside the Northeast, no graded store within ten blocks, online store only, news 4 days ago, revenue unknown, contact named; founder review: other.</t>
  </si>
  <si>
    <t xml:space="preserve">Nationwide launch of Ostrich &amp; Beef Snack Sticks (Original, Jalapeño) on Amazon and brand site</t>
  </si>
  <si>
    <t xml:space="preserve">https://www.snackandbakery.com/articles/116497-american-ostrich-farms-launches-blended-meat-snacks</t>
  </si>
  <si>
    <t xml:space="preserve">find Alex McCoy at American Ostrich Farms on LinkedIn and paste the profile URL; founder review (other): read founder_review_reason first</t>
  </si>
  <si>
    <t xml:space="preserve">American Ostrich Farms Ostrich &amp; Beef Snack Stick, Original</t>
  </si>
  <si>
    <t xml:space="preserve">Kuna</t>
  </si>
  <si>
    <t xml:space="preserve">https://americanostrich.com</t>
  </si>
  <si>
    <t xml:space="preserve">Online-only launch; core business is fresh/frozen ostrich meat, so snack budget owner unclear</t>
  </si>
  <si>
    <t xml:space="preserve">ID</t>
  </si>
  <si>
    <t xml:space="preserve">Trade press: first shelf-stable, ready-to-eat product from the brand</t>
  </si>
  <si>
    <t xml:space="preserve">Amazon; AmericanOstrich.com</t>
  </si>
  <si>
    <t xml:space="preserve">Alex McCoy</t>
  </si>
  <si>
    <t xml:space="preserve">BR1:56</t>
  </si>
  <si>
    <t xml:space="preserve">Website domain taken from the trade article text ('AmericanOstrich.com'); site itself not opened.</t>
  </si>
  <si>
    <t xml:space="preserve">hq_city &lt;- https://www.americanostrichfarms.com/ (2026-10-24, opened); </t>
  </si>
  <si>
    <t xml:space="preserve">AB-284</t>
  </si>
  <si>
    <t xml:space="preserve">Keya's Snacks</t>
  </si>
  <si>
    <t xml:space="preserve">Keya</t>
  </si>
  <si>
    <t xml:space="preserve">Wingfield</t>
  </si>
  <si>
    <t xml:space="preserve">Brand based outside the Northeast, no graded store within ten blocks, online store only, news 144 days ago, revenue unknown, contact named; founder review: other.</t>
  </si>
  <si>
    <t xml:space="preserve">Runner-up in Naturally New York's 2026 Next Fairway Find; Fairway extended its service prize package to the brand</t>
  </si>
  <si>
    <t xml:space="preserve">https://events.specialtyfood.com/event/2026-summer-fancy-food-show/exhibitor/RXhoaWJpdG9yXzI0NTEzMTc=</t>
  </si>
  <si>
    <t xml:space="preserve">find Keya Wingfield at Keya's Snacks on LinkedIn and paste the profile URL; founder review (other): read founder_review_reason first</t>
  </si>
  <si>
    <t xml:space="preserve">Bombay Spice kettle potato chips, 1.5 oz bag</t>
  </si>
  <si>
    <t xml:space="preserve">unknown (Daksh Foods Inc.)</t>
  </si>
  <si>
    <t xml:space="preserve">https://keyassnacks.com/shop</t>
  </si>
  <si>
    <t xml:space="preserve">HQ is outside the Northeast (SFFS lists Virginia). Fairway placement is a prize, not a confirmed shelf</t>
  </si>
  <si>
    <t xml:space="preserve">https://keyassnacks.com</t>
  </si>
  <si>
    <t xml:space="preserve">FAQ: 'How long do the chips last? 6 months.' Sealed 1.5 oz and 6 oz bags</t>
  </si>
  <si>
    <t xml:space="preserve">No sales figure. Startup CPG (2026-07-21) says 'In 1,800 doors nationwide'; distribution KeHE, UNFI, Rainforest, DSD, Faire, Airgoods</t>
  </si>
  <si>
    <t xml:space="preserve">1,800 doors nationwide; Fairway Market prize package as runner-up of Naturally NY's Next Fairway Find (2026)</t>
  </si>
  <si>
    <t xml:space="preserve">Keya Wingfield</t>
  </si>
  <si>
    <t xml:space="preserve">https://www.instagram.com/keyaandco/</t>
  </si>
  <si>
    <t xml:space="preserve">BR5:20</t>
  </si>
  <si>
    <t xml:space="preserve">SFFS 2026 exhibitor as Daksh Foods Inc. (State: Virginia); also in the Startup CPG SFFS 2026 pavilion and the Newtopia Now 2026 Startup CPG section; 2025 Shelfie winner (Bombay Spice). FAQ: first sold in 2021; kosher, vegan, gluten-free.</t>
  </si>
  <si>
    <t xml:space="preserve">AB-170</t>
  </si>
  <si>
    <t xml:space="preserve">Little Green Cyclo</t>
  </si>
  <si>
    <t xml:space="preserve">Monica</t>
  </si>
  <si>
    <t xml:space="preserve">Wong</t>
  </si>
  <si>
    <t xml:space="preserve">Brand based outside the Northeast, no graded store within ten blocks, online store only, news 79 days ago, revenue unknown, contact named; founder review: other.</t>
  </si>
  <si>
    <t xml:space="preserve">2026 Startup CPG Shelfie Award finalist, Coffee category (Passion Fruit Sparkling Vietnamese Coffee)</t>
  </si>
  <si>
    <t xml:space="preserve">https://coffeelgc.com/pages/founder-story</t>
  </si>
  <si>
    <t xml:space="preserve">find Monica Wong at Little Green Cyclo on LinkedIn and paste the profile URL; founder review (other): read founder_review_reason first</t>
  </si>
  <si>
    <t xml:space="preserve">Little Green Cyclo ca phe sua da RTD Vietnamese coffee, 7.5 fl oz can</t>
  </si>
  <si>
    <t xml:space="preserve">San Francisco Bay Area</t>
  </si>
  <si>
    <t xml:space="preserve">https://coffeelgc.com</t>
  </si>
  <si>
    <t xml:space="preserve">California brand with no NYC retail found; buy path is online only (discount code route)</t>
  </si>
  <si>
    <t xml:space="preserve">Product copy: '7.5 fl oz (222 ml) 12 cans per case Shelf stable product' (coffeelgc.com/products.json, read 2026-10-23)</t>
  </si>
  <si>
    <t xml:space="preserve">unknown (Stockist returned no NYC-area points)</t>
  </si>
  <si>
    <t xml:space="preserve">https://stockist.co/api/v1/u6870/locations/search?latitude=40.7400&amp;longitude=-73.9900&amp;distance=3</t>
  </si>
  <si>
    <t xml:space="preserve">Monica Wong</t>
  </si>
  <si>
    <t xml:space="preserve">BR3:44</t>
  </si>
  <si>
    <t xml:space="preserve">Founder story: founded in the San Francisco Bay Area in 2010; women- and AAPI-owned. Complete Set listed 2025-10-15.</t>
  </si>
  <si>
    <t xml:space="preserve">AB-009</t>
  </si>
  <si>
    <t xml:space="preserve">Sfizi</t>
  </si>
  <si>
    <t xml:space="preserve">Joe</t>
  </si>
  <si>
    <t xml:space="preserve">Fiorenzo</t>
  </si>
  <si>
    <t xml:space="preserve">Brand based outside the Northeast, no graded store within ten blocks, online store only, news 37 days ago, revenue unknown, contact named.</t>
  </si>
  <si>
    <t xml:space="preserve">Launched fourth flavor, Spicy Taralli</t>
  </si>
  <si>
    <t xml:space="preserve">https://www.snackandbakery.com/articles/116338-sfizi-gets-fiery-with-fourth-flavor-addition-to-its-snack-lineup</t>
  </si>
  <si>
    <t xml:space="preserve">https://eatsfizi.com/pages/about</t>
  </si>
  <si>
    <t xml:space="preserve">find Joe Fiorenzo at Sfizi on LinkedIn and paste the profile URL</t>
  </si>
  <si>
    <t xml:space="preserve">Sfizi Classic Taralli ($9 bag); new Spicy Taralli</t>
  </si>
  <si>
    <t xml:space="preserve">Davidson</t>
  </si>
  <si>
    <t xml:space="preserve">https://eatsfizi.com</t>
  </si>
  <si>
    <t xml:space="preserve">Baked Italian taralli crackers sold ambient</t>
  </si>
  <si>
    <t xml:space="preserve">https://popupgrocer.com/pages/directory (availability 'NYC Flagship', 2026-10-23); https://popupgrocer.com/products/sfizi</t>
  </si>
  <si>
    <t xml:space="preserve">Joe Fiorenzo</t>
  </si>
  <si>
    <t xml:space="preserve">Sheela Prakash</t>
  </si>
  <si>
    <t xml:space="preserve">Sheela</t>
  </si>
  <si>
    <t xml:space="preserve">Prakash</t>
  </si>
  <si>
    <t xml:space="preserve">https://instagram.com/eatsfizi</t>
  </si>
  <si>
    <t xml:space="preserve">BR1:10</t>
  </si>
  <si>
    <t xml:space="preserve">Taralli made by the Campanella brothers in Puglia (trade press). Business city from brand privacy policy (Sfizi LLC, Davidson NC). Sheela Prakash is a cookbook author and food writer (brand about page).</t>
  </si>
  <si>
    <t xml:space="preserve">startup_cpg_member &lt;- https://startupcpg.com/startup-cpg-shelfie-finalists-2026/ (2026-10-24, opened); startup_cpg_evidence_url &lt;- https://startupcpg.com/startup-cpg-shelfie-finalists-2026/ (2026-10-24, opened); </t>
  </si>
  <si>
    <t xml:space="preserve">AB-015</t>
  </si>
  <si>
    <t xml:space="preserve">Beefy's Own</t>
  </si>
  <si>
    <t xml:space="preserve">Ethan</t>
  </si>
  <si>
    <t xml:space="preserve">Bender</t>
  </si>
  <si>
    <t xml:space="preserve">Northeast brand (HQ unverified), no graded store within ten blocks, online store only, a new store listing 37 days ago, revenue unknown, contact named.</t>
  </si>
  <si>
    <t xml:space="preserve">Distributor-pack SKU added to brand store; family brand expanded to a dedicated production facility (2023)</t>
  </si>
  <si>
    <t xml:space="preserve">https://beefysown.com/products/beef-tallow-potato-chips-copy</t>
  </si>
  <si>
    <t xml:space="preserve">https://beefysown.com/pages/our-story</t>
  </si>
  <si>
    <t xml:space="preserve">find Ethan Bender at Beefy's Own on LinkedIn and paste the profile URL</t>
  </si>
  <si>
    <t xml:space="preserve">https://beefysown.com/</t>
  </si>
  <si>
    <t xml:space="preserve">Beefy's Own Beef Tallow Potato Chips, Sea Salt (single bag)</t>
  </si>
  <si>
    <t xml:space="preserve">Derry (returns address; unverified as HQ)</t>
  </si>
  <si>
    <t xml:space="preserve">https://beefysown.com/products/beef-tallow-potato-chips</t>
  </si>
  <si>
    <t xml:space="preserve">https://beefysown.com</t>
  </si>
  <si>
    <t xml:space="preserve">NH</t>
  </si>
  <si>
    <t xml:space="preserve">Product page (Beef Tallow Potato Chips, 5 oz): 'Six Month Shelf Life'.</t>
  </si>
  <si>
    <t xml:space="preserve">PopUp Grocer (NYC); distributor listing on brand store</t>
  </si>
  <si>
    <t xml:space="preserve">https://popupgrocer.com/pages/directory (availability 'NYC Flagship', 2026-10-23); https://popupgrocer.com/products/beefys-own</t>
  </si>
  <si>
    <t xml:space="preserve">Ethan Bender</t>
  </si>
  <si>
    <t xml:space="preserve">https://instagram.com/beefysown</t>
  </si>
  <si>
    <t xml:space="preserve">BR1:16</t>
  </si>
  <si>
    <t xml:space="preserve">Northeast (New Hampshire) family-run brand, est. 2022. why_now is weak (new distro SKU, Shopify published_at).</t>
  </si>
  <si>
    <t xml:space="preserve">shelf_stable_basis &lt;- https://beefysown.com/products/beef-tallow-potato-chips (2026-10-24, opened); </t>
  </si>
  <si>
    <t xml:space="preserve">AB-127</t>
  </si>
  <si>
    <t xml:space="preserve">Li-Lac Chocolates</t>
  </si>
  <si>
    <t xml:space="preserve">George</t>
  </si>
  <si>
    <t xml:space="preserve">Demetrious</t>
  </si>
  <si>
    <t xml:space="preserve">New York City brand, no graded store within ten blocks, online store only, a new store listing 2 days ago, revenue unknown, contact named; founder review: not-emerging.</t>
  </si>
  <si>
    <t xml:space="preserve">Holiday 2026 advent calendars and Halloween items added to brand store, Oct 2026</t>
  </si>
  <si>
    <t xml:space="preserve">https://www.li-lacchocolates.com/</t>
  </si>
  <si>
    <t xml:space="preserve">https://www.li-lacchocolates.com/pages/about-us</t>
  </si>
  <si>
    <t xml:space="preserve">find George Demetrious at Li-Lac Chocolates on LinkedIn and paste the profile URL; founder review (not-emerging): read founder_review_reason first</t>
  </si>
  <si>
    <t xml:space="preserve">3 oz Chocolate Bar with custom wrapper (200-bar minimum, business gifts); Chocolate Pumpkin Discs</t>
  </si>
  <si>
    <t xml:space="preserve">New York (founded at 120 Christopher St, 1923)</t>
  </si>
  <si>
    <t xml:space="preserve">https://www.li-lacchocolates.com</t>
  </si>
  <si>
    <t xml:space="preserve">Heritage chocolatier (since 1923), gift-focused, not an emerging CPG brand; has a custom business-bar program that may compete with or complement office drops; 60-day shelf life not stated</t>
  </si>
  <si>
    <t xml:space="preserve">Brand FAQ: solid milk and dark chocolate stay fresh for about nine months, solid white chocolate about 6 months; filled confections are guaranteed fresh for at least 21 days.</t>
  </si>
  <si>
    <t xml:space="preserve">Own shops (contact page 'Store Hours &amp; Locations'; addresses not captured)</t>
  </si>
  <si>
    <t xml:space="preserve">https://www.li-lacchocolates.com/pages/contact-us</t>
  </si>
  <si>
    <t xml:space="preserve">George Demetrious</t>
  </si>
  <si>
    <t xml:space="preserve">https://www.instagram.com/lilacchocolates/</t>
  </si>
  <si>
    <t xml:space="preserve">BR2:65</t>
  </si>
  <si>
    <t xml:space="preserve">'New York's oldest chocolate house'. Current owners not identified. Why-now from Shopify publish dates.</t>
  </si>
  <si>
    <t xml:space="preserve">shelf_stable_basis &lt;- https://www.li-lacchocolates.com/pages/frequently-asked-questions (2026-10-24, opened); </t>
  </si>
  <si>
    <t xml:space="preserve">AB-026</t>
  </si>
  <si>
    <t xml:space="preserve">Righteous Felon</t>
  </si>
  <si>
    <t xml:space="preserve">Brendan</t>
  </si>
  <si>
    <t xml:space="preserve">Cawley</t>
  </si>
  <si>
    <t xml:space="preserve">Founder &amp; CEO</t>
  </si>
  <si>
    <t xml:space="preserve">Northeast brand, no graded store within ten blocks, online store only, a new store listing 80 days ago, revenue unknown, contact named.</t>
  </si>
  <si>
    <t xml:space="preserve">New 18- and 30-count variety meat stick packs published on brand store</t>
  </si>
  <si>
    <t xml:space="preserve">https://www.righteousfelon.com/products/savoury-variety-sticks-30pack</t>
  </si>
  <si>
    <t xml:space="preserve">https://www.righteousfelon.com/pages/about</t>
  </si>
  <si>
    <t xml:space="preserve">find Brendan Cawley at Righteous Felon on LinkedIn and paste the profile URL</t>
  </si>
  <si>
    <t xml:space="preserve">https://startupcpg.com/startup-cpg-newswire-righteous-felon-craft-jerky-hits-the-gas-on-the-getaway-car-expands-retail-presence-dominates-holiday-gifting-season/</t>
  </si>
  <si>
    <t xml:space="preserve">Righteous Felon O.G. Hickory Beef Stick (9-pack); Lil' Rebels mini sticks</t>
  </si>
  <si>
    <t xml:space="preserve">West Chester</t>
  </si>
  <si>
    <t xml:space="preserve">https://www.righteousfelon.com</t>
  </si>
  <si>
    <t xml:space="preserve">Brand FAQ: 'Shelf Life from time of production: Jerky = 18 months, Biltong = 9 months, Sticks = 12 months.' Refrigerate after opening.</t>
  </si>
  <si>
    <t xml:space="preserve">Find a Dealer locator on brand site (not readable without JavaScript); Amazon (Buy with Prime)</t>
  </si>
  <si>
    <t xml:space="preserve">https://www.wholefoodsmarket.com/search?text=righteous%20felon (no results in cluster stores, 2026-10-23)</t>
  </si>
  <si>
    <t xml:space="preserve">Brendan Cawley</t>
  </si>
  <si>
    <t xml:space="preserve">BR1:27</t>
  </si>
  <si>
    <t xml:space="preserve">Craft jerky and meat sticks; site has an 18+ age gate. Also runs a wholesale/delivery program for luxury operators (rtzn-wholesale page). why_now is Shopify published_at.</t>
  </si>
  <si>
    <t xml:space="preserve">hq_city &lt;- https://startupcpg.com/startup-cpg-newswire-righteous-felon-craft-jerky-hits-the-gas-on-the-getaway-car-expands-retail-presence-dominates-holiday-gifting-season/ (2026-10-24, opened); founder_name &lt;- https://startupcpg.com/startup-cpg-newswire-righteous-felon-craft-jerky-hits-the-gas-on-the-getaway-car-expands-retail-presence-dominates-holiday-gifting-season/ (2026-10-24, opened); founder_title &lt;- https://startupcpg.com/startup-cpg-newswire-righteous-felon-craft-jerky-hits-the-gas-on-the-getaway-car-expands-retail-presence-dominates-holiday-gifting-season/ (2026-10-24, opened); founder_profile_url &lt;- https://startupcpg.com/startup-cpg-newswire-righteous-felon-craft-jerky-hits-the-gas-on-the-getaway-car-expands-retail-presence-dominates-holiday-gifting-season/ (2026-10-24, opened); startup_cpg_member &lt;- https://startupcpg.com/startup-cpg-newswire-righteous-felon-craft-jerky-hits-the-gas-on-the-getaway-car-expands-retail-presence-dominates-holiday-gifting-season/ (2026-10-24, opened); startup_cpg_evidence_url &lt;- https://startupcpg.com/startup-cpg-newswire-righteous-felon-craft-jerky-hits-the-gas-on-the-getaway-car-expands-retail-presence-dominates-holiday-gifting-season/ (2026-10-24, opened); shelf_stable_basis &lt;- https://www.righteousfelon.com/pages/faq (2026-10-24, opened); </t>
  </si>
  <si>
    <t xml:space="preserve">AB-187</t>
  </si>
  <si>
    <t xml:space="preserve">Tranquila Coffee Company</t>
  </si>
  <si>
    <t xml:space="preserve">New York City brand, no graded store within ten blocks, online store only, a new store listing 211 days ago, revenue unknown, contact seen only in a snippet; founder review: other.</t>
  </si>
  <si>
    <t xml:space="preserve">Launched Oat Milk Latte and Classic Latte on its store</t>
  </si>
  <si>
    <t xml:space="preserve">https://tranquilacoffee.com/products.json</t>
  </si>
  <si>
    <t xml:space="preserve">https://tranquilacoffee.com</t>
  </si>
  <si>
    <t xml:space="preserve">Tranquila canned decaf Oat Milk Latte / Classic Latte</t>
  </si>
  <si>
    <t xml:space="preserve">Very early brand (two SKUs), no founder, HQ or current retailer found; 60-day shelf life not stated</t>
  </si>
  <si>
    <t xml:space="preserve">https://popupgrocer.com/products/tranquila-coffee-company</t>
  </si>
  <si>
    <t xml:space="preserve">Eric Gonzalez</t>
  </si>
  <si>
    <t xml:space="preserve">unverified, founder to confirm</t>
  </si>
  <si>
    <t xml:space="preserve">https://instagram.com/tranquilacoffee</t>
  </si>
  <si>
    <t xml:space="preserve">BR3:61</t>
  </si>
  <si>
    <t xml:space="preserve">Decaf RTD is an office-friendly angle (afternoon). Date is Shopify publish date.</t>
  </si>
  <si>
    <t xml:space="preserve">hq_city &lt;- https://tranquilacoffee.com/policies/privacy-policy (2026-10-24, opened); hq_state &lt;- https://tranquilacoffee.com/policies/privacy-policy (2026-10-24, opened); founder_name &lt;- https://urnow.richmond.edu/features/article/-/27533/cool-beans-how-two-spiders-brewed-their-way-into-coffee-entrepreneurship.html (2026-10-24, snippet-unverified); founder_title &lt;- https://urnow.richmond.edu/features/article/-/27533/cool-beans-how-two-spiders-brewed-their-way-into-coffee-entrepreneurship.html (2026-10-24, snippet-unverified); </t>
  </si>
  <si>
    <t xml:space="preserve">AB-234</t>
  </si>
  <si>
    <t xml:space="preserve">Kim's Magic Pop</t>
  </si>
  <si>
    <t xml:space="preserve">Northeast brand, store page shows Whole Foods Market NoMad inside the cluster, a new store listing 255 days ago, revenue unknown, no contact named; founder review: not-emerging.</t>
  </si>
  <si>
    <t xml:space="preserve">Launched Kim's Protein Mini Pop (Dark Chocolate and Salted Caramel drizzled popped cakes, 8 g plant protein, 4 oz bags) on its store</t>
  </si>
  <si>
    <t xml:space="preserve">https://kimsmagicpop.com/products.json?limit=250</t>
  </si>
  <si>
    <t xml:space="preserve">https://kimsmagicpop.com/pages/about-us</t>
  </si>
  <si>
    <t xml:space="preserve">no person named on an opened page: not ready; before using the retailer line, check Whole Foods Market NoMad still lists it: https://www.wholefoodsmarket.com/search?text=Kim%27s%20Magic%20Pop with your store set to NoMad (catalogs change daily); founder review (not-emerging): read founder_review_reason first</t>
  </si>
  <si>
    <t xml:space="preserve">Popped Lentil Snack 2.9 oz; Mini Pop and Protein Mini Pop (air-popped grain sheets)</t>
  </si>
  <si>
    <t xml:space="preserve">Palisades Park, NJ (privacy policy: DELICE GLOBAL, Inc., 150 Roosevelt Place, Palisades Park, NJ 07650)</t>
  </si>
  <si>
    <t xml:space="preserve">https://kimsmagicpop.com</t>
  </si>
  <si>
    <t xml:space="preserve">Founded 1998 with large-scale retail and private-label business; may be an established manufacturer rather than an emerging brand</t>
  </si>
  <si>
    <t xml:space="preserve">Air-popped dry grain snack sold ambient; no shelf-life figure published, founder to confirm</t>
  </si>
  <si>
    <t xml:space="preserve">Whole Foods Market (WFM catalog); 'large-scale retail distribution' and private label (about page)</t>
  </si>
  <si>
    <t xml:space="preserve">https://www.wholefoodsmarket.com/api/search?text=kim%27s%20magic%20pop&amp;store=10773&amp;limit=60&amp;offset=0; https://www.wholefoodsmarket.com/api/search?text=kim%27s%20magic%20pop&amp;store=10162&amp;limit=60&amp;offset=0; https://www.wholefoodsmarket.com/api/search?text=kim%27s%20magic%20pop&amp;store=10131&amp;limit=60&amp;offset=0; https://www.wholefoodsmarket.com/api/search?text=kim%27s%20magic%20pop&amp;store=10713&amp;limit=60&amp;offset=0</t>
  </si>
  <si>
    <t xml:space="preserve">BR4:29</t>
  </si>
  <si>
    <t xml:space="preserve">Homepage banner: Halloween code BOO15 (shows the brand issues discount codes). WFM flags Local at Union Square and NoMad (2026-10-23).</t>
  </si>
  <si>
    <t xml:space="preserve">why_now &lt;- https://kimsmagicpop.com/products.json?limit=250 (2026-10-24, opened); why_now_url &lt;- https://kimsmagicpop.com/products.json?limit=250 (2026-10-24, opened); why_now_date &lt;- https://kimsmagicpop.com/products.json?limit=250 (2026-10-24, opened); hq_city &lt;- https://kimsmagicpop.com/policies/privacy-policy (2026-10-24, opened); </t>
  </si>
  <si>
    <t xml:space="preserve">AB-246</t>
  </si>
  <si>
    <t xml:space="preserve">Chris's Cookies</t>
  </si>
  <si>
    <t xml:space="preserve">Northeast brand, store page shows Whole Foods Market NoMad inside the cluster, no dated why-now in the last 12 months, revenue unknown, contact seen only in a snippet; founder review: other.</t>
  </si>
  <si>
    <t xml:space="preserve">https://www.chriscookies.com/</t>
  </si>
  <si>
    <t xml:space="preserve">no person named on an opened page: not ready; before using the retailer line, check Whole Foods Market NoMad still lists it: https://www.wholefoodsmarket.com/search?text=Chris%27s%20Cookies with your store set to NoMad (catalogs change daily); founder review (other): read founder_review_reason first</t>
  </si>
  <si>
    <t xml:space="preserve">Almond Horn Cookies 6 oz; Dark Chocolate Dipped Almond Horn</t>
  </si>
  <si>
    <t xml:space="preserve">Teterboro</t>
  </si>
  <si>
    <t xml:space="preserve">Bakery-style cookies: shelf life and individual wrapping unconfirmed; 60-day shelf life not stated; no online store: buy path is the store only</t>
  </si>
  <si>
    <t xml:space="preserve">https://www.chriscookies.com</t>
  </si>
  <si>
    <t xml:space="preserve">Homepage gives no shelf life or storage; founder to confirm</t>
  </si>
  <si>
    <t xml:space="preserve">Whole Foods Market (WFM catalog, flagged Local)</t>
  </si>
  <si>
    <t xml:space="preserve">https://www.wholefoodsmarket.com/api/search?text=chris%27s%20cookies&amp;store=10773&amp;limit=60&amp;offset=0; https://www.wholefoodsmarket.com/api/search?text=chris%27s%20cookies&amp;store=10713&amp;limit=60&amp;offset=0</t>
  </si>
  <si>
    <t xml:space="preserve">Christian Gargiulo</t>
  </si>
  <si>
    <t xml:space="preserve">BR4:41</t>
  </si>
  <si>
    <t xml:space="preserve">Homepage address: 100 Hollister Road, Teterboro NJ 07608; 'indulgent all natural cookies, brownies, bars'. WFM NoMad listing from sweep 2026-10-23 (query 'cookies').</t>
  </si>
  <si>
    <t xml:space="preserve">founder_name &lt;- https://www.bakingbusiness.com/articles/31276-savelli-named-interim-c-e-o-of-chris-s-cookies (2026-10-24, snippet-unverified); founder_title &lt;- https://www.bakingbusiness.com/articles/31276-savelli-named-interim-c-e-o-of-chris-s-cookies (2026-10-24, snippet-unverified); </t>
  </si>
  <si>
    <t xml:space="preserve">AB-057</t>
  </si>
  <si>
    <t xml:space="preserve">Every Body Eat</t>
  </si>
  <si>
    <t xml:space="preserve">Trish</t>
  </si>
  <si>
    <t xml:space="preserve">Brand based outside the Northeast, store page shows Whole Foods Market NoMad inside the cluster, no dated why-now in the last 12 months, revenue unknown, contact named; founder review: other.</t>
  </si>
  <si>
    <t xml:space="preserve">https://www.wholefoodsmarket.com/search?text=every%20body%20eat</t>
  </si>
  <si>
    <t xml:space="preserve">find Trish Thomas at Every Body Eat on LinkedIn and paste the profile URL; before using the retailer line, check Whole Foods Market NoMad still lists it: https://www.wholefoodsmarket.com/search?text=Every%20Body%20Eat with your store set to NoMad (catalogs change daily); founder review (other): read founder_review_reason first</t>
  </si>
  <si>
    <t xml:space="preserve">https://everybodyeating.com/</t>
  </si>
  <si>
    <t xml:space="preserve">Every Body Eat Snack Cracker Thins, Cheese-Less, 4 oz</t>
  </si>
  <si>
    <t xml:space="preserve">Evanston</t>
  </si>
  <si>
    <t xml:space="preserve">Brand site unreachable; identity fields need a second pass; allergen-free positioning may suit shared pantries; no online store: buy path is the store only</t>
  </si>
  <si>
    <t xml:space="preserve">https://everybodyeating.com</t>
  </si>
  <si>
    <t xml:space="preserve">Boxed cracker thins, ambient</t>
  </si>
  <si>
    <t xml:space="preserve">https://www.wholefoodsmarket.com/search?text=every%20body%20eat (Union Square and NoMad contexts: Snack Cracker Thins IN_STOCK 2026-10-23)</t>
  </si>
  <si>
    <t xml:space="preserve">Trish Thomas</t>
  </si>
  <si>
    <t xml:space="preserve">Nichole Wilson</t>
  </si>
  <si>
    <t xml:space="preserve">Nichole</t>
  </si>
  <si>
    <t xml:space="preserve">Wilson</t>
  </si>
  <si>
    <t xml:space="preserve">BR1:58</t>
  </si>
  <si>
    <t xml:space="preserve">Also sells crunchy cookie bites (cookies slice).</t>
  </si>
  <si>
    <t xml:space="preserve">website &lt;- https://everybodyeating.com/ (2026-10-24, opened); hq_city &lt;- https://everybodyeating.com/pages/contact (2026-10-24, opened); hq_state &lt;- https://everybodyeating.com/pages/contact (2026-10-24, opened); founder_name &lt;- https://everybodyeating.com/ (2026-10-24, opened); founder_title &lt;- https://everybodyeating.com/ (2026-10-24, opened); </t>
  </si>
  <si>
    <t xml:space="preserve">AB-059</t>
  </si>
  <si>
    <t xml:space="preserve">Louisville Vegan Jerky Co.</t>
  </si>
  <si>
    <t xml:space="preserve">Brand based outside the Northeast, store page shows Whole Foods Market NoMad inside the cluster, no dated why-now in the last 12 months, revenue unknown, contact seen only in a snippet; founder review: other.</t>
  </si>
  <si>
    <t xml:space="preserve">https://www.wholefoodsmarket.com/search?text=louisville%20vegan%20jerky</t>
  </si>
  <si>
    <t xml:space="preserve">no person named on an opened page: not ready; before using the retailer line, check Whole Foods Market NoMad still lists it: https://www.wholefoodsmarket.com/search?text=Louisville%20Vegan%20Jerky%20Co. with your store set to NoMad (catalogs change daily); founder review (other): read founder_review_reason first</t>
  </si>
  <si>
    <t xml:space="preserve">Louisville Jerky Co. Maple Bacon Vegan Jerky, 3 oz</t>
  </si>
  <si>
    <t xml:space="preserve">Louisville</t>
  </si>
  <si>
    <t xml:space="preserve">Plant-based jerky; brand site not found (louisvillejerky.com redirects to an unrelated store); no online store: buy path is the store only</t>
  </si>
  <si>
    <t xml:space="preserve">https://www.lvjco.com</t>
  </si>
  <si>
    <t xml:space="preserve">KY</t>
  </si>
  <si>
    <t xml:space="preserve">https://www.wholefoodsmarket.com/search?text=louisville%20vegan%20jerky (Union Square and NoMad contexts IN_STOCK 2026-10-23)</t>
  </si>
  <si>
    <t xml:space="preserve">Stanley Chase III</t>
  </si>
  <si>
    <t xml:space="preserve">search snippets; unverified, founder to confirm</t>
  </si>
  <si>
    <t xml:space="preserve">BR1:60</t>
  </si>
  <si>
    <t xml:space="preserve">Shelf presence confirmed; identity fields need a second pass.</t>
  </si>
  <si>
    <t xml:space="preserve">website &lt;- https://www.lvjco.com/ (2026-10-24, opened); hq_city &lt;- https://www.lvjco.com/policies/terms-of-service (2026-10-24, opened); hq_state &lt;- https://www.lvjco.com/policies/terms-of-service (2026-10-24, opened); founder_name &lt;- https://www.cbinsights.com/company/louisville-vegan-jerky-co/people (2026-10-24, snippet-unverified); </t>
  </si>
  <si>
    <t xml:space="preserve">AB-290</t>
  </si>
  <si>
    <t xml:space="preserve">Big Picture Farm</t>
  </si>
  <si>
    <t xml:space="preserve">Northeast brand, no graded store within ten blocks, online store only, news 5 days ago, revenue unknown, no contact named; founder review: other.</t>
  </si>
  <si>
    <t xml:space="preserve">Golden Milk Caramels named a 2027 sofi Award finalist (Sweet Snacks)</t>
  </si>
  <si>
    <t xml:space="preserve">Goat's milk caramels; Chai Pocket Pack</t>
  </si>
  <si>
    <t xml:space="preserve">unknown (Vermont farmstead)</t>
  </si>
  <si>
    <t xml:space="preserve">https://bigpicturefarm.com</t>
  </si>
  <si>
    <t xml:space="preserve">Gift-oriented line; per-unit price and pocket-pack size need checking for a 50-unit drop. Founders not named on the pages opened</t>
  </si>
  <si>
    <t xml:space="preserve">Wrapped caramels sold ambient online and in specialty stores; shelf life not stated</t>
  </si>
  <si>
    <t xml:space="preserve">https://instagram.com/bigpicturefarm</t>
  </si>
  <si>
    <t xml:space="preserve">BR5:26</t>
  </si>
  <si>
    <t xml:space="preserve">Meta: 'Vermont farmstead goat dairy and confectionery whose award-winning caramels have won over a dozen national awards'. Chai Pocket Pack published 2026-08-27 (products.json). A Startup CPG search hit (2026 Shelfie winners) did not show the brand name in the text I checked, so startup_cpg_member stays unknown.</t>
  </si>
  <si>
    <t xml:space="preserve">AB-223</t>
  </si>
  <si>
    <t xml:space="preserve">The Purple Drop</t>
  </si>
  <si>
    <t xml:space="preserve">https://www.linkedin.com/in/maria-vepa/</t>
  </si>
  <si>
    <t xml:space="preserve">Northeast brand, no graded store within ten blocks, online store only, news 61 days ago, revenue unknown, contact seen only in a snippet; founder review: under-floor, claim-borderline.</t>
  </si>
  <si>
    <t xml:space="preserve">Won a 2026 Startup CPG Shelfie Award (Beverage category, announced 2026-08-24) weeks after launching ready-to-drink chicha morada in shelf-stable cans</t>
  </si>
  <si>
    <t xml:space="preserve">https://startupcpg.com/startup-cpg-newswire-the-purple-drop-launches-ready-to-drink-chicha-morada-inspired-by-peruvian-tradition/</t>
  </si>
  <si>
    <t xml:space="preserve">no person named on an opened page: not ready; founder review (under-floor, claim-borderline): read founder_review_reason first</t>
  </si>
  <si>
    <t xml:space="preserve">Chicha morada RTD (purple corn, pineapple, lime, spices), 8.4 oz can</t>
  </si>
  <si>
    <t xml:space="preserve">Danbury</t>
  </si>
  <si>
    <t xml:space="preserve">https://thepurpledrop.com</t>
  </si>
  <si>
    <t xml:space="preserve">First-year brand, may be under the $500k floor (no sales figure); homepage mentions anthocyanins and 'nourishing' (no explicit claim seen)</t>
  </si>
  <si>
    <t xml:space="preserve">family-owned (release)</t>
  </si>
  <si>
    <t xml:space="preserve">Brand wholesale page: '12 months Shelf-stable. No fridge required (but cold is better)'; also release: 'shelf-stable can'</t>
  </si>
  <si>
    <t xml:space="preserve">No sales figure published. Launched 2026 (Startup CPG 2026-07-23): early stage, band founder to confirm</t>
  </si>
  <si>
    <t xml:space="preserve">Specialty retail and cafe locations (release, unnamed)</t>
  </si>
  <si>
    <t xml:space="preserve">Maria Velasquez</t>
  </si>
  <si>
    <t xml:space="preserve">listed on a page the researcher opened; LinkedIn not opened</t>
  </si>
  <si>
    <t xml:space="preserve">BR4:18</t>
  </si>
  <si>
    <t xml:space="preserve">Also a BevNET Live NYC 2026 New Beverage Showdown semifinalist ('Purple Drop', search-result snippet, not opened). Northeast brand with no NYC retailer found.</t>
  </si>
  <si>
    <t xml:space="preserve">why_now &lt;- https://startupcpg.com/startup-cpg-shelfie-winners-2026/ (2026-10-24, opened); why_now_url &lt;- https://startupcpg.com/startup-cpg-shelfie-winners-2026/ (2026-10-24, opened); why_now_date &lt;- https://startupcpg.com/startup-cpg-shelfie-winners-2026/ (2026-10-24, opened); shelf_stable_basis &lt;- https://thepurpledrop.com/pages/wholesale (2026-10-24, opened); founder_profile_url &lt;- https://startupcpg.transistor.fm/episodes/founder-feature-maria-of-the-purple-drop (2026-10-24, opened); </t>
  </si>
  <si>
    <t xml:space="preserve">AB-074</t>
  </si>
  <si>
    <t xml:space="preserve">Fat Witch Bakery</t>
  </si>
  <si>
    <t xml:space="preserve">New York City brand, no graded store within ten blocks, online store only, a new store listing 45 days ago, revenue unknown, no contact named; founder review: other.</t>
  </si>
  <si>
    <t xml:space="preserve">Fall 2026 limited Pumpkin Witch and Halloween boxes added to brand store</t>
  </si>
  <si>
    <t xml:space="preserve">https://www.fatwitch.com/</t>
  </si>
  <si>
    <t xml:space="preserve">https://www.fatwitch.com/pages/about-us</t>
  </si>
  <si>
    <t xml:space="preserve">Fat Witch Baby brownie (individual brownies, gift boxes)</t>
  </si>
  <si>
    <t xml:space="preserve">New York (Chelsea Market origin)</t>
  </si>
  <si>
    <t xml:space="preserve">https://www.fatwitch.com</t>
  </si>
  <si>
    <t xml:space="preserve">Shelf life unknown for a fresh bakery brownie; confirm 60+ days before outreach; 60-day shelf life not stated</t>
  </si>
  <si>
    <t xml:space="preserve">No shelf-life statement found on brand site (FAQ pages 404); fresh-baked brownies may not reach 60 days</t>
  </si>
  <si>
    <t xml:space="preserve">https://www.wholefoodsmarket.com/api/search?text=fat%20witch&amp;store=10162&amp;limit=60&amp;offset=0</t>
  </si>
  <si>
    <t xml:space="preserve">https://www.instagram.com/fatwitchbakery/</t>
  </si>
  <si>
    <t xml:space="preserve">BR2:11</t>
  </si>
  <si>
    <t xml:space="preserve">Baked in NYC since 1998 per brand site. Not in WFM cluster catalogs. Chelsea Market shop status not confirmed on 2026-10-23. Why-now date from Shopify publish dates.</t>
  </si>
  <si>
    <t xml:space="preserve">AB-277</t>
  </si>
  <si>
    <t xml:space="preserve">Morito Chocolates</t>
  </si>
  <si>
    <t xml:space="preserve">New York City brand, no graded store within ten blocks, online store only, a new store listing 20 days ago, revenue unknown, no contact named; founder review: under-floor, claim-borderline.</t>
  </si>
  <si>
    <t xml:space="preserve">Released a Morito x Hot Bread Kitchen holiday gift and a new Hazelnut Cinnamon flavor</t>
  </si>
  <si>
    <t xml:space="preserve">https://moritochocolates.com/products.json</t>
  </si>
  <si>
    <t xml:space="preserve">2026-10-04</t>
  </si>
  <si>
    <t xml:space="preserve">Salted Peanut Mini Cups; Hazelnut Cinnamon Dark Chocolate sticks</t>
  </si>
  <si>
    <t xml:space="preserve">https://moritochocolates.com</t>
  </si>
  <si>
    <t xml:space="preserve">Meta description says 'low in sugar' (nutrient-content claim). Very small Hot Bread Kitchen alumna; founder unnamed; chocolate may soften in summer delivery</t>
  </si>
  <si>
    <t xml:space="preserve">Vegan dark chocolate shipped nationwide; shelf life not stated</t>
  </si>
  <si>
    <t xml:space="preserve">http://instagram.com/moritochocolates</t>
  </si>
  <si>
    <t xml:space="preserve">BR5:13</t>
  </si>
  <si>
    <t xml:space="preserve">HBK Breadwinners Marketplace: 'Handmade in Brooklyn, Morito specializes in small-batch chocolate cups and sticks designed for gifting, specialty retail'. Cacao partner: Hacienda Jeanmarie, Puerto Rico (about page).</t>
  </si>
  <si>
    <t xml:space="preserve">AB-183</t>
  </si>
  <si>
    <t xml:space="preserve">Taply</t>
  </si>
  <si>
    <t xml:space="preserve">New York City brand, no graded store within ten blocks, online store only, a new store listing 26 days ago, revenue unknown, no contact named; founder review: claim-borderline.</t>
  </si>
  <si>
    <t xml:space="preserve">New Maple Water Sample Pack listed on store</t>
  </si>
  <si>
    <t xml:space="preserve">https://drinktaply.com/products.json</t>
  </si>
  <si>
    <t xml:space="preserve">https://drinktaply.com</t>
  </si>
  <si>
    <t xml:space="preserve">Taply lightly sparkling organic maple water (Lime, Razzberry), can</t>
  </si>
  <si>
    <t xml:space="preserve">'Electrolytes, Antioxidants &amp; Minerals' positioning (nutrient-content; check for claims); no current NYC retailer found | Health-claim scan 2026-10-24: a customer review on the homepage mentions 'electrolytes and prebiotics'; check the pack for functional wording; 60-day shelf life not stated</t>
  </si>
  <si>
    <t xml:space="preserve">https://popupgrocer.com/products/taply</t>
  </si>
  <si>
    <t xml:space="preserve">BR3:57</t>
  </si>
  <si>
    <t xml:space="preserve">Homepage: 'Tapped in NY &amp; VT', no sugar added, 35 calories. Regional (NY/VT) sourcing story.</t>
  </si>
  <si>
    <t xml:space="preserve">hq_city &lt;- https://drinktaply.com/policies/privacy-policy (2026-10-24, opened); hq_state &lt;- https://drinktaply.com/policies/privacy-policy (2026-10-24, opened); founder_review_reason &lt;- https://drinktaply.com (2026-10-24, stage 3 correction); </t>
  </si>
  <si>
    <t xml:space="preserve">AB-261</t>
  </si>
  <si>
    <t xml:space="preserve">Top Seedz</t>
  </si>
  <si>
    <t xml:space="preserve">Brady</t>
  </si>
  <si>
    <t xml:space="preserve">New York State brand, no graded store within ten blocks, online store only, a new store listing 2 days ago, revenue unknown, contact named; founder review: format, claim-borderline.</t>
  </si>
  <si>
    <t xml:space="preserve">Black Pepper &amp; Turmeric Crackers named 2027 sofi Gold Award finalist (Bread, Bakery &amp; Crackers)</t>
  </si>
  <si>
    <t xml:space="preserve">https://topseedz.com/blogs/recipes/2027-specialty-food-association-gold-award-finalist</t>
  </si>
  <si>
    <t xml:space="preserve">https://topseedz.com/</t>
  </si>
  <si>
    <t xml:space="preserve">find Rebecca Brady at Top Seedz on LinkedIn and paste the profile URL; founder review (format, claim-borderline): read founder_review_reason first</t>
  </si>
  <si>
    <t xml:space="preserve">Black Pepper &amp; Turmeric seed crackers; Organic Sea Salt Roasted Seeds 6 oz</t>
  </si>
  <si>
    <t xml:space="preserve">Buffalo (terms of service: Top Seedz LLC, 101 Oak Street, Suite 105, Buffalo, NY 14203)</t>
  </si>
  <si>
    <t xml:space="preserve">https://topseedz.com</t>
  </si>
  <si>
    <t xml:space="preserve">Homepage wording 'food made for you to feel good' (soft wellness language, no explicit claim); single-serve format not confirmed</t>
  </si>
  <si>
    <t xml:space="preserve">Dry seed crackers and roasted seeds sold ambient; no shelf-life figure published, founder to confirm</t>
  </si>
  <si>
    <t xml:space="preserve">Whole Foods Market Williamsburg, Brooklyn (WFM catalog, flagged Local); 'Find Us' locator; corporate gifting</t>
  </si>
  <si>
    <t xml:space="preserve">https://www.wholefoodsmarket.com/api/search?text=seeds&amp;store=10487&amp;limit=60&amp;offset=0&amp;featured=local</t>
  </si>
  <si>
    <t xml:space="preserve">Rebecca Brady</t>
  </si>
  <si>
    <t xml:space="preserve">BR4:56</t>
  </si>
  <si>
    <t xml:space="preserve">Made in Buffalo, NY through the Journey's End refugee workforce program; woman-owned (homepage). Has a Corporate Gifting page.</t>
  </si>
  <si>
    <t xml:space="preserve">hq_city &lt;- https://topseedz.com/policies/terms-of-service (2026-10-24, opened); </t>
  </si>
  <si>
    <t xml:space="preserve">AB-006</t>
  </si>
  <si>
    <t xml:space="preserve">Strip Jerky</t>
  </si>
  <si>
    <t xml:space="preserve">Schlesinger</t>
  </si>
  <si>
    <t xml:space="preserve">New York City brand, no graded store within ten blocks, online store only, no dated why-now in the last 12 months, revenue unknown, contact named; founder review: under-floor, claim-borderline.</t>
  </si>
  <si>
    <t xml:space="preserve">New Hot Honey Date flavor drop: more than 1,800 bags sold in pre-orders in the six weeks before it (Entrepreneur Q&amp;A); a Forbes 'Best Things We Ate, June 2026' mention could not be opened (HTTP 403), unverified, founder to confirm</t>
  </si>
  <si>
    <t xml:space="preserve">https://www.entrepreneur.com/building-a-business/at-age-25-shes-turning-the-business-that-started-in-her-apartment-into-over-200k-a-year</t>
  </si>
  <si>
    <t xml:space="preserve">2026-07-06</t>
  </si>
  <si>
    <t xml:space="preserve">https://stripjerky.com/pages/press</t>
  </si>
  <si>
    <t xml:space="preserve">find Nicole Schlesinger at Strip Jerky on LinkedIn and paste the profile URL; founder review (under-floor, claim-borderline): read founder_review_reason first</t>
  </si>
  <si>
    <t xml:space="preserve">Strip Jerky grass-fed beef jerky, Original and Hot Honey Date (single-serve bag, 24g protein per bag)</t>
  </si>
  <si>
    <t xml:space="preserve">https://stripjerky.com</t>
  </si>
  <si>
    <t xml:space="preserve">Launch-year brand (projected $200k+ revenue for 2026, likely below the $500k band); protein-forward nutrient-content claim (24g protein per bag)</t>
  </si>
  <si>
    <t xml:space="preserve">bootstrapped</t>
  </si>
  <si>
    <t xml:space="preserve">Packaged beef jerky sold ambient online and in PopUp Grocer 'Bites + Chews' aisle</t>
  </si>
  <si>
    <t xml:space="preserve">Not banded: Entrepreneur (2026-07-06) says projected more than $200,000 revenue in 2026 and "multi-six-figure"; could fall either side of $500k</t>
  </si>
  <si>
    <t xml:space="preserve">PopUp Grocer (NYC); store locator widget on brand site (stores not readable without JavaScript)</t>
  </si>
  <si>
    <t xml:space="preserve">https://popupgrocer.com/pages/directory (brand listed with availability 'NYC Flagship', 2026-10-23); https://popupgrocer.com/products/strip-jerky</t>
  </si>
  <si>
    <t xml:space="preserve">Nicole Schlesinger</t>
  </si>
  <si>
    <t xml:space="preserve">https://instagram.com/thestripjerky</t>
  </si>
  <si>
    <t xml:space="preserve">BR1:7</t>
  </si>
  <si>
    <t xml:space="preserve">Founder is a NYC-based ICE culinary school alum (Entrepreneur Q&amp;A). Startup CPG flag based on founder naming the Startup CPG community as a key resource in the Entrepreneur Q&amp;A, not a membership list. Forbes link taken from brand press page; Forbes page itself not opened. Business address on privacy policy is in Tribeca (not recorded here). | Stage 1 correction 2026-10-24: Spot check round 1: the Forbes URL returned 403, so the why-now is re-sourced to the opened Entrepreneur article (was: Featured in Forbes 'Best Things We Ate - June 2026'; new Hot Honey Date flavor drop (1,800+ pre-order bags per Entrepreneur))</t>
  </si>
  <si>
    <t xml:space="preserve">why_now &lt;- https://www.entrepreneur.com/building-a-business/at-age-25-shes-turning-the-business-that-started-in-her-apartment-into-over-200k-a-year (2026-10-24, stage 1 correction); why_now_url &lt;- https://www.entrepreneur.com/building-a-business/at-age-25-shes-turning-the-business-that-started-in-her-apartment-into-over-200k-a-year (2026-10-24, stage 1 correction); why_now_date &lt;- https://www.entrepreneur.com/building-a-business/at-age-25-shes-turning-the-business-that-started-in-her-apartment-into-over-200k-a-year (2026-10-24, stage 1 correction); </t>
  </si>
  <si>
    <t xml:space="preserve">AB-043</t>
  </si>
  <si>
    <t xml:space="preserve">Unique Snacks (Unique Pretzels)</t>
  </si>
  <si>
    <t xml:space="preserve">Northeast brand, store page shows Whole Foods Market Union Square inside the cluster, a new store listing 8 days ago, revenue unknown, no contact named; founder review: scale, format.</t>
  </si>
  <si>
    <t xml:space="preserve">Puff Knots featured in Women's Health Oct-Dec 2026 issue; top three products added to Walmart shelves across the Northeast (2026-03-09)</t>
  </si>
  <si>
    <t xml:space="preserve">https://www.uniquesnacks.com/blogs/snack-notes</t>
  </si>
  <si>
    <t xml:space="preserve">https://www.uniquesnacks.com/pages/about-us</t>
  </si>
  <si>
    <t xml:space="preserve">no person named on an opened page: not ready; before using the retailer line, check Whole Foods Market Union Square still lists it: https://www.wholefoodsmarket.com/search?text=Unique%20Snacks with your store set to Union Square (catalogs change daily); founder review (scale, format): read founder_review_reason first</t>
  </si>
  <si>
    <t xml:space="preserve">Unique Pretzel Splits, Original 11 oz; Puff Knots</t>
  </si>
  <si>
    <t xml:space="preserve">Reading</t>
  </si>
  <si>
    <t xml:space="preserve">https://www.uniquesnacks.com</t>
  </si>
  <si>
    <t xml:space="preserve">Established multi-generation bakery (Unique Pretzel Bakery, Inc.), likely above the $10M band; large-format bags, not single-serve</t>
  </si>
  <si>
    <t xml:space="preserve">scale;format</t>
  </si>
  <si>
    <t xml:space="preserve">family-owned (six generations per site)</t>
  </si>
  <si>
    <t xml:space="preserve">Baked hard pretzels in sealed bags and tins, ambient</t>
  </si>
  <si>
    <t xml:space="preserve">Walmart (Northeast, from March 2026); Whole Foods Market; brand store locator</t>
  </si>
  <si>
    <t xml:space="preserve">https://www.wholefoodsmarket.com/search?text=pretzels (Union Square context: Unique Pretzels Splits Original 11 oz and Extra Dark IN_STOCK, category search 2026-10-23)</t>
  </si>
  <si>
    <t xml:space="preserve">BR1:44</t>
  </si>
  <si>
    <t xml:space="preserve">Entity Unique Pretzel Bakery, Inc., Reading PA (terms of service). Holiday tins on brand store suit gifting more than pantry drops.</t>
  </si>
  <si>
    <t xml:space="preserve">AB-099</t>
  </si>
  <si>
    <t xml:space="preserve">By the Way Bakery</t>
  </si>
  <si>
    <t xml:space="preserve">Helene</t>
  </si>
  <si>
    <t xml:space="preserve">New York State brand, store page shows Whole Foods Market Union Square inside the cluster, no dated why-now in the last 12 months, revenue unknown, contact named (first name only); founder review: perishable-risk.</t>
  </si>
  <si>
    <t xml:space="preserve">https://www.btwbakery.com/our-story</t>
  </si>
  <si>
    <t xml:space="preserve">find Helene at By the Way Bakery on LinkedIn and paste the profile URL; surname not public: take it from LinkedIn; before using the retailer line, check Whole Foods Market Union Square still lists it: https://www.wholefoodsmarket.com/search?text=By%20the%20Way%20Bakery with your store set to Union Square (catalogs change daily); founder review (perishable-risk): read founder_review_reason first</t>
  </si>
  <si>
    <t xml:space="preserve">Brownie Bites 14 oz; Raspberry Slice 5 oz (gluten-free, dairy-free)</t>
  </si>
  <si>
    <t xml:space="preserve">Hastings-on-Hudson</t>
  </si>
  <si>
    <t xml:space="preserve">Fresh or frozen bakery line likely fails the 60-day shelf-stable rule; confirm storage before outreach; 60-day shelf life not stated; no online store: buy path is the store only</t>
  </si>
  <si>
    <t xml:space="preserve">perishable-risk</t>
  </si>
  <si>
    <t xml:space="preserve">https://www.btwbakery.com</t>
  </si>
  <si>
    <t xml:space="preserve">Line includes cupcakes, cakes and muffins at Whole Foods; shelf life and storage not stated on pages opened</t>
  </si>
  <si>
    <t xml:space="preserve">Whole Foods; four own retail shops (brand Our Story)</t>
  </si>
  <si>
    <t xml:space="preserve">https://www.wholefoodsmarket.com/api/search?text=by%20the%20way%20bakery&amp;store=10162&amp;limit=60&amp;offset=0</t>
  </si>
  <si>
    <t xml:space="preserve">first name on brand Our Story</t>
  </si>
  <si>
    <t xml:space="preserve">https://www.instagram.com/bythewaybakery/</t>
  </si>
  <si>
    <t xml:space="preserve">BR2:37</t>
  </si>
  <si>
    <t xml:space="preserve">First shop opened in Hastings-on-Hudson in 2011; certified kosher commissary. NoMad and Chelsea not checked separately.</t>
  </si>
  <si>
    <t xml:space="preserve">AB-264</t>
  </si>
  <si>
    <t xml:space="preserve">Hu Kitchen (Hu Chocolate)</t>
  </si>
  <si>
    <t xml:space="preserve">Karp</t>
  </si>
  <si>
    <t xml:space="preserve">New York City brand, store page shows Whole Foods Market NoMad inside the cluster, no dated why-now in the last 12 months, revenue unknown, contact named; founder review: owner, scale.</t>
  </si>
  <si>
    <t xml:space="preserve">https://hukitchen.com/pages/about-us</t>
  </si>
  <si>
    <t xml:space="preserve">find Jessica Karp at Hu Kitchen (Hu Chocolate) on LinkedIn and paste the profile URL; before using the retailer line, check Whole Foods Market NoMad still lists it: https://www.wholefoodsmarket.com/search?text=Hu%20Kitchen with your store set to NoMad (catalogs change daily); founder review (owner, scale): read founder_review_reason first</t>
  </si>
  <si>
    <t xml:space="preserve">Organic dark chocolate bars and Gems (22-24 SKUs per cluster WFM)</t>
  </si>
  <si>
    <t xml:space="preserve">New York (terms of service: Hu Master Holdings, LLC, 78 5th Ave, New York, NY 10011)</t>
  </si>
  <si>
    <t xml:space="preserve">https://hukitchen.com</t>
  </si>
  <si>
    <t xml:space="preserve">National brand (22-24 SKUs per cluster WFM) almost certainly above the $10M ceiling; corporate ownership to confirm</t>
  </si>
  <si>
    <t xml:space="preserve">owner;scale</t>
  </si>
  <si>
    <t xml:space="preserve">acquired by Mondelez International (announced 2021-01-05; unverified, founder to confirm)</t>
  </si>
  <si>
    <t xml:space="preserve">Wrapped dark chocolate sold ambient; no shelf-life figure checked</t>
  </si>
  <si>
    <t xml:space="preserve">Whole Foods Market; 'Find in Store' locator</t>
  </si>
  <si>
    <t xml:space="preserve">https://www.wholefoodsmarket.com/api/search?text=hu%20chocolate&amp;store=10773&amp;limit=60&amp;offset=0; https://www.wholefoodsmarket.com/api/search?text=hu%20chocolate&amp;store=10162&amp;limit=60&amp;offset=0; https://www.wholefoodsmarket.com/api/search?text=hu%20chocolate&amp;store=10131&amp;limit=60&amp;offset=0; https://www.wholefoodsmarket.com/api/search?text=hu%20chocolate&amp;store=10713&amp;limit=60&amp;offset=0</t>
  </si>
  <si>
    <t xml:space="preserve">Jessica Karp</t>
  </si>
  <si>
    <t xml:space="preserve">BR4:59</t>
  </si>
  <si>
    <t xml:space="preserve">Recorded so the size gate is visible. NYC-origin brand.</t>
  </si>
  <si>
    <t xml:space="preserve">funding_stage &lt;- https://www.nosh.com/news/2021/snacking-giant-mondelez-acquires-hu-kitchen (2026-10-24, snippet-unverified); hq_city &lt;- https://hukitchen.com/policies/terms-of-service (2026-10-24, opened); </t>
  </si>
  <si>
    <t xml:space="preserve">AB-044</t>
  </si>
  <si>
    <t xml:space="preserve">Quinn Snacks</t>
  </si>
  <si>
    <t xml:space="preserve">Kristy</t>
  </si>
  <si>
    <t xml:space="preserve">Brand based outside the Northeast, store page shows Whole Foods Market Union Square inside the cluster, no dated why-now in the last 12 months, revenue unknown, contact named (first name only); founder review: other.</t>
  </si>
  <si>
    <t xml:space="preserve">https://quinnsnacks.com/pages/story</t>
  </si>
  <si>
    <t xml:space="preserve">find Kristy at Quinn Snacks on LinkedIn and paste the profile URL; surname not public: take it from LinkedIn; before using the retailer line, check Whole Foods Market Union Square still lists it: https://www.wholefoodsmarket.com/search?text=Quinn%20Snacks with your store set to Union Square (catalogs change daily); founder review (other): read founder_review_reason first</t>
  </si>
  <si>
    <t xml:space="preserve">Quinn Peanut Butter Filled Pretzel Nuggets snack pack (1.5 oz x 6)</t>
  </si>
  <si>
    <t xml:space="preserve">https://quinnsnacks.com</t>
  </si>
  <si>
    <t xml:space="preserve">Filled nuggets contain peanuts and tree nuts (allergen-heavy for shared pantries); no direct online store; no online store: buy path is the store only</t>
  </si>
  <si>
    <t xml:space="preserve">Bagged pretzels and filled pretzel nuggets, ambient</t>
  </si>
  <si>
    <t xml:space="preserve">https://www.wholefoodsmarket.com/search?text=quinn%20pretzel (Union Square context: Pretzel Sticks Sea Salt, PB &amp; Honey Filled Pretzel Sticks, Maple Almond Butter Nuggets IN_STOCK 2026-10-23)</t>
  </si>
  <si>
    <t xml:space="preserve">first name on brand site</t>
  </si>
  <si>
    <t xml:space="preserve">BR1:45</t>
  </si>
  <si>
    <t xml:space="preserve">Quinn Foods LLC, Boulder CO (terms of service). Founded 2010.</t>
  </si>
  <si>
    <t xml:space="preserve">product prices show $0.00 to $1.00; appears to route to retailers</t>
  </si>
  <si>
    <t xml:space="preserve">AB-041</t>
  </si>
  <si>
    <t xml:space="preserve">BEEST Snacks</t>
  </si>
  <si>
    <t xml:space="preserve">Lucas</t>
  </si>
  <si>
    <t xml:space="preserve">Prado</t>
  </si>
  <si>
    <t xml:space="preserve">Brand based outside the Northeast, no graded store within ten blocks, online store only, news 87 days ago, revenue unknown, contact named; founder review: claim-borderline.</t>
  </si>
  <si>
    <t xml:space="preserve">Exhibited at 2026 Summer Fancy Food Show (Javits, NYC, booth 4309B) and featured on Good Morning America on 2026-07-25</t>
  </si>
  <si>
    <t xml:space="preserve">https://startupcpg.com/startup-cpg-newswire-beest-snacks-featured-on-good-morning-america-in-foodie-trends-segment/</t>
  </si>
  <si>
    <t xml:space="preserve">2026-07-29</t>
  </si>
  <si>
    <t xml:space="preserve">https://www.beestsnacks.com/pages/about-us</t>
  </si>
  <si>
    <t xml:space="preserve">find Lucas Prado at BEEST Snacks on LinkedIn and paste the profile URL; founder review (claim-borderline): read founder_review_reason first</t>
  </si>
  <si>
    <t xml:space="preserve">BEEST Charcuterie Trail Mix (pork jerky chips, parmesan crisps, almonds), 4 oz</t>
  </si>
  <si>
    <t xml:space="preserve">https://www.beestsnacks.com</t>
  </si>
  <si>
    <t xml:space="preserve">High-protein positioning (52g protein per bag); founder story references diabetes in the family, check pack copy</t>
  </si>
  <si>
    <t xml:space="preserve">Brand wholesale page: '9 mo Shelf stable' and '9-Month Shelf Stable'.</t>
  </si>
  <si>
    <t xml:space="preserve">KeHE Trend Finder 2026 Golden Ticket (fast track to national distribution); Amazon</t>
  </si>
  <si>
    <t xml:space="preserve">https://startupcpg.com/startup-cpg-newswire-beest-snacks-wins-kehe-trend-finder-2026-golden-ticket-earns-fast-track-to-nationwide-distribution/</t>
  </si>
  <si>
    <t xml:space="preserve">Lucas Prado</t>
  </si>
  <si>
    <t xml:space="preserve">surname not on site</t>
  </si>
  <si>
    <t xml:space="preserve">BR1:42</t>
  </si>
  <si>
    <t xml:space="preserve">Homepage 'Press &amp; recognition': Forbes (food founders using AI, July 2026), Good Morning America Foodie Forecast (July 2026), 'Top 50 Food &amp; Beverage, ranked #42' (April 2026).</t>
  </si>
  <si>
    <t xml:space="preserve">shelf_stable_basis &lt;- https://www.beestsnacks.com/pages/wholesale (2026-10-24, opened); notes &lt;- https://www.beestsnacks.com/ (2026-10-24, opened); </t>
  </si>
  <si>
    <t xml:space="preserve">AB-186</t>
  </si>
  <si>
    <t xml:space="preserve">Laurel's</t>
  </si>
  <si>
    <t xml:space="preserve">Isabel</t>
  </si>
  <si>
    <t xml:space="preserve">Brand based outside the Northeast, no graded store within ten blocks, online store only, news 137 days ago, revenue unknown, contact named; founder review: claim-borderline.</t>
  </si>
  <si>
    <t xml:space="preserve">Chain-wide 1,800-store Target launch slated for August 2026, after Whole Foods, Erewhon and Wegmans (Startup CPG Podcast #252, published 2026-06-09)</t>
  </si>
  <si>
    <t xml:space="preserve">https://startupcpg.com/portfolio/252-the-rise-of-laurels-coffee-whole-foods-wegmans-1800-target-stores-in-two-years/</t>
  </si>
  <si>
    <t xml:space="preserve">https://drinklaurels.com/pages/faq</t>
  </si>
  <si>
    <t xml:space="preserve">find Isabel Washington at Laurel's on LinkedIn and paste the profile URL; founder review (claim-borderline): read founder_review_reason first</t>
  </si>
  <si>
    <t xml:space="preserve">https://citrusdiaries.substack.com/p/isabel-washington-of-laurels</t>
  </si>
  <si>
    <t xml:space="preserve">Laurel's Classic Latte (A2 regenerative dairy, 80 mg caffeine), can</t>
  </si>
  <si>
    <t xml:space="preserve">https://drinklaurels.com</t>
  </si>
  <si>
    <t xml:space="preserve">Dairy latte (milk allergen); HQ and current NYC retail not confirmed | Health-claim scan 2026-10-24: the homepage calls the A2 lattes 'your Gut Friendly Best Friend': founder to decide; the tent card must not repeat it</t>
  </si>
  <si>
    <t xml:space="preserve">FAQ: 'Do Laurel's lattes need to be refrigerated? No. Our cans are shelf-stable...' (drinklaurels.com/pages/faq, opened 2026-10-23)</t>
  </si>
  <si>
    <t xml:space="preserve">Pop Up Grocer (past brand, directory); product locator not readable</t>
  </si>
  <si>
    <t xml:space="preserve">https://popupgrocer.com/products/laurels</t>
  </si>
  <si>
    <t xml:space="preserve">Isabel Washington</t>
  </si>
  <si>
    <t xml:space="preserve">https://instagram.com/drinklaurels</t>
  </si>
  <si>
    <t xml:space="preserve">BR3:60</t>
  </si>
  <si>
    <t xml:space="preserve">Flavors: Classic, Dirty Chai, Matcha. Pop Up Grocer directory entry 2026-03-04 (past brand). Date is Shopify publish date. | Added 2026-10-24: Startup CPG Podcast guest (#252, 2026-06-09); membership not stated, so startup_cpg_member left unknown</t>
  </si>
  <si>
    <t xml:space="preserve">hq_city &lt;- https://drinklaurels.com/policies/privacy-policy (2026-10-24, opened); hq_state &lt;- https://drinklaurels.com/policies/privacy-policy (2026-10-24, opened); founder_name &lt;- https://citrusdiaries.substack.com/p/isabel-washington-of-laurels (2026-10-24, opened); founder_title &lt;- https://thingtesting.com/stories/founder-story-laurels-coffee (2026-10-24, opened); why_now &lt;- https://startupcpg.com/portfolio/252-the-rise-of-laurels-coffee-whole-foods-wegmans-1800-target-stores-in-two-years/ (2026-10-24, opened); why_now_url &lt;- https://startupcpg.com/portfolio/252-the-rise-of-laurels-coffee-whole-foods-wegmans-1800-target-stores-in-two-years/ (2026-10-24, opened); why_now_date &lt;- https://feeds.transistor.fm/the-startup-cpg-podcast (2026-10-24, opened); notes &lt;- https://startupcpg.com/portfolio/252-the-rise-of-laurels-coffee-whole-foods-wegmans-1800-target-stores-in-two-years/ (2026-10-24, opened); founder_profile_url &lt;- https://thingtesting.com/stories/founder-story-laurels-coffee (2026-10-24, opened); founder_review_reason &lt;- https://drinklaurels.com (2026-10-24, stage 3 correction); </t>
  </si>
  <si>
    <t xml:space="preserve">AB-291</t>
  </si>
  <si>
    <t xml:space="preserve">Bixby Chocolate</t>
  </si>
  <si>
    <t xml:space="preserve">McAleer</t>
  </si>
  <si>
    <t xml:space="preserve">Northeast brand, no graded store within ten blocks, online store only, a new store listing 14 days ago, revenue unknown, contact named; founder review: other.</t>
  </si>
  <si>
    <t xml:space="preserve">Released new 2 oz holiday bars (Toffee Milk, Peppermint Dark) and showed at SFFS 2026 as a 2026 Good Food Award winner</t>
  </si>
  <si>
    <t xml:space="preserve">https://bixbychocolate.com/products.json</t>
  </si>
  <si>
    <t xml:space="preserve">2026-10-10</t>
  </si>
  <si>
    <t xml:space="preserve">https://events.specialtyfood.com/event/2026-summer-fancy-food-show/exhibitor/RXhoaWJpdG9yXzIzNjU0MDI=</t>
  </si>
  <si>
    <t xml:space="preserve">find Kate McAleer at Bixby Chocolate on LinkedIn and paste the profile URL; founder review (other): read founder_review_reason first</t>
  </si>
  <si>
    <t xml:space="preserve">Toffee Milk Chocolate Bar, 2 oz</t>
  </si>
  <si>
    <t xml:space="preserve">Rockland</t>
  </si>
  <si>
    <t xml:space="preserve">https://bixbychocolate.com</t>
  </si>
  <si>
    <t xml:space="preserve">No retailer within ten blocks; relies on online store. Founded 2011, revenue unknown</t>
  </si>
  <si>
    <t xml:space="preserve">ME</t>
  </si>
  <si>
    <t xml:space="preserve">Wrapped 2 oz chocolate bars sold ambient online and in stores</t>
  </si>
  <si>
    <t xml:space="preserve">The Meadow (brand_claim, 16.1 blocks out)</t>
  </si>
  <si>
    <t xml:space="preserve">The Meadow (Mulberry St); Kadoo NYC; Park Slope Food Coop (brand Stockist locator)</t>
  </si>
  <si>
    <t xml:space="preserve">https://stockist.co/api/v1/map_93ezwnvq/locations/search?latitude=40.7411&amp;longitude=-73.9897&amp;distance=5 (widget on https://bixbychocolate.com/pages/store-locator)</t>
  </si>
  <si>
    <t xml:space="preserve">Kate McAleer</t>
  </si>
  <si>
    <t xml:space="preserve">Donna McAleer</t>
  </si>
  <si>
    <t xml:space="preserve">Donna</t>
  </si>
  <si>
    <t xml:space="preserve">https://www.instagram.com/bixbychocolate/</t>
  </si>
  <si>
    <t xml:space="preserve">BR5:27</t>
  </si>
  <si>
    <t xml:space="preserve">SFFS 2026: 'Crafted on the working waterfront of Rockland, Maine, Bixby Chocolate is Maine's first bean-to-bar chocolate maker. Founded in 2011 by mother-daughter team Kate and Donna McAleer'. 2024 sofi Gold (Belize 70% bar) is older than 12 months.</t>
  </si>
  <si>
    <t xml:space="preserve">AB-150</t>
  </si>
  <si>
    <t xml:space="preserve">Harney &amp; Sons (bottled iced tea and juice drinks)</t>
  </si>
  <si>
    <t xml:space="preserve">John</t>
  </si>
  <si>
    <t xml:space="preserve">Harney</t>
  </si>
  <si>
    <t xml:space="preserve">Founder and President</t>
  </si>
  <si>
    <t xml:space="preserve">New York State brand, no graded store within ten blocks, online store only, a new store listing 120 days ago, revenue unknown, contact named; founder review: claim-borderline.</t>
  </si>
  <si>
    <t xml:space="preserve">New RTD SKUs: Williamsburg iced tea line (2026-01-23), Organic Hibiscus Iced Tea (2026-04-28), Lavender Lemonade Juice Drink (2026-06-26)</t>
  </si>
  <si>
    <t xml:space="preserve">https://www.harney.com/products/lavender-lemonade-juice-drink</t>
  </si>
  <si>
    <t xml:space="preserve">https://www.harney.com/pages/find-your-matcha</t>
  </si>
  <si>
    <t xml:space="preserve">find John Harney at Harney &amp; Sons (bottled iced tea and juice drinks) on LinkedIn and paste the profile URL; founder review (claim-borderline): read founder_review_reason first</t>
  </si>
  <si>
    <t xml:space="preserve">https://www.harney.com/pages/about-us</t>
  </si>
  <si>
    <t xml:space="preserve">Harney &amp; Sons Organic Peach Iced Tea, 12 oz can; Lavender Lemonade Juice Drink, 16 oz bottle</t>
  </si>
  <si>
    <t xml:space="preserve">Millerton</t>
  </si>
  <si>
    <t xml:space="preserve">https://www.harney.com/products/organic-peach-iced-tea-cans</t>
  </si>
  <si>
    <t xml:space="preserve">Established family tea company, likely above the emerging-brand size; site has a 'Hemp Division' and a prebiotic iced tea (place only plain teas/juices); RTD shelf stability not stated | Added 2026-10-24: the brand also sells hemp-extracted CBD bottled teas (The Hemp Division). Only non-CBD bottled teas could be placed; confirm SKU before outreach; 60-day shelf life not stated</t>
  </si>
  <si>
    <t xml:space="preserve">https://www.harney.com</t>
  </si>
  <si>
    <t xml:space="preserve">family-owned (est. 1983)</t>
  </si>
  <si>
    <t xml:space="preserve">No storage statement; cases ship via FedEx ground to the lower 48 (suggests ambient, not confirmed)</t>
  </si>
  <si>
    <t xml:space="preserve">Harney &amp; Sons SoHo store and Millerton store (own shops)</t>
  </si>
  <si>
    <t xml:space="preserve">John Harney</t>
  </si>
  <si>
    <t xml:space="preserve">https://www.instagram.com/harneytea</t>
  </si>
  <si>
    <t xml:space="preserve">BR3:24</t>
  </si>
  <si>
    <t xml:space="preserve">Matcha page: 'family tea company in Millerton, New York, founded by John Harney in 1983 and now in its third generation'. Founder title is as printed on the about page; current day-to-day leader not confirmed. Dates are Shopify publish dates.</t>
  </si>
  <si>
    <t xml:space="preserve">founder_review_reason &lt;- https://www.harney.com/pages/the-hemp-division (2026-10-24, opened); </t>
  </si>
  <si>
    <t xml:space="preserve">AB-098</t>
  </si>
  <si>
    <t xml:space="preserve">Jacques Torres Chocolate</t>
  </si>
  <si>
    <t xml:space="preserve">Jacques</t>
  </si>
  <si>
    <t xml:space="preserve">Torres</t>
  </si>
  <si>
    <t xml:space="preserve">Proprietor</t>
  </si>
  <si>
    <t xml:space="preserve">New York City brand, no graded store within ten blocks, online store only, a new store listing 37 days ago, revenue unknown, contact named; founder review: not-emerging, format.</t>
  </si>
  <si>
    <t xml:space="preserve">Holiday 2026 collection (Hanukkah gelt, Christmas figures) added to brand store, Sept 2026</t>
  </si>
  <si>
    <t xml:space="preserve">https://mrchocolate.com/</t>
  </si>
  <si>
    <t xml:space="preserve">find Jacques Torres at Jacques Torres Chocolate on LinkedIn and paste the profile URL; founder review (not-emerging, format): read founder_review_reason first</t>
  </si>
  <si>
    <t xml:space="preserve">https://jacquestorres.com/about/</t>
  </si>
  <si>
    <t xml:space="preserve">Pretzel Mint Bark; holiday chocolate figures</t>
  </si>
  <si>
    <t xml:space="preserve">New York (brand calls itself 'Best Gourmet Chocolate in New York')</t>
  </si>
  <si>
    <t xml:space="preserve">https://mrchocolate.com</t>
  </si>
  <si>
    <t xml:space="preserve">Established celebrity-chef chocolatier with own shops, not an emerging CPG brand; gift-focused, single-serve SKU not confirmed; 60-day shelf life not stated</t>
  </si>
  <si>
    <t xml:space="preserve">not-emerging;format</t>
  </si>
  <si>
    <t xml:space="preserve">Brand FAQ: 'Chocolate bars and baking discs can be stored up to 6 months in their original packaging'; bon bons and truffles best within 3-4 weeks; refrigeration not necessary.</t>
  </si>
  <si>
    <t xml:space="preserve">Own shops ('In store only' items on brand store)</t>
  </si>
  <si>
    <t xml:space="preserve">https://www.wholefoodsmarket.com/api/search?text=jacques%20torres&amp;store=10162&amp;limit=60&amp;offset=0</t>
  </si>
  <si>
    <t xml:space="preserve">Jacques Torres</t>
  </si>
  <si>
    <t xml:space="preserve">https://www.instagram.com/jacquestorres/</t>
  </si>
  <si>
    <t xml:space="preserve">BR2:36</t>
  </si>
  <si>
    <t xml:space="preserve">Shop addresses not captured. Not in WFM cluster catalogs. Why-now from Shopify publish dates.</t>
  </si>
  <si>
    <t xml:space="preserve">shelf_stable_basis &lt;- https://mrchocolate.com/pages/faqs (2026-10-24, opened); </t>
  </si>
  <si>
    <t xml:space="preserve">AB-307</t>
  </si>
  <si>
    <t xml:space="preserve">Milène Jardine Chocolatier</t>
  </si>
  <si>
    <t xml:space="preserve">New York City brand, no graded store within ten blocks, online store only, a new store listing 170 days ago, revenue unknown, contact seen only in a snippet; founder review: perishable-risk.</t>
  </si>
  <si>
    <t xml:space="preserve">Launched five vegan chocolate bars (Raw Pistachio, Rosemary, South American Dark, Sicilian Salted Lemon, Coconut Lime Leaf)</t>
  </si>
  <si>
    <t xml:space="preserve">https://milenejardine.com/products.json</t>
  </si>
  <si>
    <t xml:space="preserve">2026-05-07</t>
  </si>
  <si>
    <t xml:space="preserve">https://madeinqueens.org/products</t>
  </si>
  <si>
    <t xml:space="preserve">no person named on an opened page: not ready; founder review (perishable-risk): read founder_review_reason first</t>
  </si>
  <si>
    <t xml:space="preserve">https://milenejardine.com</t>
  </si>
  <si>
    <t xml:space="preserve">Raw Pistachio vegan chocolate bar ($7)</t>
  </si>
  <si>
    <t xml:space="preserve">New York City (Made in Queens maker)</t>
  </si>
  <si>
    <t xml:space="preserve">Truffles are cream-based (perishable, excluded); only the vegan bars might fit. Confirm the bars' shelf life without refrigeration; 60-day shelf life not stated</t>
  </si>
  <si>
    <t xml:space="preserve">Bars carry a note on bringing chocolate to room temperature 'when stored in the refrigerator'; truffles are made with real cream and are perishable</t>
  </si>
  <si>
    <t xml:space="preserve">Milène Jardine</t>
  </si>
  <si>
    <t xml:space="preserve">inferred from the brand name and first-person site copy; founder to confirm</t>
  </si>
  <si>
    <t xml:space="preserve">https://www.instagram.com/milene.jardine.chocolatier/</t>
  </si>
  <si>
    <t xml:space="preserve">BR5:43</t>
  </si>
  <si>
    <t xml:space="preserve">Made in Queens certified maker; Entrepreneur Space current client ('Milene Jardine, Chocolates'). Site: 'Made in New York City'.</t>
  </si>
  <si>
    <t xml:space="preserve">AB-292</t>
  </si>
  <si>
    <t xml:space="preserve">Moka Origins</t>
  </si>
  <si>
    <t xml:space="preserve">Ishan</t>
  </si>
  <si>
    <t xml:space="preserve">Tigunait</t>
  </si>
  <si>
    <t xml:space="preserve">Northeast brand, no graded store within ten blocks, online store only, a new store listing 12 days ago, revenue unknown, contact named; founder review: other.</t>
  </si>
  <si>
    <t xml:space="preserve">Launched S'mores and Mexican Spice chocolate bars for fall 2026</t>
  </si>
  <si>
    <t xml:space="preserve">https://mokaorigins.com/products.json</t>
  </si>
  <si>
    <t xml:space="preserve">https://events.specialtyfood.com/event/2026-summer-fancy-food-show/exhibitor/RXhoaWJpdG9yXzI0MjEyNTE=</t>
  </si>
  <si>
    <t xml:space="preserve">find Ishan Tigunait at Moka Origins on LinkedIn and paste the profile URL; founder review (other): read founder_review_reason first</t>
  </si>
  <si>
    <t xml:space="preserve">https://mokaorigins.com/pages/our-story</t>
  </si>
  <si>
    <t xml:space="preserve">S'mores Chocolate bar; Mexican Spice Milk Chocolate, 4 oz</t>
  </si>
  <si>
    <t xml:space="preserve">unknown (chocolate factory in Pennsylvania)</t>
  </si>
  <si>
    <t xml:space="preserve">https://mokaorigins.com</t>
  </si>
  <si>
    <t xml:space="preserve">Brand also sells coffee beans (not eligible). 4 oz bars are large for a pantry drop; check smaller formats. No NYC retailer found</t>
  </si>
  <si>
    <t xml:space="preserve">Wrapped bean-to-bar chocolate sold ambient online</t>
  </si>
  <si>
    <t xml:space="preserve">Ishan Tigunait</t>
  </si>
  <si>
    <t xml:space="preserve">Jeff Abella</t>
  </si>
  <si>
    <t xml:space="preserve">Jeff</t>
  </si>
  <si>
    <t xml:space="preserve">Abella</t>
  </si>
  <si>
    <t xml:space="preserve">https://www.instagram.com/mokaorigins/</t>
  </si>
  <si>
    <t xml:space="preserve">BR5:28</t>
  </si>
  <si>
    <t xml:space="preserve">SFFS 2026 (State: Pennsylvania): 'bean-to-bar chocolate maker and specialty coffee roaster based in Pennsylvania', sourcing from Cameroon, Ghana, Togo, Tanzania, Uganda.</t>
  </si>
  <si>
    <t xml:space="preserve">AB-160</t>
  </si>
  <si>
    <t xml:space="preserve">Nixie Sparkling Water</t>
  </si>
  <si>
    <t xml:space="preserve">Bernard Dawes</t>
  </si>
  <si>
    <t xml:space="preserve">Northeast brand, no graded store within ten blocks, online store only, a new store listing 241 days ago, revenue unknown, contact named; founder review: other.</t>
  </si>
  <si>
    <t xml:space="preserve">New flavors Strawberry Cream and Cherry Cola listed</t>
  </si>
  <si>
    <t xml:space="preserve">https://drinknixie.com/products.json</t>
  </si>
  <si>
    <t xml:space="preserve">https://drinknixie.com/pages/about-us</t>
  </si>
  <si>
    <t xml:space="preserve">find Nicole Bernard Dawes at Nixie Sparkling Water on LinkedIn and paste the profile URL; founder review (other): read founder_review_reason first</t>
  </si>
  <si>
    <t xml:space="preserve">https://entreprenista.com/nicole-bernard-dawes-of-nixie-sparkling-water-on-proving-that-certified-organic-products-can-be-category-leaders</t>
  </si>
  <si>
    <t xml:space="preserve">Nixie zero-sugar Classic Cola / Strawberry Hibiscus sparkling water, 12 oz can</t>
  </si>
  <si>
    <t xml:space="preserve">Wellesley</t>
  </si>
  <si>
    <t xml:space="preserve">https://drinknixie.com</t>
  </si>
  <si>
    <t xml:space="preserve">HQ and NYC retail not confirmed; most products show $0.00 on own store (online ordering may be limited)</t>
  </si>
  <si>
    <t xml:space="preserve">Brand FAQ: Nixie is shelf-stable and can be stored at room temperature (drinknixie.com/pages/frequently-asked-questions, opened 2026-10-24)</t>
  </si>
  <si>
    <t xml:space="preserve">Nicole Bernard Dawes</t>
  </si>
  <si>
    <t xml:space="preserve">Sarah Alexander</t>
  </si>
  <si>
    <t xml:space="preserve">Alexander</t>
  </si>
  <si>
    <t xml:space="preserve">Director of Customer Marketing</t>
  </si>
  <si>
    <t xml:space="preserve">https://www.instagram.com/drinknixie</t>
  </si>
  <si>
    <t xml:space="preserve">BR3:34</t>
  </si>
  <si>
    <t xml:space="preserve">Zero-sugar soda line (cola, root beer, cream soda) plus sparkling waters. 24-pack listed at $34.99. Dates are Shopify publish dates.</t>
  </si>
  <si>
    <t xml:space="preserve">hq_city &lt;- https://drinknixie.com/policies/terms-of-service (2026-10-24, opened); hq_state &lt;- https://drinknixie.com/policies/terms-of-service (2026-10-24, opened); founder_title &lt;- https://drinknixie.com/pages/about-us (2026-10-24, opened); founder_name &lt;- https://entreprenista.com/nicole-bernard-dawes-of-nixie-sparkling-water-on-proving-that-certified-organic-products-can-be-category-leaders (2026-10-24, opened); marketing_name &lt;- https://attend.expowest.com/event/natural-products-expo-west-2026/exhibitor/RXhoaWJpdG9yXzIzNTc2NzI= (2026-10-24, opened); marketing_title &lt;- https://attend.expowest.com/event/natural-products-expo-west-2026/exhibitor/RXhoaWJpdG9yXzIzNTc2NzI= (2026-10-24, opened); shelf_stable &lt;- https://drinknixie.com/pages/frequently-asked-questions (2026-10-24, opened); shelf_stable_basis &lt;- https://drinknixie.com/pages/frequently-asked-questions (2026-10-24, opened); </t>
  </si>
  <si>
    <t xml:space="preserve">https://attend.expowest.com/event/natural-products-expo-west-2026/exhibitor/RXhoaWJpdG9yXzIzNTc2NzI=</t>
  </si>
  <si>
    <t xml:space="preserve">AB-095</t>
  </si>
  <si>
    <t xml:space="preserve">Joyva</t>
  </si>
  <si>
    <t xml:space="preserve">Richard</t>
  </si>
  <si>
    <t xml:space="preserve">Radutzky</t>
  </si>
  <si>
    <t xml:space="preserve">Third- and fourth-generation owners/operators</t>
  </si>
  <si>
    <t xml:space="preserve">New York City brand, no graded store within ten blocks, online store only, no dated why-now in the last 12 months, revenue unknown, contact named; founder review: not-emerging.</t>
  </si>
  <si>
    <t xml:space="preserve">https://joyva.com/pages/faq</t>
  </si>
  <si>
    <t xml:space="preserve">find Richard Radutzky at Joyva on LinkedIn and paste the profile URL; founder review (not-emerging): read founder_review_reason first</t>
  </si>
  <si>
    <t xml:space="preserve">https://joyva.com/pages/our-story</t>
  </si>
  <si>
    <t xml:space="preserve">Jell Rings Single Packs; Sesame Crunch; chocolate-covered halvah</t>
  </si>
  <si>
    <t xml:space="preserve">https://joyva.com</t>
  </si>
  <si>
    <t xml:space="preserve">Heritage brand (1907), not emerging; revenue unknown; may still fit a local 'Brooklyn-made' story</t>
  </si>
  <si>
    <t xml:space="preserve">family owned (fourth generation, founded 1907)</t>
  </si>
  <si>
    <t xml:space="preserve">Brand FAQ: halvah 'can be stored at room temperature'; chocolate products stored in pantry; BEST BY dates printed</t>
  </si>
  <si>
    <t xml:space="preserve">Stores across the country and online retailers (brand home page)</t>
  </si>
  <si>
    <t xml:space="preserve">https://joyva.com/pages/where-to-find; https://www.wholefoodsmarket.com/api/search?text=joyva&amp;store=10162&amp;limit=60&amp;offset=0</t>
  </si>
  <si>
    <t xml:space="preserve">Richard Radutzky</t>
  </si>
  <si>
    <t xml:space="preserve">Farrah Bezner</t>
  </si>
  <si>
    <t xml:space="preserve">Farrah</t>
  </si>
  <si>
    <t xml:space="preserve">Bezner</t>
  </si>
  <si>
    <t xml:space="preserve">https://www.instagram.com/joyva1907/</t>
  </si>
  <si>
    <t xml:space="preserve">BR2:33</t>
  </si>
  <si>
    <t xml:space="preserve">Brooklyn maker of tahini, halvah and jell candies. Locator is Destini (not machine-read). Not in WFM cluster catalogs.</t>
  </si>
  <si>
    <t xml:space="preserve">marketing_name &lt;- https://joyva.com/pages/our-story (2026-10-24, opened); marketing_title &lt;- https://joyva.com/pages/our-story (2026-10-24, opened); marketing_profile_url &lt;- https://joyva.com/pages/our-story (2026-10-24, opened); </t>
  </si>
  <si>
    <t xml:space="preserve">AB-049</t>
  </si>
  <si>
    <t xml:space="preserve">Barnana</t>
  </si>
  <si>
    <t xml:space="preserve">Caue</t>
  </si>
  <si>
    <t xml:space="preserve">Suplicy</t>
  </si>
  <si>
    <t xml:space="preserve">Brand based outside the Northeast, store page shows Whole Foods Market Union Square inside the cluster, a new store listing 327 days ago, revenue unknown, contact named; founder review: not-emerging, format.</t>
  </si>
  <si>
    <t xml:space="preserve">New plantain chip flavors Flamin' Ghost and Cosmic Churro on brand store</t>
  </si>
  <si>
    <t xml:space="preserve">https://barnana.com/products/flamin-ghost-plantain-chips-barnana</t>
  </si>
  <si>
    <t xml:space="preserve">2025-12-01</t>
  </si>
  <si>
    <t xml:space="preserve">https://barnana.com/pages/story</t>
  </si>
  <si>
    <t xml:space="preserve">find Caue Suplicy at Barnana on LinkedIn and paste the profile URL; before using the retailer line, check Whole Foods Market Union Square still lists it: https://www.wholefoodsmarket.com/search?text=Barnana with your store set to Union Square (catalogs change daily); founder review (not-emerging, format): read founder_review_reason first</t>
  </si>
  <si>
    <t xml:space="preserve">Barnana Organic Plantain Chips, Himalayan Pink Salt, 5 oz</t>
  </si>
  <si>
    <t xml:space="preserve">https://barnana.com</t>
  </si>
  <si>
    <t xml:space="preserve">Long-established national natural brand (likely mid-size); share-size bags only</t>
  </si>
  <si>
    <t xml:space="preserve">Brand FAQ: 'Plantain Chips - 10 months, Cassava Chips - 12 months, Banana Bites - 18 months, Plantain Scoops - 12 months.'</t>
  </si>
  <si>
    <t xml:space="preserve">Whole Foods Market; brand store locator</t>
  </si>
  <si>
    <t xml:space="preserve">https://www.wholefoodsmarket.com/search?text=barnana (Union Square context: Pink Salt and Acapulco Lime Plantain Chips 5 oz IN_STOCK 2026-10-23)</t>
  </si>
  <si>
    <t xml:space="preserve">Caue Suplicy</t>
  </si>
  <si>
    <t xml:space="preserve">Nik Ingersoll</t>
  </si>
  <si>
    <t xml:space="preserve">Nik</t>
  </si>
  <si>
    <t xml:space="preserve">Ingersoll</t>
  </si>
  <si>
    <t xml:space="preserve">BR1:50</t>
  </si>
  <si>
    <t xml:space="preserve">HQ not found on pages opened. why_now date is Shopify published_at.</t>
  </si>
  <si>
    <t xml:space="preserve">shelf_stable_basis &lt;- https://barnana.com/pages/faq (2026-10-24, opened); hq_city &lt;- https://barnana.com/policies/refund-policy (2026-10-24, opened); hq_state &lt;- https://barnana.com/policies/refund-policy (2026-10-24, opened); </t>
  </si>
  <si>
    <t xml:space="preserve">AB-162</t>
  </si>
  <si>
    <t xml:space="preserve">COAQUA</t>
  </si>
  <si>
    <t xml:space="preserve">Justin</t>
  </si>
  <si>
    <t xml:space="preserve">Bruckel</t>
  </si>
  <si>
    <t xml:space="preserve">Brand based outside the Northeast, brand locator shows Jack's Market 0.9 blocks outside it, a new store listing 115 days ago, revenue unknown, contact named; founder review: other.</t>
  </si>
  <si>
    <t xml:space="preserve">Jack's Market, 115 W 31st St</t>
  </si>
  <si>
    <t xml:space="preserve">Added to Pop Up Grocer's NYC Flagship directory; new 14-pack variety case listed on own store 2026-10-20</t>
  </si>
  <si>
    <t xml:space="preserve">https://popupgrocer.com/products/coaqua</t>
  </si>
  <si>
    <t xml:space="preserve">https://www.drinkcoaqua.com/pages/store-locator</t>
  </si>
  <si>
    <t xml:space="preserve">find Justin Bruckel at COAQUA on LinkedIn and paste the profile URL; the retailer line rests on the brand's own store locator: say 'your store locator lists ...'; founder review (other): read founder_review_reason first</t>
  </si>
  <si>
    <t xml:space="preserve">https://www.drinkcoaqua.com/pages/about-us</t>
  </si>
  <si>
    <t xml:space="preserve">COAQUA young green coconut water, 12 fl oz can (OG Still; Espresso'd; Lemony Passion)</t>
  </si>
  <si>
    <t xml:space="preserve">Ponte Vedra Beach</t>
  </si>
  <si>
    <t xml:space="preserve">https://www.drinkcoaqua.com</t>
  </si>
  <si>
    <t xml:space="preserve">Shelf stability not stated by brand; one SKU is caffeinated (Espresso'd); founder and HQ not found on site | Added 2026-10-24: HQ and owners now found (Ponte Vedra Beach, FL; Justin Bruckel and Anthony Cadieux II); still no shelf-stability statement; one SKU is caffeinated; 60-day shelf life not stated</t>
  </si>
  <si>
    <t xml:space="preserve">Canned coconut water; no storage statement found on site</t>
  </si>
  <si>
    <t xml:space="preserve">Jack's Market, 115 W 31st St (brand_claim, 0.9 blocks out);Lincoln Market, 501 6th Ave (brand_claim, 1.2 blocks out);Westside Market, 170 W 23rd St (brand_claim, 2.0 blocks out);Westside Market, 77 7th Ave (brand_claim, 2.0 blocks out);D'Agostino, 341 3rd Ave (brand_claim, 3.5 blocks out);Gristedes, 25 University Place (brand_claim, 4.4 blocks out);Gristedes, 225 8th Ave (brand_claim, 6.6 blocks out);D'Agostino, 528 3rd Ave (brand_claim, 7.6 blocks out)</t>
  </si>
  <si>
    <t xml:space="preserve">Westside Market; Lincoln Market; D'Agostino; Gristedes; Jack's Market; Elm Drugs (brand Stockist locator, 48 points, 18 near the cluster); Pop Up Grocer NYC Flagship (Pop Up Grocer directory)</t>
  </si>
  <si>
    <t xml:space="preserve">https://www.drinkcoaqua.com/pages/store-locator; https://stockist.co/api/v1/u12267/locations/search?latitude=40.7400&amp;longitude=-73.9900&amp;distance=3; https://popupgrocer.com/products/coaqua</t>
  </si>
  <si>
    <t xml:space="preserve">Justin Bruckel</t>
  </si>
  <si>
    <t xml:space="preserve">Anthony Cadieux II</t>
  </si>
  <si>
    <t xml:space="preserve">Anthony</t>
  </si>
  <si>
    <t xml:space="preserve">Cadieux II</t>
  </si>
  <si>
    <t xml:space="preserve">Co Founder)</t>
  </si>
  <si>
    <t xml:space="preserve">https://www.instagram.com/coaqua</t>
  </si>
  <si>
    <t xml:space="preserve">BR3:36</t>
  </si>
  <si>
    <t xml:space="preserve">Stockist query 2026-10-23: 48 locations total, heavily NYC (Westside Market, D'Agostino, Gristedes), so likely NYC-based but HQ unconfirmed. Pop Up Grocer directory entry dated 2026-07-01, availability 'NYC Flagship'. Strong near-cluster footprint.</t>
  </si>
  <si>
    <t xml:space="preserve">hq_city &lt;- https://www.drinkcoaqua.com/pages/about-us (2026-10-24, opened); hq_state &lt;- https://www.drinkcoaqua.com/pages/about-us (2026-10-24, opened); founder_name &lt;- https://www.drinkcoaqua.com/pages/about-us (2026-10-24, opened); founder_title &lt;- https://attend.expowest.com/event/natural-products-expo-west-2026/exhibitor/RXhoaWJpdG9yXzIzNTg4NTc= (2026-10-24, opened); founder_review_reason &lt;- https://www.drinkcoaqua.com/pages/about-us (2026-10-24, opened); founder_profile_url &lt;- https://www.drinkcoaqua.com/pages/about-us (2026-10-24, opened); </t>
  </si>
  <si>
    <t xml:space="preserve">AB-164</t>
  </si>
  <si>
    <t xml:space="preserve">Luba Libations</t>
  </si>
  <si>
    <t xml:space="preserve">Christiana</t>
  </si>
  <si>
    <t xml:space="preserve">Trapani</t>
  </si>
  <si>
    <t xml:space="preserve">Co-Founder</t>
  </si>
  <si>
    <t xml:space="preserve">Brand based outside the Northeast, no graded store within ten blocks, online store only, news 60 days ago, revenue unknown, contact named; founder review: alcohol-adjacent.</t>
  </si>
  <si>
    <t xml:space="preserve">New distribution partnership with Breakthru Beverage in Minnesota, all four flavors (2026-08-25); selected as an emerging brand for the 2026 Nourishing Change Conference (2026-04-08)</t>
  </si>
  <si>
    <t xml:space="preserve">https://startupcpg.com/startup-cpg-newswire-luba-libations-expands-midwest-footprint-with-breakthru-beverage-partnership-in-minnesota/</t>
  </si>
  <si>
    <t xml:space="preserve">https://drinkluba.com/pages/our-story</t>
  </si>
  <si>
    <t xml:space="preserve">find Christiana Trapani at Luba Libations on LinkedIn and paste the profile URL; founder review (alcohol-adjacent): read founder_review_reason first</t>
  </si>
  <si>
    <t xml:space="preserve">https://startupcpg.com/startup-cpg-newswire-luba-libations-selected-as-emerging-brand-for-2026-nourishing-change-conference/</t>
  </si>
  <si>
    <t xml:space="preserve">Luba non-alcoholic Kyiv Mule, 12 oz can</t>
  </si>
  <si>
    <t xml:space="preserve">Sturgeon Bay (Door County)</t>
  </si>
  <si>
    <t xml:space="preserve">https://drinkluba.com</t>
  </si>
  <si>
    <t xml:space="preserve">Wisconsin brand with no confirmed current NYC retail; NA cocktail positioning in an office pantry</t>
  </si>
  <si>
    <t xml:space="preserve">Brand page: canned then tunnel pasteurized, which makes it safe and shelf stable (drinkluba.com/pages/our-story, opened 2026-10-24); shelf-life length not stated</t>
  </si>
  <si>
    <t xml:space="preserve">https://popupgrocer.com/products/luba-libations</t>
  </si>
  <si>
    <t xml:space="preserve">Christiana Trapani</t>
  </si>
  <si>
    <t xml:space="preserve">Nic Trapani</t>
  </si>
  <si>
    <t xml:space="preserve">Nic</t>
  </si>
  <si>
    <t xml:space="preserve">President</t>
  </si>
  <si>
    <t xml:space="preserve">BR3:38</t>
  </si>
  <si>
    <t xml:space="preserve">Story page: 'non-alcoholic cocktail and mixer brand from Door County, Wisconsin'; explicitly no adaptogens, nootropics or caffeine (clean on claims). 4-pack $12.99.</t>
  </si>
  <si>
    <t xml:space="preserve">hq_city &lt;- https://drinkluba.com/policies/contact-information (2026-10-24, opened); shelf_stable &lt;- https://drinkluba.com/pages/our-story (2026-10-24, opened); shelf_stable_basis &lt;- https://drinkluba.com/pages/our-story (2026-10-24, opened); founder_name &lt;- https://startupcpg.com/startup-cpg-newswire-luba-libations-selected-as-emerging-brand-for-2026-nourishing-change-conference/ (2026-10-24, opened); founder_title &lt;- https://attend.expowest.com/event/natural-products-expo-west-2026/exhibitor/RXhoaWJpdG9yXzIzNTY4MzE= (2026-10-24, opened); why_now &lt;- https://startupcpg.com/startup-cpg-newswire-luba-libations-expands-midwest-footprint-with-breakthru-beverage-partnership-in-minnesota/ (2026-10-24, opened); why_now_url &lt;- https://startupcpg.com/startup-cpg-newswire-luba-libations-expands-midwest-footprint-with-breakthru-beverage-partnership-in-minnesota/ (2026-10-24, opened); why_now_date &lt;- https://startupcpg.com/startup-cpg-newswire-luba-libations-expands-midwest-footprint-with-breakthru-beverage-partnership-in-minnesota/ (2026-10-24, opened); startup_cpg_member &lt;- https://startupcpg.com/startup-cpg-newswire-luba-libations-expands-midwest-footprint-with-breakthru-beverage-partnership-in-minnesota/ (2026-10-24, opened); startup_cpg_evidence_url &lt;- https://startupcpg.com/startup-cpg-newswire-luba-libations-selected-as-emerging-brand-for-2026-nourishing-change-conference/ (2026-10-24, opened); </t>
  </si>
  <si>
    <t xml:space="preserve">AB-309</t>
  </si>
  <si>
    <t xml:space="preserve">Smolbol (Mismi Foods)</t>
  </si>
  <si>
    <t xml:space="preserve">Northeast brand, no graded store within ten blocks, online store only, news 118 days ago, revenue unknown, no contact named; founder review: claim-borderline.</t>
  </si>
  <si>
    <t xml:space="preserve">Exhibited in the Startup CPG pavilion at the 2026 Summer Fancy Food Show</t>
  </si>
  <si>
    <t xml:space="preserve">https://events.specialtyfood.com/event/2026-summer-fancy-food-show/exhibitor/RXhoaWJpdG9yXzI0NTExNTY=</t>
  </si>
  <si>
    <t xml:space="preserve">Smolbol Sea Salt cassava-coated peanuts, 1.75 oz on-the-go pack</t>
  </si>
  <si>
    <t xml:space="preserve">https://www.amazon.com/smolbol</t>
  </si>
  <si>
    <t xml:space="preserve">Homepage calls it a 'guilt-free, energy-boosting snack' (vague benefit wording; check the pack). Peanut product, so expect office allergen vetoes. Buy path not confirmed ('buy now' link not followed to a store)</t>
  </si>
  <si>
    <t xml:space="preserve">https://www.smolbol.com</t>
  </si>
  <si>
    <t xml:space="preserve">Coated roasted peanuts in sealed 1.75 oz and 6 oz bags; shelf life not stated</t>
  </si>
  <si>
    <t xml:space="preserve">https://www.instagram.com/enjoysmolbol/</t>
  </si>
  <si>
    <t xml:space="preserve">BR5:45</t>
  </si>
  <si>
    <t xml:space="preserve">SFFS 2026 as Mismi Foods LLC (State: Massachusetts). Startup CPG pavilion: 'crunchy coated peanut snack... Inspired by a beloved Brazilian snack tradition... Available in 5 flavors'. 1.75 oz packs fit a single-serve drop. | Stage 1 online-store check 2026-10-24: Brand homepage links an Amazon store and has a cart (Amazon page not opened; founder to confirm discount-code ability) (https://www.smolbol.com)</t>
  </si>
  <si>
    <t xml:space="preserve">online_store &lt;- https://www.smolbol.com (2026-10-24, opened, stage 1); </t>
  </si>
  <si>
    <t xml:space="preserve">AB-294</t>
  </si>
  <si>
    <t xml:space="preserve">Snackios</t>
  </si>
  <si>
    <t xml:space="preserve">Exhibited at the 2026 Summer Fancy Food Show with a new product flagged</t>
  </si>
  <si>
    <t xml:space="preserve">https://events.specialtyfood.com/event/2026-summer-fancy-food-show/exhibitor/RXhoaWJpdG9yXzIzMTc3OTU=</t>
  </si>
  <si>
    <t xml:space="preserve">Snackios Sea Salt Pita Chips, 2 oz bag</t>
  </si>
  <si>
    <t xml:space="preserve">https://snackios.com/2-oz-bags/</t>
  </si>
  <si>
    <t xml:space="preserve">Founder and NJ town not named on pages opened. 'Baked fresh daily' with no stated shelf life. Seed-oil-free and 'better-for-you' wording, no health claim seen</t>
  </si>
  <si>
    <t xml:space="preserve">https://snackios.com</t>
  </si>
  <si>
    <t xml:space="preserve">Baked pita and bagel chips in 2 oz, 4 oz and 6 oz bags sold online; a reviewer notes 'a good expiration date'</t>
  </si>
  <si>
    <t xml:space="preserve">Locator page is script-rendered; a customer review mentions Food Lion</t>
  </si>
  <si>
    <t xml:space="preserve">https://www.instagram.com/snackios</t>
  </si>
  <si>
    <t xml:space="preserve">BR5:30</t>
  </si>
  <si>
    <t xml:space="preserve">SFFS 2026 (State: New Jersey): 'family-operated, women-owned manufacturer of artisan pita and bagel chips based in New Jersey... 8 craveable' flavors. 2 oz bags fit a single-serve drop.</t>
  </si>
  <si>
    <t xml:space="preserve">AB-214</t>
  </si>
  <si>
    <t xml:space="preserve">Brothers All Natural</t>
  </si>
  <si>
    <t xml:space="preserve">New York State brand, no graded store within ten blocks, online store only, news 185 days ago, revenue unknown, no contact named; founder review: other.</t>
  </si>
  <si>
    <t xml:space="preserve">Parent Brothers International announced an SK Capital recapitalization for accelerated growth (2026-04-22) and hired former PepsiCo executive Melissa McCormack as VP, CPG Sales for Brothers All Natural (2026-03-31)</t>
  </si>
  <si>
    <t xml:space="preserve">https://www.brothersinternational.com/press</t>
  </si>
  <si>
    <t xml:space="preserve">2026-04-22</t>
  </si>
  <si>
    <t xml:space="preserve">https://brothersallnatural.com/faq/</t>
  </si>
  <si>
    <t xml:space="preserve">Strawberry Freeze Dried Fruit Crisps 1 oz bag (8-pack); Apple Cinnamon 0.35 oz (24-pack)</t>
  </si>
  <si>
    <t xml:space="preserve">Rochester (parent Brothers International: 1175 Lexington Avenue, Rochester, NY 14606)</t>
  </si>
  <si>
    <t xml:space="preserve">https://brothersallnatural.com</t>
  </si>
  <si>
    <t xml:space="preserve">Kids and Disney-licensed line (site nav shows Disney); nutrient-content wording ('zero grams of fat', '30-80 calories per serving')</t>
  </si>
  <si>
    <t xml:space="preserve">Brand FAQ: freeze-drying 'allows foods to be stored at room temperature for one year or longer'</t>
  </si>
  <si>
    <t xml:space="preserve">Store finder (not machine-readable)</t>
  </si>
  <si>
    <t xml:space="preserve">https://brothersallnatural.com/store-locator/</t>
  </si>
  <si>
    <t xml:space="preserve">https://www.instagram.com/brothersallnatural</t>
  </si>
  <si>
    <t xml:space="preserve">BR4:9</t>
  </si>
  <si>
    <t xml:space="preserve">Footer: Brothers International Food Holdings, LLC. Not found in WFM cluster catalogs on 2026-10-23.</t>
  </si>
  <si>
    <t xml:space="preserve">hq_city &lt;- https://www.brothersinternational.com/press (2026-10-24, opened); hq_state &lt;- https://www.brothersinternational.com/press (2026-10-24, opened); why_now &lt;- https://www.brothersinternational.com/press (2026-10-24, opened); why_now_url &lt;- https://www.brothersinternational.com/press (2026-10-24, opened); why_now_date &lt;- https://www.brothersinternational.com/press (2026-10-24, opened); </t>
  </si>
  <si>
    <t xml:space="preserve">AB-094</t>
  </si>
  <si>
    <t xml:space="preserve">Lagusta's Luscious</t>
  </si>
  <si>
    <t xml:space="preserve">New York State brand, no graded store within ten blocks, online store only, a new store listing 7 days ago, revenue unknown, contact seen only in a snippet; founder review: other.</t>
  </si>
  <si>
    <t xml:space="preserve">Fall 2026 collections (Sweet Hauntings Box, Thanksliving) on brand store; Wirecutter top pick noted on product name</t>
  </si>
  <si>
    <t xml:space="preserve">https://lagustasluscious.com/</t>
  </si>
  <si>
    <t xml:space="preserve">2026-10-17</t>
  </si>
  <si>
    <t xml:space="preserve">https://lagustasluscious.com/pages/about-us</t>
  </si>
  <si>
    <t xml:space="preserve">https://lagustasluscious.com/pages/press</t>
  </si>
  <si>
    <t xml:space="preserve">Peanut Butter Caramel Bar; Earl Grey Bar (vegan)</t>
  </si>
  <si>
    <t xml:space="preserve">New Paltz</t>
  </si>
  <si>
    <t xml:space="preserve">https://lagustasluscious.com</t>
  </si>
  <si>
    <t xml:space="preserve">Artisan handmade confections, shelf life unknown and likely small volume; some product names may draw office vetoes; 60-day shelf life not stated</t>
  </si>
  <si>
    <t xml:space="preserve">Brand FAQ: caramel and bars with a caramel layer keep up to three months; filled non-caramel bonbons should be eaten within one month. Store at cool room temperature.</t>
  </si>
  <si>
    <t xml:space="preserve">Own shop (brand about page mentions shop with drinks and pastries)</t>
  </si>
  <si>
    <t xml:space="preserve">Yearwood</t>
  </si>
  <si>
    <t xml:space="preserve">surname on brand press page; first name Lagusta implied by the brand name, founder to confirm</t>
  </si>
  <si>
    <t xml:space="preserve">https://www.instagram.com/lagustasluscious/</t>
  </si>
  <si>
    <t xml:space="preserve">BR2:32</t>
  </si>
  <si>
    <t xml:space="preserve">Founded 2003; social-justice and vegan positioning. Weekly Saturday restocks suggest limited capacity for 275 units. Spot check 2026-10-23: about page lists 'New Paltz, NY 12561' (HQ corrected from 'unknown') and also a 'New York, New York' location (possible NYC shop; address not captured, founder to confirm). Why-now date from Shopify publish date.</t>
  </si>
  <si>
    <t xml:space="preserve">shelf_stable_basis &lt;- https://lagustasluscious.com/pages/faq (2026-10-24, opened); founder_name &lt;- https://lagustasluscious.com/pages/press (2026-10-24, opened); founder_title &lt;- https://lagustasluscious.com/pages/press (2026-10-24, opened); </t>
  </si>
  <si>
    <t xml:space="preserve">AB-178</t>
  </si>
  <si>
    <t xml:space="preserve">Rockaway Soda</t>
  </si>
  <si>
    <t xml:space="preserve">Bridget</t>
  </si>
  <si>
    <t xml:space="preserve">Firtle</t>
  </si>
  <si>
    <t xml:space="preserve">New York City brand, no graded store within ten blocks, online store only, no dated why-now in the last 12 months, revenue unknown, contact named; founder review: claim-borderline.</t>
  </si>
  <si>
    <t xml:space="preserve">https://drinkrockaway.com/pages/story</t>
  </si>
  <si>
    <t xml:space="preserve">find Bridget Firtle at Rockaway Soda on LinkedIn and paste the profile URL; founder review (claim-borderline): read founder_review_reason first</t>
  </si>
  <si>
    <t xml:space="preserve">https://amny.com/news/queens-entrepreneur-rockaway-sparkling-water-company</t>
  </si>
  <si>
    <t xml:space="preserve">ROCKAWAY Pineapple Ginger soda (real fruit, 7 g organic cane sugar), can</t>
  </si>
  <si>
    <t xml:space="preserve">Queens (Rockaway, New York City)</t>
  </si>
  <si>
    <t xml:space="preserve">https://drinkrockaway.com</t>
  </si>
  <si>
    <t xml:space="preserve">No current retailer found (Pop Up Grocer lists it as a past brand); 'healthier sodas' wording is soft but check label; 60-day shelf life not stated</t>
  </si>
  <si>
    <t xml:space="preserve">independently owned (story page)</t>
  </si>
  <si>
    <t xml:space="preserve">https://popupgrocer.com/products/rockaway-soda</t>
  </si>
  <si>
    <t xml:space="preserve">Bridget Firtle</t>
  </si>
  <si>
    <t xml:space="preserve">https://instagram.com/drinkrockaway</t>
  </si>
  <si>
    <t xml:space="preserve">BR3:52</t>
  </si>
  <si>
    <t xml:space="preserve">Story: Born in a special place in New York City (Rockaway), 1% of sales for the ocean, women-owned per Pop Up Grocer. Newest store listing is lime-mint (2025-08-19), outside the 12-month window, so no current why-now.</t>
  </si>
  <si>
    <t xml:space="preserve">hq_city &lt;- https://drinkrockaway.com/policies/privacy-policy (2026-10-24, opened); founder_name &lt;- https://amny.com/news/queens-entrepreneur-rockaway-sparkling-water-company (2026-10-24, opened); founder_title &lt;- https://amny.com/news/queens-entrepreneur-rockaway-sparkling-water-company (2026-10-24, opened); founder_profile_url &lt;- https://amny.com/news/queens-entrepreneur-rockaway-sparkling-water-company (2026-10-24, opened); </t>
  </si>
  <si>
    <t xml:space="preserve">AB-114</t>
  </si>
  <si>
    <t xml:space="preserve">Knipschildt Chocolatier (Chocopologie)</t>
  </si>
  <si>
    <t xml:space="preserve">Fritz</t>
  </si>
  <si>
    <t xml:space="preserve">Knipschildt</t>
  </si>
  <si>
    <t xml:space="preserve">Northeast brand, store page shows Whole Foods Market NoMad inside the cluster, no dated why-now in the last 12 months, revenue unknown, contact named; founder review: not-emerging, perishable-risk, alcohol-adjacent.</t>
  </si>
  <si>
    <t xml:space="preserve">https://chocopologie.com/pages/about-us-1</t>
  </si>
  <si>
    <t xml:space="preserve">find Fritz Knipschildt at Knipschildt Chocolatier (Chocopologie) on LinkedIn and paste the profile URL; before using the retailer line, check Whole Foods Market NoMad still lists it: https://www.wholefoodsmarket.com/search?text=Knipschildt%20Chocolatier with your store set to NoMad (catalogs change daily); founder review (not-emerging, perishable-risk, alcohol-adjacent): read founder_review_reason first</t>
  </si>
  <si>
    <t xml:space="preserve">https://chocopologie.com/</t>
  </si>
  <si>
    <t xml:space="preserve">Sea Salt Caramel Collection 2.1 oz; truffle collections</t>
  </si>
  <si>
    <t xml:space="preserve">Norwalk</t>
  </si>
  <si>
    <t xml:space="preserve">https://chocopologie.com</t>
  </si>
  <si>
    <t xml:space="preserve">Luxury truffle maker; perishable cakes in line and an espresso martini truffle (check alcohol); not an emerging snack brand; 60-day shelf life not stated</t>
  </si>
  <si>
    <t xml:space="preserve">not-emerging;perishable-risk;alcohol-adjacent</t>
  </si>
  <si>
    <t xml:space="preserve">Product page (La Madeline au Truffle): 'Product has a 7 day shelf life' and ships Next Day Air. No shelf-life figure found for bars.</t>
  </si>
  <si>
    <t xml:space="preserve">https://www.wholefoodsmarket.com/api/search?text=knipschildt&amp;store=10162&amp;limit=60&amp;offset=0; https://www.wholefoodsmarket.com/api/search?text=knipschildt&amp;store=10773&amp;limit=60&amp;offset=0; https://www.wholefoodsmarket.com/api/search?text=knipschildt&amp;store=10131&amp;limit=60&amp;offset=0</t>
  </si>
  <si>
    <t xml:space="preserve">Fritz Knipschildt</t>
  </si>
  <si>
    <t xml:space="preserve">https://www.instagram.com/fritzknipschildt/</t>
  </si>
  <si>
    <t xml:space="preserve">BR2:52</t>
  </si>
  <si>
    <t xml:space="preserve">Last new product on brand store Feb 2026 (Dubai Chocolate Easter Eggs).</t>
  </si>
  <si>
    <t xml:space="preserve">hq_city &lt;- https://chocopologie.com/policies/refund-policy (2026-10-24, opened); hq_state &lt;- https://chocopologie.com/policies/refund-policy (2026-10-24, opened); shelf_stable_basis &lt;- https://chocopologie.com/products/la-madeline-au-truffle (2026-10-24, opened); </t>
  </si>
  <si>
    <t xml:space="preserve">AB-031</t>
  </si>
  <si>
    <t xml:space="preserve">LOVE CORN</t>
  </si>
  <si>
    <t xml:space="preserve">Northeast brand, store page shows Whole Foods Market NoMad inside the cluster, no dated why-now in the last 12 months, revenue unknown, contact seen only in a snippet; founder review: scale.</t>
  </si>
  <si>
    <t xml:space="preserve">Limited Edition Halloween packs on WFM NoMad shelf listing (undated)</t>
  </si>
  <si>
    <t xml:space="preserve">https://www.wholefoodsmarket.com/search?text=love%20corn</t>
  </si>
  <si>
    <t xml:space="preserve">https://lovecorn.com</t>
  </si>
  <si>
    <t xml:space="preserve">no person named on an opened page: not ready; before using the retailer line, check Whole Foods Market NoMad still lists it: https://www.wholefoodsmarket.com/search?text=LOVE%20CORN with your store set to NoMad (catalogs change daily); founder review (scale): read founder_review_reason first</t>
  </si>
  <si>
    <t xml:space="preserve">LOVE CORN Sea Salt crunchy roasted corn, 0.7 oz single bags (20-count)</t>
  </si>
  <si>
    <t xml:space="preserve">Ho-Ho-Kus</t>
  </si>
  <si>
    <t xml:space="preserve">UK-founded, investor-backed brand with wide US distribution; may be above the $10M band (no sourced figure)</t>
  </si>
  <si>
    <t xml:space="preserve">Roasted corn kernels in sealed bags, ambient</t>
  </si>
  <si>
    <t xml:space="preserve">Whole Foods Market; Publix; Kroger; Target (per investor page in search results, not opened)</t>
  </si>
  <si>
    <t xml:space="preserve">https://www.wholefoodsmarket.com/search?text=love%20corn (Union Square, NoMad, Chelsea contexts: 4 oz bags and 0.7 oz x 9 variety pack IN_STOCK 2026-10-23)</t>
  </si>
  <si>
    <t xml:space="preserve">Gavin McCloskey</t>
  </si>
  <si>
    <t xml:space="preserve">search snippet citing the brand site, founded 2016; unverified, founder to confirm</t>
  </si>
  <si>
    <t xml:space="preserve">Missy McCloskey</t>
  </si>
  <si>
    <t xml:space="preserve">https://instagram.com/lovecorn_snacks</t>
  </si>
  <si>
    <t xml:space="preserve">BR1:32</t>
  </si>
  <si>
    <t xml:space="preserve">US returns address Middletown PA (refund policy). NJ office from search snippets only. Love Story page states a 3-year goal to donate 1 million samples and lists Retailer Programs, a sign of an active sampling budget. No dated signal in the last 12 months found (latest brand store product 2025-06).</t>
  </si>
  <si>
    <t xml:space="preserve">hq_city &lt;- https://love-corn.breezy.hr/ (2026-10-24, opened); founder_name &lt;- https://love-corn.breezy.hr/p/839c329e7d69-field-sales-philadelphia-south-jersey-full-time-45-50k/apply (2026-10-24, snippet-unverified); </t>
  </si>
  <si>
    <t xml:space="preserve">AB-046</t>
  </si>
  <si>
    <t xml:space="preserve">Simply 7</t>
  </si>
  <si>
    <t xml:space="preserve">https://www.wholefoodsmarket.com/search?text=simply%207%20lentil</t>
  </si>
  <si>
    <t xml:space="preserve">no person named on an opened page: not ready; before using the retailer line, check Whole Foods Market NoMad still lists it: https://www.wholefoodsmarket.com/search?text=Simply%207 with your store set to NoMad (catalogs change daily); founder review (other): read founder_review_reason first</t>
  </si>
  <si>
    <t xml:space="preserve">Simply 7 Lentil Chips, Sea Salt, 4 oz</t>
  </si>
  <si>
    <t xml:space="preserve">Brand site unreachable through proxy on 2026-10-23; owner and HQ unconfirmed; no online store: buy path is the store only</t>
  </si>
  <si>
    <t xml:space="preserve">https://www.simply7snacks.com</t>
  </si>
  <si>
    <t xml:space="preserve">Bagged lentil chips, ambient</t>
  </si>
  <si>
    <t xml:space="preserve">https://www.wholefoodsmarket.com/search?text=simply%207%20lentil (Sea Salt and Jalapeño 4 oz IN_STOCK in each cluster store context, 2026-10-23)</t>
  </si>
  <si>
    <t xml:space="preserve">Rashim Oberoi</t>
  </si>
  <si>
    <t xml:space="preserve">search snippet; unverified, founder to confirm</t>
  </si>
  <si>
    <t xml:space="preserve">BR1:47</t>
  </si>
  <si>
    <t xml:space="preserve">Shelf presence confirmed; everything else needs a second pass.</t>
  </si>
  <si>
    <t xml:space="preserve">website &lt;- https://www.simply7snacks.com/ (2026-10-24, opened); hq_city &lt;- https://www.simply7snacks.com/contact/ (2026-10-24, opened); hq_state &lt;- https://www.simply7snacks.com/contact/ (2026-10-24, opened); founder_name &lt;- https://theshelbyreport.com/2014/01/16/simply7-snacks-debuts-gluten-free-certified-quinoa-chip-line (2026-10-24, snippet-unverified); </t>
  </si>
  <si>
    <t xml:space="preserve">AB-064</t>
  </si>
  <si>
    <t xml:space="preserve">Guinness Steak Cuts (Sidari Artisan Brands)</t>
  </si>
  <si>
    <t xml:space="preserve">Elizabeth</t>
  </si>
  <si>
    <t xml:space="preserve">Brauser</t>
  </si>
  <si>
    <t xml:space="preserve">Co-founder, Sidari Artisan Brands</t>
  </si>
  <si>
    <t xml:space="preserve">Brand based outside the Northeast, no graded store within ten blocks, online store only, news 32 days ago, revenue unknown, contact named; founder review: alcohol-adjacent.</t>
  </si>
  <si>
    <t xml:space="preserve">Debuted NY-Style Pastrami and The Spicy Blend flavors at the NACS Show, expanding the line from three to five flavors</t>
  </si>
  <si>
    <t xml:space="preserve">https://www.snackandbakery.com/articles/116326-guinness-steak-cuts-adds-two-new-flavors-to-lineup</t>
  </si>
  <si>
    <t xml:space="preserve">https://startupcpg.com/startup-cpg-newswire-steak-not-jerky-sidari-artisan-brands-partners-with-guinness-to-bring-the-steakhouse-to-the-snack-aisle/</t>
  </si>
  <si>
    <t xml:space="preserve">find Elizabeth Brauser at Guinness Steak Cuts (Sidari Artisan Brands) on LinkedIn and paste the profile URL; founder review (alcohol-adjacent): read founder_review_reason first</t>
  </si>
  <si>
    <t xml:space="preserve">Guinness Steak Cuts, Original (Pot Roast)</t>
  </si>
  <si>
    <t xml:space="preserve">https://www.amazon.com/Guinness-Steak-Original-Flavor-Ounce/dp</t>
  </si>
  <si>
    <t xml:space="preserve">Licensed beer brand (marinated with Guinness 0.0, 'designed to pair with a pint'); offices may veto alcohol-adjacent branding; shelf stability unconfirmed; 60-day shelf life not stated</t>
  </si>
  <si>
    <t xml:space="preserve">https://guinnesssteakcuts.com</t>
  </si>
  <si>
    <t xml:space="preserve">Release calls it a steak snack sold on Amazon; storage not stated</t>
  </si>
  <si>
    <t xml:space="preserve">Amazon (national launch April 2026); retail debut fall 2025</t>
  </si>
  <si>
    <t xml:space="preserve">https://www.wholefoodsmarket.com/search?text=guinness%20steak%20cuts (no WFM results, 2026-10-23)</t>
  </si>
  <si>
    <t xml:space="preserve">Elizabeth Brauser</t>
  </si>
  <si>
    <t xml:space="preserve">Mary Santelli</t>
  </si>
  <si>
    <t xml:space="preserve">Mary</t>
  </si>
  <si>
    <t xml:space="preserve">Santelli</t>
  </si>
  <si>
    <t xml:space="preserve">BR1:65</t>
  </si>
  <si>
    <t xml:space="preserve">Release datelined CLEVELAND, OH (April 2026). Not alcohol itself (Guinness 0.0 marinade), but alcohol-brand licensing is flagged for founder review. | Stage 1 online-store check 2026-10-24: Brand homepage 'BUY NOW' buttons go to Amazon (Amazon only; Amazon page not opened; founder to confirm discount-code ability) (https://guinnesssteakcuts.com)</t>
  </si>
  <si>
    <t xml:space="preserve">why_now &lt;- https://www.snackandbakery.com/articles/116326-guinness-steak-cuts-adds-two-new-flavors-to-lineup (2026-10-24, opened); why_now_url &lt;- https://www.snackandbakery.com/articles/116326-guinness-steak-cuts-adds-two-new-flavors-to-lineup (2026-10-24, opened); why_now_date &lt;- https://www.snackandbakery.com/articles/116326-guinness-steak-cuts-adds-two-new-flavors-to-lineup (2026-10-24, opened); online_store &lt;- https://guinnesssteakcuts.com (2026-10-24, opened, stage 1); </t>
  </si>
  <si>
    <t xml:space="preserve">AB-179</t>
  </si>
  <si>
    <t xml:space="preserve">Ample Hydration</t>
  </si>
  <si>
    <t xml:space="preserve">Noah</t>
  </si>
  <si>
    <t xml:space="preserve">Fischman</t>
  </si>
  <si>
    <t xml:space="preserve">Northeast brand, no graded store within ten blocks, online store only, a new store listing 115 days ago, revenue unknown, contact named; founder review: claim-borderline.</t>
  </si>
  <si>
    <t xml:space="preserve">Added to Pop Up Grocer NYC Flagship directory; Pure Maple Water relisted on own store 2026-05-29; now shipping to Canada</t>
  </si>
  <si>
    <t xml:space="preserve">https://popupgrocer.com/products/ample-hydration</t>
  </si>
  <si>
    <t xml:space="preserve">https://drinkample.com/pages/faqs</t>
  </si>
  <si>
    <t xml:space="preserve">find Noah Fischman at Ample Hydration on LinkedIn and paste the profile URL; founder review (claim-borderline): read founder_review_reason first</t>
  </si>
  <si>
    <t xml:space="preserve">https://drinkample.com/pages/our-story</t>
  </si>
  <si>
    <t xml:space="preserve">Ample Pure Maple Water (organic, one ingredient, 35 calories), can</t>
  </si>
  <si>
    <t xml:space="preserve">Englewood Cliffs</t>
  </si>
  <si>
    <t xml:space="preserve">https://drinkample.com</t>
  </si>
  <si>
    <t xml:space="preserve">'Hydration' and naturally occurring electrolytes positioning (check label for claims); single SKU; HQ not found</t>
  </si>
  <si>
    <t xml:space="preserve">FAQ: 'Ample is shelf stable, so unopened cans can be stored at room temperature' (drinkample.com/pages/faqs, opened 2026-10-23)</t>
  </si>
  <si>
    <t xml:space="preserve">Pop Up Grocer (brand_claim, unplaced)</t>
  </si>
  <si>
    <t xml:space="preserve">Pop Up Grocer NYC Flagship, 205 Bleecker St (retailer directory); store locator page not readable</t>
  </si>
  <si>
    <t xml:space="preserve">Noah Fischman</t>
  </si>
  <si>
    <t xml:space="preserve">BR3:53</t>
  </si>
  <si>
    <t xml:space="preserve">Jewish-owned per Pop Up Grocer directory. A clean, plain product for an office pantry.</t>
  </si>
  <si>
    <t xml:space="preserve">hq_city &lt;- https://drinkample.com/policies/privacy-policy (2026-10-24, opened); hq_state &lt;- https://drinkample.com/policies/privacy-policy (2026-10-24, opened); </t>
  </si>
  <si>
    <t xml:space="preserve">AB-274</t>
  </si>
  <si>
    <t xml:space="preserve">Claudio's Kitchen</t>
  </si>
  <si>
    <t xml:space="preserve">Claudio</t>
  </si>
  <si>
    <t xml:space="preserve">New York City brand, no graded store within ten blocks, online store only, a new store listing 53 days ago, revenue unknown, contact named (first name only); founder review: perishable-risk.</t>
  </si>
  <si>
    <t xml:space="preserve">Launched a 'Gowanus Bites' cookie of the month</t>
  </si>
  <si>
    <t xml:space="preserve">https://claudioskitchennyc.com/products/cookie-of-the-month-gowanus-bites</t>
  </si>
  <si>
    <t xml:space="preserve">https://events.specialtyfood.com/event/2026-summer-fancy-food-show/exhibitor/RXhoaWJpdG9yXzI0MjQ1NjY=</t>
  </si>
  <si>
    <t xml:space="preserve">find Claudio at Claudio's Kitchen on LinkedIn and paste the profile URL; surname not public: take it from LinkedIn; founder review (perishable-risk): read founder_review_reason first</t>
  </si>
  <si>
    <t xml:space="preserve">https://claudioskitchennyc.com</t>
  </si>
  <si>
    <t xml:space="preserve">Cookie of the Month 'Gowanus Bites'; Rainbow cookies; Palmier</t>
  </si>
  <si>
    <t xml:space="preserve">Brooklyn (Gowanus, 11215)</t>
  </si>
  <si>
    <t xml:space="preserve">Fresh-baked Italian cookies shipped weekly; 60-day shelf life and retail labeling unconfirmed, so it may fail the perishable gate; 60-day shelf life not stated</t>
  </si>
  <si>
    <t xml:space="preserve">Homepage says 'Shipped Fresh from Our Brooklyn Kitchen Weekly'; no shelf life stated</t>
  </si>
  <si>
    <t xml:space="preserve">Claudio's Kitchen shop (unverified, unplaced)</t>
  </si>
  <si>
    <t xml:space="preserve">Own Gowanus coffee shop</t>
  </si>
  <si>
    <t xml:space="preserve">https://www.instagram.com/claudioskitchennyc/</t>
  </si>
  <si>
    <t xml:space="preserve">BR5:10</t>
  </si>
  <si>
    <t xml:space="preserve">SFFS 2026 exhibitor (Bread &amp; Bakery, In The Fancy Bodega). Founder story: Rome-born, moved to New York in 2015. why_now date is Shopify published_at.</t>
  </si>
  <si>
    <t xml:space="preserve">AB-191</t>
  </si>
  <si>
    <t xml:space="preserve">Pop &amp; Bottle</t>
  </si>
  <si>
    <t xml:space="preserve">Jash</t>
  </si>
  <si>
    <t xml:space="preserve">Mehta</t>
  </si>
  <si>
    <t xml:space="preserve">Co-Founder and CEO</t>
  </si>
  <si>
    <t xml:space="preserve">HQ unknown, no graded store within ten blocks, online store only, a new store listing 22 days ago, revenue unknown, contact named; founder review: claim-borderline.</t>
  </si>
  <si>
    <t xml:space="preserve">New matcha almond milk lattes (Blueberry, Strawberry, Vanilla Bean), Organic Decaf Cold Brew and Matcha Coconut Water listed</t>
  </si>
  <si>
    <t xml:space="preserve">https://www.popandbottle.com/products.json</t>
  </si>
  <si>
    <t xml:space="preserve">https://www.popandbottle.com/pages/our-story</t>
  </si>
  <si>
    <t xml:space="preserve">find Jash Mehta at Pop &amp; Bottle on LinkedIn and paste the profile URL; founder review (claim-borderline): read founder_review_reason first</t>
  </si>
  <si>
    <t xml:space="preserve">https://karagoldin.com/podcasts/jash-mehta/</t>
  </si>
  <si>
    <t xml:space="preserve">Pop &amp; Bottle Vanilla Bean Matcha almond milk latte; Organic Decaf Cold Brew</t>
  </si>
  <si>
    <t xml:space="preserve">https://www.popandbottle.com</t>
  </si>
  <si>
    <t xml:space="preserve">One SKU contains marine collagen (check other SKUs for functional add-ins); tree-nut allergen (almond milk); HQ not found</t>
  </si>
  <si>
    <t xml:space="preserve">Brand FAQ: oat milk lattes are pantry friendly and do not need to be refrigerated (popandbottle.com/pages/faq, opened 2026-10-24); shelf-life length not stated</t>
  </si>
  <si>
    <t xml:space="preserve">Pop Up Grocer (past brand, directory); GoToAisle locator not readable</t>
  </si>
  <si>
    <t xml:space="preserve">https://popupgrocer.com/products/pop-bottle</t>
  </si>
  <si>
    <t xml:space="preserve">Jash Mehta</t>
  </si>
  <si>
    <t xml:space="preserve">Charis Lee</t>
  </si>
  <si>
    <t xml:space="preserve">Charis</t>
  </si>
  <si>
    <t xml:space="preserve">Sr. Brand Manager</t>
  </si>
  <si>
    <t xml:space="preserve">https://instagram.com/popandbottle</t>
  </si>
  <si>
    <t xml:space="preserve">BR3:65</t>
  </si>
  <si>
    <t xml:space="preserve">Dates are Shopify publish dates; new items show $0.00 (pre-launch or retail-only).</t>
  </si>
  <si>
    <t xml:space="preserve">founder_name &lt;- https://karagoldin.com/podcasts/jash-mehta/ (2026-10-24, opened); founder_title &lt;- https://karagoldin.com/podcasts/jash-mehta/ (2026-10-24, opened); shelf_stable &lt;- https://www.popandbottle.com/pages/faq (2026-10-24, opened); shelf_stable_basis &lt;- https://www.popandbottle.com/pages/faq (2026-10-24, opened); marketing_name &lt;- https://attend.expowest.com/event/natural-products-expo-west-2026/exhibitor/RXhoaWJpdG9yXzIzNTg4MTU= (2026-10-24, opened); marketing_title &lt;- https://attend.expowest.com/event/natural-products-expo-west-2026/exhibitor/RXhoaWJpdG9yXzIzNTg4MTU= (2026-10-24, opened); founder_profile_url &lt;- https://karagoldin.com/podcasts/jash-mehta/ (2026-10-24, opened); </t>
  </si>
  <si>
    <t xml:space="preserve">https://attend.expowest.com/event/natural-products-expo-west-2026/exhibitor/RXhoaWJpdG9yXzIzNTg4MTU=</t>
  </si>
  <si>
    <t xml:space="preserve">AB-269</t>
  </si>
  <si>
    <t xml:space="preserve">Skinny Earth</t>
  </si>
  <si>
    <t xml:space="preserve">Pat</t>
  </si>
  <si>
    <t xml:space="preserve">New York State brand, no graded store within ten blocks, online store only, a new store listing 63 days ago, revenue unknown, contact named (first name only); founder review: format.</t>
  </si>
  <si>
    <t xml:space="preserve">Added Sweet Plantain Chips to its online store</t>
  </si>
  <si>
    <t xml:space="preserve">https://skinnyearth.com/products/sweet-plantain-chips</t>
  </si>
  <si>
    <t xml:space="preserve">2026-08-22</t>
  </si>
  <si>
    <t xml:space="preserve">https://events.specialtyfood.com/event/2026-summer-fancy-food-show/exhibitor/RXhoaWJpdG9yXzI0NjQ3ODM=</t>
  </si>
  <si>
    <t xml:space="preserve">find Pat at Skinny Earth on LinkedIn and paste the profile URL; surname not public: take it from LinkedIn; founder review (format): read founder_review_reason first</t>
  </si>
  <si>
    <t xml:space="preserve">Green Plantain Chips; Gluten Free Pink Salt D'Crisp</t>
  </si>
  <si>
    <t xml:space="preserve">Long Island (town unknown)</t>
  </si>
  <si>
    <t xml:space="preserve">https://skinnyearth.com</t>
  </si>
  <si>
    <t xml:space="preserve">Bag size and single-serve format not confirmed ($9.99 listings); brand also sells pancake mix and oatmeal (not eligible SKUs)</t>
  </si>
  <si>
    <t xml:space="preserve">Bagged chips and crisps sold ambient online; shelf life not stated</t>
  </si>
  <si>
    <t xml:space="preserve">unknown (SFFS listing flags 'In The Fancy Bodega')</t>
  </si>
  <si>
    <t xml:space="preserve">Èfè</t>
  </si>
  <si>
    <t xml:space="preserve">https://www.instagram.com/skinnyearth/</t>
  </si>
  <si>
    <t xml:space="preserve">BR5:5</t>
  </si>
  <si>
    <t xml:space="preserve">SFFS 2026 description: 'crafted with all-natural, non-GMO ingredients on Long Island, New York. Founded by mother-daughter team Pat and Èfè, Nigerian American'. why_now date is Shopify published_at.</t>
  </si>
  <si>
    <t xml:space="preserve">AB-252</t>
  </si>
  <si>
    <t xml:space="preserve">Whey Water</t>
  </si>
  <si>
    <t xml:space="preserve">Ujwal</t>
  </si>
  <si>
    <t xml:space="preserve">Trivedi</t>
  </si>
  <si>
    <t xml:space="preserve">Northeast brand, no graded store within ten blocks, online store only, news 219 days ago, revenue unknown, contact named; founder review: claim-borderline.</t>
  </si>
  <si>
    <t xml:space="preserve">Announced May 2026 DTC launch of sparkling protein beverage</t>
  </si>
  <si>
    <t xml:space="preserve">https://startupcpg.com/startup-cpg-newswire-whey-water-announces-may-2026-launch-of-sparkling-protein-beverage/</t>
  </si>
  <si>
    <t xml:space="preserve">2026-03-19</t>
  </si>
  <si>
    <t xml:space="preserve">find Ujwal Trivedi at Whey Water on LinkedIn and paste the profile URL; founder review (claim-borderline): read founder_review_reason first</t>
  </si>
  <si>
    <t xml:space="preserve">Sparkling protein beverage, 12 oz can (18g whey protein isolate, 5g sugar)</t>
  </si>
  <si>
    <t xml:space="preserve">Metuchen</t>
  </si>
  <si>
    <t xml:space="preserve">https://drinkwheywater.com</t>
  </si>
  <si>
    <t xml:space="preserve">Protein drink positioned for post-workout and the workday; protein nutrient claims; dairy-based (confirm ambient storage)</t>
  </si>
  <si>
    <t xml:space="preserve">Brand FAQ: store at room temperature; commercial heat pasteurization for shelf stability; no months stated | brand FAQ; no shelf-life figure, founder to confirm 60+ days</t>
  </si>
  <si>
    <t xml:space="preserve">No sales figure published. DTC launch scheduled May 2026 (Startup CPG 2026-03-19)</t>
  </si>
  <si>
    <t xml:space="preserve">DTC (drinkwheywater.com)</t>
  </si>
  <si>
    <t xml:space="preserve">Ujwal Trivedi</t>
  </si>
  <si>
    <t xml:space="preserve">BR4:47</t>
  </si>
  <si>
    <t xml:space="preserve">Release explicitly names 'on-the-go consumption during the workday' as an occasion.</t>
  </si>
  <si>
    <t xml:space="preserve">shelf_stable &lt;- https://drinkwheywater.com/pages/faq (2026-10-24, opened); shelf_stable_basis &lt;- https://drinkwheywater.com/pages/faq (2026-10-24, opened); </t>
  </si>
  <si>
    <t xml:space="preserve">AB-140</t>
  </si>
  <si>
    <t xml:space="preserve">Nguyen Coffee Supply</t>
  </si>
  <si>
    <t xml:space="preserve">Sahra</t>
  </si>
  <si>
    <t xml:space="preserve">New York City brand, no graded store within ten blocks, online store only, a new store listing 221 days ago, revenue unknown, contact named; founder review: dormant, claim-borderline.</t>
  </si>
  <si>
    <t xml:space="preserve">Launched Vietnamese Coffee Ground Espresso on its store (not the RTD line)</t>
  </si>
  <si>
    <t xml:space="preserve">https://nguyencoffeesupply.com/products/vietnamese-coffee-ground-espresso</t>
  </si>
  <si>
    <t xml:space="preserve">https://nguyencoffeesupply.com/pages/about-us</t>
  </si>
  <si>
    <t xml:space="preserve">find Sahra Nguyen at Nguyen Coffee Supply on LinkedIn and paste the profile URL; founder review (dormant, claim-borderline): read founder_review_reason first</t>
  </si>
  <si>
    <t xml:space="preserve">Vietnamese Coffee RTD cans: Espresso Black, Condensed Milk Latte, Coconut Milk Latte</t>
  </si>
  <si>
    <t xml:space="preserve">https://nguyencoffeesupply.com/products/cold-brew-variety-pack</t>
  </si>
  <si>
    <t xml:space="preserve">RTD 6-pack showed 'currently sold out' on own store (2026-10-23), so cans may be paused; core business is roasted coffee. Copy uses 'boost of energy' wording (caffeine, not a structure claim, but check)</t>
  </si>
  <si>
    <t xml:space="preserve">dormant;claim-borderline</t>
  </si>
  <si>
    <t xml:space="preserve">https://nguyencoffeesupply.com</t>
  </si>
  <si>
    <t xml:space="preserve">RTD product copy: 'Shelf stable' (nguyencoffeesupply.com/products.json, cold-brew-variety-pack, read 2026-10-23)</t>
  </si>
  <si>
    <t xml:space="preserve">Business Insider profile: Nguyen Coffee Supply declined to share revenue figures with Insider; founded 2018-11 as a DTC brand roasting in Brooklyn</t>
  </si>
  <si>
    <t xml:space="preserve">Sahra Nguyen</t>
  </si>
  <si>
    <t xml:space="preserve">https://www.instagram.com/nguyencoffeesupply</t>
  </si>
  <si>
    <t xml:space="preserve">BR3:14</t>
  </si>
  <si>
    <t xml:space="preserve">About page: founded 2018 by Sahra Nguyen, roasts in Brooklyn. Runs an 'Office Coffee Program' (seen on product page), so already sells to offices. RTD variety pack first listed 2024-11-25. why_now_date is the Shopify publish date. | Added 2026-10-24: Press release (Nombase newswire 2026-03-18, title and summary only, 403): Ground Espresso is its first product sourced, roasted and packed in Vietnam; Sahra Nguyen named Founder and CEO; available at Whole Foods Market (unverified, founder to confirm). Earlier RTD retail: Target about 500 stores (2024), Whole Foods 280+ (2024), Sprouts 400+ (2025) per World Coffee Portal and Shore Fire headlines in search results</t>
  </si>
  <si>
    <t xml:space="preserve">notes &lt;- https://www.nombase.com/newswire/2026/03/18/nguyen-coffee-supply-launches-ground-espresso-its-first-product-sourced-and-roasted-in-vietnam (2026-10-24, snippet-unverified); revenue_basis &lt;- https://shorefire.com/images/uploads/album/Sahra_Nguyen_Business_Insider.pdf (2026-10-24, opened); </t>
  </si>
  <si>
    <t xml:space="preserve">AB-279</t>
  </si>
  <si>
    <t xml:space="preserve">Nature's Best Snacks</t>
  </si>
  <si>
    <t xml:space="preserve">New York City brand, no graded store within ten blocks, online store only, no dated why-now in the last 12 months, revenue unknown, no contact named; founder review: other.</t>
  </si>
  <si>
    <t xml:space="preserve">Grab &amp; Go Crunchy ChinChin bite-size cookie snack, 3 oz</t>
  </si>
  <si>
    <t xml:space="preserve">https://naturesbestsnacks.com</t>
  </si>
  <si>
    <t xml:space="preserve">No dated launch or news in the last 12 months; newest online SKU is from 2024. Founder unnamed</t>
  </si>
  <si>
    <t xml:space="preserve">Fried-dough chin chin, plantain chips and caramelized peanuts in sealed bags shipped nationwide; shelf life not stated</t>
  </si>
  <si>
    <t xml:space="preserve">unknown (store locator page has no machine-readable list)</t>
  </si>
  <si>
    <t xml:space="preserve">https://www.instagram.com/naturesbestsnacks/</t>
  </si>
  <si>
    <t xml:space="preserve">BR5:15</t>
  </si>
  <si>
    <t xml:space="preserve">Entrepreneur Space current client: 'Nature's Best Snacks, African Inspired Savory Snacks'. Site: 'Born in Queens. Rooted in West Africa (Cameroon).' Also sells 3.5 oz plantain chips and 5 oz caramelized peanuts.</t>
  </si>
  <si>
    <t xml:space="preserve">AB-128</t>
  </si>
  <si>
    <t xml:space="preserve">Sanzo</t>
  </si>
  <si>
    <t xml:space="preserve">Sandro</t>
  </si>
  <si>
    <t xml:space="preserve">Roco</t>
  </si>
  <si>
    <t xml:space="preserve">New York City brand, no graded store within ten blocks, online store only, no dated why-now in the last 12 months, revenue unknown, contact named; founder review: scale.</t>
  </si>
  <si>
    <t xml:space="preserve">https://drinksanzo.com/pages/about</t>
  </si>
  <si>
    <t xml:space="preserve">find Sandro Roco at Sanzo on LinkedIn and paste the profile URL; founder review (scale): read founder_review_reason first</t>
  </si>
  <si>
    <t xml:space="preserve">Sanzo Calamansi sparkling water, 12 oz can</t>
  </si>
  <si>
    <t xml:space="preserve">https://drinksanzo.com</t>
  </si>
  <si>
    <t xml:space="preserve">Series A funded with 2,000+ doors by 2022; may be above the $10M revenue band (no sourced figure). Store locator is a JS widget (GoToAisle) not readable; no named near-cluster store confirmed</t>
  </si>
  <si>
    <t xml:space="preserve">Series A ($10M, 2022, CircleUp Growth Partners)</t>
  </si>
  <si>
    <t xml:space="preserve">https://www.foodbusinessnews.net/articles/20727-sanzo-raises-10-million-in-series-a-funding</t>
  </si>
  <si>
    <t xml:space="preserve">Brand FAQ: 'Our sparkling water is shelf stable' (drinksanzo.com/pages/faq, opened 2026-10-23)</t>
  </si>
  <si>
    <t xml:space="preserve">Modern Retail 2023-08-02: Sanzo declined to share specific revenue figures; 3,000 retail doors nationwide and household penetration up 300% year over year (no revenue figure)</t>
  </si>
  <si>
    <t xml:space="preserve">Whole Foods Market; Erewhon; Panda Express (foodservice); 2,000+ retail and foodservice outlets (2022 press)</t>
  </si>
  <si>
    <t xml:space="preserve">Sandro Roco</t>
  </si>
  <si>
    <t xml:space="preserve">Kimberly Lam</t>
  </si>
  <si>
    <t xml:space="preserve">Senior Marketing Director</t>
  </si>
  <si>
    <t xml:space="preserve">https://www.instagram.com/drinksanzo</t>
  </si>
  <si>
    <t xml:space="preserve">BR3:2</t>
  </si>
  <si>
    <t xml:space="preserve">Queens-born Filipino American founder; FBN dateline NEW YORK. Whole Foods product page exists for Yuzu 6-pack (wholefoodsmarket.com/grocery/product/...b0bfkcmr99, from search results, not store-specific). No dated signal found in last 12 months.</t>
  </si>
  <si>
    <t xml:space="preserve">marketing_name &lt;- https://www.modernretail.co/marketing/amid-its-retail-expansion-sanzo-is-investing-in-more-nontraditional-collaborations-with-food-and-accessories-brands/ (2026-10-24, opened); marketing_title &lt;- https://www.modernretail.co/marketing/amid-its-retail-expansion-sanzo-is-investing-in-more-nontraditional-collaborations-with-food-and-accessories-brands/ (2026-10-24, opened); revenue_basis &lt;- https://www.modernretail.co/marketing/amid-its-retail-expansion-sanzo-is-investing-in-more-nontraditional-collaborations-with-food-and-accessories-brands/ (2026-10-24, opened); marketing_profile_url &lt;- https://www.modernretail.co/marketing/amid-its-retail-expansion-sanzo-is-investing-in-more-nontraditional-collaborations-with-food-and-accessories-brands/ (2026-10-24, opened); </t>
  </si>
  <si>
    <t xml:space="preserve">https://www.modernretail.co/marketing/amid-its-retail-expansion-sanzo-is-investing-in-more-nontraditional-collaborations-with-food-and-accessories-brands/</t>
  </si>
  <si>
    <t xml:space="preserve">AB-158</t>
  </si>
  <si>
    <t xml:space="preserve">Vita Coco</t>
  </si>
  <si>
    <t xml:space="preserve">Kirban</t>
  </si>
  <si>
    <t xml:space="preserve">CEO per an older press headline quoted on the our-story page</t>
  </si>
  <si>
    <t xml:space="preserve">https://vitacoco.com/pages/our-story</t>
  </si>
  <si>
    <t xml:space="preserve">find Michael Kirban at Vita Coco on LinkedIn and paste the profile URL; founder review (scale): read founder_review_reason first</t>
  </si>
  <si>
    <t xml:space="preserve">Vita Coco Coconut Water, 11.1 oz carton</t>
  </si>
  <si>
    <t xml:space="preserve">https://vitacoco.com</t>
  </si>
  <si>
    <t xml:space="preserve">Large national brand, almost certainly far above the $10M band; recorded as a reference and a possible later standard-tier buyer, not a founding prospect</t>
  </si>
  <si>
    <t xml:space="preserve">Brand FAQ: shelf stable for up to 12 months outside of the fridge (Tetra Pak, flash pasteurized) (vitacoco.com/pages/faq, opened 2026-10-24)</t>
  </si>
  <si>
    <t xml:space="preserve">No figure opened (investor site returned 403)</t>
  </si>
  <si>
    <t xml:space="preserve">unknown (GoToAisle locator not readable)</t>
  </si>
  <si>
    <t xml:space="preserve">Michael Kirban</t>
  </si>
  <si>
    <t xml:space="preserve">Jenny Ly</t>
  </si>
  <si>
    <t xml:space="preserve">Jenny</t>
  </si>
  <si>
    <t xml:space="preserve">Ly</t>
  </si>
  <si>
    <t xml:space="preserve">Brand Activation Manager</t>
  </si>
  <si>
    <t xml:space="preserve">https://www.instagram.com/vitacoco</t>
  </si>
  <si>
    <t xml:space="preserve">BR3:32</t>
  </si>
  <si>
    <t xml:space="preserve">Widely reported as New York-based; HQ not stated on pages opened, so left unknown (founder to confirm).</t>
  </si>
  <si>
    <t xml:space="preserve">hq_city &lt;- https://vitacoco.com/policies/privacy-policy (2026-10-24, opened); hq_state &lt;- https://vitacoco.com/policies/privacy-policy (2026-10-24, opened); shelf_stable &lt;- https://vitacoco.com/pages/faq (2026-10-24, opened); shelf_stable_basis &lt;- https://vitacoco.com/pages/faq (2026-10-24, opened); founder_name &lt;- https://vitacoco.com/pages/our-story (2026-10-24, opened); founder_title &lt;- https://vitacoco.com/pages/our-story (2026-10-24, opened); marketing_name &lt;- https://attend.expowest.com/event/natural-products-expo-west-2026/exhibitor/RXhoaWJpdG9yXzIzNTYzNDU= (2026-10-24, opened); marketing_title &lt;- https://attend.expowest.com/event/natural-products-expo-west-2026/exhibitor/RXhoaWJpdG9yXzIzNTYzNDU= (2026-10-24, opened); </t>
  </si>
  <si>
    <t xml:space="preserve">https://attend.expowest.com/event/natural-products-expo-west-2026/exhibitor/RXhoaWJpdG9yXzIzNTYzNDU=</t>
  </si>
  <si>
    <t xml:space="preserve">AB-050</t>
  </si>
  <si>
    <t xml:space="preserve">DANG Foods</t>
  </si>
  <si>
    <t xml:space="preserve">Brand based outside the Northeast, store page shows Whole Foods Market Union Square inside the cluster, no dated why-now in the last 12 months, revenue unknown, no contact named; founder review: other.</t>
  </si>
  <si>
    <t xml:space="preserve">https://dangfoods.com/pages/our-dang-story</t>
  </si>
  <si>
    <t xml:space="preserve">no person named on an opened page: not ready; before using the retailer line, check Whole Foods Market Union Square still lists it: https://www.wholefoodsmarket.com/search?text=DANG%20Foods with your store set to Union Square (catalogs change daily); founder review (other): read founder_review_reason first</t>
  </si>
  <si>
    <t xml:space="preserve">Dang Sticky Rice Chips, Original, 3.5 oz</t>
  </si>
  <si>
    <t xml:space="preserve">Sausalito</t>
  </si>
  <si>
    <t xml:space="preserve">https://dangfoods.com</t>
  </si>
  <si>
    <t xml:space="preserve">Main office listed as 'Dang Foods at Safe Catch' (Sausalito), which suggests a parent or partner company; budget owner unclear</t>
  </si>
  <si>
    <t xml:space="preserve">Bagged rice chips and toasted coconut chips, ambient</t>
  </si>
  <si>
    <t xml:space="preserve">https://www.wholefoodsmarket.com/search?text=rice%20crackers (Union Square context: Dang Sticky Rice Chips Original and Coconut Crunch 3.5 oz IN_STOCK, category search 2026-10-23)</t>
  </si>
  <si>
    <t xml:space="preserve">BR1:51</t>
  </si>
  <si>
    <t xml:space="preserve">Brand story says the founders lived between NYC and Bangkok.</t>
  </si>
  <si>
    <t xml:space="preserve">AB-051</t>
  </si>
  <si>
    <t xml:space="preserve">Humble Potato Chips Co.</t>
  </si>
  <si>
    <t xml:space="preserve">Brand based outside the Northeast (HQ unverified), store page shows Whole Foods Market NoMad inside the cluster, no dated why-now in the last 12 months, revenue unknown, contact seen only in a snippet; founder review: other.</t>
  </si>
  <si>
    <t xml:space="preserve">Rumbles (ridged) line on WFM NYC shelves (undated)</t>
  </si>
  <si>
    <t xml:space="preserve">https://www.wholefoodsmarket.com/search?text=humble%20potato%20chips</t>
  </si>
  <si>
    <t xml:space="preserve">no person named on an opened page: not ready; before using the retailer line, check Whole Foods Market NoMad still lists it: https://www.wholefoodsmarket.com/search?text=Humble%20Potato%20Chips%20Co. with your store set to NoMad (catalogs change daily); founder review (other): read founder_review_reason first</t>
  </si>
  <si>
    <t xml:space="preserve">Humble Organic Sea Salt Rumbles Potato Chips, 5 oz</t>
  </si>
  <si>
    <t xml:space="preserve">Puslinch or Guelph (unverified, founder to confirm)</t>
  </si>
  <si>
    <t xml:space="preserve">Canadian brand; brand site shows only 'Coming Soon'; HQ and founders from search snippets only; no online store: buy path is the store only</t>
  </si>
  <si>
    <t xml:space="preserve">https://humblepotatochips.com</t>
  </si>
  <si>
    <t xml:space="preserve">Bagged organic potato chips, ambient</t>
  </si>
  <si>
    <t xml:space="preserve">https://www.wholefoodsmarket.com/search?text=humble%20potato%20chips (4 items IN_STOCK in each cluster store context, 2026-10-23)</t>
  </si>
  <si>
    <t xml:space="preserve">Alicia Lahey</t>
  </si>
  <si>
    <t xml:space="preserve">unverified, founder to confirm; search snippets</t>
  </si>
  <si>
    <t xml:space="preserve">Jeff Lahey</t>
  </si>
  <si>
    <t xml:space="preserve">BR1:52</t>
  </si>
  <si>
    <t xml:space="preserve">Strong NYC shelf presence; identity fields need a second pass.</t>
  </si>
  <si>
    <t xml:space="preserve">AB-156</t>
  </si>
  <si>
    <t xml:space="preserve">Slate Milk</t>
  </si>
  <si>
    <t xml:space="preserve">Manny</t>
  </si>
  <si>
    <t xml:space="preserve">Lubin</t>
  </si>
  <si>
    <t xml:space="preserve">Northeast brand, no graded store within ten blocks, online store only, news 66 days ago, revenue unknown, contact named; founder review: scale, claim-borderline.</t>
  </si>
  <si>
    <t xml:space="preserve">LAGO completed a strategic financing facility for Slate (2026-08-19, size not disclosed); raised a 23M Series B to scale US retail distribution (2025-09-22)</t>
  </si>
  <si>
    <t xml:space="preserve">https://www.abfjournal.com/?p=171272</t>
  </si>
  <si>
    <t xml:space="preserve">https://slatemilk.com/pages/our-story</t>
  </si>
  <si>
    <t xml:space="preserve">find Manny Lubin at Slate Milk on LinkedIn and paste the profile URL; founder review (scale, claim-borderline): read founder_review_reason first</t>
  </si>
  <si>
    <t xml:space="preserve">Slate 20g Protein Milk Shake / Protein Iced Coffee, can</t>
  </si>
  <si>
    <t xml:space="preserve">Boston area (Westwood, MA mailing address; press says Boston-based)</t>
  </si>
  <si>
    <t xml:space="preserve">https://slatemilk.com</t>
  </si>
  <si>
    <t xml:space="preserve">Protein positioning (20g to 42g protein, 0g added sugar) is a nutrient-content claim; dairy product (lactose-free) needs allergen care; possibly above $10M (no figure)</t>
  </si>
  <si>
    <t xml:space="preserve">Series B (23M, 2025-09); debt facility from LAGO (2026-08)</t>
  </si>
  <si>
    <t xml:space="preserve">Brand FAQ: 'Our Slate Cans do NOT require refrigeration and remain shelf-stable in your cabinet for months' (slatemilk.com/pages/slate-faqs, opened 2026-10-23)</t>
  </si>
  <si>
    <t xml:space="preserve">unknown (GoToAisle 'Find Stores' widget not readable)</t>
  </si>
  <si>
    <t xml:space="preserve">Manny Lubin</t>
  </si>
  <si>
    <t xml:space="preserve">Josh Belinsky</t>
  </si>
  <si>
    <t xml:space="preserve">Josh</t>
  </si>
  <si>
    <t xml:space="preserve">Belinsky</t>
  </si>
  <si>
    <t xml:space="preserve">https://www.instagram.com/slatemilk</t>
  </si>
  <si>
    <t xml:space="preserve">BR3:30</t>
  </si>
  <si>
    <t xml:space="preserve">Story page: Kickstarter, then ABC Shark Tank appearance. HQ not stated on pages read. Date is Shopify publish date.</t>
  </si>
  <si>
    <t xml:space="preserve">hq_city &lt;- https://www.worldcoffeeportal.com/news/slate-milk-raises-23m-to-scale-rtd-retail-distribution-network (2026-10-24, opened); hq_state &lt;- https://slatemilk.com/policies/privacy-policy (2026-10-24, opened); why_now &lt;- https://www.abfjournal.com/?p=171272 (2026-10-24, opened); why_now_url &lt;- https://www.abfjournal.com/?p=171272 (2026-10-24, opened); why_now_date &lt;- https://www.abfjournal.com/?p=171272 (2026-10-24, opened); funding_stage &lt;- https://www.worldcoffeeportal.com/news/slate-milk-raises-23m-to-scale-rtd-retail-distribution-network (2026-10-24, opened); </t>
  </si>
  <si>
    <t xml:space="preserve">AB-165</t>
  </si>
  <si>
    <t xml:space="preserve">Elmhurst 1925</t>
  </si>
  <si>
    <t xml:space="preserve">Henry</t>
  </si>
  <si>
    <t xml:space="preserve">Schwartz</t>
  </si>
  <si>
    <t xml:space="preserve">New York State brand, no graded store within ten blocks, online store only, a new store listing 130 days ago, revenue unknown, contact named; founder review: scale, claim-borderline.</t>
  </si>
  <si>
    <t xml:space="preserve">Good Housekeeping 2026 Snack Awards named Clean Protein Pistachio Creme Best Protein Drink; Clean Protein line nationwide at Sprouts (press page)</t>
  </si>
  <si>
    <t xml:space="preserve">https://elmhurst1925.com/blogs/press</t>
  </si>
  <si>
    <t xml:space="preserve">https://elmhurst1925.com/pages/our-story</t>
  </si>
  <si>
    <t xml:space="preserve">find Henry Schwartz at Elmhurst 1925 on LinkedIn and paste the profile URL; founder review (scale, claim-borderline): read founder_review_reason first</t>
  </si>
  <si>
    <t xml:space="preserve">Elmhurst Clean Protein Pistachio Creme plant-based protein drink</t>
  </si>
  <si>
    <t xml:space="preserve">Elma</t>
  </si>
  <si>
    <t xml:space="preserve">https://elmhurst1925.com</t>
  </si>
  <si>
    <t xml:space="preserve">Protein positioning (nutrient-content claims); plant-milk maker whose single-serve format is not confirmed; tree-nut and other allergens; may be above $10M (no figure). Destini locator not readable</t>
  </si>
  <si>
    <t xml:space="preserve">Brand FAQ: 'DO I HAVE TO REFRIGERATE MY CARTON? Nope! If the carton or bottle is unopened...' (elmhurst1925.com/pages/faq, opened 2026-10-23)</t>
  </si>
  <si>
    <t xml:space="preserve">Sprouts Farmers Market (Clean Protein nationwide, 2026 press); Pop Up Grocer NYC Flagship, 205 Bleecker St (retailer directory)</t>
  </si>
  <si>
    <t xml:space="preserve">https://elmhurst1925.com/blogs/press; https://popupgrocer.com/products/elmhurst-1925</t>
  </si>
  <si>
    <t xml:space="preserve">Henry Schwartz</t>
  </si>
  <si>
    <t xml:space="preserve">Christie Hartman</t>
  </si>
  <si>
    <t xml:space="preserve">Christie</t>
  </si>
  <si>
    <t xml:space="preserve">Hartman</t>
  </si>
  <si>
    <t xml:space="preserve">https://www.instagram.com/elmhurst1925</t>
  </si>
  <si>
    <t xml:space="preserve">BR3:39</t>
  </si>
  <si>
    <t xml:space="preserve">Our-story: relaunch of New York City's last dairy, Elmhurst (Queens and Brooklyn milk delivery). Current HQ and plant location not stated on pages read (founder to confirm). Clean Protein SKUs listed 2026-02-27.</t>
  </si>
  <si>
    <t xml:space="preserve">hq_city &lt;- https://elmhurst1925.com/policies/terms-of-service (2026-10-24, opened); hq_state &lt;- https://elmhurst1925.com/policies/terms-of-service (2026-10-24, opened); marketing_name &lt;- https://attend.expowest.com/event/natural-products-expo-west-2026/exhibitor/RXhoaWJpdG9yXzIzNTc0MjA= (2026-10-24, opened); marketing_title &lt;- https://attend.expowest.com/event/natural-products-expo-west-2026/exhibitor/RXhoaWJpdG9yXzIzNTc0MjA= (2026-10-24, opened); </t>
  </si>
  <si>
    <t xml:space="preserve">https://attend.expowest.com/event/natural-products-expo-west-2026/exhibitor/RXhoaWJpdG9yXzIzNTc0MjA=</t>
  </si>
  <si>
    <t xml:space="preserve">AB-180</t>
  </si>
  <si>
    <t xml:space="preserve">MODA Mocktails</t>
  </si>
  <si>
    <t xml:space="preserve">Grace</t>
  </si>
  <si>
    <t xml:space="preserve">Hachigian</t>
  </si>
  <si>
    <t xml:space="preserve">Brand based outside the Northeast, no graded store within ten blocks, online store only, a new store listing 16 days ago, revenue in band, contact named; founder review: other.</t>
  </si>
  <si>
    <t xml:space="preserve">Featured in Entrepreneur (2026-10-08): 500k revenue since launch, co-founder Grace Hachigian runs the East Coast from NYC; added to Pop Up Grocer NYC Flagship directory 2026-09-29</t>
  </si>
  <si>
    <t xml:space="preserve">https://www.entrepreneur.com/building-a-business/this-mother-daughter-duo-started-a-sparkling-side-hustle-that-made-500000-in-less-than-a-year</t>
  </si>
  <si>
    <t xml:space="preserve">https://modamocktails.com/about-us-2/</t>
  </si>
  <si>
    <t xml:space="preserve">find Grace Hachigian at MODA Mocktails on LinkedIn and paste the profile URL; founder review (other): read founder_review_reason first</t>
  </si>
  <si>
    <t xml:space="preserve">MODA non-alcoholic canned mocktail</t>
  </si>
  <si>
    <t xml:space="preserve">Newport Beach</t>
  </si>
  <si>
    <t xml:space="preserve">https://modamocktails.com/shop</t>
  </si>
  <si>
    <t xml:space="preserve">Very early: FAQ answers 'Where can I buy MODA?' with 'TBD' and the shop showed no products; HQ unknown | Added 2026-10-24: no longer pre-retail. Entrepreneur 2026-10-08 reports 500k revenue since launch and shelf space at multiple national chains; co-founder Grace Hachigian is NYC-based. Shelf stability still not stated; 60-day shelf life not stated</t>
  </si>
  <si>
    <t xml:space="preserve">https://modamocktails.com</t>
  </si>
  <si>
    <t xml:space="preserve">press quote, cumulative since launch (edge of band)</t>
  </si>
  <si>
    <t xml:space="preserve">Entrepreneur 2026-10-08: MODA has hit $500,000 in revenue since launch earlier this year; $3 million to $5 million projected for 2027 (projection); founders personally invested over $500,000 | about 500k since launch in 2026 (press quote)</t>
  </si>
  <si>
    <t xml:space="preserve">Pop Up Grocer NYC Flagship, 205 Bleecker St (retailer directory)</t>
  </si>
  <si>
    <t xml:space="preserve">https://popupgrocer.com/products/moda-mocktails</t>
  </si>
  <si>
    <t xml:space="preserve">Grace Hachigian</t>
  </si>
  <si>
    <t xml:space="preserve">Sosy Hachigian</t>
  </si>
  <si>
    <t xml:space="preserve">Sosy</t>
  </si>
  <si>
    <t xml:space="preserve">BR3:54</t>
  </si>
  <si>
    <t xml:space="preserve">MODA = mother and daughter (about page). Women-owned per Pop Up Grocer. Brand-new in NYC retail, so a timely but unproven prospect. | Stage 1 online-store check 2026-10-24: WooCommerce shop page with add-to-cart buttons (https://modamocktails.com/shop)</t>
  </si>
  <si>
    <t xml:space="preserve">hq_city &lt;- https://modamocktails.com/pages/contact (2026-10-24, opened); hq_state &lt;- https://modamocktails.com/pages/contact (2026-10-24, opened); founder_name &lt;- https://www.entrepreneur.com/building-a-business/this-mother-daughter-duo-started-a-sparkling-side-hustle-that-made-500000-in-less-than-a-year (2026-10-24, opened); founder_title &lt;- https://www.entrepreneur.com/building-a-business/this-mother-daughter-duo-started-a-sparkling-side-hustle-that-made-500000-in-less-than-a-year (2026-10-24, opened); revenue_band &lt;- https://www.entrepreneur.com/building-a-business/this-mother-daughter-duo-started-a-sparkling-side-hustle-that-made-500000-in-less-than-a-year (2026-10-24, opened); revenue_basis &lt;- https://www.entrepreneur.com/building-a-business/this-mother-daughter-duo-started-a-sparkling-side-hustle-that-made-500000-in-less-than-a-year (2026-10-24, opened); why_now &lt;- https://www.entrepreneur.com/building-a-business/this-mother-daughter-duo-started-a-sparkling-side-hustle-that-made-500000-in-less-than-a-year (2026-10-24, opened); why_now_url &lt;- https://www.entrepreneur.com/building-a-business/this-mother-daughter-duo-started-a-sparkling-side-hustle-that-made-500000-in-less-than-a-year (2026-10-24, opened); why_now_date &lt;- https://www.entrepreneur.com/building-a-business/this-mother-daughter-duo-started-a-sparkling-side-hustle-that-made-500000-in-less-than-a-year (2026-10-24, opened); founder_review_reason &lt;- https://www.entrepreneur.com/building-a-business/this-mother-daughter-duo-started-a-sparkling-side-hustle-that-made-500000-in-less-than-a-year (2026-10-24, opened); founder_profile_url &lt;- https://www.entrepreneur.com/building-a-business/this-mother-daughter-duo-started-a-sparkling-side-hustle-that-made-500000-in-less-than-a-year (2026-10-24, opened); online_store &lt;- https://modamocktails.com/shop (2026-10-24, opened, stage 1); </t>
  </si>
  <si>
    <t xml:space="preserve">AB-295</t>
  </si>
  <si>
    <t xml:space="preserve">Scamps Toffee</t>
  </si>
  <si>
    <t xml:space="preserve">Northeast brand, no graded store within ten blocks, online store only, a new store listing 60 days ago, revenue unknown, contact named (first name only); founder review: other.</t>
  </si>
  <si>
    <t xml:space="preserve">Launched Pumpkin Spice Toffee Popcorn mini-pops for fall 2026</t>
  </si>
  <si>
    <t xml:space="preserve">https://www.scampstoffee.com/products.json</t>
  </si>
  <si>
    <t xml:space="preserve">https://events.specialtyfood.com/event/2026-summer-fancy-food-show/exhibitor/RXhoaWJpdG9yXzI0MjExMjE=</t>
  </si>
  <si>
    <t xml:space="preserve">find Justin at Scamps Toffee on LinkedIn and paste the profile URL; surname not public: take it from LinkedIn; founder review (other): read founder_review_reason first</t>
  </si>
  <si>
    <t xml:space="preserve">https://www.scampstoffee.com/pages/about</t>
  </si>
  <si>
    <t xml:space="preserve">Pumpkin Spice Mini Toffee Popcorn, 3.5 oz bag; No Nut Milk Chocolate Toffee bag</t>
  </si>
  <si>
    <t xml:space="preserve">https://www.scampstoffee.com</t>
  </si>
  <si>
    <t xml:space="preserve">Gift-led confectioner under new owners since 2025; per-unit price high for pantry sampling. No NYC retailer found</t>
  </si>
  <si>
    <t xml:space="preserve">Chocolate-covered toffee and toffee popcorn in sealed bags sold ambient online</t>
  </si>
  <si>
    <t xml:space="preserve">Gift shops and specialty retailers (wholesale page)</t>
  </si>
  <si>
    <t xml:space="preserve">Emily Korns</t>
  </si>
  <si>
    <t xml:space="preserve">Emily</t>
  </si>
  <si>
    <t xml:space="preserve">Korns</t>
  </si>
  <si>
    <t xml:space="preserve">https://www.instagram.com/scampstoffee/</t>
  </si>
  <si>
    <t xml:space="preserve">BR5:31</t>
  </si>
  <si>
    <t xml:space="preserve">SFFS 2026 exhibitor (State: Pennsylvania). No-nut toffee SKUs exist (allergen-friendly option).</t>
  </si>
  <si>
    <t xml:space="preserve">AB-268</t>
  </si>
  <si>
    <t xml:space="preserve">Norwegian Baked</t>
  </si>
  <si>
    <t xml:space="preserve">New York City brand, no graded store within ten blocks, online store only, a new store listing 248 days ago, revenue unknown, no contact named; founder review: format, claim-borderline.</t>
  </si>
  <si>
    <t xml:space="preserve">KnekkeGodis named 2026 sofi Gold (Sweet Snack); new Sea Salt Flakes Knekkebrød added to the online store</t>
  </si>
  <si>
    <t xml:space="preserve">https://norwegianbaked.com/products/sea-salt-flakes-knekkebrod-crispbread</t>
  </si>
  <si>
    <t xml:space="preserve">https://www.specialtyfood.com/awards/sofi-awards/winners/</t>
  </si>
  <si>
    <t xml:space="preserve">no person named on an opened page: not ready; founder review (format, claim-borderline): read founder_review_reason first</t>
  </si>
  <si>
    <t xml:space="preserve">Classic Knekkebrød organic crispbread; KnekkeGodis chocolate-kissed crispbread</t>
  </si>
  <si>
    <t xml:space="preserve">https://norwegianbaked.com</t>
  </si>
  <si>
    <t xml:space="preserve">Sold as share-size packs ($12); single-serve format not seen. Founder is unnamed (first-person story only). Site copy says 'nutrient-rich' and 'healthy addition' (soft wording, no structure-function claim)</t>
  </si>
  <si>
    <t xml:space="preserve">Baked seeded crispbread sold ambient by mail and in stores; shelf life not stated</t>
  </si>
  <si>
    <t xml:space="preserve">'Stores nationwide' and farmers' markets (about page); locator is a Storemapper widget that returned no data</t>
  </si>
  <si>
    <t xml:space="preserve">https://www.instagram.com/norwegianbaked/</t>
  </si>
  <si>
    <t xml:space="preserve">BR5:4</t>
  </si>
  <si>
    <t xml:space="preserve">SFA 2026 sofi winners page lists 'Sweet Snack, Gold: Norwegian Baked-KnekkeGodis'; also a 2026 sofi finalist (foodindustryexecutive.com, 2025-10-23) and a SFFS 2026 exhibitor ('Crafted in Brooklyn'). why_now date is the products.json published_at of the new flavor. Storemapper id 38723-xMjx8y7OMoFklMoq returned an empty store list.</t>
  </si>
  <si>
    <t xml:space="preserve">AB-093</t>
  </si>
  <si>
    <t xml:space="preserve">Peeled Snacks</t>
  </si>
  <si>
    <t xml:space="preserve">New York City brand (HQ unverified), no graded store within ten blocks, online store only, a new store listing 243 days ago, revenue unknown, no contact named; founder review: other.</t>
  </si>
  <si>
    <t xml:space="preserve">Brand store relisted its four organic dried fruit SKUs in Feb 2026</t>
  </si>
  <si>
    <t xml:space="preserve">https://peeledsnacks.com/</t>
  </si>
  <si>
    <t xml:space="preserve">2026-02-23</t>
  </si>
  <si>
    <t xml:space="preserve">https://peeledsnacks.com/pages/about-us</t>
  </si>
  <si>
    <t xml:space="preserve">Organic Dried Mango; Organic Tropical Blend (12 x 2.5 oz)</t>
  </si>
  <si>
    <t xml:space="preserve">Cumberland RI or Brooklyn NY (search snippets conflict: Craft and Winmo say Cumberland RI, CB Insights says Brooklyn; unverified, founder to confirm)</t>
  </si>
  <si>
    <t xml:space="preserve">https://peeledsnacks.com</t>
  </si>
  <si>
    <t xml:space="preserve">HQ, team and retailers not stated on brand site; buy path is online only as far as found; 60-day shelf life not stated</t>
  </si>
  <si>
    <t xml:space="preserve">Dried fruit in 2.5 oz bags; shelf-life figure not found</t>
  </si>
  <si>
    <t xml:space="preserve">https://www.wholefoodsmarket.com/api/search?text=peeled%20snacks&amp;store=10162&amp;limit=60&amp;offset=0</t>
  </si>
  <si>
    <t xml:space="preserve">https://www.instagram.com/peeledsnacks/</t>
  </si>
  <si>
    <t xml:space="preserve">BR2:31</t>
  </si>
  <si>
    <t xml:space="preserve">Donates 10% of profits to fight hunger (about page). No added sugar. Not in WFM cluster catalogs. Why-now is weak (Shopify publish date).</t>
  </si>
  <si>
    <t xml:space="preserve">hq_city &lt;- https://craft.co/peeled-snacks (2026-10-24, snippet-unverified); </t>
  </si>
  <si>
    <t xml:space="preserve">AB-022</t>
  </si>
  <si>
    <t xml:space="preserve">BobbySue's Nuts</t>
  </si>
  <si>
    <t xml:space="preserve">Barb</t>
  </si>
  <si>
    <t xml:space="preserve">Kobren</t>
  </si>
  <si>
    <t xml:space="preserve">New York State brand, no graded store within ten blocks, online store only, no dated why-now in the last 12 months, revenue unknown, contact named.</t>
  </si>
  <si>
    <t xml:space="preserve">https://www.bobbysuesnuts.com/story</t>
  </si>
  <si>
    <t xml:space="preserve">find Barb Kobren at BobbySue's Nuts on LinkedIn and paste the profile URL</t>
  </si>
  <si>
    <t xml:space="preserve">BobbySue's Nuts hand-roasted nut mixes (on-the-go packs listed on homepage)</t>
  </si>
  <si>
    <t xml:space="preserve">Chappaqua</t>
  </si>
  <si>
    <t xml:space="preserve">https://www.bobbysuesnuts.com</t>
  </si>
  <si>
    <t xml:space="preserve">Hand-roasted nut mixes in sealed packs, ambient</t>
  </si>
  <si>
    <t xml:space="preserve">unknown (Find Us page did not render without JavaScript)</t>
  </si>
  <si>
    <t xml:space="preserve">https://www.wholefoodsmarket.com/search?text=bobbysue%27s%20nuts (no results in Union Square, NoMad or Chelsea context, 2026-10-23)</t>
  </si>
  <si>
    <t xml:space="preserve">Barb Kobren</t>
  </si>
  <si>
    <t xml:space="preserve">a.k.a. BobbySue</t>
  </si>
  <si>
    <t xml:space="preserve">BR1:23</t>
  </si>
  <si>
    <t xml:space="preserve">Westchester brand with an animal-welfare mission; team named on story page (Barb, Adam, Greg, Marta, Dave). Business address on site footer is Chappaqua NY. Older press includes sofi awards and Consumer Reports mention.</t>
  </si>
  <si>
    <t xml:space="preserve">AB-212</t>
  </si>
  <si>
    <t xml:space="preserve">North Fork Potato Chips</t>
  </si>
  <si>
    <t xml:space="preserve">Martin</t>
  </si>
  <si>
    <t xml:space="preserve">Sidor</t>
  </si>
  <si>
    <t xml:space="preserve">Farmer and owner, Martin Sidor Farms</t>
  </si>
  <si>
    <t xml:space="preserve">New York State brand, no graded store within ten blocks, online store only, no dated why-now in the last 12 months, revenue unknown, contact named; founder review: other.</t>
  </si>
  <si>
    <t xml:space="preserve">https://northforkchips.com/our-story/</t>
  </si>
  <si>
    <t xml:space="preserve">find Martin Sidor at North Fork Potato Chips on LinkedIn and paste the profile URL; founder review (other): read founder_review_reason first</t>
  </si>
  <si>
    <t xml:space="preserve">Kettle-cooked potato chips in sunflower oil (sampler cases sold online)</t>
  </si>
  <si>
    <t xml:space="preserve">Cutchogue (Long Island)</t>
  </si>
  <si>
    <t xml:space="preserve">https://northforkchips.com</t>
  </si>
  <si>
    <t xml:space="preserve">No Manhattan retailer found; qualifies only through the online store, and discount-code ability is unknown</t>
  </si>
  <si>
    <t xml:space="preserve">family-owned farm business (Martin Sidor Farms, per Our Story)</t>
  </si>
  <si>
    <t xml:space="preserve">Bagged kettle chips sold ambient; no shelf-life figure published, founder to confirm 60+ days</t>
  </si>
  <si>
    <t xml:space="preserve">King Kullen (Long Island); LI Welcome Center; local grocers and delis (homepage Find in Stores list)</t>
  </si>
  <si>
    <t xml:space="preserve">https://northforkchips.com/</t>
  </si>
  <si>
    <t xml:space="preserve">Martin Sidor</t>
  </si>
  <si>
    <t xml:space="preserve">https://www.instagram.com/northforkchips</t>
  </si>
  <si>
    <t xml:space="preserve">BR4:7</t>
  </si>
  <si>
    <t xml:space="preserve">Contact page: 8595 Cox Ln, Unit 4, Cutchogue, NY 11935. Family potato farm since 1910 (Our Story). Homepage store list shows Long Island stores only. Not in WFM cluster catalogs on 2026-10-23. No dated 12-month signal on site.</t>
  </si>
  <si>
    <t xml:space="preserve">nyc_retailers_near_cluster &lt;- https://northforkchips.com/ (2026-10-24, opened); </t>
  </si>
  <si>
    <t xml:space="preserve">AB-171</t>
  </si>
  <si>
    <t xml:space="preserve">Esprizio</t>
  </si>
  <si>
    <t xml:space="preserve">Brand based outside the Northeast (HQ unverified), no graded store within ten blocks, online store only, news 79 days ago, revenue unknown, contact seen only in a snippet; founder review: other.</t>
  </si>
  <si>
    <t xml:space="preserve">2026 Startup CPG Shelfie Award finalist, Coffee category; variety pack listed 2026-01-21</t>
  </si>
  <si>
    <t xml:space="preserve">https://drinkesprizio.com/pages/our-story</t>
  </si>
  <si>
    <t xml:space="preserve">Esprizio Blood Orange Espresso Spritz, can</t>
  </si>
  <si>
    <t xml:space="preserve">Los Angeles (unverified, founder to confirm)</t>
  </si>
  <si>
    <t xml:space="preserve">https://drinkesprizio.com</t>
  </si>
  <si>
    <t xml:space="preserve">California brand, no NYC retail found; caffeinated; 60-day shelf life not stated</t>
  </si>
  <si>
    <t xml:space="preserve">https://stockist.co/api/v1/map_p3xw2j6q/locations/search?latitude=40.7400&amp;longitude=-73.9900&amp;distance=3</t>
  </si>
  <si>
    <t xml:space="preserve">Nick Elliott</t>
  </si>
  <si>
    <t xml:space="preserve">BR3:45</t>
  </si>
  <si>
    <t xml:space="preserve">Our-story banner: 'Inspired by Italy. Born in California.' (basis for hq_state CA). | Added 2026-10-24: Launch press release: Esprizio reimagines ready-to-drink coffee with the sparkling espresso spritz (BevNET PR 2026-03-18, 403); BevNET review 2026 notes the word spritz may confuse shoppers with alcohol (unverified, founder to confirm)</t>
  </si>
  <si>
    <t xml:space="preserve">founder_name &lt;- https://imginn.com/leylinelabs/ (2026-10-24, snippet-unverified); hq_city &lt;- https://www.nombase.com/companies/drink-esprizio (2026-10-24, snippet-unverified); notes &lt;- https://bevnet.com/pr/2026/03/18/esprizio-reimagines-readytodrink-coffee-with-the-sparkling-espresso-spritz (2026-10-24, snippet-unverified); </t>
  </si>
  <si>
    <t xml:space="preserve">AB-135</t>
  </si>
  <si>
    <t xml:space="preserve">Boylan Bottling</t>
  </si>
  <si>
    <t xml:space="preserve">Launched limited-edition Freedom Cola for the US 250th, regional launch through Big Geyser in the New York area (unverified, founder to confirm: BevNET page blocked)</t>
  </si>
  <si>
    <t xml:space="preserve">https://bevnet.com/pr/2026/06/09/boylan-bottling-launches-freedom-cola-a-limitededition-craft-soda-celebrating-250-years-of-american-independence</t>
  </si>
  <si>
    <t xml:space="preserve">https://boylanbottling.com</t>
  </si>
  <si>
    <t xml:space="preserve">find Chris Taylor at Boylan Bottling on LinkedIn and paste the profile URL; founder review (not-emerging): read founder_review_reason first</t>
  </si>
  <si>
    <t xml:space="preserve">Boylan Cane Sugar Black Cherry soda, 12 oz glass bottle</t>
  </si>
  <si>
    <t xml:space="preserve">Heritage brand (since 1891) with national distribution; likely above the emerging-brand profile. Manhattan HQ (22 Vanderbilt Ave) is a plus</t>
  </si>
  <si>
    <t xml:space="preserve">private, established 1891</t>
  </si>
  <si>
    <t xml:space="preserve">Brand FAQ: Do your products need to be refrigerated? A: NO (boylanbottling.com/pages/faqs, opened 2026-10-24); best-by date printed on the bottle neck, shelf-life length not stated</t>
  </si>
  <si>
    <t xml:space="preserve">Big Geyser distribution in the New York area (2026 press release snippet, not opened)</t>
  </si>
  <si>
    <t xml:space="preserve">Chris Taylor</t>
  </si>
  <si>
    <t xml:space="preserve">https://www.instagram.com/boylanbottling</t>
  </si>
  <si>
    <t xml:space="preserve">BR3:9</t>
  </si>
  <si>
    <t xml:space="preserve">Site footer: 22 Vanderbilt Ave, 22nd Fl, New York, NY 10017. Product finder is a GoToAisle JS widget (not readable).</t>
  </si>
  <si>
    <t xml:space="preserve">shelf_stable &lt;- https://boylanbottling.com/pages/faqs (2026-10-24, opened); shelf_stable_basis &lt;- https://boylanbottling.com/pages/faqs (2026-10-24, opened); </t>
  </si>
  <si>
    <t xml:space="preserve">AB-265</t>
  </si>
  <si>
    <t xml:space="preserve">Yaté Yerba Mate</t>
  </si>
  <si>
    <t xml:space="preserve">Eric</t>
  </si>
  <si>
    <t xml:space="preserve">Hoang</t>
  </si>
  <si>
    <t xml:space="preserve">New York City brand (HQ unverified), no graded store within ten blocks, online store only, no dated why-now in the last 12 months, revenue unknown, contact named; founder review: claim-borderline.</t>
  </si>
  <si>
    <t xml:space="preserve">Homepage banner: 'All new Unsweetened Original' (undated; founder to confirm launch date)</t>
  </si>
  <si>
    <t xml:space="preserve">https://www.drinkyate.com/</t>
  </si>
  <si>
    <t xml:space="preserve">find Eric Hoang at Yaté Yerba Mate on LinkedIn and paste the profile URL; founder review (claim-borderline): read founder_review_reason first</t>
  </si>
  <si>
    <t xml:space="preserve">https://firebellymarketing.com/podcast/eric-hoang/</t>
  </si>
  <si>
    <t xml:space="preserve">Sparkling yerba mate, 12 oz can (Original Unsweetened, Original Golden, Sub-lime Ginger)</t>
  </si>
  <si>
    <t xml:space="preserve">New York (2024 release datelined NEW YORK, NY); a BevNET review snippet says 'born and made in LA', unverified, founder to confirm</t>
  </si>
  <si>
    <t xml:space="preserve">https://www.drinkyate.com</t>
  </si>
  <si>
    <t xml:space="preserve">Caffeinated yerba mate with 'unexpectedly healthy pick-me-up' wording (soft functional positioning); 60-day shelf life not stated</t>
  </si>
  <si>
    <t xml:space="preserve">Canned; storage not stated on homepage, founder to confirm</t>
  </si>
  <si>
    <t xml:space="preserve">NYC distribution via Gold Coast Distributors (2024 release); wholesale via Pod Foods, Faire and Airgoods; store locator page</t>
  </si>
  <si>
    <t xml:space="preserve">https://startupcpg.com/startup-cpg-newswire-yate-yerba-mate-partners-with-gold-coast-distributors-to-expand-footprint-in-nyc/</t>
  </si>
  <si>
    <t xml:space="preserve">Eric Hoang</t>
  </si>
  <si>
    <t xml:space="preserve">BR4:60</t>
  </si>
  <si>
    <t xml:space="preserve">Startup CPG release (2024-08-26) names Eric Hoang as press contact (role not stated). Not in WFM cluster catalogs on 2026-10-23. NYC bodega/deli distribution through Gold Coast is the likely buy path; confirm stores near the cluster.</t>
  </si>
  <si>
    <t xml:space="preserve">founder_name &lt;- https://firebellymarketing.com/podcast/eric-hoang/ (2026-10-24, opened); founder_title &lt;- https://firebellymarketing.com/podcast/eric-hoang/ (2026-10-24, opened); founder_profile_url &lt;- https://firebellymarketing.com/podcast/eric-hoang/ (2026-10-24, opened); hq_city &lt;- https://startupcpg.com/startup-cpg-newswire-yate-yerba-mate-partners-with-gold-coast-distributors-to-expand-footprint-in-nyc/ (2026-10-24, opened); </t>
  </si>
  <si>
    <t xml:space="preserve">AB-211</t>
  </si>
  <si>
    <t xml:space="preserve">RISE Brewing Co.</t>
  </si>
  <si>
    <t xml:space="preserve">Grant</t>
  </si>
  <si>
    <t xml:space="preserve">Gyesky</t>
  </si>
  <si>
    <t xml:space="preserve">Brand based outside the Northeast, store page shows Whole Foods Market NoMad inside the cluster, a new store listing 175 days ago, revenue unknown, contact named; founder review: owner, scale, claim-borderline.</t>
  </si>
  <si>
    <t xml:space="preserve">Relaunched its canned line in a new 11 oz format (Classic, Vanilla, Mocha, Salted Caramel Oatmilk Lattes and Black Cold Brew); homepage banner 'New RISE 11oz now available'</t>
  </si>
  <si>
    <t xml:space="preserve">https://risebrewingco.com/products.json?limit=250</t>
  </si>
  <si>
    <t xml:space="preserve">2026-05-02</t>
  </si>
  <si>
    <t xml:space="preserve">https://risebrewingco.com/pages/about-us</t>
  </si>
  <si>
    <t xml:space="preserve">find Grant Gyesky at RISE Brewing Co. on LinkedIn and paste the profile URL; before using the retailer line, check Whole Foods Market NoMad still lists it: https://www.wholefoodsmarket.com/search?text=RISE%20Brewing%20Co. with your store set to NoMad (catalogs change daily); founder review (owner, scale, claim-borderline): read founder_review_reason first</t>
  </si>
  <si>
    <t xml:space="preserve">https://www.jpmorgan.com/commercial-banking/insights/rise-brewing-co-ascends-in-the-beverage-industry</t>
  </si>
  <si>
    <t xml:space="preserve">RISE 11 oz Classic Oatmilk Latte can (shelf-stable per brand); Original Black Nitro Cold Brew 11 fl oz</t>
  </si>
  <si>
    <t xml:space="preserve">Houston, TX (privacy policy: RISE Beverages LLC, 601 Arlington St, Houston TX 77007). Brand was founded in NYC.</t>
  </si>
  <si>
    <t xml:space="preserve">https://risebrewingco.com</t>
  </si>
  <si>
    <t xml:space="preserve">20,000+ doors (2021) may put it above the $10M ceiling; brand already runs its own office coffee program (kegs, cans), so it may see Desk Drop as overlap</t>
  </si>
  <si>
    <t xml:space="preserve">owner;scale;claim-borderline</t>
  </si>
  <si>
    <t xml:space="preserve">acquired by UPTIME Energy (early 2025; unverified, founder to confirm)</t>
  </si>
  <si>
    <t xml:space="preserve">About page: Oat Milk Latte, Oat Milk Mocha and Original Black cans are 'shelf stable'; storage for other cans not stated</t>
  </si>
  <si>
    <t xml:space="preserve">About page says 'over 20,000 doors nationwide' in 2021 (store count, not used for band)</t>
  </si>
  <si>
    <t xml:space="preserve">Whole Foods Market; Amazon (image filenames); 20,000+ doors (2021, brand about page)</t>
  </si>
  <si>
    <t xml:space="preserve">https://www.wholefoodsmarket.com/api/search?text=rise%20brewing&amp;store=10773&amp;limit=60&amp;offset=0; https://www.wholefoodsmarket.com/api/search?text=rise%20brewing&amp;store=10162&amp;limit=60&amp;offset=0; https://www.wholefoodsmarket.com/api/search?text=rise%20brewing&amp;store=10131&amp;limit=60&amp;offset=0; https://www.wholefoodsmarket.com/api/search?text=rise%20brewing&amp;store=10713&amp;limit=60&amp;offset=0</t>
  </si>
  <si>
    <t xml:space="preserve">Grant Gyesky</t>
  </si>
  <si>
    <t xml:space="preserve">Jarrett McGovern</t>
  </si>
  <si>
    <t xml:space="preserve">Jarrett</t>
  </si>
  <si>
    <t xml:space="preserve">McGovern</t>
  </si>
  <si>
    <t xml:space="preserve">Co-founder and Chief Creative Officer</t>
  </si>
  <si>
    <t xml:space="preserve">https://www.instagram.com/risebrewingco/</t>
  </si>
  <si>
    <t xml:space="preserve">BR4:6</t>
  </si>
  <si>
    <t xml:space="preserve">Founded 2014; BevNET New Beverage Showdown winner 2017 (about page). Homepage banner 'New RISE 11oz now available' (undated). Office page https://risebrewingco.com/pages/offices pitches nitro kegs and cans to offices. Storemapper id 18418 found on locator page but returned no data.</t>
  </si>
  <si>
    <t xml:space="preserve">why_now &lt;- https://risebrewingco.com/products.json?limit=250 (2026-10-24, opened); why_now_url &lt;- https://risebrewingco.com/products.json?limit=250 (2026-10-24, opened); why_now_date &lt;- https://risebrewingco.com/products.json?limit=250 (2026-10-24, opened); founder_name &lt;- https://www.jpmorgan.com/commercial-banking/insights/rise-brewing-co-ascends-in-the-beverage-industry (2026-10-24, opened); founder_title &lt;- https://www.jpmorgan.com/commercial-banking/insights/rise-brewing-co-ascends-in-the-beverage-industry (2026-10-24, opened); founder_profile_url &lt;- https://www.jpmorgan.com/commercial-banking/insights/rise-brewing-co-ascends-in-the-beverage-industry (2026-10-24, opened); marketing_name &lt;- https://www.jpmorgan.com/commercial-banking/insights/rise-brewing-co-ascends-in-the-beverage-industry (2026-10-24, opened); marketing_title &lt;- https://www.jpmorgan.com/commercial-banking/insights/rise-brewing-co-ascends-in-the-beverage-industry (2026-10-24, opened); marketing_profile_url &lt;- https://www.jpmorgan.com/commercial-banking/insights/rise-brewing-co-ascends-in-the-beverage-industry (2026-10-24, opened); hq_city &lt;- https://risebrewingco.com/policies/privacy-policy (2026-10-24, opened); hq_state &lt;- https://risebrewingco.com/policies/privacy-policy (2026-10-24, opened); funding_stage &lt;- https://www.bevnet.com/news/2025/uptime-energy-acquires-rise-brewing-co-new-glass-bottle-line-targets-c-stores (2026-10-24, snippet-unverified); </t>
  </si>
  <si>
    <t xml:space="preserve">AB-079</t>
  </si>
  <si>
    <t xml:space="preserve">Emmy's Organics</t>
  </si>
  <si>
    <t xml:space="preserve">Abrams</t>
  </si>
  <si>
    <t xml:space="preserve">New York State brand, store page shows Whole Foods Market NoMad inside the cluster, a new store listing 216 days ago, revenue unknown, contact named; founder review: owner.</t>
  </si>
  <si>
    <t xml:space="preserve">Launched Oatmeal No-Bakes line (Mar 2026) and refreshed Coconut Cookies listings (May 2026) on brand store</t>
  </si>
  <si>
    <t xml:space="preserve">https://emmysorganics.com/</t>
  </si>
  <si>
    <t xml:space="preserve">2026-03-22</t>
  </si>
  <si>
    <t xml:space="preserve">https://emmysorganics.com/pages/about-us</t>
  </si>
  <si>
    <t xml:space="preserve">find Samantha Abrams at Emmy's Organics on LinkedIn and paste the profile URL; before using the retailer line, check Whole Foods Market NoMad still lists it: https://www.wholefoodsmarket.com/search?text=Emmy%27s%20Organics with your store set to NoMad (catalogs change daily); founder review (owner): read founder_review_reason first</t>
  </si>
  <si>
    <t xml:space="preserve">founder and marketing lead</t>
  </si>
  <si>
    <t xml:space="preserve">https://litupwithlo.buzzsprout.com/1492621/episodes/8214168-samantha-abrams-co-founder-of-emmy-s-organics-emmysorganics-triumphs-challenges-of-founding-a-successful-company-built-on-real-ingredients-with-her-husband</t>
  </si>
  <si>
    <t xml:space="preserve">Organic Dark Cacao Coconut Cookies 6 oz; Grab&amp;Go single packs</t>
  </si>
  <si>
    <t xml:space="preserve">Ithaca</t>
  </si>
  <si>
    <t xml:space="preserve">https://emmysorganics.com</t>
  </si>
  <si>
    <t xml:space="preserve">Possible Grupo Bimbo ownership since July 2021 (search snippet; unverified, founder to confirm); 60-day shelf life not stated</t>
  </si>
  <si>
    <t xml:space="preserve">owner</t>
  </si>
  <si>
    <t xml:space="preserve">Packaged coconut cookies sold ambient at Whole Foods; shelf-life figure not published on pages opened</t>
  </si>
  <si>
    <t xml:space="preserve">https://www.wholefoodsmarket.com/api/search?text=emmys%20cookies&amp;store=10162&amp;limit=60&amp;offset=0; https://www.wholefoodsmarket.com/api/search?text=emmys%20cookies&amp;store=10773&amp;limit=60&amp;offset=0; https://www.wholefoodsmarket.com/api/search?text=emmys%20cookies&amp;store=10131&amp;limit=60&amp;offset=0</t>
  </si>
  <si>
    <t xml:space="preserve">Samantha Abrams</t>
  </si>
  <si>
    <t xml:space="preserve">Ian Gaffney</t>
  </si>
  <si>
    <t xml:space="preserve">Ian</t>
  </si>
  <si>
    <t xml:space="preserve">Gaffney</t>
  </si>
  <si>
    <t xml:space="preserve">https://www.instagram.com/emmysorganics/</t>
  </si>
  <si>
    <t xml:space="preserve">BR2:16</t>
  </si>
  <si>
    <t xml:space="preserve">Brand about page: 'Made With love in Ithaca, NY'. WFM cluster stores carry 6 oz bags; single-serve Grab&amp;Go packs are on the brand store. Why-now dates from Shopify publish dates.</t>
  </si>
  <si>
    <t xml:space="preserve">founder_name &lt;- https://litupwithlo.buzzsprout.com/1492621/episodes/8214168-samantha-abrams-co-founder-of-emmy-s-organics-emmysorganics-triumphs-challenges-of-founding-a-successful-company-built-on-real-ingredients-with-her-husband (2026-10-24, opened); marketing_name &lt;- https://litupwithlo.buzzsprout.com/1492621/episodes/8214168-samantha-abrams-co-founder-of-emmy-s-organics-emmysorganics-triumphs-challenges-of-founding-a-successful-company-built-on-real-ingredients-with-her-husband (2026-10-24, opened); marketing_title &lt;- https://litupwithlo.buzzsprout.com/1492621/episodes/8214168-samantha-abrams-co-founder-of-emmy-s-organics-emmysorganics-triumphs-challenges-of-founding-a-successful-company-built-on-real-ingredients-with-her-husband (2026-10-24, opened); founder_review &lt;- https://www.nosh.com/?p=141074 (2026-10-24, snippet-unverified); founder_review_reason &lt;- https://www.nosh.com/?p=141074 (2026-10-24, snippet-unverified); </t>
  </si>
  <si>
    <t xml:space="preserve">AB-085</t>
  </si>
  <si>
    <t xml:space="preserve">Crispy Green</t>
  </si>
  <si>
    <t xml:space="preserve">Northeast brand, store page shows Whole Foods Market NoMad inside the cluster, no dated why-now in the last 12 months, revenue unknown, no contact named; founder review: scale, dormant, claim-borderline.</t>
  </si>
  <si>
    <t xml:space="preserve">https://crispygreen.com/pages/our-story</t>
  </si>
  <si>
    <t xml:space="preserve">no person named on an opened page: not ready; before using the retailer line, check Whole Foods Market NoMad still lists it: https://www.wholefoodsmarket.com/search?text=Crispy%20Green with your store set to NoMad (catalogs change daily); founder review (scale, dormant, claim-borderline): read founder_review_reason first</t>
  </si>
  <si>
    <t xml:space="preserve">Freeze-Dried Strawberry Crispy Fruit, single-serve bag</t>
  </si>
  <si>
    <t xml:space="preserve">Fairfield</t>
  </si>
  <si>
    <t xml:space="preserve">https://crispygreen.com</t>
  </si>
  <si>
    <t xml:space="preserve">Claims to be the #1 freeze-dried fruit brand (may be above size band); kids/lunchbox positioning; no new SKU since 2024</t>
  </si>
  <si>
    <t xml:space="preserve">scale;dormant;claim-borderline</t>
  </si>
  <si>
    <t xml:space="preserve">Brand FAQ: 'What is Crispy Fruit's shelf-life? Three years.' Home page: 'long-lasting, shelf-stable products'.</t>
  </si>
  <si>
    <t xml:space="preserve">Whole Foods; Amazon; brand claims '#1 freeze-dried fruit brand in the country'</t>
  </si>
  <si>
    <t xml:space="preserve">https://www.wholefoodsmarket.com/api/search?text=crispy%20green&amp;store=10162&amp;limit=60&amp;offset=0; https://www.wholefoodsmarket.com/api/search?text=crispy%20green&amp;store=10773&amp;limit=60&amp;offset=0; https://www.wholefoodsmarket.com/api/search?text=crispy%20green&amp;store=10131&amp;limit=60&amp;offset=0</t>
  </si>
  <si>
    <t xml:space="preserve">https://www.instagram.com/crispygreensnacks/</t>
  </si>
  <si>
    <t xml:space="preserve">BR2:22</t>
  </si>
  <si>
    <t xml:space="preserve">Founded 2004 per brand Our Story. Locator is Destini (not machine-read). 100% fruit, no added sugar.</t>
  </si>
  <si>
    <t xml:space="preserve">hq_city &lt;- https://crispygreen.com/policies/contact-information (2026-10-24, opened); shelf_stable_basis &lt;- https://crispygreen.com/pages/faqs (2026-10-24, opened); </t>
  </si>
  <si>
    <t xml:space="preserve">AB-052</t>
  </si>
  <si>
    <t xml:space="preserve">Inka Crops</t>
  </si>
  <si>
    <t xml:space="preserve">Brand based outside the Northeast (HQ unverified), store page shows Whole Foods Market Union Square inside the cluster, no dated why-now in the last 12 months, revenue unknown, no contact named; founder review: other.</t>
  </si>
  <si>
    <t xml:space="preserve">https://www.wholefoodsmarket.com/search?text=inka%20plantain</t>
  </si>
  <si>
    <t xml:space="preserve">no person named on an opened page: not ready; before using the retailer line, check Whole Foods Market Union Square still lists it: https://www.wholefoodsmarket.com/search?text=Inka%20Crops with your store set to Union Square (catalogs change daily); founder review (other): read founder_review_reason first</t>
  </si>
  <si>
    <t xml:space="preserve">Inka Plantain Chips, Sea Salt, 4 oz</t>
  </si>
  <si>
    <t xml:space="preserve">Lima, Peru (search snippet; US importer Inka Foods Inc in Citrus Heights CA per Panjiva trade-record snippets; unverified, founder to confirm)</t>
  </si>
  <si>
    <t xml:space="preserve">Brand site returned no readable content; owner, HQ and US entity unconfirmed; no online store: buy path is the store only</t>
  </si>
  <si>
    <t xml:space="preserve">https://inkacrops.com</t>
  </si>
  <si>
    <t xml:space="preserve">Peru (country)</t>
  </si>
  <si>
    <t xml:space="preserve">Bagged plantain chips, ambient</t>
  </si>
  <si>
    <t xml:space="preserve">https://www.wholefoodsmarket.com/search?text=inka%20plantain (Union Square and Chelsea contexts IN_STOCK 2026-10-23; not shown at NoMad)</t>
  </si>
  <si>
    <t xml:space="preserve">BR1:53</t>
  </si>
  <si>
    <t xml:space="preserve">inkacrops.com/en responded (HTTP 200) with no readable text.</t>
  </si>
  <si>
    <t xml:space="preserve">hq_city &lt;- https://www.peru-retail.com/inka-crops-snack-peruano-retailers-walmart-y-amazon/ (2026-10-24, snippet-unverified); hq_state &lt;- https://www.peru-retail.com/inka-crops-snack-peruano-retailers-walmart-y-amazon/ (2026-10-24, opened); </t>
  </si>
  <si>
    <t xml:space="preserve">AB-028</t>
  </si>
  <si>
    <t xml:space="preserve">Saffron Road (crunchy chickpeas)</t>
  </si>
  <si>
    <t xml:space="preserve">Adnan</t>
  </si>
  <si>
    <t xml:space="preserve">Durrani</t>
  </si>
  <si>
    <t xml:space="preserve">Northeast brand, store page shows Whole Foods Market NoMad inside the cluster, no dated why-now in the last 12 months, revenue unknown, contact named; founder review: scale.</t>
  </si>
  <si>
    <t xml:space="preserve">https://www.saffronroad.com/pages/about-us</t>
  </si>
  <si>
    <t xml:space="preserve">find Adnan Durrani at Saffron Road (crunchy chickpeas) on LinkedIn and paste the profile URL; before using the retailer line, check Whole Foods Market NoMad still lists it: https://www.wholefoodsmarket.com/search?text=Saffron%20Road with your store set to NoMad (catalogs change daily); founder review (scale): read founder_review_reason first</t>
  </si>
  <si>
    <t xml:space="preserve">Saffron Road Bombay Spice Crunchy Chickpea Snack, 6 oz</t>
  </si>
  <si>
    <t xml:space="preserve">Snack line of a national frozen-entree brand (American Halal Company); likely above the $10M band; product pages show $0.00 so no direct online store; no online store: buy path is the store only</t>
  </si>
  <si>
    <t xml:space="preserve">https://www.saffronroad.com</t>
  </si>
  <si>
    <t xml:space="preserve">Roasted chickpea snacks in sealed bags, ambient</t>
  </si>
  <si>
    <t xml:space="preserve">Whole Foods Market; Target; Sprouts; Safeway (customer reviews on homepage)</t>
  </si>
  <si>
    <t xml:space="preserve">https://www.wholefoodsmarket.com/search?text=saffron%20road%20chickpea (store context Union Square and NoMad: Sea Salt, Bombay Spice, Korean BBQ chickpeas IN_STOCK 2026-10-23)</t>
  </si>
  <si>
    <t xml:space="preserve">Adnan Durrani</t>
  </si>
  <si>
    <t xml:space="preserve">BR1:29</t>
  </si>
  <si>
    <t xml:space="preserve">Parent American Halal Company, 1111 Summer St, Stamford CT (contact page). Debuted 2010 in Whole Foods as a frozen entree brand. why_now relates to entrees, not snacks.</t>
  </si>
  <si>
    <t xml:space="preserve">AB-008</t>
  </si>
  <si>
    <t xml:space="preserve">Little Latke</t>
  </si>
  <si>
    <t xml:space="preserve">Blue</t>
  </si>
  <si>
    <t xml:space="preserve">Brand based outside the Northeast, no graded store within ten blocks, online store only, a new store listing 95 days ago, revenue unknown, contact named.</t>
  </si>
  <si>
    <t xml:space="preserve">Featured in Startup CPG 'Chipsplosion' roundup; new Variety Pack on brand store (2026-04-29)</t>
  </si>
  <si>
    <t xml:space="preserve">https://www.littlelatke.com/pages/story</t>
  </si>
  <si>
    <t xml:space="preserve">find Taylor Blue at Little Latke on LinkedIn and paste the profile URL</t>
  </si>
  <si>
    <t xml:space="preserve">Little Latke potato crisps, The Original / Garlic Parm / Spicy Honey Dijon</t>
  </si>
  <si>
    <t xml:space="preserve">Chicago</t>
  </si>
  <si>
    <t xml:space="preserve">https://www.littlelatke.com</t>
  </si>
  <si>
    <t xml:space="preserve">Brand FAQ: 'What's the shelf life? About 10-12 months.' Store in a cool, dry place.</t>
  </si>
  <si>
    <t xml:space="preserve">PopUp Grocer; Foxtrot Market; Meadow Lane; ~50 specialty grocers; onboarding with UNFI; 2026 targets Central Market, Fresh Market, Target (Startup CPG, 2026-07-21)</t>
  </si>
  <si>
    <t xml:space="preserve">https://popupgrocer.com/pages/directory (availability 'NYC Flagship', 2026-10-23); https://startupcpg.com/14-chip-brands-taking-your-tastebuds-on-a-flavor-tour/</t>
  </si>
  <si>
    <t xml:space="preserve">Taylor Blue</t>
  </si>
  <si>
    <t xml:space="preserve">https://instagram.com/little.latke</t>
  </si>
  <si>
    <t xml:space="preserve">BR1:9</t>
  </si>
  <si>
    <t xml:space="preserve">HQ conflict: Potato Business (2026-05-12) calls it 'the Dallas-based snack brand', while the Shopify contact page gives Chicago IL. Founder to confirm. Same article: new Garlic Parm and Spicy Honey Dijon flavors rolling out to select retailers nationwide (a press signal older than the July 2026 Startup CPG feature already in why_now).</t>
  </si>
  <si>
    <t xml:space="preserve">shelf_stable_basis &lt;- https://www.littlelatke.com/pages/faq (2026-10-24, opened); founder_title &lt;- https://www.potatobusiness.com/product/little-latke-adds-garlic-parm-and-spicy-honey-dijon-to-snack-range/ (2026-10-24, opened); notes &lt;- https://www.potatobusiness.com/product/little-latke-adds-garlic-parm-and-spicy-honey-dijon-to-snack-range/ (2026-10-24, opened); </t>
  </si>
  <si>
    <t xml:space="preserve">AB-147</t>
  </si>
  <si>
    <t xml:space="preserve">Mingle Mocktails</t>
  </si>
  <si>
    <t xml:space="preserve">Founder and Chief Mingle Officer</t>
  </si>
  <si>
    <t xml:space="preserve">Northeast brand, no graded store within ten blocks, online store only, a new store listing 28 days ago, revenue unknown, contact named; founder review: claim-borderline.</t>
  </si>
  <si>
    <t xml:space="preserve">Espresso Martini Mocktail can listed on store</t>
  </si>
  <si>
    <t xml:space="preserve">https://www.minglemocktails.com/pages/espresso-martini</t>
  </si>
  <si>
    <t xml:space="preserve">2026-09-26</t>
  </si>
  <si>
    <t xml:space="preserve">https://www.minglemocktails.com/pages/about-mm</t>
  </si>
  <si>
    <t xml:space="preserve">find Laura Taylor at Mingle Mocktails on LinkedIn and paste the profile URL; founder review (claim-borderline): read founder_review_reason first</t>
  </si>
  <si>
    <t xml:space="preserve">https://channel.io/blog/articles/77035651</t>
  </si>
  <si>
    <t xml:space="preserve">Mingle Espresso Martini Mocktail can (85 mg caffeine); Cucumber Melon Mojito</t>
  </si>
  <si>
    <t xml:space="preserve">Wayne</t>
  </si>
  <si>
    <t xml:space="preserve">https://www.minglemocktails.com</t>
  </si>
  <si>
    <t xml:space="preserve">Core mocktails are fine, but the 'Mingle Mood' line uses adaptogens 'to help you feel relaxed' (structure or function wording); only the non-functional SKUs could be placed; 60-day shelf life not stated</t>
  </si>
  <si>
    <t xml:space="preserve">No storage statement read</t>
  </si>
  <si>
    <t xml:space="preserve">Laura Taylor</t>
  </si>
  <si>
    <t xml:space="preserve">https://www.instagram.com/minglemocktails</t>
  </si>
  <si>
    <t xml:space="preserve">BR3:21</t>
  </si>
  <si>
    <t xml:space="preserve">HQ not confirmed (no address found). Date is Shopify publish date of the Espresso Martini product.</t>
  </si>
  <si>
    <t xml:space="preserve">hq_city &lt;- https://www.minglemocktails.com/policies/privacy-policy (2026-10-24, opened); hq_state &lt;- https://www.minglemocktails.com/policies/privacy-policy (2026-10-24, opened); founder_name &lt;- https://channel.io/blog/articles/77035651 (2026-10-24, opened); founder_title &lt;- https://channel.io/blog/articles/77035651 (2026-10-24, opened); </t>
  </si>
  <si>
    <t xml:space="preserve">AB-288</t>
  </si>
  <si>
    <t xml:space="preserve">True North Granola</t>
  </si>
  <si>
    <t xml:space="preserve">Parwaz</t>
  </si>
  <si>
    <t xml:space="preserve">Northeast brand, no graded store within ten blocks, online store only, a new store listing 95 days ago, revenue unknown, contact named (first name only); founder review: claim-borderline.</t>
  </si>
  <si>
    <t xml:space="preserve">Exhibited at the 2026 Summer Fancy Food Show with a new product flagged; added Almond Crunch in 1 oz single-serve bags</t>
  </si>
  <si>
    <t xml:space="preserve">https://truenorthgranola.com/products.json</t>
  </si>
  <si>
    <t xml:space="preserve">https://events.specialtyfood.com/event/2026-summer-fancy-food-show/exhibitor/RXhoaWJpdG9yXzI0NDA5MDA=</t>
  </si>
  <si>
    <t xml:space="preserve">find Parwaz at True North Granola on LinkedIn and paste the profile URL; surname not public: take it from LinkedIn; founder review (claim-borderline): read founder_review_reason first</t>
  </si>
  <si>
    <t xml:space="preserve">https://truenorthgranola.com/pages/about-us</t>
  </si>
  <si>
    <t xml:space="preserve">Almond Crunch granola, 1 oz single-serving bag; Discovery Pack of 2 oz snack bags</t>
  </si>
  <si>
    <t xml:space="preserve">unknown (Vermont kitchen)</t>
  </si>
  <si>
    <t xml:space="preserve">https://truenorthgranola.com</t>
  </si>
  <si>
    <t xml:space="preserve">New owners since summer 2025; homepage meta says 'happens to be healthy' (soft wording). No NYC retailer found</t>
  </si>
  <si>
    <t xml:space="preserve">Packaged granola in sealed 1 oz, 2 oz and 8 oz bags; shelf life not stated</t>
  </si>
  <si>
    <t xml:space="preserve">Ankur</t>
  </si>
  <si>
    <t xml:space="preserve">https://www.instagram.com/truenorthgranola/</t>
  </si>
  <si>
    <t xml:space="preserve">BR5:24</t>
  </si>
  <si>
    <t xml:space="preserve">SFFS 2026: 'Since 2006, True North Granola has been crafting extraordinary granola by hand in Vermont'. Startup CPG search hit (2025 Shelfie winners) is older than 12 months and was not confirmed to name the brand, so startup_cpg_member stays unknown.</t>
  </si>
  <si>
    <t xml:space="preserve">AB-012</t>
  </si>
  <si>
    <t xml:space="preserve">Vaca Chips</t>
  </si>
  <si>
    <t xml:space="preserve">Brian</t>
  </si>
  <si>
    <t xml:space="preserve">Gibb</t>
  </si>
  <si>
    <t xml:space="preserve">Brand based outside the Northeast, no graded store within ten blocks, online store only, a new store listing 22 days ago, revenue unknown, contact named.</t>
  </si>
  <si>
    <t xml:space="preserve">New 18-pack variety offer on brand store</t>
  </si>
  <si>
    <t xml:space="preserve">https://www.vacachips.com/products/vaca-18-pack-variety</t>
  </si>
  <si>
    <t xml:space="preserve">https://vacachips.com/pages/about-us</t>
  </si>
  <si>
    <t xml:space="preserve">find Brian Gibb at Vaca Chips on LinkedIn and paste the profile URL</t>
  </si>
  <si>
    <t xml:space="preserve">Vaca Chips beef-tallow-fried tortilla chips (sampler and 12-pack bundles)</t>
  </si>
  <si>
    <t xml:space="preserve">Huntington Beach</t>
  </si>
  <si>
    <t xml:space="preserve">https://www.vacachips.com</t>
  </si>
  <si>
    <t xml:space="preserve">Bagged fried tortilla chips sold ambient</t>
  </si>
  <si>
    <t xml:space="preserve">https://popupgrocer.com/pages/directory (availability 'NYC Flagship', 2026-10-23); https://popupgrocer.com/products/vaca-chips</t>
  </si>
  <si>
    <t xml:space="preserve">Brian Gibb</t>
  </si>
  <si>
    <t xml:space="preserve">https://instagram.com/vacachips</t>
  </si>
  <si>
    <t xml:space="preserve">BR1:13</t>
  </si>
  <si>
    <t xml:space="preserve">LinkedIn snippet: Joshua Haddox, Cofounder and COO at Vaca Chips (https://www.linkedin.com/in/joshua-haddox-mba-48b17b54/). No marketing lead found. Homepage (opened) lists new placements at Bristol Farms, Lazy Acres and Gelson's (California, undated).</t>
  </si>
  <si>
    <t xml:space="preserve">notes &lt;- https://www.linkedin.com/in/joshua-haddox-mba-48b17b54/ (2026-10-24, snippet-unverified); </t>
  </si>
  <si>
    <t xml:space="preserve">AB-306</t>
  </si>
  <si>
    <t xml:space="preserve">Oso Cacao</t>
  </si>
  <si>
    <t xml:space="preserve">New York City brand, no graded store within ten blocks, online store only, no dated why-now in the last 12 months, revenue unknown, no contact named; founder review: alcohol-adjacent.</t>
  </si>
  <si>
    <t xml:space="preserve">no person named on an opened page: not ready; founder review (alcohol-adjacent): read founder_review_reason first</t>
  </si>
  <si>
    <t xml:space="preserve">Oso Cacao mango with chili-lime bean-to-bar chocolate ($12 bar)</t>
  </si>
  <si>
    <t xml:space="preserve">Queens (Made in Queens maker; Entrepreneur Space client)</t>
  </si>
  <si>
    <t xml:space="preserve">https://www.osocacao.com/shop</t>
  </si>
  <si>
    <t xml:space="preserve">One SKU is a bourbon whiskey bar (check alcohol content; use another flavor). $12 bars are pricey for 50 units per office. No Manhattan stockist found</t>
  </si>
  <si>
    <t xml:space="preserve">https://www.osocacao.com</t>
  </si>
  <si>
    <t xml:space="preserve">Wrapped plant-based chocolate bars; ships Tuesdays and Thursdays only to protect quality</t>
  </si>
  <si>
    <t xml:space="preserve">Standalone Cheese; Wild Roots Provisions; Cocoa and Cream LA; Posh Deli (Wantagh); Abeja Coffee; The Green Salmon; JFK airport terminals (FAQ)</t>
  </si>
  <si>
    <t xml:space="preserve">https://www.osocacao.com/faq</t>
  </si>
  <si>
    <t xml:space="preserve">https://www.instagram.com/oso_cacao/</t>
  </si>
  <si>
    <t xml:space="preserve">BR5:42</t>
  </si>
  <si>
    <t xml:space="preserve">Made in Queens directory: 'authentic bean-to-bar chocolate that is proudly Mexican-inspired and NYC-made... focusing exclusively on small farms in Mexico'; M/WBE. Also an Entrepreneur Space current client. The directory lists a personal contact email and phone, which were not recorded.</t>
  </si>
  <si>
    <t xml:space="preserve">AB-247</t>
  </si>
  <si>
    <t xml:space="preserve">Graza</t>
  </si>
  <si>
    <t xml:space="preserve">Benin</t>
  </si>
  <si>
    <t xml:space="preserve">New York City brand (HQ unverified), store page shows Whole Foods Market NoMad inside the cluster, a new store listing 164 days ago, revenue over $10M, contact named; founder review: scale-reported, scale, not-emerging.</t>
  </si>
  <si>
    <t xml:space="preserve">Launched E.V.O.O. potato chips: brand-shop listings published 2026-05-13; homepage 'New E.V.O.O. Potato Chips'; WFM Union Square tags them 'Latest &amp; Greatest'</t>
  </si>
  <si>
    <t xml:space="preserve">https://www.graza.co/products.json?limit=250</t>
  </si>
  <si>
    <t xml:space="preserve">https://www.graza.co/</t>
  </si>
  <si>
    <t xml:space="preserve">find Andrew Benin at Graza on LinkedIn and paste the profile URL; before using the retailer line, check Whole Foods Market NoMad still lists it: https://www.wholefoodsmarket.com/search?text=Graza with your store set to NoMad (catalogs change daily); founder review (scale-reported, scale, not-emerging): read founder_review_reason first</t>
  </si>
  <si>
    <t xml:space="preserve">https://nbcchicago.com/news/business/money-report/31-year-old-built-a-company-that-could-bring-in-48-million-this-year-all-due-to-olive-oil/3457955</t>
  </si>
  <si>
    <t xml:space="preserve">Graza E.V.O.O. Sea Salt Potato Chips, 5.5 oz bag (also Zesty Caesar, Salt &amp; Vinegar, Hot n' Sweet)</t>
  </si>
  <si>
    <t xml:space="preserve">Brooklyn (185 Wythe Avenue per a business-directory search snippet; unverified, founder to confirm)</t>
  </si>
  <si>
    <t xml:space="preserve">https://www.graza.co</t>
  </si>
  <si>
    <t xml:space="preserve">Established olive-oil brand (22-24 SKUs per cluster WFM) likely above the $10M ceiling; chips are a 2026 line extension, which is the why-now</t>
  </si>
  <si>
    <t xml:space="preserve">scale-reported;scale;not-emerging</t>
  </si>
  <si>
    <t xml:space="preserve">Bagged kettle-style chips sold ambient; no shelf-life figure published, founder to confirm</t>
  </si>
  <si>
    <t xml:space="preserve">Company projection of $48M+ gross sales for 2024 (CNBC, 2024-06-07)</t>
  </si>
  <si>
    <t xml:space="preserve">Whole Foods Market (chips at all four cluster stores; 'Find Chips' locator on homepage)</t>
  </si>
  <si>
    <t xml:space="preserve">https://www.wholefoodsmarket.com/api/search?text=graza%20chips&amp;store=10773&amp;limit=60&amp;offset=0; https://www.wholefoodsmarket.com/api/search?text=graza%20chips&amp;store=10162&amp;limit=60&amp;offset=0; https://www.wholefoodsmarket.com/api/search?text=graza%20chips&amp;store=10131&amp;limit=60&amp;offset=0; https://www.wholefoodsmarket.com/api/search?text=graza%20chips&amp;store=10713&amp;limit=60&amp;offset=0</t>
  </si>
  <si>
    <t xml:space="preserve">Andrew Benin</t>
  </si>
  <si>
    <t xml:space="preserve">Amanda Everest</t>
  </si>
  <si>
    <t xml:space="preserve">BR4:42</t>
  </si>
  <si>
    <t xml:space="preserve">Chip launch date taken from Shopify product published_at on graza.co (brand's own store data). WFM 'new' filter (featured=new) at Union Square lists all four chip SKUs, 2026-10-23.</t>
  </si>
  <si>
    <t xml:space="preserve">founder_title &lt;- https://nbcchicago.com/news/business/money-report/31-year-old-built-a-company-that-could-bring-in-48-million-this-year-all-due-to-olive-oil/3457955 (2026-10-24, opened); founder_profile_url &lt;- https://nbcchicago.com/news/business/money-report/31-year-old-built-a-company-that-could-bring-in-48-million-this-year-all-due-to-olive-oil/3457955 (2026-10-24, opened); revenue_band &lt;- https://nbcchicago.com/news/business/money-report/31-year-old-built-a-company-that-could-bring-in-48-million-this-year-all-due-to-olive-oil/3457955 (2026-10-24, opened); revenue_basis &lt;- https://nbcchicago.com/news/business/money-report/31-year-old-built-a-company-that-could-bring-in-48-million-this-year-all-due-to-olive-oil/3457955 (2026-10-24, opened); hq_city &lt;- https://www.cbinsights.com/company/graza (2026-10-24, snippet-unverified); marketing_name &lt;- https://advertisingweek.com/amanda-everest-head-of-marketing-graza (2026-10-24, snippet-unverified); marketing_title &lt;- https://advertisingweek.com/amanda-everest-head-of-marketing-graza (2026-10-24, snippet-unverified); </t>
  </si>
  <si>
    <t xml:space="preserve">AB-192</t>
  </si>
  <si>
    <t xml:space="preserve">Sunbear</t>
  </si>
  <si>
    <t xml:space="preserve">Danielle</t>
  </si>
  <si>
    <t xml:space="preserve">Krueger</t>
  </si>
  <si>
    <t xml:space="preserve">HQ unknown, brand locator shows Tompkins Square Bagels inside the cluster, no dated why-now in the last 12 months, revenue unknown, contact named; founder review: claim-borderline.</t>
  </si>
  <si>
    <t xml:space="preserve">Tompkins Square Bagels, 23 E 17th St</t>
  </si>
  <si>
    <t xml:space="preserve">https://drinksunbear.com/pages/store-locator</t>
  </si>
  <si>
    <t xml:space="preserve">find Danielle Krueger at Sunbear on LinkedIn and paste the profile URL; the retailer line rests on the brand's own store locator: say 'your store locator lists ...'; founder review (claim-borderline): read founder_review_reason first</t>
  </si>
  <si>
    <t xml:space="preserve">https://ice.edu/blog/danielle-krueger-sunbear</t>
  </si>
  <si>
    <t xml:space="preserve">Sunbear Sparkling Hydration (organic coconut water and fruit juice), Watermelon, can</t>
  </si>
  <si>
    <t xml:space="preserve">https://drinksunbear.com</t>
  </si>
  <si>
    <t xml:space="preserve">'Hydration' and natural electrolytes positioning (nutrient-content; check label); newest store listings are 2024, so no fresh launch signal; founder and HQ not found; 60-day shelf life not stated</t>
  </si>
  <si>
    <t xml:space="preserve">Tompkins Square Bagels, 23 E 17th St (brand_claim, inside);Lincoln Market, 501 6th Ave (brand_claim, 1.2 blocks out);West Side Market, 77 7th Ave (brand_claim, 2.0 blocks out);Tompkins Square Bagels, 184 2nd Ave (brand_claim, 4.5 blocks out);The Station Cafe, 623 2nd Ave (brand_claim, 9.2 blocks out)</t>
  </si>
  <si>
    <t xml:space="preserve">Tompkins Square Bagels; Lincoln Market; West Side Market; Ermina's Market; cafes (brand Stockist locator: 53 points, 10 near the cluster); Pop Up Grocer (past brand)</t>
  </si>
  <si>
    <t xml:space="preserve">https://drinksunbear.com/pages/store-locator; https://stockist.co/api/v1/map_g3y52nz3/locations/search?latitude=40.7400&amp;longitude=-73.9900&amp;distance=3</t>
  </si>
  <si>
    <t xml:space="preserve">Danielle Krueger</t>
  </si>
  <si>
    <t xml:space="preserve">BR3:66</t>
  </si>
  <si>
    <t xml:space="preserve">Stockist queried 2026-10-23: NYC-heavy footprint (Manhattan and Brooklyn delis, bagel shops, markets), likely NYC-based but unconfirmed. A store inside the cluster (23 E 17th St). | Added 2026-10-24: Legal entity per terms of service: Coco Fizz LLC, with an Albany NY registered-agent address (bracketed template text). HQ city still unknown; a co-founder is mentioned in search summaries but not named</t>
  </si>
  <si>
    <t xml:space="preserve">founder_name &lt;- https://ice.edu/blog/danielle-krueger-sunbear (2026-10-24, opened); founder_title &lt;- https://ice.edu/blog/danielle-krueger-sunbear (2026-10-24, opened); notes &lt;- https://drinksunbear.com/policies/terms-of-service (2026-10-24, opened); founder_profile_url &lt;- https://ice.edu/blog/danielle-krueger-sunbear (2026-10-24, opened); </t>
  </si>
  <si>
    <t xml:space="preserve">AB-189</t>
  </si>
  <si>
    <t xml:space="preserve">Fruitbelt</t>
  </si>
  <si>
    <t xml:space="preserve">Michele</t>
  </si>
  <si>
    <t xml:space="preserve">Gazzolo</t>
  </si>
  <si>
    <t xml:space="preserve">Brand based outside the Northeast, no graded store within ten blocks, online store only, a new store listing 12 days ago, revenue unknown, contact named; founder review: other.</t>
  </si>
  <si>
    <t xml:space="preserve">New Cherry Rhubarb Tonic listed on store</t>
  </si>
  <si>
    <t xml:space="preserve">https://fruitbelt.com/products.json</t>
  </si>
  <si>
    <t xml:space="preserve">https://fruitbelt.com/pages/story-the-roots-of-fruitbelt</t>
  </si>
  <si>
    <t xml:space="preserve">find Michele Gazzolo at Fruitbelt on LinkedIn and paste the profile URL; founder review (other): read founder_review_reason first</t>
  </si>
  <si>
    <t xml:space="preserve">https://preparedfoods.com/articles/122793-fruitbelt-sparkling-tonic-names-new-vice-president</t>
  </si>
  <si>
    <t xml:space="preserve">Fruitbelt Cherry Rhubarb sparkling tonic (fruit juice, honey, bitters), non-alcoholic</t>
  </si>
  <si>
    <t xml:space="preserve">Pullman</t>
  </si>
  <si>
    <t xml:space="preserve">https://fruitbelt.com</t>
  </si>
  <si>
    <t xml:space="preserve">Michigan brand with two NYC points, both outside the cluster; bitters-based tonic (confirm 0.0% and pack format: $48-58 suggests multi-packs); 60-day shelf life not stated</t>
  </si>
  <si>
    <t xml:space="preserve">MI</t>
  </si>
  <si>
    <t xml:space="preserve">Dimes Market (brand_claim, 33.6 blocks out)</t>
  </si>
  <si>
    <t xml:space="preserve">Dimes Market, 143 Division St; Soho Jones, Brooklyn (brand Stockist locator); Pop Up Grocer (past brand)</t>
  </si>
  <si>
    <t xml:space="preserve">https://stockist.co/api/v1/map_v3jz28e3/locations/search?latitude=40.74&amp;longitude=-73.99&amp;distance=50</t>
  </si>
  <si>
    <t xml:space="preserve">Michele Gazzolo</t>
  </si>
  <si>
    <t xml:space="preserve">Carol Mueller</t>
  </si>
  <si>
    <t xml:space="preserve">Carol</t>
  </si>
  <si>
    <t xml:space="preserve">Mueller</t>
  </si>
  <si>
    <t xml:space="preserve">Vice President of Sales and Marketing</t>
  </si>
  <si>
    <t xml:space="preserve">https://instagram.com/fruitbelt</t>
  </si>
  <si>
    <t xml:space="preserve">BR3:63</t>
  </si>
  <si>
    <t xml:space="preserve">Story: imagined in 2012 to capture 'the character of Michigan's Fruit belt' (basis for hq_state MI; city not stated).</t>
  </si>
  <si>
    <t xml:space="preserve">hq_city &lt;- https://fruitbelt.com/policies/privacy-policy (2026-10-24, opened); founder_name &lt;- https://preparedfoods.com/articles/122793-fruitbelt-sparkling-tonic-names-new-vice-president (2026-10-24, opened); founder_title &lt;- https://preparedfoods.com/articles/122793-fruitbelt-sparkling-tonic-names-new-vice-president (2026-10-24, opened); marketing_name &lt;- https://preparedfoods.com/articles/122793-fruitbelt-sparkling-tonic-names-new-vice-president (2026-10-24, opened); marketing_title &lt;- https://preparedfoods.com/articles/122793-fruitbelt-sparkling-tonic-names-new-vice-president (2026-10-24, opened); marketing_profile_url &lt;- https://preparedfoods.com/articles/122793-fruitbelt-sparkling-tonic-names-new-vice-president (2026-10-24, opened); </t>
  </si>
  <si>
    <t xml:space="preserve">AB-019</t>
  </si>
  <si>
    <t xml:space="preserve">Joon Pistachios</t>
  </si>
  <si>
    <t xml:space="preserve">Cody</t>
  </si>
  <si>
    <t xml:space="preserve">Allen</t>
  </si>
  <si>
    <t xml:space="preserve">Brand based outside the Northeast, no graded store within ten blocks, online store only, news 340 days ago, revenue unknown, contact named; founder review: shelf life not stated.</t>
  </si>
  <si>
    <t xml:space="preserve">Founders featured on Foodbevy's Startup To Scale podcast: '1500+ Doors in 6 Months', growth to 1,000+ doors within months</t>
  </si>
  <si>
    <t xml:space="preserve">https://podcast.foodbevy.com/1832151/episodes/18203095-246-1500-doors-on-6-months-joon-pistachio-s-tremendous-growth</t>
  </si>
  <si>
    <t xml:space="preserve">2025-11-18</t>
  </si>
  <si>
    <t xml:space="preserve">https://www.eatjoonfoods.com/pages/about</t>
  </si>
  <si>
    <t xml:space="preserve">find Cody Allen at Joon Pistachios on LinkedIn and paste the profile URL; founder review (shelf life or online store): read founder_review_reason first</t>
  </si>
  <si>
    <t xml:space="preserve">Joon Dill Pickle Pistachios, 4.5 oz bag</t>
  </si>
  <si>
    <t xml:space="preserve">https://www.eatjoonfoods.com</t>
  </si>
  <si>
    <t xml:space="preserve">national retail distribution in the why-now ('1,000+ doors'): check the revenue band at intake</t>
  </si>
  <si>
    <t xml:space="preserve">Roasted flavored pistachios in sealed bags, ambient</t>
  </si>
  <si>
    <t xml:space="preserve">https://popupgrocer.com/pages/directory (availability 'NYC Flagship', 2026-10-23); https://popupgrocer.com/products/joon</t>
  </si>
  <si>
    <t xml:space="preserve">Cody Allen</t>
  </si>
  <si>
    <t xml:space="preserve">Alexandre  Bennet</t>
  </si>
  <si>
    <t xml:space="preserve">Alexandre</t>
  </si>
  <si>
    <t xml:space="preserve">Bennet</t>
  </si>
  <si>
    <t xml:space="preserve">https://instagram.com/eatjoonfoods</t>
  </si>
  <si>
    <t xml:space="preserve">BR1:20</t>
  </si>
  <si>
    <t xml:space="preserve">Entity JOON TREATS LLC, Los Angeles (terms of service). Co-founder Cody's family runs Allen Brothers Wholesale Distribution in Philadelphia (about page).</t>
  </si>
  <si>
    <t xml:space="preserve">founder_name &lt;- https://podcast.foodbevy.com/1832151/episodes/18203095-246-1500-doors-on-6-months-joon-pistachio-s-tremendous-growth (2026-10-24, opened); founder_profile_url &lt;- https://podcast.foodbevy.com/1832151/episodes/18203095-246-1500-doors-on-6-months-joon-pistachio-s-tremendous-growth (2026-10-24, opened); why_now &lt;- https://podcast.foodbevy.com/1832151/episodes/18203095-246-1500-doors-on-6-months-joon-pistachio-s-tremendous-growth (2026-10-24, opened); why_now_url &lt;- https://podcast.foodbevy.com/1832151/episodes/18203095-246-1500-doors-on-6-months-joon-pistachio-s-tremendous-growth (2026-10-24, opened); why_now_date &lt;- https://podcast.foodbevy.com/1832151/episodes/18203095-246-1500-doors-on-6-months-joon-pistachio-s-tremendous-growth (2026-10-24, opened); </t>
  </si>
  <si>
    <t xml:space="preserve">AB-298</t>
  </si>
  <si>
    <t xml:space="preserve">The Maple Brothers</t>
  </si>
  <si>
    <t xml:space="preserve">Northeast brand, no graded store within ten blocks, online store only, a new store listing 160 days ago, revenue unknown, no contact named; founder review: other.</t>
  </si>
  <si>
    <t xml:space="preserve">Added three oat bar flavors to its US online store and exhibited in the Startup CPG pavilion at SFFS 2026</t>
  </si>
  <si>
    <t xml:space="preserve">https://themaplebrothers.com/products.json</t>
  </si>
  <si>
    <t xml:space="preserve">2026-05-17</t>
  </si>
  <si>
    <t xml:space="preserve">https://events.specialtyfood.com/event/2026-summer-fancy-food-show/exhibitor/RXhoaWJpdG9yXzI0NTA2ODU=</t>
  </si>
  <si>
    <t xml:space="preserve">Chocolate Chip &amp; Maple Oat Bars (organic, maple-sweetened)</t>
  </si>
  <si>
    <t xml:space="preserve">https://themaplebrothers.com</t>
  </si>
  <si>
    <t xml:space="preserve">Positioned as a kids' snack and described as 'a beloved European brand' re-entering the US, so the US entity's size and NY plans are unclear. Founders unnamed</t>
  </si>
  <si>
    <t xml:space="preserve">Wrapped organic oat bars sold ambient online; shelf life not stated</t>
  </si>
  <si>
    <t xml:space="preserve">https://www.instagram.com/themaplebrothers</t>
  </si>
  <si>
    <t xml:space="preserve">BR5:34</t>
  </si>
  <si>
    <t xml:space="preserve">SFFS 2026 exhibitor (State: Vermont; Pavilion: Start Up CPG). Startup CPG pavilion text: 'Grade A maple syrup sweetened organic oat bars. They are vegan, gluten-free, USDA organic'.</t>
  </si>
  <si>
    <t xml:space="preserve">AB-133</t>
  </si>
  <si>
    <t xml:space="preserve">Halmi</t>
  </si>
  <si>
    <t xml:space="preserve">Bae</t>
  </si>
  <si>
    <t xml:space="preserve">New York City brand, no graded store within ten blocks, online store only, no dated why-now in the last 12 months, revenue unknown, contact named; founder review: dormant, claim-borderline.</t>
  </si>
  <si>
    <t xml:space="preserve">https://drinkhalmi.com/pages/faqs</t>
  </si>
  <si>
    <t xml:space="preserve">find Hannah Bae at Halmi on LinkedIn and paste the profile URL; founder review (dormant, claim-borderline): read founder_review_reason first</t>
  </si>
  <si>
    <t xml:space="preserve">https://drinkhalmi.com/pages/our-story</t>
  </si>
  <si>
    <t xml:space="preserve">Halmi Cinnamon, Ginger, Jujube, Persimmon sparkling drink (SuJeongGwa-inspired), can</t>
  </si>
  <si>
    <t xml:space="preserve">Ridgewood (Queens, New York City)</t>
  </si>
  <si>
    <t xml:space="preserve">https://drinkhalmi.com</t>
  </si>
  <si>
    <t xml:space="preserve">Only drink SKU shows 'Sold out' on own store (2026-10-23) and newest store listing is 2023, so the brand may be dormant. FAQ says ingredients are 'known for their digestive and health properties' (soft wellness wording; check label and marketing)</t>
  </si>
  <si>
    <t xml:space="preserve">Brand FAQ: 'pasteurized and will be shelf-stable for 1 year in moderate conditions' (drinkhalmi.com/pages/faqs, opened 2026-10-23)</t>
  </si>
  <si>
    <t xml:space="preserve">Hannah Bae</t>
  </si>
  <si>
    <t xml:space="preserve">https://www.instagram.com/drinkhalmi</t>
  </si>
  <si>
    <t xml:space="preserve">BR3:7</t>
  </si>
  <si>
    <t xml:space="preserve">Korean-American founded; CB Insights snippet (not opened) lists New York, so HQ left unknown (unverified, founder to confirm). Our-story page cites ABC7 New York coverage. Low priority: confirm the brand is still producing before outreach.</t>
  </si>
  <si>
    <t xml:space="preserve">hq_city &lt;- https://drinkhalmi.com/policies/privacy-policy (2026-10-24, opened); hq_state &lt;- https://drinkhalmi.com/policies/privacy-policy (2026-10-24, opened); founder_name &lt;- https://drinkhalmi.com/pages/our-story (2026-10-24, opened); founder_title &lt;- https://drinkhalmi.com/pages/our-story (2026-10-24, opened); founder_profile_url &lt;- https://drinkhalmi.com/pages/our-story (2026-10-24, opened); </t>
  </si>
  <si>
    <t xml:space="preserve">AB-033</t>
  </si>
  <si>
    <t xml:space="preserve">34 Degrees</t>
  </si>
  <si>
    <t xml:space="preserve">Craig</t>
  </si>
  <si>
    <t xml:space="preserve">Brand based outside the Northeast, store page shows Whole Foods Market NoMad inside the cluster, no dated why-now in the last 12 months, revenue unknown, contact named; founder review: scale, format.</t>
  </si>
  <si>
    <t xml:space="preserve">https://34-degrees.com/pages/our-story</t>
  </si>
  <si>
    <t xml:space="preserve">find Craig Lieberman at 34 Degrees on LinkedIn and paste the profile URL; before using the retailer line, check Whole Foods Market NoMad still lists it: https://www.wholefoodsmarket.com/search?text=34%20Degrees with your store set to NoMad (catalogs change daily); founder review (scale, format): read founder_review_reason first</t>
  </si>
  <si>
    <t xml:space="preserve">34 Degrees Original Crisps, 4.5 oz; Rosemary Garlic Mates</t>
  </si>
  <si>
    <t xml:space="preserve">Denver</t>
  </si>
  <si>
    <t xml:space="preserve">https://34-degrees.com</t>
  </si>
  <si>
    <t xml:space="preserve">Wide national distribution (US and Canada) suggests revenue above the band; deli-cracker format is shared-size, not single-serve</t>
  </si>
  <si>
    <t xml:space="preserve">Thin baked crisps sold ambient in deli departments</t>
  </si>
  <si>
    <t xml:space="preserve">Whole Foods Market; Kroger; Walmart; Publix; Sprouts; Meijer; Wegmans; Safeway; Albertsons; King Soopers</t>
  </si>
  <si>
    <t xml:space="preserve">https://www.wholefoodsmarket.com/search?text=34%20degrees%20crisps (6 items IN_STOCK in each cluster store context, 2026-10-23)</t>
  </si>
  <si>
    <t xml:space="preserve">Craig Lieberman</t>
  </si>
  <si>
    <t xml:space="preserve">BR1:34</t>
  </si>
  <si>
    <t xml:space="preserve">34 Degrees, LLC, 2825 Larimer St, Denver CO (terms of service). Our story page mentions three new Snaps snacking flavors (Sea Salt, Everything, Umami), undated. Founder name added in the 2026-10-23 spot check.</t>
  </si>
  <si>
    <t xml:space="preserve">AB-248</t>
  </si>
  <si>
    <t xml:space="preserve">Tate's Bake Shop</t>
  </si>
  <si>
    <t xml:space="preserve">Kathleen</t>
  </si>
  <si>
    <t xml:space="preserve">New York State brand, store page shows Whole Foods Market NoMad inside the cluster, no dated why-now in the last 12 months, revenue unknown, contact named; founder review: owner, scale.</t>
  </si>
  <si>
    <t xml:space="preserve">https://www.tatesbakeshop.com/</t>
  </si>
  <si>
    <t xml:space="preserve">find Kathleen King at Tate's Bake Shop on LinkedIn and paste the profile URL; before using the retailer line, check Whole Foods Market NoMad still lists it: https://www.wholefoodsmarket.com/search?text=Tate%27s%20Bake%20Shop with your store set to NoMad (catalogs change daily); founder review (owner, scale): read founder_review_reason first</t>
  </si>
  <si>
    <t xml:space="preserve">https://cspdailynews.com/snacks-candy/mondelez-acquires-tates-bake-shop</t>
  </si>
  <si>
    <t xml:space="preserve">Tiny Tate's Cookies multipack (single-serve bags); Lemon Cookies 7 oz</t>
  </si>
  <si>
    <t xml:space="preserve">Southampton, Long Island (homepage: 'Southampton Born')</t>
  </si>
  <si>
    <t xml:space="preserve">https://www.tatesbakeshop.com</t>
  </si>
  <si>
    <t xml:space="preserve">National brand (8-9 SKUs per cluster WFM, nationwide distribution) almost certainly above the $10M ceiling; corporate ownership to confirm</t>
  </si>
  <si>
    <t xml:space="preserve">acquired by Mondelez International (deal announced 2018-05-08, about $500M)</t>
  </si>
  <si>
    <t xml:space="preserve">Brand FAQ: 'Packaged items have a shelf life of up to three months'; no additives or preservatives; check the best-by date</t>
  </si>
  <si>
    <t xml:space="preserve">Acquisition price about $500M (2018); no sales figure, so revenue_band stays unknown, but the brand is far above the ceiling</t>
  </si>
  <si>
    <t xml:space="preserve">Whole Foods Market; national grocery</t>
  </si>
  <si>
    <t xml:space="preserve">https://www.wholefoodsmarket.com/api/search?text=tate%27s&amp;store=10773&amp;limit=60&amp;offset=0; https://www.wholefoodsmarket.com/api/search?text=tate%27s&amp;store=10162&amp;limit=60&amp;offset=0; https://www.wholefoodsmarket.com/api/search?text=tate%27s&amp;store=10131&amp;limit=60&amp;offset=0; https://www.wholefoodsmarket.com/api/search?text=tate%27s&amp;store=10713&amp;limit=60&amp;offset=0</t>
  </si>
  <si>
    <t xml:space="preserve">Kathleen King</t>
  </si>
  <si>
    <t xml:space="preserve">BR4:43</t>
  </si>
  <si>
    <t xml:space="preserve">Recorded so the size gate is visible; New York State origin.</t>
  </si>
  <si>
    <t xml:space="preserve">shelf_stable_basis &lt;- https://www.tatesbakeshop.com/faq (2026-10-24, opened); funding_stage &lt;- https://cspdailynews.com/snacks-candy/mondelez-acquires-tates-bake-shop (2026-10-24, opened); revenue_basis &lt;- https://cspdailynews.com/snacks-candy/mondelez-acquires-tates-bake-shop (2026-10-24, opened); founder_name &lt;- https://cspdailynews.com/snacks-candy/mondelez-acquires-tates-bake-shop (2026-10-24, opened); founder_title &lt;- https://cspdailynews.com/snacks-candy/mondelez-acquires-tates-bake-shop (2026-10-24, opened); founder_profile_url &lt;- https://cspdailynews.com/snacks-candy/mondelez-acquires-tates-bake-shop (2026-10-24, opened); </t>
  </si>
  <si>
    <t xml:space="preserve">AB-020</t>
  </si>
  <si>
    <t xml:space="preserve">(P)RiND</t>
  </si>
  <si>
    <t xml:space="preserve">Matteo</t>
  </si>
  <si>
    <t xml:space="preserve">Caloia</t>
  </si>
  <si>
    <t xml:space="preserve">Brand based outside the Northeast, no graded store within ten blocks, online store only, a new store listing 180 days ago, revenue unknown, contact named; founder review: claim-borderline.</t>
  </si>
  <si>
    <t xml:space="preserve">Launched office bundles (Burgeoning Office, Medium Office, Wall Street) and a 'For Offices' page</t>
  </si>
  <si>
    <t xml:space="preserve">https://www.eatprind.com/products/medium-office-bundle</t>
  </si>
  <si>
    <t xml:space="preserve">2026-04-27</t>
  </si>
  <si>
    <t xml:space="preserve">https://eatprind.com/pages/about</t>
  </si>
  <si>
    <t xml:space="preserve">find Matteo Caloia at (P)RiND on LinkedIn and paste the profile URL; founder review (claim-borderline): read founder_review_reason first</t>
  </si>
  <si>
    <t xml:space="preserve">(P)RiND Parmesan Pops, single pack (6 Pack Variety - Single Pack)</t>
  </si>
  <si>
    <t xml:space="preserve">https://www.eatprind.com</t>
  </si>
  <si>
    <t xml:space="preserve">Positioned 'High Protein Parmesan Pops' (nutrient-content claim) and 'functional'; cheese-based, confirm shelf life of 60+ days</t>
  </si>
  <si>
    <t xml:space="preserve">Oven-baked aged-cheese-rind crisps sold ambient online and at PopUp Grocer</t>
  </si>
  <si>
    <t xml:space="preserve">PopUp Grocer (NYC); Faire wholesale; brand store locator</t>
  </si>
  <si>
    <t xml:space="preserve">https://popupgrocer.com/pages/directory (availability 'NYC Flagship', 2026-10-23); https://popupgrocer.com/products/prind</t>
  </si>
  <si>
    <t xml:space="preserve">Matteo Caloia</t>
  </si>
  <si>
    <t xml:space="preserve">Kai</t>
  </si>
  <si>
    <t xml:space="preserve">https://instagram.com/eatprind</t>
  </si>
  <si>
    <t xml:space="preserve">BR1:21</t>
  </si>
  <si>
    <t xml:space="preserve">Already selling to offices, a strong fit for the pitch. Monthly mystery flavor drops (2026-07). Business city from privacy policy.</t>
  </si>
  <si>
    <t xml:space="preserve">AB-061</t>
  </si>
  <si>
    <t xml:space="preserve">Belle's Gourmet Popcorn</t>
  </si>
  <si>
    <t xml:space="preserve">Belle</t>
  </si>
  <si>
    <t xml:space="preserve">Sharon</t>
  </si>
  <si>
    <t xml:space="preserve">Brand based outside the Northeast, no graded store within ten blocks, online store only, a new store listing 177 days ago, revenue unknown, contact named; founder review: other.</t>
  </si>
  <si>
    <t xml:space="preserve">Launched in 1,000+ Walmart stores; new seasonal flavors (Pumpkin Spice Latte, White Chocolatey Peppermint) on brand store 2026-10-19</t>
  </si>
  <si>
    <t xml:space="preserve">https://startupcpg.com/startup-cpg-newswire-belles-gourmet-popcorn-launches-in-more-than-1000-walmart-stores-nationwide/</t>
  </si>
  <si>
    <t xml:space="preserve">find Belle Sharon at Belle's Gourmet Popcorn on LinkedIn and paste the profile URL; founder review (other): read founder_review_reason first</t>
  </si>
  <si>
    <t xml:space="preserve">Belle's Avocado Kettle Corn ($4.99 bag)</t>
  </si>
  <si>
    <t xml:space="preserve">Farmers Branch</t>
  </si>
  <si>
    <t xml:space="preserve">https://bellespopcorn.com</t>
  </si>
  <si>
    <t xml:space="preserve">Several SKUs are sweet (Lemon Meringue, Peanut Butter Crunch, Dubai-Style Chocolate); savory fit is Avocado Kettle Corn only; peanut allergen in one SKU; national retail distribution in the why-now ('Walmart'): check the revenue band at intake</t>
  </si>
  <si>
    <t xml:space="preserve">family-owned</t>
  </si>
  <si>
    <t xml:space="preserve">Bagged popcorn, ambient</t>
  </si>
  <si>
    <t xml:space="preserve">Walmart (1,000+ stores, April 2026)</t>
  </si>
  <si>
    <t xml:space="preserve">https://startupcpg.com/startup-cpg-newswire-belles-gourmet-popcorn-launches-in-more-than-1000-walmart-stores-nationwide/; https://www.wholefoodsmarket.com/search?text=belle%27s%20gourmet%20popcorn (no WFM results, 2026-10-23)</t>
  </si>
  <si>
    <t xml:space="preserve">Belle Sharon</t>
  </si>
  <si>
    <t xml:space="preserve">Dror Sharon</t>
  </si>
  <si>
    <t xml:space="preserve">Dror</t>
  </si>
  <si>
    <t xml:space="preserve">BR1:62</t>
  </si>
  <si>
    <t xml:space="preserve">Release datelined FARMERS BRANCH, TX (April 2026).</t>
  </si>
  <si>
    <t xml:space="preserve">AB-213</t>
  </si>
  <si>
    <t xml:space="preserve">Brooklyn Biltong</t>
  </si>
  <si>
    <t xml:space="preserve">Ben</t>
  </si>
  <si>
    <t xml:space="preserve">van den Heever</t>
  </si>
  <si>
    <t xml:space="preserve">Brand based outside the Northeast (HQ unverified), no graded store within ten blocks, online store only, a new store listing 72 days ago, revenue unknown, contact named; founder review: claim-borderline.</t>
  </si>
  <si>
    <t xml:space="preserve">Added single-serve 0.8 oz bags in 2026 (Classic Skinny Sticks and Garlic and Pepper &amp; Coriander Tender Steak Slices published 2026-06-30, Classic 2026-07-28, Chili Peri Peri 2026-08-13), offered as a free bag plus shipping</t>
  </si>
  <si>
    <t xml:space="preserve">https://www.brooklynbiltong.com/products.json?limit=250</t>
  </si>
  <si>
    <t xml:space="preserve">2026-08-13</t>
  </si>
  <si>
    <t xml:space="preserve">https://www.brooklynbiltong.com/pages/storage-instructions</t>
  </si>
  <si>
    <t xml:space="preserve">find Ben van den Heever at Brooklyn Biltong on LinkedIn and paste the profile URL; founder review (claim-borderline): read founder_review_reason first</t>
  </si>
  <si>
    <t xml:space="preserve">https://www.brooklynbiltong.com/pages/about-us-history</t>
  </si>
  <si>
    <t xml:space="preserve">Classic Tender Steak Slices 0.8 oz single-serve bag (also 3.2 oz bag; Skinny Sticks 0.8 oz and 3.5 oz)</t>
  </si>
  <si>
    <t xml:space="preserve">Goldsboro, NC (privacy-policy mailing address: 1002 Sunburst Drive, Goldsboro, North Carolina 27534). A CB Insights snippet lists 314 Prospect Ave, Brooklyn (unverified). Founder to confirm where the team sits.</t>
  </si>
  <si>
    <t xml:space="preserve">https://www.brooklynbiltong.com</t>
  </si>
  <si>
    <t xml:space="preserve">Protein and keto positioning ('50 grams of protein', 'Keto certified', 'HEALTHY MEAT SNACKS'); HQ not confirmed as NYC</t>
  </si>
  <si>
    <t xml:space="preserve">NC (privacy-policy address; founder to confirm)</t>
  </si>
  <si>
    <t xml:space="preserve">Storage page: 'An unopened bag of biltong can last up to 12 months stored in a cool, dry place'</t>
  </si>
  <si>
    <t xml:space="preserve">Store locator (not machine-readable); wholesale via Faire</t>
  </si>
  <si>
    <t xml:space="preserve">https://www.brooklynbiltong.com/pages/store-locator</t>
  </si>
  <si>
    <t xml:space="preserve">Ben van den Heever</t>
  </si>
  <si>
    <t xml:space="preserve">https://www.instagram.com/brooklynbiltong</t>
  </si>
  <si>
    <t xml:space="preserve">BR4:8</t>
  </si>
  <si>
    <t xml:space="preserve">Air-dried grass-fed beef, South African recipe from the founder's grandfather in Pretoria. Store locator uses a Roseperl widget whose store list loads from an API; no stores could be read. Not checked in WFM (no brand hit for 'brooklyn biltong' in cluster catalogs on 2026-10-23).</t>
  </si>
  <si>
    <t xml:space="preserve">why_now &lt;- https://www.brooklynbiltong.com/products.json?limit=250 (2026-10-24, opened); why_now_url &lt;- https://www.brooklynbiltong.com/products.json?limit=250 (2026-10-24, opened); why_now_date &lt;- https://www.brooklynbiltong.com/products.json?limit=250 (2026-10-24, opened); product_example &lt;- https://www.brooklynbiltong.com/products.json?limit=250 (2026-10-24, opened); hq_city &lt;- https://www.brooklynbiltong.com/policies/privacy-policy (2026-10-24, opened); hq_state &lt;- https://www.brooklynbiltong.com/policies/privacy-policy (2026-10-24, opened); </t>
  </si>
  <si>
    <t xml:space="preserve">AB-251</t>
  </si>
  <si>
    <t xml:space="preserve">DEFI Snacks</t>
  </si>
  <si>
    <t xml:space="preserve">Tatyana</t>
  </si>
  <si>
    <t xml:space="preserve">Northeast brand, no graded store within ten blocks, online store only, news 344 days ago, revenue unknown, contact named; founder review: claim-borderline.</t>
  </si>
  <si>
    <t xml:space="preserve">Grand Prize winner, Enthuse Foundation 7th Women Founders Pitch Competition (NYC finale 2025-11-06); site banner now says 'Winner of the 2026 Mintel MOST INNOVATIVE PRODUCT award'</t>
  </si>
  <si>
    <t xml:space="preserve">https://startupcpg.com/startup-cpg-newswire-enthuse-foundation-names-defi-snacks-grand-prize-winner-and-bake-me-healthy-runner-up-in-7th-annual-women-founders-pitch-competition/</t>
  </si>
  <si>
    <t xml:space="preserve">2025-11-14</t>
  </si>
  <si>
    <t xml:space="preserve">find Tatyana Jones at DEFI Snacks on LinkedIn and paste the profile URL; founder review (claim-borderline): read founder_review_reason first</t>
  </si>
  <si>
    <t xml:space="preserve">http://defi-snacks.com/pages/about</t>
  </si>
  <si>
    <t xml:space="preserve">High-protein chocolate bites (25g+ protein; sprouted buckwheat, casein and whey crisps)</t>
  </si>
  <si>
    <t xml:space="preserve">Chatham</t>
  </si>
  <si>
    <t xml:space="preserve">Protein positioning (25g+ protein); new brand; 60-day shelf life not stated</t>
  </si>
  <si>
    <t xml:space="preserve">http://defi-snacks.com</t>
  </si>
  <si>
    <t xml:space="preserve">Not stated in release</t>
  </si>
  <si>
    <t xml:space="preserve">Tatyana Jones</t>
  </si>
  <si>
    <t xml:space="preserve">BR4:46</t>
  </si>
  <si>
    <t xml:space="preserve">Woman-led brand. Founder not named in the passages read. NYC pitch-event winner, so likely receptive to NYC trial.</t>
  </si>
  <si>
    <t xml:space="preserve">founder_name &lt;- http://defi-snacks.com/pages/about (2026-10-24, opened); founder_title &lt;- http://defi-snacks.com/pages/about (2026-10-24, opened); founder_profile_url &lt;- http://defi-snacks.com/pages/about (2026-10-24, opened); online_store &lt;- http://defi-snacks.com/ (2026-10-24, opened); why_now &lt;- http://defi-snacks.com/pages/defi-in-the-news (2026-10-24, opened); </t>
  </si>
  <si>
    <t xml:space="preserve">AB-134</t>
  </si>
  <si>
    <t xml:space="preserve">Manhattan Special</t>
  </si>
  <si>
    <t xml:space="preserve">Aurora</t>
  </si>
  <si>
    <t xml:space="preserve">Passaro</t>
  </si>
  <si>
    <t xml:space="preserve">Key people</t>
  </si>
  <si>
    <t xml:space="preserve">New York City brand, no graded store within ten blocks, online store only, no dated why-now in the last 12 months, revenue unknown, contact named; founder review: not-emerging, claim-borderline.</t>
  </si>
  <si>
    <t xml:space="preserve">https://www.manhattanspecial.com/after-about/</t>
  </si>
  <si>
    <t xml:space="preserve">find Aurora Passaro at Manhattan Special on LinkedIn and paste the profile URL; founder review (not-emerging, claim-borderline): read founder_review_reason first</t>
  </si>
  <si>
    <t xml:space="preserve">https://en.wikipedia.org/wiki/Manhattan_Special</t>
  </si>
  <si>
    <t xml:space="preserve">Manhattan Special Pure Espresso Coffee Soda, 12 oz glass bottle</t>
  </si>
  <si>
    <t xml:space="preserve">https://www.manhattanspecial.com/our-products/</t>
  </si>
  <si>
    <t xml:space="preserve">Heritage brand (since 1895), not an emerging brand, and contains caffeine; retailer locator is a request form, so no near-cluster store is listed. Fit is a judgment call; 60-day shelf life not stated</t>
  </si>
  <si>
    <t xml:space="preserve">not-emerging;claim-borderline</t>
  </si>
  <si>
    <t xml:space="preserve">https://www.manhattanspecial.com</t>
  </si>
  <si>
    <t xml:space="preserve">family-owned (since 1895)</t>
  </si>
  <si>
    <t xml:space="preserve">Bottled soda; no shelf-life statement found on brand site</t>
  </si>
  <si>
    <t xml:space="preserve">Walmart.com (diet decaf listing, from search results)</t>
  </si>
  <si>
    <t xml:space="preserve">Aurora Passaro</t>
  </si>
  <si>
    <t xml:space="preserve">key people per Wikipedia</t>
  </si>
  <si>
    <t xml:space="preserve">Louis Passaro</t>
  </si>
  <si>
    <t xml:space="preserve">Louis</t>
  </si>
  <si>
    <t xml:space="preserve">BR3:8</t>
  </si>
  <si>
    <t xml:space="preserve">Products page: 12 oz espresso coffee sodas and all-natural sodas 'Order Online'; 32 oz not online. Brooklyn (Williamsburg) location is from a Wikipedia search snippet only, not on pages opened (unverified, founder to confirm). Family names in search snippets not recorded as contacts.</t>
  </si>
  <si>
    <t xml:space="preserve">hq_city &lt;- https://en.wikipedia.org/wiki/Manhattan_Special (2026-10-24, opened); hq_state &lt;- https://en.wikipedia.org/wiki/Manhattan_Special (2026-10-24, opened); founder_name &lt;- https://en.wikipedia.org/wiki/Manhattan_Special (2026-10-24, opened); founder_title &lt;- https://en.wikipedia.org/wiki/Manhattan_Special (2026-10-24, opened); </t>
  </si>
  <si>
    <t xml:space="preserve">AB-024</t>
  </si>
  <si>
    <t xml:space="preserve">LesserEvil</t>
  </si>
  <si>
    <t xml:space="preserve">Charles</t>
  </si>
  <si>
    <t xml:space="preserve">Coristine</t>
  </si>
  <si>
    <t xml:space="preserve">President and CEO</t>
  </si>
  <si>
    <t xml:space="preserve">https://www.linkedin.com/in/charles-coristine-7b611b13/</t>
  </si>
  <si>
    <t xml:space="preserve">Northeast brand, store page shows Whole Foods Market NoMad inside the cluster, news 43 days ago, revenue over $10M, contact named plus a marketing lead; founder review: scale-reported, scale.</t>
  </si>
  <si>
    <t xml:space="preserve">Launched Cheezmos Puffs (Cowgirl Cheddar, Jalapeño Cheddar)</t>
  </si>
  <si>
    <t xml:space="preserve">https://www.snackandbakery.com/articles/116310-lesserevil-expands-cheezmos-line-with-two-puffed-snacks</t>
  </si>
  <si>
    <t xml:space="preserve">https://www.lesserevil.com/pages/our-story</t>
  </si>
  <si>
    <t xml:space="preserve">the source is dated 2025: check Charles still holds the role; before using the retailer line, check Whole Foods Market NoMad still lists it: https://www.wholefoodsmarket.com/search?text=LesserEvil with your store set to NoMad (catalogs change daily); founder review (scale-reported, scale): read founder_review_reason first</t>
  </si>
  <si>
    <t xml:space="preserve">https://www.snackandbakery.com/articles/114444-2025-snack-producer-of-the-year-lesserevil</t>
  </si>
  <si>
    <t xml:space="preserve">LesserEvil Organic Real Cheddar Space Balls 10-count snack packs; Cowboy Cheddar Cheezmos Snack Pack</t>
  </si>
  <si>
    <t xml:space="preserve">https://www.lesserevil.com</t>
  </si>
  <si>
    <t xml:space="preserve">Scale suggests revenue well above $10M (own factory, 17+ SKUs per NYC WFM store) though no sourced figure; $600 may be below their sampling threshold</t>
  </si>
  <si>
    <t xml:space="preserve">scale-reported;scale</t>
  </si>
  <si>
    <t xml:space="preserve">Bagged organic popcorn and puffs sold ambient; multi-count snack packs</t>
  </si>
  <si>
    <t xml:space="preserve">Snack and Bakery 2025 profile: sales $104M (2023), $169M (2024), $225M projected (2025)</t>
  </si>
  <si>
    <t xml:space="preserve">https://www.wholefoodsmarket.com/search?text=lesserevil (17-18 items IN_STOCK in each of Union Square, NoMad, Chelsea contexts, 2026-10-23)</t>
  </si>
  <si>
    <t xml:space="preserve">Charles Coristine</t>
  </si>
  <si>
    <t xml:space="preserve">Snack and Bakery 2025 key personnel: "Charles Coristine, CEO"; he bought the company in 2011, so owner rather than original founder. LinkedIn URL linked from https://karagoldin.com/podcasts/charles-coristine/; LinkedIn not opened.</t>
  </si>
  <si>
    <t xml:space="preserve">Caitlin</t>
  </si>
  <si>
    <t xml:space="preserve">Mack</t>
  </si>
  <si>
    <t xml:space="preserve">VP of Marketing</t>
  </si>
  <si>
    <t xml:space="preserve">Snack and Bakery 2025 key personnel; Modern Retail 2024-09 called her director of digital and brand marketing. A stage-1 LinkedIn snippet (about two months old) says a Caitlin Mack joined PRETZELIZED (rank 9) as VP of Marketing; she may have left. Confirm before contacting.</t>
  </si>
  <si>
    <t xml:space="preserve">BR1:25</t>
  </si>
  <si>
    <t xml:space="preserve">All products manufactured at Danbury CT headquarters (our story page). Revenue band left unknown on purpose: no sourced figure.</t>
  </si>
  <si>
    <t xml:space="preserve">revenue_band &lt;- https://www.snackandbakery.com/articles/114444-2025-snack-producer-of-the-year-lesserevil (2026-10-24, stage 3 correction); revenue_basis &lt;- https://www.snackandbakery.com/articles/114444-2025-snack-producer-of-the-year-lesserevil (2026-10-24, stage 3 correction); </t>
  </si>
  <si>
    <t xml:space="preserve">2025</t>
  </si>
  <si>
    <t xml:space="preserve">person 'caitlin mack' shared with AB-003</t>
  </si>
  <si>
    <t xml:space="preserve">AB-297</t>
  </si>
  <si>
    <t xml:space="preserve">DM Snacks (Damn, Man Snacks)</t>
  </si>
  <si>
    <t xml:space="preserve">Frann</t>
  </si>
  <si>
    <t xml:space="preserve">Northeast brand, no graded store within ten blocks, online store only, a new store listing 60 days ago, revenue unknown, contact named (first name only); founder review: format, claim-borderline.</t>
  </si>
  <si>
    <t xml:space="preserve">Launched a Happy Nuts collection and four 8 oz flavors (Thai Chili, Coconut Curry, Honey Sea Salt, Pineapple Habanero)</t>
  </si>
  <si>
    <t xml:space="preserve">https://www.dmsnacks.com/products.json</t>
  </si>
  <si>
    <t xml:space="preserve">https://events.specialtyfood.com/event/2026-summer-fancy-food-show/exhibitor/RXhoaWJpdG9yXzI0NzYzNzc=</t>
  </si>
  <si>
    <t xml:space="preserve">find Frann at DM Snacks (Damn, Man Snacks) on LinkedIn and paste the profile URL; surname not public: take it from LinkedIn; founder review (format, claim-borderline): read founder_review_reason first</t>
  </si>
  <si>
    <t xml:space="preserve">DM Snacks Thai Chili Peanuts, 8 oz bag; Bourbon Pecans 5 oz</t>
  </si>
  <si>
    <t xml:space="preserve">https://www.dmsnacks.com</t>
  </si>
  <si>
    <t xml:space="preserve">Gift-box company first; share-size bags only. Sister brand Sugar Plum Chocolates sells meat snacks too (check refrigeration if that line is offered)</t>
  </si>
  <si>
    <t xml:space="preserve">Seasoned nuts in resealable 5 oz and 8 oz bags sold ambient online</t>
  </si>
  <si>
    <t xml:space="preserve">Neil Edley</t>
  </si>
  <si>
    <t xml:space="preserve">Neil</t>
  </si>
  <si>
    <t xml:space="preserve">Edley</t>
  </si>
  <si>
    <t xml:space="preserve">https://www.instagram.com/damnmansnacks</t>
  </si>
  <si>
    <t xml:space="preserve">BR5:33</t>
  </si>
  <si>
    <t xml:space="preserve">SFFS 2026 (Sugar Plum Inc, State: Pennsylvania): 'Sugar Plum Chocolates and DM Snacks are family-owned Pennsylvania specialty food brands founded by Frann and Neil Edley'. Site: 'Woman-owned. Packed in PA.'</t>
  </si>
  <si>
    <t xml:space="preserve">AB-289</t>
  </si>
  <si>
    <t xml:space="preserve">Josephine's Baking Co.</t>
  </si>
  <si>
    <t xml:space="preserve">Lydda</t>
  </si>
  <si>
    <t xml:space="preserve">Northeast brand, no graded store within ten blocks, online store only, a new store listing 32 days ago, revenue unknown, contact named (first name only); founder review: format, claim-borderline.</t>
  </si>
  <si>
    <t xml:space="preserve">Launched Vanilla and Coconut Crispy Cookies and a Nut-Free Favorites bundle</t>
  </si>
  <si>
    <t xml:space="preserve">https://josephinesbakingco.com/products.json</t>
  </si>
  <si>
    <t xml:space="preserve">https://events.specialtyfood.com/event/2026-summer-fancy-food-show/exhibitor/RXhoaWJpdG9yXzI0NTA3ODc=</t>
  </si>
  <si>
    <t xml:space="preserve">find Lydda at Josephine's Baking Co. on LinkedIn and paste the profile URL; surname not public: take it from LinkedIn; founder review (format, claim-borderline): read founder_review_reason first</t>
  </si>
  <si>
    <t xml:space="preserve">https://josephinesbakingco.com/pages/about-us</t>
  </si>
  <si>
    <t xml:space="preserve">Vanilla Crispy Cookies, gluten-free, 5 oz stand-up pouch</t>
  </si>
  <si>
    <t xml:space="preserve">unknown (made in Massachusetts and Vermont)</t>
  </si>
  <si>
    <t xml:space="preserve">https://josephinesbakingco.com</t>
  </si>
  <si>
    <t xml:space="preserve">Only 5 oz share pouches seen, no single-serve. Meta description calls the cookies 'a healthy and tasty snack' (soft wording)</t>
  </si>
  <si>
    <t xml:space="preserve">Crispy gluten-free cookies in resealable 5 oz pouches shipped nationwide; shelf life not stated</t>
  </si>
  <si>
    <t xml:space="preserve">'Mimi'; surname not given</t>
  </si>
  <si>
    <t xml:space="preserve">https://www.instagram.com/josephinesbakingco/</t>
  </si>
  <si>
    <t xml:space="preserve">BR5:25</t>
  </si>
  <si>
    <t xml:space="preserve">SFFS 2026 (State: Massachusetts): 'women-owned, Latina-owned mother-daughter brand crafting premium gluten-free cookies'. Homepage: 'Our cookies are proudly made in Massachusetts &amp; Vermont'.</t>
  </si>
  <si>
    <t xml:space="preserve">AB-202</t>
  </si>
  <si>
    <t xml:space="preserve">Spirited Zero Proof</t>
  </si>
  <si>
    <t xml:space="preserve">Laurie</t>
  </si>
  <si>
    <t xml:space="preserve">Lloyd</t>
  </si>
  <si>
    <t xml:space="preserve">Brand based outside the Northeast, no graded store within ten blocks, online store only, a new store listing 25 days ago, revenue unknown, contact named; founder review: other.</t>
  </si>
  <si>
    <t xml:space="preserve">Added to Pop Up Grocer NYC Flagship directory; Original and Lemon Spritz listed 2026-06-03</t>
  </si>
  <si>
    <t xml:space="preserve">https://popupgrocer.com/products/spirited-zero-proof</t>
  </si>
  <si>
    <t xml:space="preserve">2026-09-29</t>
  </si>
  <si>
    <t xml:space="preserve">https://spiritedzeroproof.com/pages/our-story</t>
  </si>
  <si>
    <t xml:space="preserve">find Laurie Lloyd at Spirited Zero Proof on LinkedIn and paste the profile URL; founder review (other): read founder_review_reason first</t>
  </si>
  <si>
    <t xml:space="preserve">Spirited Original Spritz zero-proof RTD cocktail, can (under 30 calories)</t>
  </si>
  <si>
    <t xml:space="preserve">Miami Beach</t>
  </si>
  <si>
    <t xml:space="preserve">https://spiritedzeroproof.com</t>
  </si>
  <si>
    <t xml:space="preserve">Cocktail-style positioning in an office pantry; Miami founder, so NYC push would be new; shelf stability not stated; 60-day shelf life not stated</t>
  </si>
  <si>
    <t xml:space="preserve">Pop Up Grocer NYC Flagship, 205 Bleecker St (retailer directory); find-a-store page not readable</t>
  </si>
  <si>
    <t xml:space="preserve">Laurie Lloyd</t>
  </si>
  <si>
    <t xml:space="preserve">BR3:76</t>
  </si>
  <si>
    <t xml:space="preserve">FAQ: 100% alcohol free, no THC, mushrooms or adaptogens (clean on claims). Founder described as 'a Miami-based entrepreneur' (basis for hq).</t>
  </si>
  <si>
    <t xml:space="preserve">hq_city &lt;- https://spiritedzeroproof.com/policies/privacy-policy (2026-10-24, opened); </t>
  </si>
  <si>
    <t xml:space="preserve">AB-188</t>
  </si>
  <si>
    <t xml:space="preserve">Loom</t>
  </si>
  <si>
    <t xml:space="preserve">Bill</t>
  </si>
  <si>
    <t xml:space="preserve">Butrymowicz</t>
  </si>
  <si>
    <t xml:space="preserve">Northeast brand, no graded store within ten blocks, online store only, a new store listing 223 days ago, revenue unknown, contact named; founder review: claim-borderline.</t>
  </si>
  <si>
    <t xml:space="preserve">Original Variety 12 Pack listed on store</t>
  </si>
  <si>
    <t xml:space="preserve">https://www.drinkloom.com/products.json</t>
  </si>
  <si>
    <t xml:space="preserve">2026-03-15</t>
  </si>
  <si>
    <t xml:space="preserve">https://www.drinkloom.com/pages/about</t>
  </si>
  <si>
    <t xml:space="preserve">find Bill Butrymowicz at Loom on LinkedIn and paste the profile URL; founder review (claim-borderline): read founder_review_reason first</t>
  </si>
  <si>
    <t xml:space="preserve">Loom low-sugar juice drink, bottle (Dark Cherry, Midnight Mango)</t>
  </si>
  <si>
    <t xml:space="preserve">Lakewood</t>
  </si>
  <si>
    <t xml:space="preserve">https://www.drinkloom.com</t>
  </si>
  <si>
    <t xml:space="preserve">HQ and current NYC retail not confirmed; 'no added sugar' nutrient-content claim; 60-day shelf life not stated</t>
  </si>
  <si>
    <t xml:space="preserve">About page: 'Each bottle is aseptically filled' (aseptic filling usually means ambient storage, but no explicit statement)</t>
  </si>
  <si>
    <t xml:space="preserve">Pop Up Grocer (past brand, directory); Stockist widget present but no locations returned</t>
  </si>
  <si>
    <t xml:space="preserve">https://popupgrocer.com/products/loom</t>
  </si>
  <si>
    <t xml:space="preserve">Bill Butrymowicz</t>
  </si>
  <si>
    <t xml:space="preserve">https://instagram.com/drinkloom</t>
  </si>
  <si>
    <t xml:space="preserve">BR3:62</t>
  </si>
  <si>
    <t xml:space="preserve">Founder grew up in his father's beverage distribution business (about page). Date is Shopify publish date.</t>
  </si>
  <si>
    <t xml:space="preserve">hq_city &lt;- https://www.drinkloom.com/policies/terms-of-service (2026-10-24, opened); hq_state &lt;- https://www.drinkloom.com/policies/terms-of-service (2026-10-24, opened); </t>
  </si>
  <si>
    <t xml:space="preserve">AB-029</t>
  </si>
  <si>
    <t xml:space="preserve">Vermont Smoke &amp; Cure</t>
  </si>
  <si>
    <t xml:space="preserve">Northeast brand, store page shows Whole Foods Market NoMad inside the cluster, a new store listing 159 days ago, revenue unknown, no contact named; founder review: owner.</t>
  </si>
  <si>
    <t xml:space="preserve">Launched Kraft A.1. and Lea &amp; Perrins inspired smoked beef sticks (1 oz, 6-count)</t>
  </si>
  <si>
    <t xml:space="preserve">https://store.vermontsmokeandcure.com/products/kraft-a-1-inspired-smoked-premium-beef-stick-1oz-6ct</t>
  </si>
  <si>
    <t xml:space="preserve">https://store.vermontsmokeandcure.com</t>
  </si>
  <si>
    <t xml:space="preserve">no person named on an opened page: not ready; before using the retailer line, check Whole Foods Market NoMad still lists it: https://www.wholefoodsmarket.com/search?text=Vermont%20Smoke%20%26%20Cure with your store set to NoMad (catalogs change daily); founder review (owner): read founder_review_reason first</t>
  </si>
  <si>
    <t xml:space="preserve">Vermont Smoke &amp; Cure BBQ Beef Stick, 1 oz</t>
  </si>
  <si>
    <t xml:space="preserve">Hinesburg</t>
  </si>
  <si>
    <t xml:space="preserve">Owned by Johnsonville LLC since Sept 2020 (big-brand parent), plus licensed Kraft A.1. and Lea &amp; Perrins sticks</t>
  </si>
  <si>
    <t xml:space="preserve">https://www.vermontsmokeandcure.com</t>
  </si>
  <si>
    <t xml:space="preserve">Individually wrapped 1 oz smoked meat sticks sold ambient (WFM single-stick listings)</t>
  </si>
  <si>
    <t xml:space="preserve">https://www.wholefoodsmarket.com/search?text=vermont%20smoke%20cure (Union Square, NoMad, Chelsea contexts: Original, Uncured Pepperoni Turkey and BBQ Beef 1 oz sticks IN_STOCK 2026-10-23)</t>
  </si>
  <si>
    <t xml:space="preserve">BR1:30</t>
  </si>
  <si>
    <t xml:space="preserve">Single 1 oz sticks are ideal pantry units. 'Our Story' URL 404s; leadership not found on site. why_now date is Shopify published_at.</t>
  </si>
  <si>
    <t xml:space="preserve">hq_city &lt;- https://www.provisioneronline.com/articles/109952-johnsonville-acquires-vermont-smoke-cure (2026-10-24, opened); founder_review_reason &lt;- https://www.provisioneronline.com/articles/109952-johnsonville-acquires-vermont-smoke-cure (2026-10-24, opened); </t>
  </si>
  <si>
    <t xml:space="preserve">AB-038</t>
  </si>
  <si>
    <t xml:space="preserve">Gheelish</t>
  </si>
  <si>
    <t xml:space="preserve">Darin</t>
  </si>
  <si>
    <t xml:space="preserve">Alpert</t>
  </si>
  <si>
    <t xml:space="preserve">Founder/CEO</t>
  </si>
  <si>
    <t xml:space="preserve">Brand based outside the Northeast, no graded store within ten blocks, online store only, news 46 days ago, revenue unknown, contact named; founder review: claim-borderline, scale.</t>
  </si>
  <si>
    <t xml:space="preserve">Trade-press feature on growth from kitchen to 4,000+ stores; tortilla chips line added</t>
  </si>
  <si>
    <t xml:space="preserve">https://www.snackandbakery.com/articles/116281-gheelish-clarifies-the-brands-better-for-you-snack-growth</t>
  </si>
  <si>
    <t xml:space="preserve">https://www.gheelish.com/pages/about-us</t>
  </si>
  <si>
    <t xml:space="preserve">find Darin Alpert at Gheelish on LinkedIn and paste the profile URL; founder review (claim-borderline, scale): read founder_review_reason first</t>
  </si>
  <si>
    <t xml:space="preserve">Gheelish organic popcorn popped in grass-fed ghee, Lightly Buttered</t>
  </si>
  <si>
    <t xml:space="preserve">Raleigh</t>
  </si>
  <si>
    <t xml:space="preserve">https://www.gheelish.com</t>
  </si>
  <si>
    <t xml:space="preserve">Founder interview says ghee fats 'support gut and immune health' (press, not pack); new line is protein cookies; no NYC retailer found; scale signal in the why-now ('4,000+ stores'): likely above the $10M band; ask at intake</t>
  </si>
  <si>
    <t xml:space="preserve">Bagged air-popped popcorn and tortilla chips, ambient</t>
  </si>
  <si>
    <t xml:space="preserve">Sprouts (nationwide); 4,000+ stores (brand story page)</t>
  </si>
  <si>
    <t xml:space="preserve">https://www.wholefoodsmarket.com/search?text=gheelish (no results in cluster stores, 2026-10-23)</t>
  </si>
  <si>
    <t xml:space="preserve">Darin Alpert</t>
  </si>
  <si>
    <t xml:space="preserve">BR1:39</t>
  </si>
  <si>
    <t xml:space="preserve">Business address in privacy policy is Raleigh NC. Brand story names co-founder Kelly (first name).</t>
  </si>
  <si>
    <t xml:space="preserve">AB-296</t>
  </si>
  <si>
    <t xml:space="preserve">Lark Fine Foods</t>
  </si>
  <si>
    <t xml:space="preserve">Northeast brand, no graded store within ten blocks, online store only, a new store listing 20 days ago, revenue unknown, no contact named; founder review: format.</t>
  </si>
  <si>
    <t xml:space="preserve">Added Tea Cakes and ribboned Tea Cakes to its online store</t>
  </si>
  <si>
    <t xml:space="preserve">https://larkfinefoods.com/products.json</t>
  </si>
  <si>
    <t xml:space="preserve">https://events.specialtyfood.com/event/2026-summer-fancy-food-show/exhibitor/RXhoaWJpdG9yXzI0ODY2MDE=</t>
  </si>
  <si>
    <t xml:space="preserve">no person named on an opened page: not ready; founder review (format): read founder_review_reason first</t>
  </si>
  <si>
    <t xml:space="preserve">Olive Scourtin sweet-and-savory biscuits; Tea Cakes</t>
  </si>
  <si>
    <t xml:space="preserve">Essex</t>
  </si>
  <si>
    <t xml:space="preserve">https://larkfinefoods.com</t>
  </si>
  <si>
    <t xml:space="preserve">Founded 2008 and gift-box led; single-serve format not seen. Founder not named on pages opened</t>
  </si>
  <si>
    <t xml:space="preserve">Packaged biscuits and shortbread sold ambient online and in specialty stores; shelf life not stated</t>
  </si>
  <si>
    <t xml:space="preserve">Specialty retailers (unnamed)</t>
  </si>
  <si>
    <t xml:space="preserve">BR5:32</t>
  </si>
  <si>
    <t xml:space="preserve">SFFS 2026: 'Founded in 2008, Lark Fine Foods is a 100% woman-owned and operated specialty foods company located north of Boston in historic Essex, Massachusetts'.</t>
  </si>
  <si>
    <t xml:space="preserve">AB-108</t>
  </si>
  <si>
    <t xml:space="preserve">jcoco</t>
  </si>
  <si>
    <t xml:space="preserve">Jean</t>
  </si>
  <si>
    <t xml:space="preserve">Thompson</t>
  </si>
  <si>
    <t xml:space="preserve">Brand based outside the Northeast, store page shows Whole Foods Market NoMad inside the cluster, a new store listing 39 days ago, revenue unknown, contact named; founder review: owner.</t>
  </si>
  <si>
    <t xml:space="preserve">Launched Sweet Heat bars (Thai Chili Peanut, Chili Almond, Spicy Pineapple), Sept 2026</t>
  </si>
  <si>
    <t xml:space="preserve">https://jcocochocolate.com/</t>
  </si>
  <si>
    <t xml:space="preserve">2026-09-15</t>
  </si>
  <si>
    <t xml:space="preserve">https://jcocochocolate.com/pages/about</t>
  </si>
  <si>
    <t xml:space="preserve">find Jean Thompson at jcoco on LinkedIn and paste the profile URL; before using the retailer line, check Whole Foods Market NoMad still lists it: https://www.wholefoodsmarket.com/search?text=jcoco with your store set to NoMad (catalogs change daily); founder review (owner): read founder_review_reason first</t>
  </si>
  <si>
    <t xml:space="preserve">Black Fig and Pistachio Dark Chocolate Bar 3 oz; Thai Chili Peanut bar</t>
  </si>
  <si>
    <t xml:space="preserve">Tukwila</t>
  </si>
  <si>
    <t xml:space="preserve">https://jcocochocolate.com</t>
  </si>
  <si>
    <t xml:space="preserve">Part of Seattle Chocolate Co. (parent company size unknown); 'delicious and nutritious' wording; 60-day shelf life not stated</t>
  </si>
  <si>
    <t xml:space="preserve">WA</t>
  </si>
  <si>
    <t xml:space="preserve">owned by Seattle Chocolate Co. (site footer)</t>
  </si>
  <si>
    <t xml:space="preserve">Whole Foods; store locator (Secomapp widget, not machine-read)</t>
  </si>
  <si>
    <t xml:space="preserve">https://www.wholefoodsmarket.com/api/search?text=jcoco&amp;store=10162&amp;limit=60&amp;offset=0; https://www.wholefoodsmarket.com/api/search?text=jcoco&amp;store=10773&amp;limit=60&amp;offset=0; https://www.wholefoodsmarket.com/api/search?text=jcoco&amp;store=10131&amp;limit=60&amp;offset=0</t>
  </si>
  <si>
    <t xml:space="preserve">Jean Thompson</t>
  </si>
  <si>
    <t xml:space="preserve">https://www.instagram.com/jcocochocolate/</t>
  </si>
  <si>
    <t xml:space="preserve">BR2:46</t>
  </si>
  <si>
    <t xml:space="preserve">Founded 2012; gives back with every bar. Why-now from Shopify publish dates.</t>
  </si>
  <si>
    <t xml:space="preserve">hq_city &lt;- https://jcocochocolate.com/pages/about (2026-10-24, opened); </t>
  </si>
  <si>
    <t xml:space="preserve">AB-193</t>
  </si>
  <si>
    <t xml:space="preserve">Beekeeper Coffee</t>
  </si>
  <si>
    <t xml:space="preserve">Creech</t>
  </si>
  <si>
    <t xml:space="preserve">Brand based outside the Northeast, no graded store within ten blocks, online store only, a new store listing 32 days ago, revenue unknown, contact named; founder review: scale.</t>
  </si>
  <si>
    <t xml:space="preserve">Relaunched lineup on store: Mocha and Horchata Lattes (2026-07-21), Black (2026-09-12), Vanilla Latte (2026-09-22)</t>
  </si>
  <si>
    <t xml:space="preserve">https://beekeepercoffee.com/products.json</t>
  </si>
  <si>
    <t xml:space="preserve">https://beekeepercoffee.com/pages/faq</t>
  </si>
  <si>
    <t xml:space="preserve">find David Creech at Beekeeper Coffee on LinkedIn and paste the profile URL; founder review (scale): read founder_review_reason first</t>
  </si>
  <si>
    <t xml:space="preserve">https://www.foodnavigator.com/Article/2024/10/03/Beekeeper-Coffee-taps-into-youth-culture-to-build-its-RTD-honey-sweetened-coffee/</t>
  </si>
  <si>
    <t xml:space="preserve">Beekeeper Vanilla Latte (cold brew with a drop of honey), can</t>
  </si>
  <si>
    <t xml:space="preserve">https://beekeepercoffee.com</t>
  </si>
  <si>
    <t xml:space="preserve">Dairy lattes made in Tennessee; HQ and NYC retail not confirmed; national collab history may put it above the band</t>
  </si>
  <si>
    <t xml:space="preserve">FAQ: 'all of our Latte and Cold Brew products are shelf-stable' (beekeepercoffee.com/pages/faq, opened 2026-10-23)</t>
  </si>
  <si>
    <t xml:space="preserve">Taco Bell (Horchata latte collab, 2024 press listed on about page); Pop Up Grocer (past brand); GoToAisle locator not readable</t>
  </si>
  <si>
    <t xml:space="preserve">https://beekeepercoffee.com/pages/about-us</t>
  </si>
  <si>
    <t xml:space="preserve">David Creech</t>
  </si>
  <si>
    <t xml:space="preserve">Graham Neuburger</t>
  </si>
  <si>
    <t xml:space="preserve">Neuburger</t>
  </si>
  <si>
    <t xml:space="preserve">https://instagram.com/beekeepercoffee</t>
  </si>
  <si>
    <t xml:space="preserve">BR3:67</t>
  </si>
  <si>
    <t xml:space="preserve">FAQ: manufacturing facility in Tennessee, sources from neighboring dairy farms. Co-founders referenced in a BevNET headline on the about page (names not given). Dates are Shopify publish dates.</t>
  </si>
  <si>
    <t xml:space="preserve">founder_name &lt;- https://www.foodnavigator.com/Article/2024/10/03/Beekeeper-Coffee-taps-into-youth-culture-to-build-its-RTD-honey-sweetened-coffee/ (2026-10-24, opened); founder_title &lt;- https://www.foodnavigator.com/Article/2024/10/03/Beekeeper-Coffee-taps-into-youth-culture-to-build-its-RTD-honey-sweetened-coffee/ (2026-10-24, opened); marketing_name &lt;- https://attend.expowest.com/event/natural-products-expo-west-2026/exhibitor/RXhoaWJpdG9yXzIzNTc2MDY= (2026-10-24, opened); marketing_title &lt;- https://attend.expowest.com/event/natural-products-expo-west-2026/exhibitor/RXhoaWJpdG9yXzIzNTc2MDY= (2026-10-24, opened); hq_state &lt;- https://attend.expowest.com/event/natural-products-expo-west-2026/exhibitor/RXhoaWJpdG9yXzIzNTc2MDY= (2026-10-24, opened); </t>
  </si>
  <si>
    <t xml:space="preserve">https://attend.expowest.com/event/natural-products-expo-west-2026/exhibitor/RXhoaWJpdG9yXzIzNTc2MDY=</t>
  </si>
  <si>
    <t xml:space="preserve">AB-205</t>
  </si>
  <si>
    <t xml:space="preserve">Kimino</t>
  </si>
  <si>
    <t xml:space="preserve">Brand based outside the Northeast, no graded store within ten blocks, online store only, a new store listing 359 days ago, revenue unknown, contact seen only in a snippet; founder review: other.</t>
  </si>
  <si>
    <t xml:space="preserve">Relaunched US lineup: Sparkling Juices and Sparkling Waters (Yuzu, Ume, Mikan, Ringo, Momo) listed on the US store</t>
  </si>
  <si>
    <t xml:space="preserve">https://us.kimino.com/products.json</t>
  </si>
  <si>
    <t xml:space="preserve">2025-10-30</t>
  </si>
  <si>
    <t xml:space="preserve">https://us.kimino.com/pages/kimino-about-page</t>
  </si>
  <si>
    <t xml:space="preserve">Kimino Yuzu Sparkling Juice / Sparkling Water (Japanese fruit), can</t>
  </si>
  <si>
    <t xml:space="preserve">https://us.kimino.com</t>
  </si>
  <si>
    <t xml:space="preserve">Japan-rooted brand ('farmers and makers from Japan'); US entity location and NYC retail not found; 24-packs only online; 60-day shelf life not stated</t>
  </si>
  <si>
    <t xml:space="preserve">unknown (wholesale page only)</t>
  </si>
  <si>
    <t xml:space="preserve">Bill Creelman</t>
  </si>
  <si>
    <t xml:space="preserve">Andres Montoya</t>
  </si>
  <si>
    <t xml:space="preserve">Andres</t>
  </si>
  <si>
    <t xml:space="preserve">Montoya</t>
  </si>
  <si>
    <t xml:space="preserve">National Director</t>
  </si>
  <si>
    <t xml:space="preserve">National Director, not a marketing title</t>
  </si>
  <si>
    <t xml:space="preserve">BR3:79</t>
  </si>
  <si>
    <t xml:space="preserve">kimino.com is a splash page linking to Japan and USA stores. Fits the Asian-flavor sparkling set with Sanzo and Moshi (category exclusivity per drop). Date is Shopify publish date.</t>
  </si>
  <si>
    <t xml:space="preserve">hq_city &lt;- https://us.kimino.com/policies/privacy-policy (2026-10-24, opened); hq_state &lt;- https://us.kimino.com/policies/privacy-policy (2026-10-24, opened); founder_name &lt;- https://www.cbinsights.com/compare/kimino-drinks-vs-spindrift-beverage-co (2026-10-24, snippet-unverified); founder_title &lt;- https://www.cbinsights.com/compare/kimino-drinks-vs-spindrift-beverage-co (2026-10-24, snippet-unverified); marketing_name &lt;- https://attend.expowest.com/event/natural-products-expo-west-2026/exhibitor/RXhoaWJpdG9yXzIzNTg3MzU= (2026-10-24, opened); marketing_title &lt;- https://attend.expowest.com/event/natural-products-expo-west-2026/exhibitor/RXhoaWJpdG9yXzIzNTg3MzU= (2026-10-24, opened); </t>
  </si>
  <si>
    <t xml:space="preserve">https://attend.expowest.com/event/natural-products-expo-west-2026/exhibitor/RXhoaWJpdG9yXzIzNTg3MzU=</t>
  </si>
  <si>
    <t xml:space="preserve">AB-115</t>
  </si>
  <si>
    <t xml:space="preserve">Mast</t>
  </si>
  <si>
    <t xml:space="preserve">New York State brand, no graded store within ten blocks, online store only, no dated why-now in the last 12 months, revenue unknown, no contact named; founder review: other.</t>
  </si>
  <si>
    <t xml:space="preserve">https://mastmarket.com/pages/faq</t>
  </si>
  <si>
    <t xml:space="preserve">Mast organic chocolate bars (Tanzanian Kokoa Kamili cacao)</t>
  </si>
  <si>
    <t xml:space="preserve">Bedford (contact page; terms list Mt. Kisco)</t>
  </si>
  <si>
    <t xml:space="preserve">https://mastmarket.com</t>
  </si>
  <si>
    <t xml:space="preserve">Brand has pivoted to an organic market (sells many third-party foods); chocolate line not found in cluster WFM catalogs; confirm the chocolate line is still active; 60-day shelf life not stated</t>
  </si>
  <si>
    <t xml:space="preserve">Wrapped chocolate bars sold nationally at grocery; shelf-life figure not found</t>
  </si>
  <si>
    <t xml:space="preserve">Mast Market (brand_claim, unplaced)</t>
  </si>
  <si>
    <t xml:space="preserve">Whole Foods; Wegmans; The Fresh Market; hundreds of independent specialty markets (brand FAQ)</t>
  </si>
  <si>
    <t xml:space="preserve">https://mastmarket.com/pages/faq; https://www.wholefoodsmarket.com/api/search?text=mast%20chocolate&amp;store=10162&amp;limit=60&amp;offset=0</t>
  </si>
  <si>
    <t xml:space="preserve">https://www.instagram.com/mastmarket/</t>
  </si>
  <si>
    <t xml:space="preserve">BR2:53</t>
  </si>
  <si>
    <t xml:space="preserve">Formerly Mast Brothers (mastbrothers.com now redirects to mastmarket.com). Mast Market also stocks local brands and could double as a NYC retailer for other rows. Store address not found on pages opened.</t>
  </si>
  <si>
    <t xml:space="preserve">hq_city &lt;- https://mastmarket.com/policies/contact-information (2026-10-24, opened); </t>
  </si>
  <si>
    <t xml:space="preserve">AB-018</t>
  </si>
  <si>
    <t xml:space="preserve">Ghips</t>
  </si>
  <si>
    <t xml:space="preserve">Brand based outside the Northeast, no graded store within ten blocks, online store only, a new store listing 88 days ago, revenue unknown, no contact named.</t>
  </si>
  <si>
    <t xml:space="preserve">New Sea Salt &amp; Balsamic flavor; brand already sells an 'Office Subscription' product</t>
  </si>
  <si>
    <t xml:space="preserve">https://eatghips.com/products/sea-salt-balsamic</t>
  </si>
  <si>
    <t xml:space="preserve">2026-07-28</t>
  </si>
  <si>
    <t xml:space="preserve">https://eatghips.com/pages/about</t>
  </si>
  <si>
    <t xml:space="preserve">no person named on an opened page: not ready</t>
  </si>
  <si>
    <t xml:space="preserve">Ghips ghee-fried potato chips, Sea Salt Original (5 oz bags)</t>
  </si>
  <si>
    <t xml:space="preserve">Del Mar</t>
  </si>
  <si>
    <t xml:space="preserve">https://eatghips.com</t>
  </si>
  <si>
    <t xml:space="preserve">Bagged potato chips sold ambient</t>
  </si>
  <si>
    <t xml:space="preserve">PopUp Grocer (NYC); Faire; Airgoods</t>
  </si>
  <si>
    <t xml:space="preserve">https://popupgrocer.com/pages/directory (availability 'NYC Flagship', 2026-10-23); https://popupgrocer.com/products/ghips</t>
  </si>
  <si>
    <t xml:space="preserve">https://instagram.com/eatghips</t>
  </si>
  <si>
    <t xml:space="preserve">BR1:19</t>
  </si>
  <si>
    <t xml:space="preserve">Office Subscription SKU (published 2026-01-14) signals interest in office channel. Business city from privacy policy. Founder not named on site.</t>
  </si>
  <si>
    <t xml:space="preserve">AB-039</t>
  </si>
  <si>
    <t xml:space="preserve">PeaKaPop</t>
  </si>
  <si>
    <t xml:space="preserve">Emre</t>
  </si>
  <si>
    <t xml:space="preserve">Brand based outside the Northeast, no graded store within ten blocks, online store only, a new store listing 71 days ago, revenue unknown, contact named (first name only); founder review: claim-borderline.</t>
  </si>
  <si>
    <t xml:space="preserve">Launched Protein Thins on brand store</t>
  </si>
  <si>
    <t xml:space="preserve">https://peakapop.com/products/protein-this</t>
  </si>
  <si>
    <t xml:space="preserve">https://peakapop.com/pages/about-us</t>
  </si>
  <si>
    <t xml:space="preserve">find Emre at PeaKaPop on LinkedIn and paste the profile URL; surname not public: take it from LinkedIn; founder review (claim-borderline): read founder_review_reason first</t>
  </si>
  <si>
    <t xml:space="preserve">PeaKaPop Sea Salt Veggie Crisps (air-popped chickpea and lentil)</t>
  </si>
  <si>
    <t xml:space="preserve">Woodbridge</t>
  </si>
  <si>
    <t xml:space="preserve">https://peakapop.com</t>
  </si>
  <si>
    <t xml:space="preserve">New 'Protein Thins' line (protein positioning)</t>
  </si>
  <si>
    <t xml:space="preserve">Air-popped legume crisps in sealed bags, ambient</t>
  </si>
  <si>
    <t xml:space="preserve">https://popupgrocer.com/pages/directory (availability 'NYC Flagship', 2026-10-23); https://popupgrocer.com/products/peakapop</t>
  </si>
  <si>
    <t xml:space="preserve">first names on brand site</t>
  </si>
  <si>
    <t xml:space="preserve">Zeynep</t>
  </si>
  <si>
    <t xml:space="preserve">https://instagram.com/peakapop</t>
  </si>
  <si>
    <t xml:space="preserve">BR1:40</t>
  </si>
  <si>
    <t xml:space="preserve">Entity Fine Snacks Inc., Woodbridge VA (terms of service). Makes every batch in its own facility (homepage).</t>
  </si>
  <si>
    <t xml:space="preserve">AB-161</t>
  </si>
  <si>
    <t xml:space="preserve">Death Wish Coffee</t>
  </si>
  <si>
    <t xml:space="preserve">Mike</t>
  </si>
  <si>
    <t xml:space="preserve">Brown</t>
  </si>
  <si>
    <t xml:space="preserve">New York State brand, no graded store within ten blocks, online store only, a new store listing 204 days ago, revenue unknown, contact named; founder review: scale, claim-borderline.</t>
  </si>
  <si>
    <t xml:space="preserve">New Caramel Cold Brew Latte can added (after Classic, Mocha, Vanilla lattes in 2025-11)</t>
  </si>
  <si>
    <t xml:space="preserve">https://www.deathwishcoffee.com/products/caramel-cold-brew-latte</t>
  </si>
  <si>
    <t xml:space="preserve">2026-04-03</t>
  </si>
  <si>
    <t xml:space="preserve">https://www.deathwishcoffee.com/pages/about</t>
  </si>
  <si>
    <t xml:space="preserve">find Mike Brown at Death Wish Coffee on LinkedIn and paste the profile URL; founder review (scale, claim-borderline): read founder_review_reason first</t>
  </si>
  <si>
    <t xml:space="preserve">Death Wish Classic Cold Brew Latte, can (approx. 140 mg caffeine)</t>
  </si>
  <si>
    <t xml:space="preserve">Saratoga Springs</t>
  </si>
  <si>
    <t xml:space="preserve">High-caffeine positioning (140 mg per can) and '65% less sugar' nutrient-content claim; national brand since 2012, likely above $10M (no figure); 60-day shelf life not stated</t>
  </si>
  <si>
    <t xml:space="preserve">https://www.deathwishcoffee.com</t>
  </si>
  <si>
    <t xml:space="preserve">No storage statement on latte product copy</t>
  </si>
  <si>
    <t xml:space="preserve">Mike Brown</t>
  </si>
  <si>
    <t xml:space="preserve">https://www.instagram.com/deathwishcoffee</t>
  </si>
  <si>
    <t xml:space="preserve">BR3:35</t>
  </si>
  <si>
    <t xml:space="preserve">About page: headquartered in downtown Saratoga Springs, manufacturing in Round Lake, New York. Dates are Shopify publish dates.</t>
  </si>
  <si>
    <t xml:space="preserve">AB-287</t>
  </si>
  <si>
    <t xml:space="preserve">Popzup Popcorn</t>
  </si>
  <si>
    <t xml:space="preserve">Northeast brand, no graded store within ten blocks, online store only, a new store listing 254 days ago, revenue unknown, no contact named; founder review: claim-borderline.</t>
  </si>
  <si>
    <t xml:space="preserve">Launched 8-pack boxes of its single-serve popcorn bags</t>
  </si>
  <si>
    <t xml:space="preserve">https://popzup.com/products.json</t>
  </si>
  <si>
    <t xml:space="preserve">https://events.specialtyfood.com/event/2026-summer-fancy-food-show/exhibitor/RXhoaWJpdG9yXzI0MjEwMDk=</t>
  </si>
  <si>
    <t xml:space="preserve">Cheddar Head single-serve popcorn, 0.52 oz bag (8-pack and 30-pack)</t>
  </si>
  <si>
    <t xml:space="preserve">Somersworth</t>
  </si>
  <si>
    <t xml:space="preserve">https://popzup.com</t>
  </si>
  <si>
    <t xml:space="preserve">Site copy calls the 70-calorie packs a 'healthy snack'; the SFFS listing says the dairy is 'a complete protein' with '11% daily fiber' (nutrient wording, check the pack). No NYC retailer found; online only for the cluster</t>
  </si>
  <si>
    <t xml:space="preserve">Popped popcorn in sealed single-serve bags shipped nationwide; shelf life not stated</t>
  </si>
  <si>
    <t xml:space="preserve">General stores in New England (customer reviews); online</t>
  </si>
  <si>
    <t xml:space="preserve">https://www.instagram.com/popzup.popcorn/</t>
  </si>
  <si>
    <t xml:space="preserve">BR5:23</t>
  </si>
  <si>
    <t xml:space="preserve">SFFS 2026: 'family owned and operated, popcorn production facility in Somersworth, New Hampshire'; flagged 'Has a New Product' and 'In The Fancy Bodega'. Single-serve 0.52 oz format suits a 50-units-per-office drop. SFFS also lists B Corp, GFCO and SQF level 3, and 'Working With a Distributor: National'.</t>
  </si>
  <si>
    <t xml:space="preserve">AB-101</t>
  </si>
  <si>
    <t xml:space="preserve">Bakery on Main</t>
  </si>
  <si>
    <t xml:space="preserve">Smulders</t>
  </si>
  <si>
    <t xml:space="preserve">Northeast brand, no graded store within ten blocks, online store only, no dated why-now in the last 12 months, revenue unknown, contact named; founder review: other.</t>
  </si>
  <si>
    <t xml:space="preserve">https://bakeryonmain.com/about/</t>
  </si>
  <si>
    <t xml:space="preserve">find Michael Smulders at Bakery on Main on LinkedIn and paste the profile URL; founder review (other): read founder_review_reason first</t>
  </si>
  <si>
    <t xml:space="preserve">Gluten-free granola bars</t>
  </si>
  <si>
    <t xml:space="preserve">Glastonbury (founding location per brand about page; current HQ not stated)</t>
  </si>
  <si>
    <t xml:space="preserve">https://www.amazon.com/stores/UncleCrumbles/page/CCAA198D-5DEE</t>
  </si>
  <si>
    <t xml:space="preserve">Founded 1992; mostly granola and oatmeal (bars a minor line); no cluster retailer found; 60-day shelf life not stated</t>
  </si>
  <si>
    <t xml:space="preserve">https://bakeryonmain.com</t>
  </si>
  <si>
    <t xml:space="preserve">Granola, instant oatmeal and granola bars (ambient grocery categories); shelf-life figure not found</t>
  </si>
  <si>
    <t xml:space="preserve">Local supermarkets (store locator)</t>
  </si>
  <si>
    <t xml:space="preserve">https://bakeryonmain.com/store-locator/; https://www.wholefoodsmarket.com/api/search?text=bakery%20on%20main&amp;store=10162&amp;limit=60&amp;offset=0</t>
  </si>
  <si>
    <t xml:space="preserve">Michael Smulders</t>
  </si>
  <si>
    <t xml:space="preserve">https://www.instagram.com/bakeryonmain/</t>
  </si>
  <si>
    <t xml:space="preserve">BR2:39</t>
  </si>
  <si>
    <t xml:space="preserve">Northeast brand. Not in WFM cluster catalogs. | Stage 1 online-store check 2026-10-24: Amazon storefront linked from the brand homepage (Amazon only; Amazon page not opened; discount code via Amazon promotions, founder to confirm) (https://bakeryonmain.com)</t>
  </si>
  <si>
    <t xml:space="preserve">online_store &lt;- https://bakeryonmain.com (2026-10-24, opened, stage 1); </t>
  </si>
  <si>
    <t xml:space="preserve">AB-069</t>
  </si>
  <si>
    <t xml:space="preserve">Sweet Loren's</t>
  </si>
  <si>
    <t xml:space="preserve">Loren</t>
  </si>
  <si>
    <t xml:space="preserve">Castle</t>
  </si>
  <si>
    <t xml:space="preserve">https://www.linkedin.com/in/loren-brill-castle-56887121/</t>
  </si>
  <si>
    <t xml:space="preserve">New York City brand, store page shows Whole Foods Market NoMad inside the cluster, no dated why-now in the last 12 months, revenue over $10M, contact named plus a marketing lead; founder review: scale-reported, perishable-risk, claim-borderline.</t>
  </si>
  <si>
    <t xml:space="preserve">https://www.sweetlorens.com/pages/our-story</t>
  </si>
  <si>
    <t xml:space="preserve">before using the retailer line, check Whole Foods Market NoMad still lists it: https://www.wholefoodsmarket.com/search?text=Sweet%20Loren%27s with your store set to NoMad (catalogs change daily); founder review (scale-reported, perishable-risk, claim-borderline): read founder_review_reason first</t>
  </si>
  <si>
    <t xml:space="preserve">https://www.sweetlorens.com/blogs/press</t>
  </si>
  <si>
    <t xml:space="preserve">Breakfast Biscuits 5 Count (Cinnamon Sugar, Chocolate, Blueberry)</t>
  </si>
  <si>
    <t xml:space="preserve">New York (brand story: founded in NYC; current HQ address not stated)</t>
  </si>
  <si>
    <t xml:space="preserve">https://www.sweetlorens.com</t>
  </si>
  <si>
    <t xml:space="preserve">Core line is refrigerated dough (excluded); only the shelf-stable Breakfast Biscuits qualify; protein/fiber nutrient claims on new bars</t>
  </si>
  <si>
    <t xml:space="preserve">scale-reported;perishable-risk;claim-borderline</t>
  </si>
  <si>
    <t xml:space="preserve">Brand Our Story: launched 'shelf-stable breakfast biscuits'; most of the rest of the line is refrigerated dough</t>
  </si>
  <si>
    <t xml:space="preserve">press headline: a 2025 projection (CNBC, 2025-02-18), not actuals</t>
  </si>
  <si>
    <t xml:space="preserve">CNBC, 2025-02-18, on the brand's press page: 'set to bring in $120 million this year' (a projection, not actuals)</t>
  </si>
  <si>
    <t xml:space="preserve">Whole Foods (nationwide for biscuits); Publix; Amazon</t>
  </si>
  <si>
    <t xml:space="preserve">https://www.wholefoodsmarket.com/api/search?text=sweet%20lorens%20breakfast%20biscuits&amp;store=10162&amp;limit=60&amp;offset=0; https://www.wholefoodsmarket.com/api/search?text=sweet%20lorens%20breakfast%20biscuits&amp;store=10773&amp;limit=60&amp;offset=0; https://www.wholefoodsmarket.com/api/search?text=sweet%20lorens%20breakfast%20biscuits&amp;store=10131&amp;limit=60&amp;offset=0</t>
  </si>
  <si>
    <t xml:space="preserve">Loren Castle</t>
  </si>
  <si>
    <t xml:space="preserve">Brand press page carries the CNBC piece (2025-02-18): "Castle is founder and CEO of Sweet Loren's". The Org lists "Loren (Brill) Castle". LinkedIn URL linked from https://karagoldin.com/podcasts/loren-castle/; LinkedIn not opened. Fills the stage-1 surname gap.</t>
  </si>
  <si>
    <t xml:space="preserve">Tracy Garbowski</t>
  </si>
  <si>
    <t xml:space="preserve">Tracy</t>
  </si>
  <si>
    <t xml:space="preserve">Garbowski</t>
  </si>
  <si>
    <t xml:space="preserve">Senior Vice President, Marketing</t>
  </si>
  <si>
    <t xml:space="preserve">The Org (updated 2026-01-21): SVP Marketing since 2025. The earlier SVP Marketing, Robyn DeFina (appointed 2022-10 per Food Industry Executive, The Org updated 2023-01), appears superseded; not recorded as a contact.</t>
  </si>
  <si>
    <t xml:space="preserve">https://www.instagram.com/sweetlorens/</t>
  </si>
  <si>
    <t xml:space="preserve">BR2:6</t>
  </si>
  <si>
    <t xml:space="preserve">WFM catalog at all three cluster stores lists the shelf-stable Breakfast Biscuits plus refrigerated dough. Why-now date taken from the brand Shopify product feed publish date (2026-06-11); the new items are refrigerated, so the signal is weak. | Stage 1 correction 2026-10-24: Spot check round 1: the research why-now (June 2026 Ready To Bake Oatmeal Bars and Puff Pastry Sticks) is the refrigerated line, which is excluded; it is no reason for New York trial of the shelf-stable biscuits (was: Launched Ready To Bake Oatmeal Bars and Puff Pastry Sticks (refrigerated) on brand store, June 2026)</t>
  </si>
  <si>
    <t xml:space="preserve">why_now &lt;- https://www.sweetlorens.com/products/chocolate-chunk-oatmeal-bars (2026-10-24, stage 1 correction); why_now_url &lt;- https://www.sweetlorens.com/products/chocolate-chunk-oatmeal-bars (2026-10-24, stage 1 correction); why_now_date &lt;- https://www.sweetlorens.com/products/chocolate-chunk-oatmeal-bars (2026-10-24, stage 1 correction); revenue_band &lt;- https://www.sweetlorens.com/blogs/press (2026-10-24, stage 3 correction); revenue_basis &lt;- https://www.sweetlorens.com/blogs/press (2026-10-24, stage 3 correction); </t>
  </si>
  <si>
    <t xml:space="preserve">https://theorg.com/org/sweet-lorens/person/tracy-garbowski</t>
  </si>
  <si>
    <t xml:space="preserve">2026-01-21</t>
  </si>
  <si>
    <t xml:space="preserve">AB-109</t>
  </si>
  <si>
    <t xml:space="preserve">Kate's Real Food</t>
  </si>
  <si>
    <t xml:space="preserve">Brand based outside the Northeast, no graded store within ten blocks, online store only, a new store listing 36 days ago, revenue unknown, no contact named; founder review: claim-borderline.</t>
  </si>
  <si>
    <t xml:space="preserve">Added Protein Bar Variety Pack (Sept 2026) and new protein bars (Apr 2026)</t>
  </si>
  <si>
    <t xml:space="preserve">https://katesrealfood.com/</t>
  </si>
  <si>
    <t xml:space="preserve">Peanut Butter Dark Chocolate organic energy bar; Coconut Truffle Protein Bar</t>
  </si>
  <si>
    <t xml:space="preserve">Victor</t>
  </si>
  <si>
    <t xml:space="preserve">https://katesrealfood.com</t>
  </si>
  <si>
    <t xml:space="preserve">Protein bar line ('High in protein'); no cluster retailer found | Health-claim scan 2026-10-24: the homepage links a blog post on 'Prebiotic Fiber, &amp; Sustained Energy'. Blog copy, not pack copy; founder to read</t>
  </si>
  <si>
    <t xml:space="preserve">Brand wholesale FAQ: 'Our bars have a 365-day shelf life from the date of production.'</t>
  </si>
  <si>
    <t xml:space="preserve">Select retailers nationwide and online partners (brand store locator page)</t>
  </si>
  <si>
    <t xml:space="preserve">https://www.wholefoodsmarket.com/api/search?text=kates%20real%20food&amp;store=10162&amp;limit=60&amp;offset=0</t>
  </si>
  <si>
    <t xml:space="preserve">https://www.instagram.com/katesrealfood/</t>
  </si>
  <si>
    <t xml:space="preserve">BR2:47</t>
  </si>
  <si>
    <t xml:space="preserve">Organic honey-based bars. Not in WFM cluster catalogs. Why-now from Shopify publish dates.</t>
  </si>
  <si>
    <t xml:space="preserve">shelf_stable &lt;- https://katesrealfood.com/pages/wholesale (2026-10-24, opened); shelf_stable_basis &lt;- https://katesrealfood.com/pages/wholesale (2026-10-24, opened); hq_city &lt;- https://katesrealfood.com/policies/terms-of-service (2026-10-24, opened); hq_state &lt;- https://katesrealfood.com/policies/terms-of-service (2026-10-24, opened); founder_review_reason &lt;- https://katesrealfood.com (2026-10-24, stage 3 correction); </t>
  </si>
  <si>
    <t xml:space="preserve">AB-242</t>
  </si>
  <si>
    <t xml:space="preserve">Baabu Foods</t>
  </si>
  <si>
    <t xml:space="preserve">Northeast brand, no graded store within ten blocks, online store only, no dated why-now in the last 12 months, revenue unknown, contact seen only in a snippet; founder review: claim-borderline.</t>
  </si>
  <si>
    <t xml:space="preserve">https://www.pearlriver.com/products/baabu</t>
  </si>
  <si>
    <t xml:space="preserve">https://baabufoods.com/pages/meet-the-baabus</t>
  </si>
  <si>
    <t xml:space="preserve">Organic Masala Pecans, 6 oz</t>
  </si>
  <si>
    <t xml:space="preserve">unknown, New Jersey (Pearl River listing: 'Small-batch roasted in New Jersey')</t>
  </si>
  <si>
    <t xml:space="preserve">https://baabufoods.com</t>
  </si>
  <si>
    <t xml:space="preserve">Retailer copy for the Chai Biscuits says fennel seeds 'support digestion... promote cardiovascular health' (structure/function); the pecans themselves carry no claim; offer pecans only and check pack wording</t>
  </si>
  <si>
    <t xml:space="preserve">Roasted nuts sold ambient; no shelf-life figure published, founder to confirm</t>
  </si>
  <si>
    <t xml:space="preserve">first names only; surnames founder to confirm</t>
  </si>
  <si>
    <t xml:space="preserve">Mayank</t>
  </si>
  <si>
    <t xml:space="preserve">BR4:37</t>
  </si>
  <si>
    <t xml:space="preserve">6 oz bag is share size. Brand site reachable but gave no HQ text. Pearl River Mart catalog (pearlriver.com online store; Chelsea Market food store at 75 9th Ave not confirmed for this item)</t>
  </si>
  <si>
    <t xml:space="preserve">founder_name &lt;- https://baabufoods.com/pages/meet-the-baabus (2026-10-24, opened); founder_title &lt;- https://baabufoods.com/pages/meet-the-baabus (2026-10-24, opened); founder_profile_url &lt;- https://baabufoods.com/pages/meet-the-baabus (2026-10-24, opened); online_store &lt;- https://baabufoods.com/products.json?limit=250 (2026-10-24, opened); online_store_url &lt;- https://baabufoods.com/ (2026-10-24, opened); </t>
  </si>
  <si>
    <t xml:space="preserve">AB-045</t>
  </si>
  <si>
    <t xml:space="preserve">The Good Crisp Company</t>
  </si>
  <si>
    <t xml:space="preserve">Parry</t>
  </si>
  <si>
    <t xml:space="preserve">Brand based outside the Northeast (HQ unverified), store page shows Whole Foods Market NoMad inside the cluster, news 281 days ago, revenue unknown, contact named; founder review: owner, scale.</t>
  </si>
  <si>
    <t xml:space="preserve">Acquired by investment firm MPearlRock (terms not disclosed); brand in 20,000+ retail doors across the US, Canada, Australia and the UK</t>
  </si>
  <si>
    <t xml:space="preserve">https://www.snackandbakery.com/articles/115026-investment-firm-snaps-up-the-good-crisp-company</t>
  </si>
  <si>
    <t xml:space="preserve">2026-01-16</t>
  </si>
  <si>
    <t xml:space="preserve">https://www.wholefoodsmarket.com/search?text=good%20crisp</t>
  </si>
  <si>
    <t xml:space="preserve">find Matt Parry at The Good Crisp Company on LinkedIn and paste the profile URL; before using the retailer line, check Whole Foods Market NoMad still lists it: https://www.wholefoodsmarket.com/search?text=The%20Good%20Crisp%20Company with your store set to NoMad (catalogs change daily); founder review (owner, scale): read founder_review_reason first</t>
  </si>
  <si>
    <t xml:space="preserve">The Good Crisp Company Stacked Original potato crisps, 5.64 oz canister</t>
  </si>
  <si>
    <t xml:space="preserve">Longmont (returns address); Boulder per CB Insights and a Holland &amp; Hart note (search snippets, unverified, founder to confirm)</t>
  </si>
  <si>
    <t xml:space="preserve">Brand site unreachable through proxy on 2026-10-23; owner, HQ and scale unconfirmed; scale signal in the why-now ('20,000+ retail doors'): likely above the $10M band; ask at intake; no online store: buy path is the store only</t>
  </si>
  <si>
    <t xml:space="preserve">https://www.thegoodcrispcompany.com</t>
  </si>
  <si>
    <t xml:space="preserve">Acquired by MPearlRock (Jan 2026)</t>
  </si>
  <si>
    <t xml:space="preserve">Canister potato crisps and cheese balls, ambient</t>
  </si>
  <si>
    <t xml:space="preserve">https://www.wholefoodsmarket.com/search?text=good%20crisp (10 items IN_STOCK in each cluster store context, 2026-10-23)</t>
  </si>
  <si>
    <t xml:space="preserve">Matt Parry</t>
  </si>
  <si>
    <t xml:space="preserve">BR1:46</t>
  </si>
  <si>
    <t xml:space="preserve">Deep NYC shelf presence (10 SKUs per store). Needs a second pass when the site is reachable.</t>
  </si>
  <si>
    <t xml:space="preserve">website &lt;- https://www.thegoodcrispcompany.com/ (2026-10-24, opened); hq_city &lt;- https://www.thegoodcrispcompany.com/policies/refund-policy (2026-10-24, opened); hq_state &lt;- https://www.thegoodcrispcompany.com/policies/refund-policy (2026-10-24, opened); founder_name &lt;- https://www.thegoodcrispcompany.com/pages/about-us (2026-10-24, opened); founder_title &lt;- https://www.thegoodcrispcompany.com/pages/about-us (2026-10-24, opened); why_now &lt;- https://www.gamaconsumer.com/tag/the-good-crisp-company/ (2026-10-24, snippet-unverified); why_now &lt;- https://www.snackandbakery.com/articles/115026-investment-firm-snaps-up-the-good-crisp-company (2026-10-24, opened); why_now_url &lt;- https://www.snackandbakery.com/articles/115026-investment-firm-snaps-up-the-good-crisp-company (2026-10-24, opened); why_now_date &lt;- https://www.snackandbakery.com/articles/115026-investment-firm-snaps-up-the-good-crisp-company (2026-10-24, opened); founder_name &lt;- https://www.snackandbakery.com/articles/115026-investment-firm-snaps-up-the-good-crisp-company (2026-10-24, opened); funding_stage &lt;- https://www.snackandbakery.com/articles/115026-investment-firm-snaps-up-the-good-crisp-company (2026-10-24, opened); </t>
  </si>
  <si>
    <t xml:space="preserve">AB-310</t>
  </si>
  <si>
    <t xml:space="preserve">Chef Poppin</t>
  </si>
  <si>
    <t xml:space="preserve">Brand based outside the Northeast, no graded store within ten blocks, online store only, news 5 days ago, revenue unknown, no contact named; founder review: scale.</t>
  </si>
  <si>
    <t xml:space="preserve">Kimchi Flavor Coated Gourmet Popcorn named a 2027 sofi Award finalist (Savory Snacks)</t>
  </si>
  <si>
    <t xml:space="preserve">no person named on an opened page: not ready; founder review (scale): read founder_review_reason first</t>
  </si>
  <si>
    <t xml:space="preserve">Chef Poppin Brown Sugar Boba Milk Tea popcorn, single bag ($1.99)</t>
  </si>
  <si>
    <t xml:space="preserve">Hayward</t>
  </si>
  <si>
    <t xml:space="preserve">https://www.chefpoppin.com</t>
  </si>
  <si>
    <t xml:space="preserve">West Coast brand (Hayward, CA) with Taiwanese production; Costco presence suggests it may sit above the revenue band. FAQ says trehalose gives a 'lower glycemic impact' (nutrition wording; check the pack)</t>
  </si>
  <si>
    <t xml:space="preserve">FAQ: 'Unopened bags stay delicious for 18 months.'</t>
  </si>
  <si>
    <t xml:space="preserve">Costco (site banner 'CHEF POPPIN at Costco')</t>
  </si>
  <si>
    <t xml:space="preserve">https://www.instagram.com/chefpoppin/</t>
  </si>
  <si>
    <t xml:space="preserve">BR5:46</t>
  </si>
  <si>
    <t xml:space="preserve">Listed in the 2027 sofi finalists as 'Chef Poppin International Inc.'. Kimchi popcorn published 2026-08-17 (products.json). Contact page address: Hayward, California 94545. Outside the New York-first brief; kept because the single-bag format and 18-month shelf life fit the drop.</t>
  </si>
  <si>
    <t xml:space="preserve">AB-060</t>
  </si>
  <si>
    <t xml:space="preserve">Chifles</t>
  </si>
  <si>
    <t xml:space="preserve">Caballero</t>
  </si>
  <si>
    <t xml:space="preserve">Brand based outside the Northeast, no graded store within ten blocks, online store only, a new store listing 3 days ago, revenue unknown, contact named; founder review: scale.</t>
  </si>
  <si>
    <t xml:space="preserve">New Original Plantain Chips with Avocado Oil 6-pack on brand store; Kroger expansion to 2,200+ stores (release 2025-10-23)</t>
  </si>
  <si>
    <t xml:space="preserve">https://chifleschips.com/products/original-plantain-chips-with-avocado-oil-5-oz-ea-6-pack</t>
  </si>
  <si>
    <t xml:space="preserve">2026-10-21</t>
  </si>
  <si>
    <t xml:space="preserve">https://startupcpg.com/startup-cpg-newswire-chifles-americas-1-plantain-chip-expands-into-more-than-2200-kroger-stores-nationwide/</t>
  </si>
  <si>
    <t xml:space="preserve">find Tina Caballero at Chifles on LinkedIn and paste the profile URL; founder review (scale): read founder_review_reason first</t>
  </si>
  <si>
    <t xml:space="preserve">Chifles Original Plantain Chips with Avocado Oil, 5 oz (6-pack)</t>
  </si>
  <si>
    <t xml:space="preserve">Miami</t>
  </si>
  <si>
    <t xml:space="preserve">https://chifleschips.com</t>
  </si>
  <si>
    <t xml:space="preserve">Self-described 'America's #1 plantain chip' with 15,000+ points of sale and 60-year history; likely above the $10M band (no sourced figure)</t>
  </si>
  <si>
    <t xml:space="preserve">family-owned (60+ years per release)</t>
  </si>
  <si>
    <t xml:space="preserve">Bagged plantain chips and strips, ambient</t>
  </si>
  <si>
    <t xml:space="preserve">Kroger (2,200+ stores); 15,000+ points of sale in the US</t>
  </si>
  <si>
    <t xml:space="preserve">https://startupcpg.com/startup-cpg-newswire-chifles-americas-1-plantain-chip-expands-into-more-than-2200-kroger-stores-nationwide/; https://www.wholefoodsmarket.com/search?text=chifles%20plantain (no WFM results in cluster stores, 2026-10-23)</t>
  </si>
  <si>
    <t xml:space="preserve">Tina Caballero</t>
  </si>
  <si>
    <t xml:space="preserve">BR1:61</t>
  </si>
  <si>
    <t xml:space="preserve">Release datelined MIAMI, FL (October 2025). Avocado-oil SKU created 2026-10-17 on Shopify.</t>
  </si>
  <si>
    <t xml:space="preserve">AB-176</t>
  </si>
  <si>
    <t xml:space="preserve">Saint James Iced Tea</t>
  </si>
  <si>
    <t xml:space="preserve">M</t>
  </si>
  <si>
    <t xml:space="preserve">Brand based outside the Northeast, no graded store within ten blocks, online store only, a new store listing 59 days ago, revenue unknown, contact named; founder review: scale, claim-borderline.</t>
  </si>
  <si>
    <t xml:space="preserve">Launched Mango 'The White Lotus' limited edition and new Fruit Punch flavor on its store</t>
  </si>
  <si>
    <t xml:space="preserve">https://saintjamesicedtea.com/products.json</t>
  </si>
  <si>
    <t xml:space="preserve">https://saintjamesicedtea.com/pages/about</t>
  </si>
  <si>
    <t xml:space="preserve">find John M at Saint James Iced Tea on LinkedIn and paste the profile URL; founder review (scale, claim-borderline): read founder_review_reason first</t>
  </si>
  <si>
    <t xml:space="preserve">Saint James organic iced tea (0-4 g sugar), can; Strawberry Tangerine Yerba Mate (150 mg caffeine)</t>
  </si>
  <si>
    <t xml:space="preserve">Boca Raton</t>
  </si>
  <si>
    <t xml:space="preserve">https://saintjamesicedtea.com</t>
  </si>
  <si>
    <t xml:space="preserve">Founded by AriZona Iced Tea co-founder, so well-resourced and maybe above the band; yerba mate SKUs carry 150 mg caffeine (place the plain iced tea). Pop Up Grocer listing is brand-level, not SKU-level; 60-day shelf life not stated</t>
  </si>
  <si>
    <t xml:space="preserve">family-owned (per Pop Up Grocer directory)</t>
  </si>
  <si>
    <t xml:space="preserve">https://popupgrocer.com/products/saint-james-iced-tea</t>
  </si>
  <si>
    <t xml:space="preserve">FAQ discusses refrigeration only after opening; no explicit shelf-life statement read</t>
  </si>
  <si>
    <t xml:space="preserve">Pop Up Grocer NYC Flagship, 205 Bleecker St (retailer directory); Destini locator not readable</t>
  </si>
  <si>
    <t xml:space="preserve">John M</t>
  </si>
  <si>
    <t xml:space="preserve">Hayley Budden</t>
  </si>
  <si>
    <t xml:space="preserve">Hayley</t>
  </si>
  <si>
    <t xml:space="preserve">Budden</t>
  </si>
  <si>
    <t xml:space="preserve">Director of Field Marketing</t>
  </si>
  <si>
    <t xml:space="preserve">BR3:50</t>
  </si>
  <si>
    <t xml:space="preserve">Pop Up Grocer directory (opened 2026-10-23): 'second-generation, family-owned', availability 'NYC Flagship'. store_selector grade is from the retailer's own directory page naming its NYC Flagship store. Dates are Shopify publish dates.</t>
  </si>
  <si>
    <t xml:space="preserve">hq_city &lt;- https://saintjamesicedtea.com/policies/contact-information (2026-10-24, opened); hq_state &lt;- https://saintjamesicedtea.com/policies/contact-information (2026-10-24, opened); marketing_name &lt;- https://attend.expowest.com/event/natural-products-expo-west-2026/exhibitor/RXhoaWJpdG9yXzIzNTc0NDA= (2026-10-24, opened); marketing_title &lt;- https://attend.expowest.com/event/natural-products-expo-west-2026/exhibitor/RXhoaWJpdG9yXzIzNTc0NDA= (2026-10-24, opened); </t>
  </si>
  <si>
    <t xml:space="preserve">https://attend.expowest.com/event/natural-products-expo-west-2026/exhibitor/RXhoaWJpdG9yXzIzNTc0NDA=</t>
  </si>
  <si>
    <t xml:space="preserve">AB-102</t>
  </si>
  <si>
    <t xml:space="preserve">Blake's Seed Based</t>
  </si>
  <si>
    <t xml:space="preserve">Brand based outside the Northeast, no graded store within ten blocks, online store only, a new store listing 68 days ago, revenue unknown, no contact named; founder review: claim-borderline.</t>
  </si>
  <si>
    <t xml:space="preserve">Launched Protein Treats on brand store, Aug 2026</t>
  </si>
  <si>
    <t xml:space="preserve">https://www.eatblakes.com/</t>
  </si>
  <si>
    <t xml:space="preserve">2026-08-17</t>
  </si>
  <si>
    <t xml:space="preserve">https://www.eatblakes.com/pages/our-story</t>
  </si>
  <si>
    <t xml:space="preserve">Crispy Treats seed-based snack bars; Protein Treats</t>
  </si>
  <si>
    <t xml:space="preserve">Bloomington</t>
  </si>
  <si>
    <t xml:space="preserve">https://www.eatblakes.com</t>
  </si>
  <si>
    <t xml:space="preserve">Kids/classroom allergy-free positioning; '5g plant protein, 3g sugar' nutrient claims; 60-day shelf life not stated</t>
  </si>
  <si>
    <t xml:space="preserve">IN</t>
  </si>
  <si>
    <t xml:space="preserve">Wrapped bars sold in grocery; shelf-life figure not found</t>
  </si>
  <si>
    <t xml:space="preserve">Over 3,000 stores nationwide (brand home page)</t>
  </si>
  <si>
    <t xml:space="preserve">https://www.wholefoodsmarket.com/api/search?text=blakes%20seed%20based&amp;store=10162&amp;limit=60&amp;offset=0</t>
  </si>
  <si>
    <t xml:space="preserve">https://www.instagram.com/eatblakes/</t>
  </si>
  <si>
    <t xml:space="preserve">BR2:40</t>
  </si>
  <si>
    <t xml:space="preserve">Top allergen-free (nut-free, gluten-free, dairy-free). Storemapper locator ID not readable. Not in WFM cluster catalogs. Why-now date from Shopify publish date.</t>
  </si>
  <si>
    <t xml:space="preserve">hq_city &lt;- https://www.eatblakes.com/policies/terms-of-service (2026-10-24, opened); hq_state &lt;- https://www.eatblakes.com/policies/terms-of-service (2026-10-24, opened); </t>
  </si>
  <si>
    <t xml:space="preserve">AB-177</t>
  </si>
  <si>
    <t xml:space="preserve">Neat Soda</t>
  </si>
  <si>
    <t xml:space="preserve">HQ unknown, no graded store within ten blocks, online store only, a new store listing 115 days ago, revenue unknown, no contact named; founder review: claim-borderline.</t>
  </si>
  <si>
    <t xml:space="preserve">Added to Pop Up Grocer NYC Flagship directory</t>
  </si>
  <si>
    <t xml:space="preserve">https://popupgrocer.com/products/neat-soda</t>
  </si>
  <si>
    <t xml:space="preserve">https://neatsoda.com</t>
  </si>
  <si>
    <t xml:space="preserve">Neat Cola / Dr. Neat / Lemon Lime lower-sugar soda, 12 oz can</t>
  </si>
  <si>
    <t xml:space="preserve">Founder, HQ and size unknown; 'less sugar' is a nutrient-content claim. Pop Up Grocer listing is brand-level; 60-day shelf life not stated</t>
  </si>
  <si>
    <t xml:space="preserve">BR3:51</t>
  </si>
  <si>
    <t xml:space="preserve">Homepage: 'Crisp. Less Sugar.' Caffeine-free lemon lime; 6-pack $18.99. why_now_date is the directory entry's publish date. | Added 2026-10-24: Legal entity per privacy policy: AIAC Corp (contact domain aiacbrew.com), with a Dover, DE registered-agent address; aiacbrew.com is a Coming Soon page. HQ and founder still unknown</t>
  </si>
  <si>
    <t xml:space="preserve">notes &lt;- https://neatsoda.com/policies/privacy-policy (2026-10-24, opened); </t>
  </si>
  <si>
    <t xml:space="preserve">AB-181</t>
  </si>
  <si>
    <t xml:space="preserve">COUP'd</t>
  </si>
  <si>
    <t xml:space="preserve">Brand based outside the Northeast, no graded store within ten blocks, online store only, a new store listing 25 days ago, revenue unknown, no contact named; founder review: format.</t>
  </si>
  <si>
    <t xml:space="preserve">Added to Pop Up Grocer NYC Flagship directory; COUP'd Up Duo listed 2026-04-29</t>
  </si>
  <si>
    <t xml:space="preserve">https://popupgrocer.com/products/coupd</t>
  </si>
  <si>
    <t xml:space="preserve">https://getcoupd.com/products.json</t>
  </si>
  <si>
    <t xml:space="preserve">COUP'd Lemon Ginger non-alcoholic aperitif and mixer, bottle</t>
  </si>
  <si>
    <t xml:space="preserve">Greenville</t>
  </si>
  <si>
    <t xml:space="preserve">https://getcoupd.com</t>
  </si>
  <si>
    <t xml:space="preserve">Multi-serve mixer bottle meant to be diluted, so it likely fails 'individually packaged' and 'no preparation'; keep only if a single-serve RTD exists</t>
  </si>
  <si>
    <t xml:space="preserve">MS</t>
  </si>
  <si>
    <t xml:space="preserve">Brand FAQ: heat-pasteurized, lasts up to 1 year unopened in a cool, dry space (getcoupd.com/pages/frequently-asked-questions, opened 2026-10-24)</t>
  </si>
  <si>
    <t xml:space="preserve">BR3:55</t>
  </si>
  <si>
    <t xml:space="preserve">Made from whole produce; women-owned per Pop Up Grocer. $24 per bottle.</t>
  </si>
  <si>
    <t xml:space="preserve">hq_city &lt;- https://getcoupd.com/policies/privacy-policy (2026-10-24, opened); hq_state &lt;- https://getcoupd.com/policies/privacy-policy (2026-10-24, opened); shelf_stable &lt;- https://getcoupd.com/pages/frequently-asked-questions (2026-10-24, opened); shelf_stable_basis &lt;- https://getcoupd.com/pages/frequently-asked-questions (2026-10-24, opened); </t>
  </si>
  <si>
    <t xml:space="preserve">AB-013</t>
  </si>
  <si>
    <t xml:space="preserve">Pa's Peanuts</t>
  </si>
  <si>
    <t xml:space="preserve">Brand based outside the Northeast, no graded store within ten blocks, online store only, a new store listing 22 days ago, revenue unknown, no contact named; founder review: format.</t>
  </si>
  <si>
    <t xml:space="preserve">Low Sodium 8 oz resealable pouch added to brand store</t>
  </si>
  <si>
    <t xml:space="preserve">https://paspeanuts.com/products/pas-peanuts-low-sodium-8oz-resealable-pouch</t>
  </si>
  <si>
    <t xml:space="preserve">https://paspeanuts.com/policies/contact-information</t>
  </si>
  <si>
    <t xml:space="preserve">Pa's Peanuts Original, 8 oz resealable pouch</t>
  </si>
  <si>
    <t xml:space="preserve">Sarasota</t>
  </si>
  <si>
    <t xml:space="preserve">https://paspeanuts.com</t>
  </si>
  <si>
    <t xml:space="preserve">Only 8 oz pouches and jars found; no single-serve unit; very early-stage local brand</t>
  </si>
  <si>
    <t xml:space="preserve">Roasted peanuts in resealable pouch and glass jar, ambient</t>
  </si>
  <si>
    <t xml:space="preserve">PopUp Grocer (NYC); Bread Bandits and Siesta Key Farmers Market (Sarasota FL)</t>
  </si>
  <si>
    <t xml:space="preserve">https://popupgrocer.com/pages/directory (availability 'NYC Flagship', 2026-10-23); https://popupgrocer.com/products/pas-peanuts</t>
  </si>
  <si>
    <t xml:space="preserve">https://instagram.com/paspeanuts</t>
  </si>
  <si>
    <t xml:space="preserve">BR1:14</t>
  </si>
  <si>
    <t xml:space="preserve">Business city from Shopify contact-information page. Low fit for single-serve office drops unless a snack pack exists.</t>
  </si>
  <si>
    <t xml:space="preserve">AB-040</t>
  </si>
  <si>
    <t xml:space="preserve">WILDE (Wilde Brands)</t>
  </si>
  <si>
    <t xml:space="preserve">Brand based outside the Northeast, store page shows Whole Foods Market NoMad inside the cluster, news 2 days ago, revenue over $10M, contact named; founder review: scale-reported, scale, claim-borderline.</t>
  </si>
  <si>
    <t xml:space="preserve">Received $40M investment from S2G; launched Protein Crackers; opened 130,000 sq ft facility</t>
  </si>
  <si>
    <t xml:space="preserve">https://www.snackandbakery.com/articles/116528-chicken-cracker-brand-wilde-receives-40m-investment</t>
  </si>
  <si>
    <t xml:space="preserve">https://www.wildebrands.com/pages/about</t>
  </si>
  <si>
    <t xml:space="preserve">find Jason Wright at WILDE (Wilde Brands) on LinkedIn and paste the profile URL; before using the retailer line, check Whole Foods Market NoMad still lists it: https://www.wholefoodsmarket.com/search?text=WILDE with your store set to NoMad (catalogs change daily); founder review (scale-reported, scale, claim-borderline): read founder_review_reason first</t>
  </si>
  <si>
    <t xml:space="preserve">WILDE Buffalo Chicken Protein Chips, 4 oz; multipack 5.4 oz</t>
  </si>
  <si>
    <t xml:space="preserve">https://www.wildebrands.com</t>
  </si>
  <si>
    <t xml:space="preserve">Revenue above $100M (well over the band); protein-first positioning; $600 campaign likely too small for their budget process</t>
  </si>
  <si>
    <t xml:space="preserve">growth ($40M from S2G Investments, Oct 2026)</t>
  </si>
  <si>
    <t xml:space="preserve">Shelf-stable chips made from chicken breast; produced in a USDA-regulated salty-snack facility (trade press)</t>
  </si>
  <si>
    <t xml:space="preserve">Snack Food &amp; Wholesale Bakery, 2026-10-22: company has surpassed $100 million in sales</t>
  </si>
  <si>
    <t xml:space="preserve">35,000+ retail locations; Whole Foods Market</t>
  </si>
  <si>
    <t xml:space="preserve">https://www.wholefoodsmarket.com/search?text=wilde%20protein%20chips (Union Square, NoMad, Chelsea contexts IN_STOCK 2026-10-23)</t>
  </si>
  <si>
    <t xml:space="preserve">Jason Wright</t>
  </si>
  <si>
    <t xml:space="preserve">BR1:41</t>
  </si>
  <si>
    <t xml:space="preserve">Recorded because it is on NYC shelves and in the news; out of the revenue band.</t>
  </si>
  <si>
    <t xml:space="preserve">hq_city &lt;- https://www.wildebrands.com/policies/terms-of-service (2026-10-24, opened); hq_state &lt;- https://www.wildebrands.com/policies/terms-of-service (2026-10-24, opened); </t>
  </si>
  <si>
    <t xml:space="preserve">AB-154</t>
  </si>
  <si>
    <t xml:space="preserve">Hank's Gourmet Beverages</t>
  </si>
  <si>
    <t xml:space="preserve">Northeast brand, no graded store within ten blocks, online store only, no dated why-now in the last 12 months, revenue unknown, no contact named; founder review: other.</t>
  </si>
  <si>
    <t xml:space="preserve">https://hanksbeverages.com/about/</t>
  </si>
  <si>
    <t xml:space="preserve">Hank's Root Beer, 12 oz glass bottle</t>
  </si>
  <si>
    <t xml:space="preserve">Southampton</t>
  </si>
  <si>
    <t xml:space="preserve">https://hanksbeverages.com/products/hanks-root-beer</t>
  </si>
  <si>
    <t xml:space="preserve">Established regional craft soda (40+ years in beverage), not emerging; NYC retail not found; 60-day shelf life not stated</t>
  </si>
  <si>
    <t xml:space="preserve">https://hanksbeverages.com</t>
  </si>
  <si>
    <t xml:space="preserve">unknown (find-us page not readable)</t>
  </si>
  <si>
    <t xml:space="preserve">https://www.instagram.com/hanksgourmetbeverages</t>
  </si>
  <si>
    <t xml:space="preserve">BR3:28</t>
  </si>
  <si>
    <t xml:space="preserve">About page: 'family business based in Philadelphia'; distributorship founded 1958 by Frank 'Hank' Salvatore (historical, not a current contact). | Stage 1 online-store check 2026-10-24: WooCommerce product page with add-to-cart (https://hanksbeverages.com/products/hanks-root-beer)</t>
  </si>
  <si>
    <t xml:space="preserve">hq_city &lt;- https://hanksbeverages.com/pages/contact (2026-10-24, opened); online_store &lt;- https://hanksbeverages.com/products/hanks-root-beer (2026-10-24, opened, stage 1); </t>
  </si>
  <si>
    <t xml:space="preserve">AB-175</t>
  </si>
  <si>
    <t xml:space="preserve">Brause</t>
  </si>
  <si>
    <t xml:space="preserve">Amna</t>
  </si>
  <si>
    <t xml:space="preserve">Mettmann</t>
  </si>
  <si>
    <t xml:space="preserve">Brand based outside the Northeast, no graded store within ten blocks, online store only, no dated why-now in the last 12 months, revenue unknown, contact named; founder review: claim-borderline.</t>
  </si>
  <si>
    <t xml:space="preserve">Launched at Harmons, Central Market and select BevMo stores via UNFI UpNext, joining 700+ doors (unverified, founder to confirm); earlier 2026 expansions to Washington State and US Foods Direct via Mable</t>
  </si>
  <si>
    <t xml:space="preserve">https://www.brewbound.com/pr/2026/08/25/brause-launches-at-harmons-central-market-and-select-bevmo-locations-via-unfi-upnext</t>
  </si>
  <si>
    <t xml:space="preserve">https://drinkbrause.com</t>
  </si>
  <si>
    <t xml:space="preserve">find Amna Mettmann at Brause on LinkedIn and paste the profile URL; founder review (claim-borderline): read founder_review_reason first</t>
  </si>
  <si>
    <t xml:space="preserve">https://startupcpg.transistor.fm/episodes/founder-feature-amna-mettmann-of-brause</t>
  </si>
  <si>
    <t xml:space="preserve">Brause Sparkling Apple / Apple x Malt (German-style craft soda), 12-pack</t>
  </si>
  <si>
    <t xml:space="preserve">Midway</t>
  </si>
  <si>
    <t xml:space="preserve">Malt product formerly sold as 'Malt Beer' (NA Malzbier); confirm 0.0% ABV and how offices will read it. 'Health-conscious' positioning. Only one NYC stockist, below Canal St; 60-day shelf life not stated</t>
  </si>
  <si>
    <t xml:space="preserve">UT</t>
  </si>
  <si>
    <t xml:space="preserve">Happier Grocery (brand_claim, 22.8 blocks out)</t>
  </si>
  <si>
    <t xml:space="preserve">Happier Grocery, 365 Canal St (brand Stockist locator, only point); Pop Up Grocer (directory)</t>
  </si>
  <si>
    <t xml:space="preserve">https://stockist.co/api/v1/map_r32n7zw3/locations/search?latitude=40.74&amp;longitude=-73.99&amp;distance=50</t>
  </si>
  <si>
    <t xml:space="preserve">Amna Mettmann</t>
  </si>
  <si>
    <t xml:space="preserve">https://www.instagram.com/drinkbrause</t>
  </si>
  <si>
    <t xml:space="preserve">BR3:49</t>
  </si>
  <si>
    <t xml:space="preserve">2025 Startup CPG Shelfie winner, Beverages; appeared on the Startup CPG Podcast (winners page). Store listings are from 2024. | Added 2026-10-24: Startup CPG Shelfie 2025 Non-Alcoholic submissions page lists Brause | Mountain View, CA, while current site policies give Midway, UT. Brand releases also on Startup CPG Newswire (Utah, NorCal, SoCal distribution)</t>
  </si>
  <si>
    <t xml:space="preserve">hq_city &lt;- https://drinkbrause.com/policies/privacy-policy (2026-10-24, opened); hq_state &lt;- https://drinkbrause.com/policies/privacy-policy (2026-10-24, opened); founder_name &lt;- https://startupcpg.transistor.fm/episodes/founder-feature-amna-mettmann-of-brause (2026-10-24, opened); founder_title &lt;- https://startupcpg.transistor.fm/episodes/founder-feature-amna-mettmann-of-brause (2026-10-24, opened); why_now &lt;- https://www.brewbound.com/pr/2026/08/25/brause-launches-at-harmons-central-market-and-select-bevmo-locations-via-unfi-upnext (2026-10-24, snippet-unverified); why_now_url &lt;- https://www.brewbound.com/pr/2026/08/25/brause-launches-at-harmons-central-market-and-select-bevmo-locations-via-unfi-upnext (2026-10-24, snippet-unverified); why_now_date &lt;- https://www.brewbound.com/pr/2026/08/25/brause-launches-at-harmons-central-market-and-select-bevmo-locations-via-unfi-upnext (2026-10-24, snippet-unverified); notes &lt;- https://startupcpg.com/shelfie-awards-2025-non-alcoholic-category-submissions/ (2026-10-24, opened); founder_profile_url &lt;- https://startupcpg.transistor.fm/episodes/founder-feature-amna-mettmann-of-brause (2026-10-24, opened); </t>
  </si>
  <si>
    <t xml:space="preserve">AB-163</t>
  </si>
  <si>
    <t xml:space="preserve">KACE Tea</t>
  </si>
  <si>
    <t xml:space="preserve">Ashley</t>
  </si>
  <si>
    <t xml:space="preserve">Yao</t>
  </si>
  <si>
    <t xml:space="preserve">https://drinkkace.com/pages/about</t>
  </si>
  <si>
    <t xml:space="preserve">find Ashley Yao at KACE Tea on LinkedIn and paste the profile URL; founder review (claim-borderline): read founder_review_reason first</t>
  </si>
  <si>
    <t xml:space="preserve">https://www.ricespicemag.com/read/kace-tea</t>
  </si>
  <si>
    <t xml:space="preserve">KACE Pineapple Black Tea / Mango Calamansi Green Tea (Taiwanese-style fruit tea), can</t>
  </si>
  <si>
    <t xml:space="preserve">https://drinkkace.com</t>
  </si>
  <si>
    <t xml:space="preserve">HQ and current NYC retail not confirmed; newest flavors 2025-07 (outside the 12-month window). Contains caffeine (tea); 60-day shelf life not stated</t>
  </si>
  <si>
    <t xml:space="preserve">https://popupgrocer.com/products/kace-tea</t>
  </si>
  <si>
    <t xml:space="preserve">Ashley Yao</t>
  </si>
  <si>
    <t xml:space="preserve">Kyle Gillaspy</t>
  </si>
  <si>
    <t xml:space="preserve">Gillaspy</t>
  </si>
  <si>
    <t xml:space="preserve">https://www.instagram.com/drinkkace</t>
  </si>
  <si>
    <t xml:space="preserve">BR3:37</t>
  </si>
  <si>
    <t xml:space="preserve">About: fruit tea inspired by Taiwanese-style shaken iced tea; Taiwanese and Filipino roots; AAPI and women-owned per Pop Up Grocer. 12-pack $35.99.</t>
  </si>
  <si>
    <t xml:space="preserve">hq_city &lt;- https://drinkkace.com/policies/privacy-policy (2026-10-24, opened); hq_state &lt;- https://drinkkace.com/policies/privacy-policy (2026-10-24, opened); founder_name &lt;- https://www.ricespicemag.com/read/kace-tea (2026-10-24, opened); founder_title &lt;- https://attend.expowest.com/event/natural-products-expo-west-2026/exhibitor/RXhoaWJpdG9yXzIzNTg5NTI= (2026-10-24, opened); </t>
  </si>
  <si>
    <t xml:space="preserve">AB-010</t>
  </si>
  <si>
    <t xml:space="preserve">Mamame</t>
  </si>
  <si>
    <t xml:space="preserve">Brand based outside the Northeast (HQ unverified), no graded store within ten blocks, online store only, no dated why-now in the last 12 months, revenue unknown, contact seen only in a snippet; founder review: claim-borderline.</t>
  </si>
  <si>
    <t xml:space="preserve">Launched its first sweet tempeh chips and new vegan flavors at Expo West 2026 (NOSH press release seen in search results; unverified, founder to confirm)</t>
  </si>
  <si>
    <t xml:space="preserve">2026-03-05 (unverified)</t>
  </si>
  <si>
    <t xml:space="preserve">https://www.mamamewholefoods.com/pages/our-story</t>
  </si>
  <si>
    <t xml:space="preserve">Mamame Hot Chili Tempeh Chips, 1.8 oz (50g) bag</t>
  </si>
  <si>
    <t xml:space="preserve">Jakarta (search snippets; unverified, founder to confirm)</t>
  </si>
  <si>
    <t xml:space="preserve">https://www.mamamewholefoods.com</t>
  </si>
  <si>
    <t xml:space="preserve">Startup CPG feature calls the chips 'functional' and tempeh a 'superfood'; check pack for structure/function wording</t>
  </si>
  <si>
    <t xml:space="preserve">Indonesia (country; unverified, founder to confirm)</t>
  </si>
  <si>
    <t xml:space="preserve">Brand FAQ: 'Our Tempeh Chips have a shelf life of 12 months when stored in a cool, dry place.' Homepage adds chips are 'tested safe to consume for up to 15 months from production'.</t>
  </si>
  <si>
    <t xml:space="preserve">Whole Foods Market NoMad, 63 Madison Ave (unverified, inside);Whole Foods Market Union Square, 4 Union Sq S (unverified, inside)</t>
  </si>
  <si>
    <t xml:space="preserve">Erewhon; Foxtrot; Wegmans and Hy-Vee (coming soon); FreshDirect; Thrive Market; Whole Foods Market; PopUp Grocer</t>
  </si>
  <si>
    <t xml:space="preserve">https://www.wholefoodsmarket.com/search?text=mamame%20tempeh (store context Union Square 10162 and NoMad 10773: Hot Chili Tempeh Chips 1.8 oz IN_STOCK 2026-10-23); https://popupgrocer.com/products/mamame</t>
  </si>
  <si>
    <t xml:space="preserve">Liz Kang</t>
  </si>
  <si>
    <t xml:space="preserve">with her mother Alvina Chun</t>
  </si>
  <si>
    <t xml:space="preserve">https://instagram.com/mamametempehchips</t>
  </si>
  <si>
    <t xml:space="preserve">BR1:11</t>
  </si>
  <si>
    <t xml:space="preserve">Founder name conflict between brand site (Alvina) and Startup CPG feature (Liz Kang); founder to confirm. HQ not stated on site or policies.</t>
  </si>
  <si>
    <t xml:space="preserve">shelf_stable_basis &lt;- https://www.mamamewholefoods.com/pages/faq (2026-10-24, opened); hq_city &lt;- https://www.foodnavigator-usa.com/Article/2025/08/07/startup-spotlight-how-to-leverage-private-label-for-consumer-education (2026-10-24, snippet-unverified); hq_state &lt;- https://www.mamamewholefoods.com/pages/faq (2026-10-24, opened); founder_name &lt;- https://karagoldin.com/?p=8002 (2026-10-24, snippet-unverified); why_now &lt;- https://www.nosh.com/pr/2026/03/05/mamame-launches-its-firstever-sweet-tempeh-chips-alongside-new-vegan-flavors-at-expo-west-2026 (2026-10-24, snippet-unverified); why_now_date &lt;- https://www.nosh.com/pr/2026/03/05/mamame-launches-its-firstever-sweet-tempeh-chips-alongside-new-vegan-flavors-at-expo-west-2026 (2026-10-24, snippet-unverified); </t>
  </si>
  <si>
    <t xml:space="preserve">AB-196</t>
  </si>
  <si>
    <t xml:space="preserve">Tilden</t>
  </si>
  <si>
    <t xml:space="preserve">Mariah</t>
  </si>
  <si>
    <t xml:space="preserve">Hilton Wood</t>
  </si>
  <si>
    <t xml:space="preserve">Brand based outside the Northeast, no graded store within ten blocks, online store only, no dated why-now in the last 12 months, revenue unknown, contact named; founder review: format.</t>
  </si>
  <si>
    <t xml:space="preserve">https://drinktilden.com/pages/our-story</t>
  </si>
  <si>
    <t xml:space="preserve">find Mariah Hilton Wood at Tilden on LinkedIn and paste the profile URL; founder review (format): read founder_review_reason first</t>
  </si>
  <si>
    <t xml:space="preserve">Tilden ready-to-pour non-alcoholic cocktail, bottle</t>
  </si>
  <si>
    <t xml:space="preserve">Santa Barbara</t>
  </si>
  <si>
    <t xml:space="preserve">https://drinktilden.com</t>
  </si>
  <si>
    <t xml:space="preserve">Multi-serve ready-to-pour bottles, not individually packaged; NYC points are restaurants, not retail</t>
  </si>
  <si>
    <t xml:space="preserve">FAQ: 'Our cocktails will last unopened for 18 months, but need to be refrigerated once opened' (drinktilden.com/pages/faqs, opened 2026-10-23)</t>
  </si>
  <si>
    <t xml:space="preserve">RH Rooftop and RH Guesthouse dining rooms; Ladybird; Carta Wine Bar (brand Stockist locator, 8 points)</t>
  </si>
  <si>
    <t xml:space="preserve">https://stockist.co/api/v1/u15351/locations/search?latitude=40.7400&amp;longitude=-73.9900&amp;distance=3</t>
  </si>
  <si>
    <t xml:space="preserve">Mariah Hilton Wood</t>
  </si>
  <si>
    <t xml:space="preserve">https://instagram.com/drinktilden</t>
  </si>
  <si>
    <t xml:space="preserve">BR3:70</t>
  </si>
  <si>
    <t xml:space="preserve">Began at Harvard Business School (our-story). Low fit for pantry sampling.</t>
  </si>
  <si>
    <t xml:space="preserve">hq_city &lt;- https://drinktilden.com/pages/press (2026-10-24, opened); hq_state &lt;- https://drinktilden.com/pages/press (2026-10-24, opened); </t>
  </si>
  <si>
    <t xml:space="preserve">AB-208</t>
  </si>
  <si>
    <t xml:space="preserve">Pip's Heirloom Snacks (formerly Pipcorn)</t>
  </si>
  <si>
    <t xml:space="preserve">Jen</t>
  </si>
  <si>
    <t xml:space="preserve">Northeast brand, no graded store within ten blocks, online store only, a new store listing 115 days ago, revenue unknown, contact named; founder review: owner, scale.</t>
  </si>
  <si>
    <t xml:space="preserve">Rolled out Snack Size 24-count cases in 2026 (Cheddar Crunchies, Sea Salt Corn Dippers 1.75 oz) plus new Dill Pickle Balls and Kettle Popcorn; homepage banner says Cheddar Fries and Cheddar Crunchies are now at Whole Foods</t>
  </si>
  <si>
    <t xml:space="preserve">https://www.pipsnacks.com/products.json?limit=250</t>
  </si>
  <si>
    <t xml:space="preserve">https://www.pipsnacks.com/pages/faq</t>
  </si>
  <si>
    <t xml:space="preserve">find Jen Martin at Pip's Heirloom Snacks (formerly Pipcorn) on LinkedIn and paste the profile URL; founder review (owner, scale): read founder_review_reason first</t>
  </si>
  <si>
    <t xml:space="preserve">https://www.pipsnacks.com/pages/press</t>
  </si>
  <si>
    <t xml:space="preserve">Heirloom Cheddar Cheese Balls 4.5 oz; Fiery Cheddar Fries 5 oz; site has a Snack Size collection</t>
  </si>
  <si>
    <t xml:space="preserve">Bethlehem, PA (brand contact page address: 1 East Broad Street, Ste 210; owner UpSnack Brands). Brand founded in NYC.</t>
  </si>
  <si>
    <t xml:space="preserve">https://www.pipsnacks.com</t>
  </si>
  <si>
    <t xml:space="preserve">Owned by UpSnack Brands platform; 20,000+ doors suggests it may be above the $10M ceiling</t>
  </si>
  <si>
    <t xml:space="preserve">acquired (joined UpSnack Brands, Fall 2024)</t>
  </si>
  <si>
    <t xml:space="preserve">https://www.fooddive.com/press-release/20251007-pipcorn-rebrands-as-pips-heirloom-snacks-1/</t>
  </si>
  <si>
    <t xml:space="preserve">Brand FAQ: 'shelf life for most of our products is 8 months from the date of manufacture'; popcorn 10 or 12 months</t>
  </si>
  <si>
    <t xml:space="preserve">Press release says 20,000+ retail locations (store count, not used for band)</t>
  </si>
  <si>
    <t xml:space="preserve">Whole Foods Market NoMad, 63 Madison Ave (unverified, inside);Whole Foods Market Union Square, 4 Union Sq S (unverified, inside);Whole Foods Market Chelsea, 250 7th Ave (unverified, 3.0 blocks out)</t>
  </si>
  <si>
    <t xml:space="preserve">Whole Foods Market Manhattan West (unverified, 13.8 blocks out)</t>
  </si>
  <si>
    <t xml:space="preserve">Whole Foods Market; Sprouts; Thrive Market; Amazon; 20,000+ locations</t>
  </si>
  <si>
    <t xml:space="preserve">https://www.wholefoodsmarket.com/api/search?text=pipcorn&amp;store=10773&amp;limit=60&amp;offset=0; https://www.wholefoodsmarket.com/api/search?text=pipcorn&amp;store=10162&amp;limit=60&amp;offset=0; https://www.wholefoodsmarket.com/api/search?text=pipcorn&amp;store=10131&amp;limit=60&amp;offset=0; https://www.wholefoodsmarket.com/api/search?text=pipcorn&amp;store=10713&amp;limit=60&amp;offset=0</t>
  </si>
  <si>
    <t xml:space="preserve">Jen  Martin</t>
  </si>
  <si>
    <t xml:space="preserve">Jennifer with Jeff Martin</t>
  </si>
  <si>
    <t xml:space="preserve">Sonia Ortiz</t>
  </si>
  <si>
    <t xml:space="preserve">Sonia</t>
  </si>
  <si>
    <t xml:space="preserve">Ortiz</t>
  </si>
  <si>
    <t xml:space="preserve">Marketing Director</t>
  </si>
  <si>
    <t xml:space="preserve">BR4:3</t>
  </si>
  <si>
    <t xml:space="preserve">Rebrand from Pipcorn to Pip's announced 2025-10-07 (just outside the 12-month why-now window). Homepage banner (undated): 'Cheddar Fries and Cheddar Crunchies are now available at Whole Foods Market!' WFM store-scoped catalog lists Cheese Balls, Fries and Twists (brand 'Pipsnacks') at all four cluster stores on 2026-10-23. Brand locator uses Destini (not machine-readable). Originally founded in NYC (Shark Tank deal per brand site).</t>
  </si>
  <si>
    <t xml:space="preserve">hq_city &lt;- https://www.pipsnacks.com/pages/contact-us (2026-10-24, opened); hq_state &lt;- https://www.pipsnacks.com/pages/contact-us (2026-10-24, opened); founder_name &lt;- https://www.pipsnacks.com/pages/press (2026-10-24, opened); founder_title &lt;- https://www.pipsnacks.com/pages/press (2026-10-24, opened); founder_profile_url &lt;- https://www.pipsnacks.com/pages/press (2026-10-24, opened); why_now &lt;- https://www.pipsnacks.com/products.json?limit=250 (2026-10-24, opened); why_now_url &lt;- https://www.pipsnacks.com/products.json?limit=250 (2026-10-24, opened); why_now_date &lt;- https://www.pipsnacks.com/products.json?limit=250 (2026-10-24, opened); </t>
  </si>
  <si>
    <t xml:space="preserve">AB-151</t>
  </si>
  <si>
    <t xml:space="preserve">Avery's Beverages</t>
  </si>
  <si>
    <t xml:space="preserve">Northeast brand, no graded store within ten blocks, online store only, a new store listing 193 days ago, revenue unknown, no contact named; founder review: not-emerging.</t>
  </si>
  <si>
    <t xml:space="preserve">New Honey Infused line (Sparkling Honey Water, Honey Cream Soda) added to store</t>
  </si>
  <si>
    <t xml:space="preserve">https://www.drinkaverys.com/products/sparkling-honey-water</t>
  </si>
  <si>
    <t xml:space="preserve">https://www.drinkaverys.com</t>
  </si>
  <si>
    <t xml:space="preserve">no person named on an opened page: not ready; founder review (not-emerging): read founder_review_reason first</t>
  </si>
  <si>
    <t xml:space="preserve">Avery's Honey Cream Soda / Sparkling Honey Water, bottle</t>
  </si>
  <si>
    <t xml:space="preserve">New Britain</t>
  </si>
  <si>
    <t xml:space="preserve">Heritage Connecticut soda maker (since 1904), not emerging; no NYC retail found; HQ city not confirmed on pages read; 60-day shelf life not stated</t>
  </si>
  <si>
    <t xml:space="preserve">private (since 1904)</t>
  </si>
  <si>
    <t xml:space="preserve">https://www.instagram.com/drinkaverys</t>
  </si>
  <si>
    <t xml:space="preserve">BR3:25</t>
  </si>
  <si>
    <t xml:space="preserve">Homepage: 'Real Cane Sugar. Since 1904.' HQ not stated on pages read (founder to confirm). Date is Shopify publish date.</t>
  </si>
  <si>
    <t xml:space="preserve">hq_city &lt;- https://www.drinkaverys.com/pages/contact (2026-10-24, opened); hq_state &lt;- https://www.drinkaverys.com/pages/contact (2026-10-24, opened); </t>
  </si>
  <si>
    <t xml:space="preserve">AB-168</t>
  </si>
  <si>
    <t xml:space="preserve">Steaz</t>
  </si>
  <si>
    <t xml:space="preserve">Fransz</t>
  </si>
  <si>
    <t xml:space="preserve">Director of Marketing, Tipp Distributors Inc. dba Novamex</t>
  </si>
  <si>
    <t xml:space="preserve">HQ unknown, no graded store within ten blocks, online store only, no dated why-now in the last 12 months, revenue unknown, contact named; founder review: scale, claim-borderline.</t>
  </si>
  <si>
    <t xml:space="preserve">Rebrand and new Antioxidant Brew Unsweetened and Yerba Mate flavors (press page cites BevNET, FoodBev, Drug Store News; articles not opened, dates unverified)</t>
  </si>
  <si>
    <t xml:space="preserve">https://drinksteaz.com/pages/press-media</t>
  </si>
  <si>
    <t xml:space="preserve">https://drinksteaz.com/pages/our-story</t>
  </si>
  <si>
    <t xml:space="preserve">find Mike Fransz at Steaz on LinkedIn and paste the profile URL; founder review (scale, claim-borderline): read founder_review_reason first</t>
  </si>
  <si>
    <t xml:space="preserve">https://attend.expowest.com/event/natural-products-expo-west-2026/exhibitor/RXhoaWJpdG9yXzI0MDgxODU=</t>
  </si>
  <si>
    <t xml:space="preserve">Steaz Zero Sugar organic iced tea, can; Steaz Antioxidant Brew / Yerba Mate (165 mg caffeine)</t>
  </si>
  <si>
    <t xml:space="preserve">https://drinksteaz.com</t>
  </si>
  <si>
    <t xml:space="preserve">'Antioxidant Brew' and energy lines with 165 mg caffeine and vitamin C (functional/nutrient positioning); established brand since 2002, likely above $10M; only the plain iced teas are a clean fit; 60-day shelf life not stated</t>
  </si>
  <si>
    <t xml:space="preserve">Mike Fransz</t>
  </si>
  <si>
    <t xml:space="preserve">https://www.instagram.com/steaz</t>
  </si>
  <si>
    <t xml:space="preserve">BR3:42</t>
  </si>
  <si>
    <t xml:space="preserve">Our-story: founded 2002 as the first certified organic tea brand. Zero Sugar SKUs listed 2025-10-01 (just outside the 12-month window).</t>
  </si>
  <si>
    <t xml:space="preserve">marketing_name &lt;- https://attend.expowest.com/event/natural-products-expo-west-2026/exhibitor/RXhoaWJpdG9yXzI0MDgxODU= (2026-10-24, opened); marketing_title &lt;- https://attend.expowest.com/event/natural-products-expo-west-2026/exhibitor/RXhoaWJpdG9yXzI0MDgxODU= (2026-10-24, opened); </t>
  </si>
  <si>
    <t xml:space="preserve">AB-110</t>
  </si>
  <si>
    <t xml:space="preserve">Thunderbird</t>
  </si>
  <si>
    <t xml:space="preserve">Brand based outside the Northeast, no graded store within ten blocks, online store only, no dated why-now in the last 12 months, revenue unknown, no contact named; founder review: other.</t>
  </si>
  <si>
    <t xml:space="preserve">https://www.thunderbirdbar.com/pages/about</t>
  </si>
  <si>
    <t xml:space="preserve">Thunderbird real food energy bar</t>
  </si>
  <si>
    <t xml:space="preserve">https://www.thunderbirdbar.com/collections/all</t>
  </si>
  <si>
    <t xml:space="preserve">No cluster retailer found and online store not confirmed; may fail the buy-path gate; 60-day shelf life not stated</t>
  </si>
  <si>
    <t xml:space="preserve">https://www.thunderbirdbar.com</t>
  </si>
  <si>
    <t xml:space="preserve">Wrapped fruit-and-nut bars; shelf-life figure not found</t>
  </si>
  <si>
    <t xml:space="preserve">Store locator (not machine-read)</t>
  </si>
  <si>
    <t xml:space="preserve">https://www.wholefoodsmarket.com/api/search?text=thunderbird%20bar&amp;store=10162&amp;limit=60&amp;offset=0</t>
  </si>
  <si>
    <t xml:space="preserve">https://www.instagram.com/thunderbirdbar/</t>
  </si>
  <si>
    <t xml:space="preserve">BR2:48</t>
  </si>
  <si>
    <t xml:space="preserve">About page: 'Thunderbird was founded in 2010 in Austin, Texas' by two triathletes (names not given). Terms of service name 'Wella' as the website owner and the refund address is Gather Foods, LLC: possible parent or sister brand, founder to confirm ownership. | Stage 1 online-store check 2026-10-24: Shopify storefront with product pages; homepage banner 'Free Shipping with TRYUS at checkout' (a working discount-code field) (https://www.thunderbirdbar.com)</t>
  </si>
  <si>
    <t xml:space="preserve">hq_city &lt;- https://www.thunderbirdbar.com/policies/refund-policy (2026-10-24, opened); notes &lt;- https://www.thunderbirdbar.com/pages/about (2026-10-24, opened); online_store &lt;- https://www.thunderbirdbar.com (2026-10-24, opened, stage 1); </t>
  </si>
  <si>
    <t xml:space="preserve">AB-125</t>
  </si>
  <si>
    <t xml:space="preserve">KIND Snacks</t>
  </si>
  <si>
    <t xml:space="preserve">HQ unknown, store page shows Whole Foods Market Union Square inside the cluster, no dated why-now in the last 12 months, revenue unknown, no contact named; founder review: owner.</t>
  </si>
  <si>
    <t xml:space="preserve">https://www.kindsnacks.com/</t>
  </si>
  <si>
    <t xml:space="preserve">no person named on an opened page: not ready; before using the retailer line, check Whole Foods Market Union Square still lists it: https://www.wholefoodsmarket.com/search?text=KIND%20Snacks with your store set to Union Square (catalogs change daily); founder review (owner): read founder_review_reason first</t>
  </si>
  <si>
    <t xml:space="preserve">Dark Chocolate &amp; Cherry Cashew Bar 1.4 oz</t>
  </si>
  <si>
    <t xml:space="preserve">https://www.kindsnacks.com</t>
  </si>
  <si>
    <t xml:space="preserve">Big-brand ownership (Mars); far outside the emerging-brand profile; recorded only to prevent re-research; 60-day shelf life not stated</t>
  </si>
  <si>
    <t xml:space="preserve">owned by Mars (site footer: 'Copyright Mars 2026')</t>
  </si>
  <si>
    <t xml:space="preserve">Wrapped bars sold ambient at Whole Foods</t>
  </si>
  <si>
    <t xml:space="preserve">https://www.wholefoodsmarket.com/api/search?text=kind%20bar&amp;store=10162&amp;limit=60&amp;offset=0</t>
  </si>
  <si>
    <t xml:space="preserve">https://www.instagram.com/kindsnacks/</t>
  </si>
  <si>
    <t xml:space="preserve">BR2:63</t>
  </si>
  <si>
    <t xml:space="preserve">Not a prospect.</t>
  </si>
  <si>
    <t xml:space="preserve">AB-200</t>
  </si>
  <si>
    <t xml:space="preserve">Good Twin</t>
  </si>
  <si>
    <t xml:space="preserve">Thomas Lynn</t>
  </si>
  <si>
    <t xml:space="preserve">Founder and CEO, AMASS Brands</t>
  </si>
  <si>
    <t xml:space="preserve">Brand based outside the Northeast, no graded store within ten blocks, online store only, news 39 days ago, revenue unknown, contact named; founder review: owner, scale.</t>
  </si>
  <si>
    <t xml:space="preserve">AMASS release: Good Twin retail sales up 136% year over year (four weeks to 2026-08-08, NielsenIQ), sold at Whole Foods, Erewhon, Safeway, Costco and Gelson's; DTC shipping expanded to 47 states</t>
  </si>
  <si>
    <t xml:space="preserve">https://finviz.com/news/392149/amass-brands-groups-good-twin-retail-sales-accelerate-136-nearly-8x-the-growth-rate-of-the-us-non-alcoholic-wine-category</t>
  </si>
  <si>
    <t xml:space="preserve">https://drinkgoodtwin.com/pages/about</t>
  </si>
  <si>
    <t xml:space="preserve">find Mark Thomas Lynn at Good Twin on LinkedIn and paste the profile URL; founder review (owner, scale): read founder_review_reason first</t>
  </si>
  <si>
    <t xml:space="preserve">Good Twin Single Serve organic non-alcoholic sparkling wine (Blanc, Rose)</t>
  </si>
  <si>
    <t xml:space="preserve">Santa Maria (AMASS dateline and privacy policy; terms page also lists a Los Angeles address)</t>
  </si>
  <si>
    <t xml:space="preserve">https://drinkgoodtwin.com</t>
  </si>
  <si>
    <t xml:space="preserve">Non-alcoholic sparkling wine made from wine grapes (likely dealcoholized; confirm ABV under 0.5% and whether it counts as alcohol for office policies). Wine positioning in an office pantry | Added 2026-10-24: owned by AMASS Brands, which also sells gin and appears to report public quarterly revenue; contact would be a parent-company employee; scale signal in the why-now ('Costco'): likely above the $10M band; ask at intake; 60-day shelf life not stated</t>
  </si>
  <si>
    <t xml:space="preserve">Parent AMASS Brands Group headline: preliminary Q3 2026 net revenue about 5.3M, company-wide across brands (unverified, founder to confirm); no Good Twin-only revenue figure</t>
  </si>
  <si>
    <t xml:space="preserve">Pop Up Grocer (past brand, directory); VTInfo locator not readable</t>
  </si>
  <si>
    <t xml:space="preserve">https://popupgrocer.com/products/good-twin</t>
  </si>
  <si>
    <t xml:space="preserve">Mark Thomas Lynn</t>
  </si>
  <si>
    <t xml:space="preserve">BR3:74</t>
  </si>
  <si>
    <t xml:space="preserve">About: 'Organic non-alcoholic sparkling wine from Italy'. Pop Up Grocer describes it as made from Prosecco grapes. Dates are Shopify publish dates.</t>
  </si>
  <si>
    <t xml:space="preserve">hq_city &lt;- https://finviz.com/news/392149/amass-brands-groups-good-twin-retail-sales-accelerate-136-nearly-8x-the-growth-rate-of-the-us-non-alcoholic-wine-category (2026-10-24, opened); hq_state &lt;- https://drinkgoodtwin.com/policies/terms-of-service (2026-10-24, opened); founder_name &lt;- https://finviz.com/news/392149/amass-brands-groups-good-twin-retail-sales-accelerate-136-nearly-8x-the-growth-rate-of-the-us-non-alcoholic-wine-category (2026-10-24, opened); founder_title &lt;- https://finviz.com/news/392149/amass-brands-groups-good-twin-retail-sales-accelerate-136-nearly-8x-the-growth-rate-of-the-us-non-alcoholic-wine-category (2026-10-24, opened); why_now &lt;- https://finviz.com/news/392149/amass-brands-groups-good-twin-retail-sales-accelerate-136-nearly-8x-the-growth-rate-of-the-us-non-alcoholic-wine-category (2026-10-24, opened); why_now_url &lt;- https://finviz.com/news/392149/amass-brands-groups-good-twin-retail-sales-accelerate-136-nearly-8x-the-growth-rate-of-the-us-non-alcoholic-wine-category (2026-10-24, opened); why_now_date &lt;- https://finviz.com/news/392149/amass-brands-groups-good-twin-retail-sales-accelerate-136-nearly-8x-the-growth-rate-of-the-us-non-alcoholic-wine-category (2026-10-24, opened); revenue_basis &lt;- https://finviz.com/news/392149/amass-brands-groups-good-twin-retail-sales-accelerate-136-nearly-8x-the-growth-rate-of-the-us-non-alcoholic-wine-category (2026-10-24, snippet-unverified); founder_review_reason &lt;- https://drinkgoodtwin.com/policies/privacy-policy (2026-10-24, opened); </t>
  </si>
  <si>
    <t xml:space="preserve">AB-152</t>
  </si>
  <si>
    <t xml:space="preserve">Foxon Park Beverages</t>
  </si>
  <si>
    <t xml:space="preserve">Northeast brand, no graded store within ten blocks, online store only, no dated why-now in the last 12 months, revenue unknown, no contact named; founder review: not-emerging.</t>
  </si>
  <si>
    <t xml:space="preserve">https://foxonpark.com</t>
  </si>
  <si>
    <t xml:space="preserve">Foxon Park Iron Brew soda, 12 oz bottle</t>
  </si>
  <si>
    <t xml:space="preserve">East Haven</t>
  </si>
  <si>
    <t xml:space="preserve">Heritage family soda maker (est. 1922), not emerging; newest store listings 2023-2024; no NYC retail found; 60-day shelf life not stated</t>
  </si>
  <si>
    <t xml:space="preserve">family-owned (est. 1922)</t>
  </si>
  <si>
    <t xml:space="preserve">BR3:26</t>
  </si>
  <si>
    <t xml:space="preserve">Homepage: 'family owned and operated business located in East Haven, Connecticut for over 100 years'. Low priority.</t>
  </si>
  <si>
    <t xml:space="preserve">AB-021</t>
  </si>
  <si>
    <t xml:space="preserve">Tierra Farm</t>
  </si>
  <si>
    <t xml:space="preserve">Gunther</t>
  </si>
  <si>
    <t xml:space="preserve">Fishgold</t>
  </si>
  <si>
    <t xml:space="preserve">New York State brand, no graded store within ten blocks, online store only, a new store listing 40 days ago, revenue over $10M, contact named; founder review: scale-reported.</t>
  </si>
  <si>
    <t xml:space="preserve">Launched The Tierra Bar chocolate line (70% dark chocolate + macadamia / hazelnut) on brand store</t>
  </si>
  <si>
    <t xml:space="preserve">https://www.tierrafarm.com/products/the-tierra-bar-br-70-dark-chocolate-macadamia-nut</t>
  </si>
  <si>
    <t xml:space="preserve">2026-09-14</t>
  </si>
  <si>
    <t xml:space="preserve">https://www.tierrafarm.com/pages/about-us</t>
  </si>
  <si>
    <t xml:space="preserve">find Gunther Fishgold at Tierra Farm on LinkedIn and paste the profile URL; founder review (scale-reported): read founder_review_reason first</t>
  </si>
  <si>
    <t xml:space="preserve">https://mainstreetmag.com/keeping-it-simple/</t>
  </si>
  <si>
    <t xml:space="preserve">Tierra Farm Organic Roasted Jalapeño Rosemary Almonds (bagged)</t>
  </si>
  <si>
    <t xml:space="preserve">Valatie</t>
  </si>
  <si>
    <t xml:space="preserve">https://www.tierrafarm.com</t>
  </si>
  <si>
    <t xml:space="preserve">Manufacturer/distributor selling mainly to independent and co-op grocers; single-serve format and NYC shelf presence not confirmed; budget owner unclear</t>
  </si>
  <si>
    <t xml:space="preserve">scale-reported</t>
  </si>
  <si>
    <t xml:space="preserve">unknown (family-run farm business per about page)</t>
  </si>
  <si>
    <t xml:space="preserve">Certified-organic roasted nuts and trail mixes in sealed (many compostable) bags, ambient</t>
  </si>
  <si>
    <t xml:space="preserve">press quote from 2021 (over 24 months old)</t>
  </si>
  <si>
    <t xml:space="preserve">Founder interview, Main Street Magazine, 2021-06-29: 'Our revenues are now approaching $30 million a year.'</t>
  </si>
  <si>
    <t xml:space="preserve">Independent and cooperative grocery stores (about page); farm store in Valatie NY</t>
  </si>
  <si>
    <t xml:space="preserve">https://www.wholefoodsmarket.com/search?text=tierra%20farm (no results in Union Square, NoMad or Chelsea context, 2026-10-23)</t>
  </si>
  <si>
    <t xml:space="preserve">Gunther Fishgold</t>
  </si>
  <si>
    <t xml:space="preserve">BR1:22</t>
  </si>
  <si>
    <t xml:space="preserve">Certified-organic nut and dried fruit maker 20 miles south of Albany NY; started as an organic vegetable farm in the Finger Lakes, nuts since 1999. 100+ products in compostable bags. why_now date is Shopify published_at.</t>
  </si>
  <si>
    <t xml:space="preserve">founder_name &lt;- https://mainstreetmag.com/keeping-it-simple/ (2026-10-24, opened); founder_title &lt;- https://mainstreetmag.com/keeping-it-simple/ (2026-10-24, opened); founder_profile_url &lt;- https://mainstreetmag.com/keeping-it-simple/ (2026-10-24, opened); revenue_band &lt;- https://mainstreetmag.com/keeping-it-simple/ (2026-10-24, opened); revenue_basis &lt;- https://mainstreetmag.com/keeping-it-simple/ (2026-10-24, opened); </t>
  </si>
  <si>
    <t xml:space="preserve">AB-231</t>
  </si>
  <si>
    <t xml:space="preserve">Chlorophyll Water</t>
  </si>
  <si>
    <t xml:space="preserve">Levine</t>
  </si>
  <si>
    <t xml:space="preserve">Gated out: health-claim: Health-claim wording: site title 'Detox, Hydrate &amp; Energize Drink'; vitamin-fortified functional water.</t>
  </si>
  <si>
    <t xml:space="preserve">First bottled water brand at Misfits Market, in new 16 oz aluminum cans</t>
  </si>
  <si>
    <t xml:space="preserve">https://startupcpg.com/startup-cpg-newswire-chlorophyll-water-makes-history-at-misfits-market/</t>
  </si>
  <si>
    <t xml:space="preserve">https://chlorophyllwater.com/</t>
  </si>
  <si>
    <t xml:space="preserve">Chlorophyll Water 16 oz aluminum can; Nature Enhanced Purified Water 16.9 fl oz bottle</t>
  </si>
  <si>
    <t xml:space="preserve">New York (releases datelined Brooklyn, NY in 2025 and New York, NY in 2026)</t>
  </si>
  <si>
    <t xml:space="preserve">https://chlorophyllwater.com</t>
  </si>
  <si>
    <t xml:space="preserve">'Detox' and 'Energize' are on the website title, not confirmed on pack; founder decides whether this trips the health-claim gate</t>
  </si>
  <si>
    <t xml:space="preserve">health-claim</t>
  </si>
  <si>
    <t xml:space="preserve">health-claim: Health-claim wording: site title 'Detox, Hydrate &amp; Energize Drink'; vitamin-fortified functional water</t>
  </si>
  <si>
    <t xml:space="preserve">first institutional investment (April 2026, Startup CPG Newswire headline; amount not checked)</t>
  </si>
  <si>
    <t xml:space="preserve">Bottled/canned purified water sold ambient in WFM catalog; no shelf-life figure published, founder to confirm</t>
  </si>
  <si>
    <t xml:space="preserve">Health-claim wording: site title 'Detox, Hydrate &amp; Energize Drink'; vitamin-fortified functional water</t>
  </si>
  <si>
    <t xml:space="preserve">Whole Foods Market; Walmart (select stores, Golden Ticket 2025); The Fresh Market; Hy-Vee; Winn-Dixie; Misfits Market</t>
  </si>
  <si>
    <t xml:space="preserve">https://www.wholefoodsmarket.com/api/search?text=chlorophyll%20water&amp;store=10773&amp;limit=60&amp;offset=0; https://www.wholefoodsmarket.com/api/search?text=chlorophyll%20water&amp;store=10162&amp;limit=60&amp;offset=0</t>
  </si>
  <si>
    <t xml:space="preserve">Matt Levine</t>
  </si>
  <si>
    <t xml:space="preserve">BR4:26</t>
  </si>
  <si>
    <t xml:space="preserve">2026 Shelfie finalist (Beverage with Benefits). Ten-plus Startup CPG Newswire releases in 2025-2026 (Walmart, Fresh Market, Hy-Vee, Winn-Dixie). Named Mark Ellis VP of Sales (Feb 2026 headline, not opened). Contains vitamins A, B12, C and D (release).</t>
  </si>
  <si>
    <t xml:space="preserve">AB-092</t>
  </si>
  <si>
    <t xml:space="preserve">Mid-Day Squares</t>
  </si>
  <si>
    <t xml:space="preserve">Gated out: health-claim: Refrigeration recommended: brand FAQ says store in the fridge, 5 days on the go; WFM lists a 'Functional Bar' SKU.</t>
  </si>
  <si>
    <t xml:space="preserve">Launched PB&amp;J Apple flavor (Sept 2026) after Grape and Strawberry earlier in 2026</t>
  </si>
  <si>
    <t xml:space="preserve">https://www.middaysquares.com/</t>
  </si>
  <si>
    <t xml:space="preserve">2026-09-23</t>
  </si>
  <si>
    <t xml:space="preserve">https://www.middaysquares.com/pages/faq</t>
  </si>
  <si>
    <t xml:space="preserve">Cookie Dough chocolate bar 1.16 oz; PB&amp;J Apple</t>
  </si>
  <si>
    <t xml:space="preserve">Montreal</t>
  </si>
  <si>
    <t xml:space="preserve">https://www.middaysquares.com</t>
  </si>
  <si>
    <t xml:space="preserve">health-claim;not-shelf-stable</t>
  </si>
  <si>
    <t xml:space="preserve">health-claim: Refrigeration recommended: brand FAQ says store in the fridge, 5 days on the go; WFM lists a 'Functional Bar' SKU | not-shelf-stable: Refrigeration recommended: brand FAQ says store in the fridge, 5 days on the go; WFM lists a 'Functional Bar' SKU</t>
  </si>
  <si>
    <t xml:space="preserve">QC (Canada)</t>
  </si>
  <si>
    <t xml:space="preserve">Brand FAQ: 'STORE IN THE FRIDGE. TAKE ON THE GO FOR 5 DAYS.'</t>
  </si>
  <si>
    <t xml:space="preserve">Refrigeration recommended: brand FAQ says store in the fridge, 5 days on the go; WFM lists a 'Functional Bar' SKU</t>
  </si>
  <si>
    <t xml:space="preserve">Walmart; Whole Foods; retailer list page</t>
  </si>
  <si>
    <t xml:space="preserve">https://www.wholefoodsmarket.com/api/search?text=mid-day%20squares&amp;store=10162&amp;limit=60&amp;offset=0; https://www.wholefoodsmarket.com/api/search?text=mid-day%20squares&amp;store=10773&amp;limit=60&amp;offset=0; https://www.wholefoodsmarket.com/api/search?text=mid-day%20squares&amp;store=10131&amp;limit=60&amp;offset=0</t>
  </si>
  <si>
    <t xml:space="preserve">https://www.instagram.com/middaysquares/</t>
  </si>
  <si>
    <t xml:space="preserve">BR2:29</t>
  </si>
  <si>
    <t xml:space="preserve">'Made with love in Montreal' footer. Excluded on the refrigeration rule; founder may overrule if 5-day ambient window is acceptable for a 5-day drop. Why-now date from Shopify publish date.</t>
  </si>
  <si>
    <t xml:space="preserve">AB-089</t>
  </si>
  <si>
    <t xml:space="preserve">NuGo Nutrition</t>
  </si>
  <si>
    <t xml:space="preserve">Gated out: health-claim: explicit health positioning on the brand's homepage (opened 2026-10-24): bars sold in 'Diabetes', 'Dialysis', 'GLP-1', 'Digestive Health' and 'Gut.</t>
  </si>
  <si>
    <t xml:space="preserve">Added GLP-1 Protein Bar variety pack (July 2026) and Matcha Latte bar (June 2026) on brand store</t>
  </si>
  <si>
    <t xml:space="preserve">https://nugo.com/</t>
  </si>
  <si>
    <t xml:space="preserve">2026-07-16</t>
  </si>
  <si>
    <t xml:space="preserve">https://nugo.com/pages/about-us</t>
  </si>
  <si>
    <t xml:space="preserve">NuGo Dark Chocolate Cherry bar (12g plant protein); NuGo Slim bars</t>
  </si>
  <si>
    <t xml:space="preserve">Oakmont</t>
  </si>
  <si>
    <t xml:space="preserve">https://nugo.com</t>
  </si>
  <si>
    <t xml:space="preserve">Markets a 'GLP-1 Protein Bar' pack with 'Low Glycemic' and Weight Watchers points (borderline weight/health positioning); protein nutrient claims; 20-year-old brand may be above size band; 60-day shelf life not stated</t>
  </si>
  <si>
    <t xml:space="preserve">health-claim: explicit health positioning on the brand's homepage (opened 2026-10-24): bars sold in 'Diabetes', 'Dialysis', 'GLP-1', 'Digestive Health' and 'Gut Health' collections, which tie the product to medical conditions</t>
  </si>
  <si>
    <t xml:space="preserve">unknown (calls itself an independent company)</t>
  </si>
  <si>
    <t xml:space="preserve">Single wrapped protein bars sold ambient at Whole Foods; shelf-life figure not found</t>
  </si>
  <si>
    <t xml:space="preserve">explicit health positioning on the brand's homepage (opened 2026-10-24): bars sold in 'Diabetes', 'Dialysis', 'GLP-1', 'Digestive Health' and 'Gut Health' collections, which tie the product to medical conditions</t>
  </si>
  <si>
    <t xml:space="preserve">https://www.wholefoodsmarket.com/api/search?text=nugo&amp;store=10162&amp;limit=60&amp;offset=0; https://www.wholefoodsmarket.com/api/search?text=nugo&amp;store=10773&amp;limit=60&amp;offset=0; https://www.wholefoodsmarket.com/api/search?text=nugo&amp;store=10131&amp;limit=60&amp;offset=0</t>
  </si>
  <si>
    <t xml:space="preserve">https://www.instagram.com/nugonutrition/</t>
  </si>
  <si>
    <t xml:space="preserve">BR2:26</t>
  </si>
  <si>
    <t xml:space="preserve">Brand also sells protein powders. Locator is a Secomapp widget (not machine-read). Why-now dates from Shopify publish dates.</t>
  </si>
  <si>
    <t xml:space="preserve">hq_city &lt;- https://nugo.com/pages/contact-faq (2026-10-24, opened); hq_state &lt;- https://nugo.com/pages/contact-faq (2026-10-24, opened); excluded &lt;- https://nugo.com (2026-10-24, stage 3 correction); exclusion_reason &lt;- https://nugo.com (2026-10-24, stage 3 correction); </t>
  </si>
  <si>
    <t xml:space="preserve">AB-080</t>
  </si>
  <si>
    <t xml:space="preserve">Spring &amp; Mulberry</t>
  </si>
  <si>
    <t xml:space="preserve">Kathryn</t>
  </si>
  <si>
    <t xml:space="preserve">Gated out: health-claim: explicit health claim on the brand's homepage (opened 2026-10-24): 'dates help regulate digestion, slow the absorption of naturally occurring suga.</t>
  </si>
  <si>
    <t xml:space="preserve">New Painterly gift sets and Salted Almond bar added to brand store, Oct 2026</t>
  </si>
  <si>
    <t xml:space="preserve">https://springandmulberry.com/</t>
  </si>
  <si>
    <t xml:space="preserve">https://springandmulberry.com/pages/about</t>
  </si>
  <si>
    <t xml:space="preserve">https://springandmulberry.com/pages/founders</t>
  </si>
  <si>
    <t xml:space="preserve">Date Pecan Date Sweetened Chocolate Bar 2.1 oz</t>
  </si>
  <si>
    <t xml:space="preserve">https://springandmulberry.com</t>
  </si>
  <si>
    <t xml:space="preserve">'No refined sugar' and 'healing power of whole food' wellness language on brand site; check pack copy for claims</t>
  </si>
  <si>
    <t xml:space="preserve">health-claim: explicit health claim on the brand's homepage (opened 2026-10-24): 'dates help regulate digestion, slow the absorption of naturally occurring sugars, and improve gut health'; 'Gut Friendly'; footer carries the FDA structure/function disclaimer</t>
  </si>
  <si>
    <t xml:space="preserve">Brand FAQ: best-buy date is 12 months for Embellished Bars with toppings and 14-16 months for the Essence Line; chocolate can melt above 75F.</t>
  </si>
  <si>
    <t xml:space="preserve">explicit health claim on the brand's homepage (opened 2026-10-24): 'dates help regulate digestion, slow the absorption of naturally occurring sugars, and improve gut health'; 'Gut Friendly'; footer carries the FDA structure/function disclaimer</t>
  </si>
  <si>
    <t xml:space="preserve">Whole Foods; wine and cheese shops, boutiques, natural grocers (brand stockist page); Faire wholesale</t>
  </si>
  <si>
    <t xml:space="preserve">https://www.wholefoodsmarket.com/api/search?text=spring%20mulberry&amp;store=10162&amp;limit=60&amp;offset=0; https://www.wholefoodsmarket.com/api/search?text=spring%20mulberry&amp;store=10773&amp;limit=60&amp;offset=0; https://www.wholefoodsmarket.com/api/search?text=spring%20mulberry&amp;store=10131&amp;limit=60&amp;offset=0</t>
  </si>
  <si>
    <t xml:space="preserve">Stage 3 (entered the top 60 after re-scoring). The brand's Founders page (opened 2026-10-24) quotes two founders by first name, KATHRYN and SARAH; the FAQ (opened) says the name is the New York intersection where Kathryn met her husband. Surname not public on the brand's pages.</t>
  </si>
  <si>
    <t xml:space="preserve">Founders page (opened 2026-10-24) quotes SARAH as the second founder. First name only.</t>
  </si>
  <si>
    <t xml:space="preserve">https://www.instagram.com/spring.mulberry/</t>
  </si>
  <si>
    <t xml:space="preserve">BR2:17</t>
  </si>
  <si>
    <t xml:space="preserve">HQ and founder name not found on brand pages; WebSearch budget was exhausted before a lookup. Why-now date from Shopify publish dates.</t>
  </si>
  <si>
    <t xml:space="preserve">shelf_stable &lt;- https://springandmulberry.com/pages/faq (2026-10-24, opened); shelf_stable_basis &lt;- https://springandmulberry.com/pages/faq (2026-10-24, opened); hq_city &lt;- https://springandmulberry.com/pages/faq (2026-10-24, opened); hq_state &lt;- https://springandmulberry.com/pages/faq (2026-10-24, opened); founder_name &lt;- https://springandmulberry.com/pages/faq (2026-10-24, opened); excluded &lt;- https://springandmulberry.com (2026-10-24, stage 3 correction); exclusion_reason &lt;- https://springandmulberry.com (2026-10-24, stage 3 correction); </t>
  </si>
  <si>
    <t xml:space="preserve">AB-245</t>
  </si>
  <si>
    <t xml:space="preserve">Bear's Fruit</t>
  </si>
  <si>
    <t xml:space="preserve">Gated out: health-claim: Health-claim positioning: site title 'Gut Health Drinks'; Our Story: 'make improving gut health something to be enjoyed'.</t>
  </si>
  <si>
    <t xml:space="preserve">https://www.bearsfruit.com/pages/our-story</t>
  </si>
  <si>
    <t xml:space="preserve">Blackberry Sage Sparkling Probiotic Water, 12 fl oz can</t>
  </si>
  <si>
    <t xml:space="preserve">unknown (began 'in the back of a cookie shop in Brooklyn' per Our Story; current base not stated)</t>
  </si>
  <si>
    <t xml:space="preserve">https://www.bearsfruit.com</t>
  </si>
  <si>
    <t xml:space="preserve">Probiotic drink; may also need refrigeration; claim is on website, check pack; 60-day shelf life not stated</t>
  </si>
  <si>
    <t xml:space="preserve">health-claim: Health-claim positioning: site title 'Gut Health Drinks'; Our Story: 'make improving gut health something to be enjoyed'</t>
  </si>
  <si>
    <t xml:space="preserve">NY (origin)</t>
  </si>
  <si>
    <t xml:space="preserve">Probiotic/fermented drink; storage not stated</t>
  </si>
  <si>
    <t xml:space="preserve">Health-claim positioning: site title 'Gut Health Drinks'; Our Story: 'make improving gut health something to be enjoyed'</t>
  </si>
  <si>
    <t xml:space="preserve">https://www.wholefoodsmarket.com/api/search?text=bear%27s%20fruit&amp;store=10773&amp;limit=60&amp;offset=0; https://www.wholefoodsmarket.com/api/search?text=bear%27s%20fruit&amp;store=10162&amp;limit=60&amp;offset=0; https://www.wholefoodsmarket.com/api/search?text=bear%27s%20fruit&amp;store=10131&amp;limit=60&amp;offset=0; https://www.wholefoodsmarket.com/api/search?text=bear%27s%20fruit&amp;store=10713&amp;limit=60&amp;offset=0</t>
  </si>
  <si>
    <t xml:space="preserve">first names only on Our Story; surnames founder to confirm</t>
  </si>
  <si>
    <t xml:space="preserve">BR4:40</t>
  </si>
  <si>
    <t xml:space="preserve">Recorded so the gate is visible. WFM lists Blackberry Sage and Mango Habanero Sparkling Probiotic Water at Union Square and NoMad (sweep 2026-10-23, query 'sparkling').</t>
  </si>
  <si>
    <t xml:space="preserve">AB-209</t>
  </si>
  <si>
    <t xml:space="preserve">Brami</t>
  </si>
  <si>
    <t xml:space="preserve">Gatti</t>
  </si>
  <si>
    <t xml:space="preserve">Gated out: health-claim: Explicit structure/function wording on brand FAQ: lupini 'support digestion', 'appetite-suppressing', 'without spiking your blood sugar'.</t>
  </si>
  <si>
    <t xml:space="preserve">Raised $33M Series B led by VMG Partners (PRNewswire, datelined New York; seen in search results, unverified)</t>
  </si>
  <si>
    <t xml:space="preserve">https://enjoybrami.com/pages/faqs</t>
  </si>
  <si>
    <t xml:space="preserve">https://enjoybrami.com/pages/brand-story</t>
  </si>
  <si>
    <t xml:space="preserve">Chili Lime Lupini Beans snack 5.3 oz (brand is now mainly lupini protein pasta)</t>
  </si>
  <si>
    <t xml:space="preserve">New York (Series B release datelined New York per search result; Dealroom lists Carlsbad CA; unverified, founder to confirm)</t>
  </si>
  <si>
    <t xml:space="preserve">https://enjoybrami.com/pages/shop-all</t>
  </si>
  <si>
    <t xml:space="preserve">Claim is on the website FAQ, not confirmed on pack; $33M Series B (May 2026) suggests above target size; snacks are now a minor line next to pasta; scale signal in the why-now ('Series B'): likely above the $10M band; ask at intake</t>
  </si>
  <si>
    <t xml:space="preserve">health-claim: Explicit structure/function wording on brand FAQ: lupini 'support digestion', 'appetite-suppressing', 'without spiking your blood sugar'</t>
  </si>
  <si>
    <t xml:space="preserve">https://enjoybrami.com</t>
  </si>
  <si>
    <t xml:space="preserve">NY (unverified)</t>
  </si>
  <si>
    <t xml:space="preserve">Series B ($33M led by VMG Partners, May 2026, PRNewswire seen in search results; unverified, founder to confirm)</t>
  </si>
  <si>
    <t xml:space="preserve">Sold as ambient ready-to-eat snack pouches in WFM grocery catalog; no shelf-life figure found, founder to confirm</t>
  </si>
  <si>
    <t xml:space="preserve">Explicit structure/function wording on brand FAQ: lupini 'support digestion', 'appetite-suppressing', 'without spiking your blood sugar'</t>
  </si>
  <si>
    <t xml:space="preserve">https://www.wholefoodsmarket.com/api/search?text=brami&amp;store=10773&amp;limit=60&amp;offset=0; https://www.wholefoodsmarket.com/api/search?text=brami&amp;store=10162&amp;limit=60&amp;offset=0</t>
  </si>
  <si>
    <t xml:space="preserve">https://www.bakeryandsnacks.com/Article/2020/11/19/Startup-CPG-Pitch-II-15-emerging-brands-to-watch-from-spicy-jackfruit-bites-to-keto-mug-cakes?page=4</t>
  </si>
  <si>
    <t xml:space="preserve">Aaron Gatti</t>
  </si>
  <si>
    <t xml:space="preserve">BR4:4</t>
  </si>
  <si>
    <t xml:space="preserve">Startup CPG evidence is a 2020 Startup CPG Pitch II feature (participation, dated; page opened 2026-10-23). Series B and HQ come from search-result snippets only (PRNewswire 2026-05-19; Dealroom), not opened. Founded as a New York lupini snack start-up (FoodNavigator-USA 2016 headline). WFM catalog at cluster stores lists lupini snacks and pasta, 2026-10-23.</t>
  </si>
  <si>
    <t xml:space="preserve">AB-078</t>
  </si>
  <si>
    <t xml:space="preserve">Greyston Bakery</t>
  </si>
  <si>
    <t xml:space="preserve">Bernie</t>
  </si>
  <si>
    <t xml:space="preserve">Glassman</t>
  </si>
  <si>
    <t xml:space="preserve">Gated out: not-shelf-stable: Shelf life 2 weeks at room temperature per brand FAQ (below 60 days).</t>
  </si>
  <si>
    <t xml:space="preserve">https://shop.greyston.org/pages/faq</t>
  </si>
  <si>
    <t xml:space="preserve">https://shop.greyston.org/pages/about-greyston</t>
  </si>
  <si>
    <t xml:space="preserve">Fudge Brownie 2.5 oz; Birthday Cake Blondie 2.5 oz</t>
  </si>
  <si>
    <t xml:space="preserve">Yonkers</t>
  </si>
  <si>
    <t xml:space="preserve">https://shop.greyston.org</t>
  </si>
  <si>
    <t xml:space="preserve">Retail 2.5 oz wrapped SKUs at Whole Foods may carry different dating than gift items; confirm before final exclusion</t>
  </si>
  <si>
    <t xml:space="preserve">not-shelf-stable</t>
  </si>
  <si>
    <t xml:space="preserve">not-shelf-stable: Shelf life 2 weeks at room temperature per brand FAQ (below 60 days)</t>
  </si>
  <si>
    <t xml:space="preserve">unknown (social enterprise, Open Hiring since 1982)</t>
  </si>
  <si>
    <t xml:space="preserve">Brand FAQ: brownies and blondies 'stay fresh at room temperature for 2 weeks after receiving them' (gift shop items)</t>
  </si>
  <si>
    <t xml:space="preserve">Shelf life 2 weeks at room temperature per brand FAQ (below 60 days)</t>
  </si>
  <si>
    <t xml:space="preserve">https://www.wholefoodsmarket.com/api/search?text=greyston&amp;store=10162&amp;limit=60&amp;offset=0; https://www.wholefoodsmarket.com/api/search?text=greyston&amp;store=10773&amp;limit=60&amp;offset=0; https://www.wholefoodsmarket.com/api/search?text=greyston&amp;store=10131&amp;limit=60&amp;offset=0</t>
  </si>
  <si>
    <t xml:space="preserve">Bernie Glassman</t>
  </si>
  <si>
    <t xml:space="preserve">https://www.instagram.com/greystonbakery/</t>
  </si>
  <si>
    <t xml:space="preserve">BR2:15</t>
  </si>
  <si>
    <t xml:space="preserve">Strong NY story (Yonkers, Open Hiring). Current leadership not identified.</t>
  </si>
  <si>
    <t xml:space="preserve">AB-120</t>
  </si>
  <si>
    <t xml:space="preserve">Joolies</t>
  </si>
  <si>
    <t xml:space="preserve">Kohl</t>
  </si>
  <si>
    <t xml:space="preserve">Gated out: health-claim: explicit health claim on the brand's homepage (opened 2026-10-24): 'Dates are naturally rich in fiber to support digestion and keep things moving'.</t>
  </si>
  <si>
    <t xml:space="preserve">https://joolies.com/pages/story-timeline</t>
  </si>
  <si>
    <t xml:space="preserve">Organic Lemon Bar Date Pops 3.5 oz; Almond Date Rolls</t>
  </si>
  <si>
    <t xml:space="preserve">https://joolies.com</t>
  </si>
  <si>
    <t xml:space="preserve">12,000+ stores may put it above the $10M ceiling; 'superfruit' positioning; 60-day shelf life not stated</t>
  </si>
  <si>
    <t xml:space="preserve">health-claim: explicit health claim on the brand's homepage (opened 2026-10-24): 'Dates are naturally rich in fiber to support digestion and keep things moving'</t>
  </si>
  <si>
    <t xml:space="preserve">Dates and date snacks sold ambient at Whole Foods; shelf-life figure not found</t>
  </si>
  <si>
    <t xml:space="preserve">explicit health claim on the brand's homepage (opened 2026-10-24): 'Dates are naturally rich in fiber to support digestion and keep things moving'</t>
  </si>
  <si>
    <t xml:space="preserve">12,000+ stores nationwide (brand home page); Whole Foods</t>
  </si>
  <si>
    <t xml:space="preserve">https://www.wholefoodsmarket.com/api/search?text=joolies&amp;store=10162&amp;limit=60&amp;offset=0; https://www.wholefoodsmarket.com/api/search?text=joolies&amp;store=10773&amp;limit=60&amp;offset=0; https://www.wholefoodsmarket.com/api/search?text=joolies&amp;store=10131&amp;limit=60&amp;offset=0</t>
  </si>
  <si>
    <t xml:space="preserve">David Kohl</t>
  </si>
  <si>
    <t xml:space="preserve">Greg Willsey</t>
  </si>
  <si>
    <t xml:space="preserve">Greg</t>
  </si>
  <si>
    <t xml:space="preserve">Willsey</t>
  </si>
  <si>
    <t xml:space="preserve">https://www.instagram.com/jooliesdates/</t>
  </si>
  <si>
    <t xml:space="preserve">BR2:58</t>
  </si>
  <si>
    <t xml:space="preserve">Company name on site: JOOLIES SUPERFRUIT LLC. All products show a 2026-09-29 publish date (likely a store rebuild), so not used as a why-now signal.</t>
  </si>
  <si>
    <t xml:space="preserve">hq_city &lt;- https://joolies.com/policies/refund-policy (2026-10-24, opened); excluded &lt;- https://joolies.com (2026-10-24, stage 3 correction); exclusion_reason &lt;- https://joolies.com (2026-10-24, stage 3 correction); </t>
  </si>
  <si>
    <t xml:space="preserve">AB-238</t>
  </si>
  <si>
    <t xml:space="preserve">QNSY Sparkling Cocktails</t>
  </si>
  <si>
    <t xml:space="preserve">Gated out: excluded-category: Alcohol (homepage: 'All with 5% alcohol').</t>
  </si>
  <si>
    <t xml:space="preserve">https://www.drinkqnsy.com/</t>
  </si>
  <si>
    <t xml:space="preserve">Cosmo Spiked Sparkling Water 12 fl oz can (5% alcohol)</t>
  </si>
  <si>
    <t xml:space="preserve">Queens, New York</t>
  </si>
  <si>
    <t xml:space="preserve">excluded-category</t>
  </si>
  <si>
    <t xml:space="preserve">excluded-category: Alcohol (homepage: 'All with 5% alcohol')</t>
  </si>
  <si>
    <t xml:space="preserve">https://www.drinkqnsy.com</t>
  </si>
  <si>
    <t xml:space="preserve">Canned</t>
  </si>
  <si>
    <t xml:space="preserve">Alcohol (homepage: 'All with 5% alcohol')</t>
  </si>
  <si>
    <t xml:space="preserve">Whole Foods Market (WFM catalog)</t>
  </si>
  <si>
    <t xml:space="preserve">https://www.wholefoodsmarket.com/api/search?text=qnsy&amp;store=10773&amp;limit=60&amp;offset=0; https://www.wholefoodsmarket.com/api/search?text=qnsy&amp;store=10162&amp;limit=60&amp;offset=0</t>
  </si>
  <si>
    <t xml:space="preserve">BR4:33</t>
  </si>
  <si>
    <t xml:space="preserve">Recorded so the gate is visible. Launched summer 2021 per press quote on homepage.</t>
  </si>
  <si>
    <t xml:space="preserve">AB-190</t>
  </si>
  <si>
    <t xml:space="preserve">WAVA Water</t>
  </si>
  <si>
    <t xml:space="preserve">Gated out: health-claim: Structure or function wording on every product: '100 mg l-theanine for increased focus'.</t>
  </si>
  <si>
    <t xml:space="preserve">Fairway Chelsea, 766 6th Ave</t>
  </si>
  <si>
    <t xml:space="preserve">New Lemon Ice + Natural pack listed (after Orange Vanilla, Natural, Lemon Ice in 2026-02)</t>
  </si>
  <si>
    <t xml:space="preserve">https://wavawater.com/products.json</t>
  </si>
  <si>
    <t xml:space="preserve">https://wavawater.com/pages/about</t>
  </si>
  <si>
    <t xml:space="preserve">WAVA lightly caffeinated sparkling water (45 mg caffeine, 100 mg L-theanine), can</t>
  </si>
  <si>
    <t xml:space="preserve">https://wavawater.com</t>
  </si>
  <si>
    <t xml:space="preserve">Strong Brooklyn founder story and one of the densest near-cluster footprints in this slice; the exclusion rests on one line of copy. Founder may decide to reinstate if the card and landing page avoid the focus claim; 60-day shelf life not stated</t>
  </si>
  <si>
    <t xml:space="preserve">health-claim: Structure or function wording on every product: '100 mg l-theanine for increased focus'</t>
  </si>
  <si>
    <t xml:space="preserve">Structure or function wording on every product: '100 mg l-theanine for increased focus'</t>
  </si>
  <si>
    <t xml:space="preserve">Fairway Chelsea, 766 6th Ave (brand_claim, inside);Olympia Finest Deli, 716 6th Ave (brand_claim, inside);Spice &amp; Sweets Corner, 133 Lexington Ave (brand_claim, 1.4 blocks out);Westside Market, 180 3rd Ave (brand_claim, 2.0 blocks out);Westside Market, 77 7th Ave (brand_claim, 2.0 blocks out);Eden Gourmet Marketplace, 275 3rd Ave (brand_claim, 3.0 blocks out);Elm Wellness, 56 7th Ave (brand_claim, 3.0 blocks out);Fairway Kips Bay, 550 2nd Ave (brand_claim, 7.0 blocks out)</t>
  </si>
  <si>
    <t xml:space="preserve">Fairway; Westside Market; Eden Gourmet; Elm Wellness; delis and cafes (brand Stockist locator: 76 points, 19 near the cluster); Pop Up Grocer (past brand)</t>
  </si>
  <si>
    <t xml:space="preserve">https://wavawater.com/pages/find-us; https://stockist.co/api/v1/u23135/locations/search?latitude=40.7400&amp;longitude=-73.9900&amp;distance=3</t>
  </si>
  <si>
    <t xml:space="preserve">BR3:64</t>
  </si>
  <si>
    <t xml:space="preserve">About: founder worked in NYC hospitality in 2020, then quit day jobs in Brooklyn with his wife (marketing background) to launch WAVA. Stockist queried 2026-10-23.</t>
  </si>
  <si>
    <t xml:space="preserve">AB-195</t>
  </si>
  <si>
    <t xml:space="preserve">Pari</t>
  </si>
  <si>
    <t xml:space="preserve">Alessia</t>
  </si>
  <si>
    <t xml:space="preserve">Gated out: health-claim: FAQ says agave 'is also great for brain function and metabolism' (structure or function wording).</t>
  </si>
  <si>
    <t xml:space="preserve">Fairway Market of Chelsea, 766 6th Ave</t>
  </si>
  <si>
    <t xml:space="preserve">New Citrus Sour flavor listed on store</t>
  </si>
  <si>
    <t xml:space="preserve">https://drinkpari.com/products.json</t>
  </si>
  <si>
    <t xml:space="preserve">2026-01-30</t>
  </si>
  <si>
    <t xml:space="preserve">https://drinkpari.com/pages/about</t>
  </si>
  <si>
    <t xml:space="preserve">Pari zero-proof agave-sweetened canned drink (Modern Mule, Citrus Sour)</t>
  </si>
  <si>
    <t xml:space="preserve">https://drinkpari.com</t>
  </si>
  <si>
    <t xml:space="preserve">Claim sits in one FAQ answer about an ingredient, not on the product; otherwise a clean zero-proof drink with a dense near-cluster footprint. Founder may reinstate if the card and landing page avoid that line</t>
  </si>
  <si>
    <t xml:space="preserve">health-claim: FAQ says agave 'is also great for brain function and metabolism' (structure or function wording)</t>
  </si>
  <si>
    <t xml:space="preserve">FAQ: store unopened cans 'in a cool, dark, and dry place'; consume 'within 24 months of production' (drinkpari.com/pages/faq, opened 2026-10-23)</t>
  </si>
  <si>
    <t xml:space="preserve">FAQ says agave 'is also great for brain function and metabolism' (structure or function wording)</t>
  </si>
  <si>
    <t xml:space="preserve">Fairway Market of Chelsea, 766 6th Ave (brand_claim, inside);Westside Market, 84 3rd Ave (brand_claim, 1.0 blocks out);Lincoln Market, 501 6th Ave (brand_claim, 1.2 blocks out);Westside Market, 170 W 23rd St (brand_claim, 2.0 blocks out);Westside Market, 77 7th Ave (brand_claim, 2.0 blocks out);Elm Wellness, 56 7th Ave (brand_claim, 3.0 blocks out);Fairway Market Kips Bay, 550 2nd Ave (brand_claim, 7.0 blocks out)</t>
  </si>
  <si>
    <t xml:space="preserve">Fairway; Westside Market; Lincoln Market; Citarella; Elm Wellness; Brooklyn Fare; Pop Up Grocer (brand Stockist locator: 59 points, 15 near the cluster)</t>
  </si>
  <si>
    <t xml:space="preserve">https://drinkpari.com/pages/store-locator; https://stockist.co/api/v1/u20632/locations/search?latitude=40.7400&amp;longitude=-73.9900&amp;distance=3</t>
  </si>
  <si>
    <t xml:space="preserve">https://instagram.com/drinkpari</t>
  </si>
  <si>
    <t xml:space="preserve">BR3:69</t>
  </si>
  <si>
    <t xml:space="preserve">Name from Italian 'pari' (equal). Stockist queried 2026-10-23; NYC-heavy footprint suggests a NYC brand, HQ unconfirmed. Date is Shopify publish date.</t>
  </si>
  <si>
    <t xml:space="preserve">AB-197</t>
  </si>
  <si>
    <t xml:space="preserve">Corpse Reviver</t>
  </si>
  <si>
    <t xml:space="preserve">Anna</t>
  </si>
  <si>
    <t xml:space="preserve">Zesbaugh</t>
  </si>
  <si>
    <t xml:space="preserve">Gated out: health-claim: Structure or function claims: 'Zinc to support immunity', 'Magnesium to support energy and muscle comfort', 'L-theanine for calm, focused vibes'.</t>
  </si>
  <si>
    <t xml:space="preserve">Bourke Street Bakery, 15 E 28th St</t>
  </si>
  <si>
    <t xml:space="preserve">https://drinkcorpsereviver.com/pages/about-us</t>
  </si>
  <si>
    <t xml:space="preserve">Corpse Reviver tea-based sparkling hydration drink, can</t>
  </si>
  <si>
    <t xml:space="preserve">https://drinkcorpsereviver.com</t>
  </si>
  <si>
    <t xml:space="preserve">health-claim: Structure or function claims: 'Zinc to support immunity', 'Magnesium to support energy and muscle comfort', 'L-theanine for calm, focused vibes'</t>
  </si>
  <si>
    <t xml:space="preserve">Structure or function claims: 'Zinc to support immunity', 'Magnesium to support energy and muscle comfort', 'L-theanine for calm, focused vibes'</t>
  </si>
  <si>
    <t xml:space="preserve">Bourke Street Bakery, 15 E 28th St (brand_claim, inside);Fairway Market Chelsea, 55 W 25th St (brand_claim, inside);Fraiche, 36 Lexington Ave (brand_claim, 0.9 blocks out);Lincoln Market, 501 6th Ave (brand_claim, 1.2 blocks out);West Side Market, 170 W 23rd St (brand_claim, 2.0 blocks out)</t>
  </si>
  <si>
    <t xml:space="preserve">Fairway; West Side Market; Lincoln Market; Fraiche; Bourke Street Bakery (brand Storepoint locator: 75 points, 35 near the cluster)</t>
  </si>
  <si>
    <t xml:space="preserve">https://drinkcorpsereviver.com/pages/find-us; https://api.storepoint.co/v1/165e8ec022755b/locations?lat=40.7400&amp;long=-73.9900&amp;radius=3</t>
  </si>
  <si>
    <t xml:space="preserve">Anna Zesbaugh</t>
  </si>
  <si>
    <t xml:space="preserve">BR3:71</t>
  </si>
  <si>
    <t xml:space="preserve">Founder came from hospitality (furloughed in 2020). Very dense near-cluster footprint, so worth noting if claims change.</t>
  </si>
  <si>
    <t xml:space="preserve">AB-185</t>
  </si>
  <si>
    <t xml:space="preserve">CHUH Matcha</t>
  </si>
  <si>
    <t xml:space="preserve">Schundler</t>
  </si>
  <si>
    <t xml:space="preserve">Gated out: health-claim: explicit health claim on the brand's homepage (opened 2026-10-24): 'These antioxidants fight free radicals and support your immune system daily'.</t>
  </si>
  <si>
    <t xml:space="preserve">Launched two new flavors as the brand reached 200 retail doors (Startup CPG Newswire, 2026-06-24); first month after launch: 2,000 cans sold and 19 retail accounts (2025-08-27)</t>
  </si>
  <si>
    <t xml:space="preserve">https://startupcpg.com/startup-cpg-newswire-chuh-matcha-launches-two-new-flavors-as-brand-reaches-200-retail-doors/</t>
  </si>
  <si>
    <t xml:space="preserve">https://www.chuhmatcha.com/pages/about</t>
  </si>
  <si>
    <t xml:space="preserve">https://startupcpg.com/startup-cpg-newswire-chuh-celebrates-successful-first-month-launch-with-2000-cans-sold-and-19-retail-accounts/</t>
  </si>
  <si>
    <t xml:space="preserve">CHUH ceremonial-grade organic canned matcha latte (Lavender, Creme Brulee)</t>
  </si>
  <si>
    <t xml:space="preserve">Georgetown (press dateline and PO box); contact page lists an office unit in Bath, ME</t>
  </si>
  <si>
    <t xml:space="preserve">https://www.chuhmatcha.com</t>
  </si>
  <si>
    <t xml:space="preserve">Caffeinated matcha latte with dairy (allergen line); 'crash-free, slow-release caffeine' wording borders on function claims; no current NYC retailer confirmed; 60-day shelf life not stated</t>
  </si>
  <si>
    <t xml:space="preserve">health-claim: explicit health claim on the brand's homepage (opened 2026-10-24): 'These antioxidants fight free radicals and support your immune system daily'</t>
  </si>
  <si>
    <t xml:space="preserve">No storage statement read in FAQ</t>
  </si>
  <si>
    <t xml:space="preserve">explicit health claim on the brand's homepage (opened 2026-10-24): 'These antioxidants fight free radicals and support your immune system daily'</t>
  </si>
  <si>
    <t xml:space="preserve">Pop Up Grocer (past brand, directory); store-location page lists retailers but text not readable</t>
  </si>
  <si>
    <t xml:space="preserve">https://popupgrocer.com/products/chuh-matcha</t>
  </si>
  <si>
    <t xml:space="preserve">Andrew Schundler</t>
  </si>
  <si>
    <t xml:space="preserve">https://instagram.com/chuhmatcha</t>
  </si>
  <si>
    <t xml:space="preserve">BR3:59</t>
  </si>
  <si>
    <t xml:space="preserve">About page title: 'Organic Canned Matcha Latte from Georgetown, ME'. Northeast brand. Dates are Shopify publish dates.</t>
  </si>
  <si>
    <t xml:space="preserve">hq_city &lt;- https://startupcpg.com/startup-cpg-newswire-chuh-matcha-launches-two-new-flavors-as-brand-reaches-200-retail-doors/ (2026-10-24, opened); founder_name &lt;- https://startupcpg.com/startup-cpg-newswire-chuh-celebrates-successful-first-month-launch-with-2000-cans-sold-and-19-retail-accounts/ (2026-10-24, opened); founder_title &lt;- https://startupcpg.com/startup-cpg-newswire-chuh-celebrates-successful-first-month-launch-with-2000-cans-sold-and-19-retail-accounts/ (2026-10-24, opened); why_now &lt;- https://startupcpg.com/startup-cpg-newswire-chuh-matcha-launches-two-new-flavors-as-brand-reaches-200-retail-doors/ (2026-10-24, opened); why_now_url &lt;- https://startupcpg.com/startup-cpg-newswire-chuh-matcha-launches-two-new-flavors-as-brand-reaches-200-retail-doors/ (2026-10-24, opened); why_now_date &lt;- https://startupcpg.com/startup-cpg-newswire-chuh-matcha-launches-two-new-flavors-as-brand-reaches-200-retail-doors/ (2026-10-24, opened); startup_cpg_member &lt;- https://startupcpg.com/startup-cpg-newswire-chuh-matcha-launches-two-new-flavors-as-brand-reaches-200-retail-doors/ (2026-10-24, opened); startup_cpg_evidence_url &lt;- https://startupcpg.com/startup-cpg-newswire-chuh-matcha-launches-two-new-flavors-as-brand-reaches-200-retail-doors/ (2026-10-24, opened); excluded &lt;- https://www.chuhmatcha.com (2026-10-24, stage 3 correction); exclusion_reason &lt;- https://www.chuhmatcha.com (2026-10-24, stage 3 correction); </t>
  </si>
  <si>
    <t xml:space="preserve">AB-257</t>
  </si>
  <si>
    <t xml:space="preserve">Chenzi</t>
  </si>
  <si>
    <t xml:space="preserve">Christina</t>
  </si>
  <si>
    <t xml:space="preserve">Gated out: excluded-category: Frozen; needs preparation.</t>
  </si>
  <si>
    <t xml:space="preserve">Introduced Chinese potato balls; exhibited in Startup CPG section at Summer Fancy Food 2026</t>
  </si>
  <si>
    <t xml:space="preserve">https://startupcpg.com/startup-cpg-newswire-chenzi-introduces-chinese-potato-ball-bringing-a-regional-chinese-dish-to-the-u-s-specialty-food-market/</t>
  </si>
  <si>
    <t xml:space="preserve">Chinese potato balls (frozen)</t>
  </si>
  <si>
    <t xml:space="preserve">New York (release datelined New York, NY)</t>
  </si>
  <si>
    <t xml:space="preserve">excluded-category;not-shelf-stable;no-buy-path</t>
  </si>
  <si>
    <t xml:space="preserve">excluded-category: Frozen; needs preparation | not-shelf-stable: Frozen; needs preparation | no-buy-path: no graded store within ten blocks and no online store shown (online store unknown)</t>
  </si>
  <si>
    <t xml:space="preserve">https://chenzi.co</t>
  </si>
  <si>
    <t xml:space="preserve">Release: brings the dish 'to the commercial frozen aisle'</t>
  </si>
  <si>
    <t xml:space="preserve">Frozen; needs preparation</t>
  </si>
  <si>
    <t xml:space="preserve">Christina Chen</t>
  </si>
  <si>
    <t xml:space="preserve">BR4:52</t>
  </si>
  <si>
    <t xml:space="preserve">Recorded so the gate is visible.</t>
  </si>
  <si>
    <t xml:space="preserve">AB-303</t>
  </si>
  <si>
    <t xml:space="preserve">Chikka Chikka</t>
  </si>
  <si>
    <t xml:space="preserve">Gated out: health-claim: Explicit health claims on the website: 'reduces bloating', 'improve digestion', 'natural antacid', maple syrup 'can help support brain health'.</t>
  </si>
  <si>
    <t xml:space="preserve">Fennel Seed Mouth Freshener named a 2027 sofi Award finalist (Nuts, Seeds, Trail Mix &amp; Dried Fruit)</t>
  </si>
  <si>
    <t xml:space="preserve">Chikka Chikka Mint Fennel Seed Digestive, pocket tin</t>
  </si>
  <si>
    <t xml:space="preserve">https://chikkachikka.com</t>
  </si>
  <si>
    <t xml:space="preserve">health-claim: Explicit health claims on the website: 'reduces bloating', 'improve digestion', 'natural antacid', maple syrup 'can help support brain health'</t>
  </si>
  <si>
    <t xml:space="preserve">Roasted fennel seeds in pocket-sized tins sold ambient</t>
  </si>
  <si>
    <t xml:space="preserve">Explicit health claims on the website: 'reduces bloating', 'improve digestion', 'natural antacid', maple syrup 'can help support brain health'</t>
  </si>
  <si>
    <t xml:space="preserve">https://startupcpg.com/startup-cpg-shelfie-finalists-2025/</t>
  </si>
  <si>
    <t xml:space="preserve">https://www.instagram.com/eat_chikka_chikka/</t>
  </si>
  <si>
    <t xml:space="preserve">BR5:39</t>
  </si>
  <si>
    <t xml:space="preserve">Meta: 'Roasted Fennel Seed Snack Sweetened with Maple Syrup Made in Small Batches in the Hudson Valley NY and packaged in pocket-sized tins'. Recorded so the health-claim gate is visible.</t>
  </si>
  <si>
    <t xml:space="preserve">AB-304</t>
  </si>
  <si>
    <t xml:space="preserve">Cho's Bakeshop</t>
  </si>
  <si>
    <t xml:space="preserve">Gated out: excluded-category: Needs preparation (baking mixes).</t>
  </si>
  <si>
    <t xml:space="preserve">Chocolate Chip Cookie Mix named a 2027 sofi Award finalist (Baking Ingredients)</t>
  </si>
  <si>
    <t xml:space="preserve">https://events.specialtyfood.com/event/2026-summer-fancy-food-show/exhibitor/RXhoaWJpdG9yXzI0MzI4MDE=</t>
  </si>
  <si>
    <t xml:space="preserve">Cho's Bakeshop Chocolate Chip Cookie Mix</t>
  </si>
  <si>
    <t xml:space="preserve">https://chosbakeshop.com</t>
  </si>
  <si>
    <t xml:space="preserve">excluded-category: Needs preparation (baking mixes)</t>
  </si>
  <si>
    <t xml:space="preserve">Dry baking mix</t>
  </si>
  <si>
    <t xml:space="preserve">Needs preparation (baking mixes)</t>
  </si>
  <si>
    <t xml:space="preserve">https://instagram.com/chosbakeshop</t>
  </si>
  <si>
    <t xml:space="preserve">BR5:40</t>
  </si>
  <si>
    <t xml:space="preserve">SFFS 2026: 'NYC-based CPG brand offering premium, chef-crafted baking mixes. Developed by a Michelin-trained pastry chef'. Recorded so the preparation gate is visible.</t>
  </si>
  <si>
    <t xml:space="preserve">AB-054</t>
  </si>
  <si>
    <t xml:space="preserve">Coditos</t>
  </si>
  <si>
    <t xml:space="preserve">Rodolfo</t>
  </si>
  <si>
    <t xml:space="preserve">Saccoman</t>
  </si>
  <si>
    <t xml:space="preserve">Gated out: no-buy-path: no graded store within ten blocks and no online store shown (online store unknown).</t>
  </si>
  <si>
    <t xml:space="preserve">Launched Avocado Oil Crunchy Macaronis</t>
  </si>
  <si>
    <t xml:space="preserve">https://www.snackandbakery.com/articles/116329-coditos-expands-crunchy-macaronis-snack-line</t>
  </si>
  <si>
    <t xml:space="preserve">Coditos Crunchy Macaronis, Avocado Oil, 2.82 oz</t>
  </si>
  <si>
    <t xml:space="preserve">no-buy-path</t>
  </si>
  <si>
    <t xml:space="preserve">no-buy-path: no graded store within ten blocks and no online store shown (online store unknown)</t>
  </si>
  <si>
    <t xml:space="preserve">https://www.coditos.com</t>
  </si>
  <si>
    <t xml:space="preserve">Trade press calls it a crispy, shelf-stable snack</t>
  </si>
  <si>
    <t xml:space="preserve">250+ retail locations (trade press)</t>
  </si>
  <si>
    <t xml:space="preserve">https://www.wholefoodsmarket.com/search?text=coditos (no results in cluster stores, 2026-10-23)</t>
  </si>
  <si>
    <t xml:space="preserve">Rodolfo Saccoman</t>
  </si>
  <si>
    <t xml:space="preserve">Yezmin León</t>
  </si>
  <si>
    <t xml:space="preserve">Yezmin</t>
  </si>
  <si>
    <t xml:space="preserve">León</t>
  </si>
  <si>
    <t xml:space="preserve">BR1:55</t>
  </si>
  <si>
    <t xml:space="preserve">Miami-born (Hialeah) family recipe. Site rendered no text without JavaScript; online store unconfirmed.</t>
  </si>
  <si>
    <t xml:space="preserve">AB-302</t>
  </si>
  <si>
    <t xml:space="preserve">Freedom Fluid</t>
  </si>
  <si>
    <t xml:space="preserve">Gated out: health-claim: Website calls the tea 'immune boosting' (structure-function claim).</t>
  </si>
  <si>
    <t xml:space="preserve">Exhibited at the 2026 Summer Fancy Food Show</t>
  </si>
  <si>
    <t xml:space="preserve">https://events.specialtyfood.com/event/2026-summer-fancy-food-show/exhibitor/RXhoaWJpdG9yXzI0NjY4ODc=</t>
  </si>
  <si>
    <t xml:space="preserve">Freedom Fluid organic yaupon iced tea, Tangerine Mint</t>
  </si>
  <si>
    <t xml:space="preserve">https://www.drinkfreedomfluid.com</t>
  </si>
  <si>
    <t xml:space="preserve">Wording seen on the website only; if the can has no such claim, the founder may reconsider; 60-day shelf life not stated</t>
  </si>
  <si>
    <t xml:space="preserve">health-claim: Website calls the tea 'immune boosting' (structure-function claim)</t>
  </si>
  <si>
    <t xml:space="preserve">Bottled or canned iced tea sold online in cases; storage not stated</t>
  </si>
  <si>
    <t xml:space="preserve">Website calls the tea 'immune boosting' (structure-function claim)</t>
  </si>
  <si>
    <t xml:space="preserve">https://www.instagram.com/drinkfreedomfluid/</t>
  </si>
  <si>
    <t xml:space="preserve">BR5:38</t>
  </si>
  <si>
    <t xml:space="preserve">SFFS 2026 (State: Massachusetts): 'mission-driven beverage company founded in Boston in 2024 to revive yaupon... Regenerative Organic Certified, antioxidant-rich iced teas'.</t>
  </si>
  <si>
    <t xml:space="preserve">AB-253</t>
  </si>
  <si>
    <t xml:space="preserve">Goldholly</t>
  </si>
  <si>
    <t xml:space="preserve">Gated out: excluded-category: Needs preparation (loose tea to brew, not ready-to-drink).</t>
  </si>
  <si>
    <t xml:space="preserve">Brand refresh and new packaging as 'Clean American Caffeine'</t>
  </si>
  <si>
    <t xml:space="preserve">https://startupcpg.com/startup-cpg-newswire-goldholly-reintroduces-its-flagship-product-as-clean-american-caffeine-with-a-brand-refresh-and-new-packaging/</t>
  </si>
  <si>
    <t xml:space="preserve">Yaupon tea (caffeinated), resealable stand-up pouch</t>
  </si>
  <si>
    <t xml:space="preserve">excluded-category;no-buy-path</t>
  </si>
  <si>
    <t xml:space="preserve">excluded-category: Needs preparation (loose tea to brew, not ready-to-drink) | no-buy-path: no graded store within ten blocks and no online store shown (online store unknown)</t>
  </si>
  <si>
    <t xml:space="preserve">https://goldholly.com</t>
  </si>
  <si>
    <t xml:space="preserve">Dry tea</t>
  </si>
  <si>
    <t xml:space="preserve">Needs preparation (loose tea to brew, not ready-to-drink)</t>
  </si>
  <si>
    <t xml:space="preserve">BR4:48</t>
  </si>
  <si>
    <t xml:space="preserve">AB-308</t>
  </si>
  <si>
    <t xml:space="preserve">Hello Honey Iced Tea (Shoop Beverages)</t>
  </si>
  <si>
    <t xml:space="preserve">Gated out: no-buy-path: no graded store within ten blocks and no online store shown.</t>
  </si>
  <si>
    <t xml:space="preserve">Showed Hello Honey Iced Tea as a new product in the 'Fancy Bodega' at the 2026 Summer Fancy Food Show</t>
  </si>
  <si>
    <t xml:space="preserve">https://events.specialtyfood.com/event/2026-summer-fancy-food-show/exhibitor/RXhoaWJpdG9yXzI0NzA2MDU=</t>
  </si>
  <si>
    <t xml:space="preserve">Hello Honey all-natural iced tea (organic tea, organic lemon, honey)</t>
  </si>
  <si>
    <t xml:space="preserve">Website has expired, so pack, shelf stability and buy path are all unconfirmed; may be inactive; 60-day shelf life not stated</t>
  </si>
  <si>
    <t xml:space="preserve">no-buy-path: no graded store within ten blocks and no online store shown</t>
  </si>
  <si>
    <t xml:space="preserve">dormant</t>
  </si>
  <si>
    <t xml:space="preserve">https://shoopbeverages.com</t>
  </si>
  <si>
    <t xml:space="preserve">Not confirmed; brand website shows 'Squarespace - Website Expired' (2026-10-24)</t>
  </si>
  <si>
    <t xml:space="preserve">BR5:44</t>
  </si>
  <si>
    <t xml:space="preserve">SFFS 2026 (Shoop Beverages LLC; State: New York): 'New York-based beverage company focused on creating clean-label drinks... Our flagship product, Hello Honey, is an all-natural iced tea made with organic tea, organic lemon, sweetened with real organic honey and with no artificial sweeteners, or preservatives'.</t>
  </si>
  <si>
    <t xml:space="preserve">AB-300</t>
  </si>
  <si>
    <t xml:space="preserve">Junebar</t>
  </si>
  <si>
    <t xml:space="preserve">Gated out: not-shelf-stable: Refrigerated product (site says the bars need to be refrigerated).</t>
  </si>
  <si>
    <t xml:space="preserve">https://events.specialtyfood.com/event/2026-summer-fancy-food-show/exhibitor/RXhoaWJpdG9yXzI0Mjc5MjM=</t>
  </si>
  <si>
    <t xml:space="preserve">Junebar Peanut Butter Chocolate Chip whole-food snack bar</t>
  </si>
  <si>
    <t xml:space="preserve">Rochester</t>
  </si>
  <si>
    <t xml:space="preserve">https://junebars.com</t>
  </si>
  <si>
    <t xml:space="preserve">not-shelf-stable: Refrigerated product (site says the bars need to be refrigerated)</t>
  </si>
  <si>
    <t xml:space="preserve">Site: 'So real, they need to be refrigerated.'</t>
  </si>
  <si>
    <t xml:space="preserve">Refrigerated product (site says the bars need to be refrigerated)</t>
  </si>
  <si>
    <t xml:space="preserve">Rochester, Ithaca, Buffalo and Syracuse stores; Taste NY (site)</t>
  </si>
  <si>
    <t xml:space="preserve">https://www.instagram.com/junebar_snacks</t>
  </si>
  <si>
    <t xml:space="preserve">BR5:36</t>
  </si>
  <si>
    <t xml:space="preserve">SFFS 2026 as Juniper Granola, LLC (State: New York): 'We make the best better-for-you bars on the market locally here in Rochester, NY.'</t>
  </si>
  <si>
    <t xml:space="preserve">AB-273</t>
  </si>
  <si>
    <t xml:space="preserve">Munch King Snacks</t>
  </si>
  <si>
    <t xml:space="preserve">Exhibited at the 2026 Summer Fancy Food Show with new products flagged</t>
  </si>
  <si>
    <t xml:space="preserve">https://events.specialtyfood.com/event/2026-summer-fancy-food-show/exhibitor/RXhoaWJpdG9yXzI0MjExNzU=</t>
  </si>
  <si>
    <t xml:space="preserve">Munch King Cheese Balls; Kettle Corn Crunch; Salted Plantain Chips</t>
  </si>
  <si>
    <t xml:space="preserve">New York (PO Box 53, NY 10040, Washington Heights)</t>
  </si>
  <si>
    <t xml:space="preserve">Value-tier bodega line from a distributor-turned-brand, relaunched in 2018; may not fit the emerging-brand profile. No online store found (phone ordering), so the buy path near the cluster is unproven</t>
  </si>
  <si>
    <t xml:space="preserve">https://munchkingsnacks.com</t>
  </si>
  <si>
    <t xml:space="preserve">Bagged puffs, popcorn and plantain chips; shelf life not stated</t>
  </si>
  <si>
    <t xml:space="preserve">Ships to over 25 countries (about page); no store list</t>
  </si>
  <si>
    <t xml:space="preserve">BR5:9</t>
  </si>
  <si>
    <t xml:space="preserve">SFFS description: 'Born on the streets of New York'. Brands listed: Munch King, Blair's (Blair's Death Sauce is a hot sauce, not eligible). SFFS 2026 dates (June 28 to 30) from the Startup CPG pavilion post.</t>
  </si>
  <si>
    <t xml:space="preserve">AB-254</t>
  </si>
  <si>
    <t xml:space="preserve">NOON WORLD</t>
  </si>
  <si>
    <t xml:space="preserve">Jane</t>
  </si>
  <si>
    <t xml:space="preserve">Kate Wong</t>
  </si>
  <si>
    <t xml:space="preserve">Gated out: excluded-category: Dietary supplement with cognitive-wellness claims (sold in Target's supplement assortment).</t>
  </si>
  <si>
    <t xml:space="preserve">Launched into 878 Target doors</t>
  </si>
  <si>
    <t xml:space="preserve">https://startupcpg.com/startup-cpg-newswire-noon-world-launches-into-878-target-doors/</t>
  </si>
  <si>
    <t xml:space="preserve">SLEEP, FOCUS and CHILL cognitive-wellness supplements</t>
  </si>
  <si>
    <t xml:space="preserve">excluded-category;health-claim;no-buy-path</t>
  </si>
  <si>
    <t xml:space="preserve">excluded-category: Dietary supplement with cognitive-wellness claims (sold in Target's supplement assortment) | health-claim: Dietary supplement with cognitive-wellness claims (sold in Target's supplement assortment) | no-buy-path: no graded store within ten blocks and no online store shown (online store unknown)</t>
  </si>
  <si>
    <t xml:space="preserve">https://noon.world</t>
  </si>
  <si>
    <t xml:space="preserve">Dietary supplement with cognitive-wellness claims (sold in Target's supplement assortment)</t>
  </si>
  <si>
    <t xml:space="preserve">Jane Kate Wong</t>
  </si>
  <si>
    <t xml:space="preserve">BR4:49</t>
  </si>
  <si>
    <t xml:space="preserve">AB-053</t>
  </si>
  <si>
    <t xml:space="preserve">Nick's Sticks (Wenzel's Farm)</t>
  </si>
  <si>
    <t xml:space="preserve">Nick</t>
  </si>
  <si>
    <t xml:space="preserve">Wallace</t>
  </si>
  <si>
    <t xml:space="preserve">Launched 0.9 oz grab-and-go sticks in a 24-count retail caddy (beef, chicken, turkey)</t>
  </si>
  <si>
    <t xml:space="preserve">https://www.snackandbakery.com/articles/116494-nicks-sticks-offers-retail-ready-caddy-display</t>
  </si>
  <si>
    <t xml:space="preserve">https://www.cspdailynews.com/snacks-candy/wenzels-farm-buys-nicks-sticks</t>
  </si>
  <si>
    <t xml:space="preserve">Nick's Sticks grass-fed Beef Stick, 0.9 oz (24-count caddy)</t>
  </si>
  <si>
    <t xml:space="preserve">Marshfield</t>
  </si>
  <si>
    <t xml:space="preserve">Part of Wenzel's Farm (established meat producer); protein and calorie comparisons in release</t>
  </si>
  <si>
    <t xml:space="preserve">https://nickssticks.com</t>
  </si>
  <si>
    <t xml:space="preserve">Shelf-stable meat sticks in a grab-and-go 0.9 oz format (trade press)</t>
  </si>
  <si>
    <t xml:space="preserve">https://www.wholefoodsmarket.com/search?text=nick%27s%20sticks (no results in cluster stores, 2026-10-23)</t>
  </si>
  <si>
    <t xml:space="preserve">Nick Wallace</t>
  </si>
  <si>
    <t xml:space="preserve">brand founder, Keystone, Iowa as of 2017</t>
  </si>
  <si>
    <t xml:space="preserve">BR1:54</t>
  </si>
  <si>
    <t xml:space="preserve">Brand site responded but rendered no text without JavaScript. 0.9 oz singles fit the office format well.</t>
  </si>
  <si>
    <t xml:space="preserve">hq_city &lt;- https://www.cspdailynews.com/snacks-candy/wenzels-farm-buys-nicks-sticks (2026-10-24, opened); hq_state &lt;- https://www.cspdailynews.com/snacks-candy/wenzels-farm-buys-nicks-sticks (2026-10-24, opened); founder_name &lt;- https://www.cspdailynews.com/snacks-candy/wenzels-farm-buys-nicks-sticks (2026-10-24, opened); founder_title &lt;- https://www.cspdailynews.com/snacks-candy/wenzels-farm-buys-nicks-sticks (2026-10-24, opened); </t>
  </si>
  <si>
    <t xml:space="preserve">AB-275</t>
  </si>
  <si>
    <t xml:space="preserve">Pini (Nine Pin Ciderworks)</t>
  </si>
  <si>
    <t xml:space="preserve">Introduced Pini, a new non-alcoholic sparkling cider, at the 2026 Summer Fancy Food Show</t>
  </si>
  <si>
    <t xml:space="preserve">https://events.specialtyfood.com/event/2026-summer-fancy-food-show/exhibitor/RXhoaWJpdG9yXzI0NDk5ODI=</t>
  </si>
  <si>
    <t xml:space="preserve">Pini non-alcoholic sparkling cider from fresh-pressed New York apples</t>
  </si>
  <si>
    <t xml:space="preserve">Albany</t>
  </si>
  <si>
    <t xml:space="preserve">Made by a hard-cider producer (alcohol brand family; Pini itself is non-alcoholic). Shelf stability and pack format unconfirmed. No online store found; 60-day shelf life not stated</t>
  </si>
  <si>
    <t xml:space="preserve">https://www.pinicider.com</t>
  </si>
  <si>
    <t xml:space="preserve">Unfiltered fresh-pressed juice, 'just colder with added sparkles'; site does not say whether it is pasteurized or needs refrigeration</t>
  </si>
  <si>
    <t xml:space="preserve">unknown ('Carry Pini' wholesale page only)</t>
  </si>
  <si>
    <t xml:space="preserve">https://www.instagram.com/pinicider</t>
  </si>
  <si>
    <t xml:space="preserve">BR5:11</t>
  </si>
  <si>
    <t xml:space="preserve">SFFS listing (Nine Pin Ciderworks LLC): 'Nine Pin Ciderworks is introducing Pini, our new non-alcoholic sparkling apple cider. We are New York's First Farm Cidery.' Address on pinicider.com: 929 Broadway, Albany, NY 12207.</t>
  </si>
  <si>
    <t xml:space="preserve">AB-221</t>
  </si>
  <si>
    <t xml:space="preserve">Quincy</t>
  </si>
  <si>
    <t xml:space="preserve">Halli</t>
  </si>
  <si>
    <t xml:space="preserve">Sigel</t>
  </si>
  <si>
    <t xml:space="preserve">Gated out: excluded-category: Cocktail mixer and garnish in a multi-serve jar: needs preparation, not individually packaged, and tied to alcohol use.</t>
  </si>
  <si>
    <t xml:space="preserve">Launched in 178 The Fresh Market doors</t>
  </si>
  <si>
    <t xml:space="preserve">https://startupcpg.com/startup-cpg-newswire-quincy-launches-in-178-doors-with-the-fresh-market/</t>
  </si>
  <si>
    <t xml:space="preserve">Dirty martini brine and olive mix, jar (about 14 martinis per jar)</t>
  </si>
  <si>
    <t xml:space="preserve">excluded-category: Cocktail mixer and garnish in a multi-serve jar: needs preparation, not individually packaged, and tied to alcohol use | no-buy-path: no graded store within ten blocks and no online store shown (online store unknown)</t>
  </si>
  <si>
    <t xml:space="preserve">https://drinkquincy.com</t>
  </si>
  <si>
    <t xml:space="preserve">Jarred mixer; storage not checked</t>
  </si>
  <si>
    <t xml:space="preserve">Cocktail mixer and garnish in a multi-serve jar: needs preparation, not individually packaged, and tied to alcohol use</t>
  </si>
  <si>
    <t xml:space="preserve">The Fresh Market (178 doors, July 2026); 250+ specialty doors</t>
  </si>
  <si>
    <t xml:space="preserve">Halli Sigel</t>
  </si>
  <si>
    <t xml:space="preserve">BR4:16</t>
  </si>
  <si>
    <t xml:space="preserve">Recorded only so the gate is visible. The mix itself contains no alcohol (release), but the product is a martini mixer.</t>
  </si>
  <si>
    <t xml:space="preserve">AB-255</t>
  </si>
  <si>
    <t xml:space="preserve">Scott's Protein Balls</t>
  </si>
  <si>
    <t xml:space="preserve">Lori</t>
  </si>
  <si>
    <t xml:space="preserve">Gated out: not-shelf-stable: Refrigerated.</t>
  </si>
  <si>
    <t xml:space="preserve">Expanded from 86 to 350 Target stores in four months; exhibited at Summer Fancy Food Show 2026 (Javits)</t>
  </si>
  <si>
    <t xml:space="preserve">https://startupcpg.com/startup-cpg-newswire-scotts-protein-balls-expands-from-86-to-350-target-stores-nationwide-in-four-months/</t>
  </si>
  <si>
    <t xml:space="preserve">Plant-protein balls (oats, flax, chia)</t>
  </si>
  <si>
    <t xml:space="preserve">Plainview (Long Island)</t>
  </si>
  <si>
    <t xml:space="preserve">not-shelf-stable;no-buy-path</t>
  </si>
  <si>
    <t xml:space="preserve">not-shelf-stable: Refrigerated | no-buy-path: no graded store within ten blocks and no online store shown (online store unknown)</t>
  </si>
  <si>
    <t xml:space="preserve">http://www.scottsproteinballs.com</t>
  </si>
  <si>
    <t xml:space="preserve">Release: 'fresh, refrigerated snacks'</t>
  </si>
  <si>
    <t xml:space="preserve">Refrigerated</t>
  </si>
  <si>
    <t xml:space="preserve">Target (350 stores nationwide, July 2026)</t>
  </si>
  <si>
    <t xml:space="preserve">Lori Levine</t>
  </si>
  <si>
    <t xml:space="preserve">BR4:50</t>
  </si>
  <si>
    <t xml:space="preserve">AB-256</t>
  </si>
  <si>
    <t xml:space="preserve">Small Town Cultures</t>
  </si>
  <si>
    <t xml:space="preserve">Cori</t>
  </si>
  <si>
    <t xml:space="preserve">Deans</t>
  </si>
  <si>
    <t xml:space="preserve">Gated out: health-claim: Fresh fermented product (refrigerated) and gut-health positioning ('support gut health').</t>
  </si>
  <si>
    <t xml:space="preserve">Debuted Grab &amp; Go kimchi pouches at Summer Fancy Food Show 2026 (NYC)</t>
  </si>
  <si>
    <t xml:space="preserve">https://startupcpg.com/startup-cpg-newswire-west-indies-peppa-sauce-wips-celebrates-caribbean-heritage-month-at-the-summer-fancy-food-show-and-essence-festival-of-culture/</t>
  </si>
  <si>
    <t xml:space="preserve">Grab &amp; Go kimchi pouches (fresh, living fermented vegetables)</t>
  </si>
  <si>
    <t xml:space="preserve">Plattsburgh</t>
  </si>
  <si>
    <t xml:space="preserve">health-claim;not-shelf-stable;no-buy-path</t>
  </si>
  <si>
    <t xml:space="preserve">health-claim: Fresh fermented product (refrigerated) and gut-health positioning ('support gut health') | not-shelf-stable: Fresh fermented product (refrigerated) and gut-health positioning ('support gut health') | no-buy-path: no graded store within ten blocks and no online store shown (online store unknown)</t>
  </si>
  <si>
    <t xml:space="preserve">https://www.instagram.com/smalltowncultures/</t>
  </si>
  <si>
    <t xml:space="preserve">Release: 'fresh, living fermented vegetables'</t>
  </si>
  <si>
    <t xml:space="preserve">Fresh fermented product (refrigerated) and gut-health positioning ('support gut health')</t>
  </si>
  <si>
    <t xml:space="preserve">Cori Deans</t>
  </si>
  <si>
    <t xml:space="preserve">BR4:51</t>
  </si>
  <si>
    <t xml:space="preserve">Recorded so the gate is visible. Startup CPG post slug is mislabelled (WIPS) but the post is the Small Town Cultures release.</t>
  </si>
  <si>
    <t xml:space="preserve">AB-305</t>
  </si>
  <si>
    <t xml:space="preserve">Sourmilk</t>
  </si>
  <si>
    <t xml:space="preserve">Elan</t>
  </si>
  <si>
    <t xml:space="preserve">Gated out: not-shelf-stable: Refrigerated dairy; site also claims it 'Supports digestion &amp; immune health'.</t>
  </si>
  <si>
    <t xml:space="preserve">Finalist in Naturally New York's 2026 Naturally Rising pitch competition (May 28, 2026)</t>
  </si>
  <si>
    <t xml:space="preserve">https://www.sourmilk.com</t>
  </si>
  <si>
    <t xml:space="preserve">Sourmilk L. reuteri Greek yogurt, single serve</t>
  </si>
  <si>
    <t xml:space="preserve">not-shelf-stable: Refrigerated dairy; site also claims it 'Supports digestion &amp; immune health'</t>
  </si>
  <si>
    <t xml:space="preserve">Refrigerated Greek yogurt</t>
  </si>
  <si>
    <t xml:space="preserve">Refrigerated dairy; site also claims it 'Supports digestion &amp; immune health'</t>
  </si>
  <si>
    <t xml:space="preserve">Kiki</t>
  </si>
  <si>
    <t xml:space="preserve">https://www.instagram.com/getsourmilk/</t>
  </si>
  <si>
    <t xml:space="preserve">BR5:41</t>
  </si>
  <si>
    <t xml:space="preserve">Recorded so the refrigeration gate is visible. Homepage: 'Sourmilk is a NYC based greek yogurt designed specifically for your gut.'</t>
  </si>
  <si>
    <t xml:space="preserve">AB-258</t>
  </si>
  <si>
    <t xml:space="preserve">Wild Mannered</t>
  </si>
  <si>
    <t xml:space="preserve">Gu</t>
  </si>
  <si>
    <t xml:space="preserve">Gated out: excluded-category: Alcohol (13% ABV).</t>
  </si>
  <si>
    <t xml:space="preserve">First expansion outside New York (Total Wine &amp; More NJ)</t>
  </si>
  <si>
    <t xml:space="preserve">https://startupcpg.com/startup-cpg-newswire-wild-mannered-expands-its-ready-to-serve-cocktail-portfolio-into-new-jersey-retail-chains/</t>
  </si>
  <si>
    <t xml:space="preserve">Bottled ready-to-serve cocktails, 375 mL, 13% ABV</t>
  </si>
  <si>
    <t xml:space="preserve">excluded-category: Alcohol (13% ABV) | no-buy-path: no graded store within ten blocks and no online store shown (online store unknown)</t>
  </si>
  <si>
    <t xml:space="preserve">https://www.drinkwildmannered.com</t>
  </si>
  <si>
    <t xml:space="preserve">Alcohol (13% ABV)</t>
  </si>
  <si>
    <t xml:space="preserve">Michael Gu</t>
  </si>
  <si>
    <t xml:space="preserve">BR4:53</t>
  </si>
  <si>
    <t xml:space="preserve">AB-228</t>
  </si>
  <si>
    <t xml:space="preserve">BARIS</t>
  </si>
  <si>
    <t xml:space="preserve">Marcos</t>
  </si>
  <si>
    <t xml:space="preserve">Della Pia</t>
  </si>
  <si>
    <t xml:space="preserve">Gated out: not-shelf-stable: Frozen product (refrigerated or perishable).</t>
  </si>
  <si>
    <t xml:space="preserve">National launch in 470 Sprouts stores with an exclusive Matcha flavor</t>
  </si>
  <si>
    <t xml:space="preserve">https://startupcpg.com/startup-cpg-newswire-baris-sprouts-national-launch-with-exclusive-matcha-flavor/</t>
  </si>
  <si>
    <t xml:space="preserve">2026-03-02</t>
  </si>
  <si>
    <t xml:space="preserve">Chocolate-covered frozen Patagonian raspberries</t>
  </si>
  <si>
    <t xml:space="preserve">not-shelf-stable: Frozen product (refrigerated or perishable) | no-buy-path: no graded store within ten blocks and no online store shown (online store unknown)</t>
  </si>
  <si>
    <t xml:space="preserve">https://everybaris.com</t>
  </si>
  <si>
    <t xml:space="preserve">Release: berries are 'frozen at peak ripeness'; frozen treat</t>
  </si>
  <si>
    <t xml:space="preserve">Frozen product (refrigerated or perishable)</t>
  </si>
  <si>
    <t xml:space="preserve">Sprouts Farmers Market (470 stores, national launch Feb 2026)</t>
  </si>
  <si>
    <t xml:space="preserve">Marcos Della Pia</t>
  </si>
  <si>
    <t xml:space="preserve">BR4:23</t>
  </si>
  <si>
    <t xml:space="preserve">AB-014</t>
  </si>
  <si>
    <t xml:space="preserve">Cob</t>
  </si>
  <si>
    <t xml:space="preserve">Novak</t>
  </si>
  <si>
    <t xml:space="preserve">Djokovic</t>
  </si>
  <si>
    <t xml:space="preserve">Gated out: health-claim: Site title positions the snack 'for Energy, Digestion &amp; Performance' (structure/function wording); founder may clear if this is not on pack.</t>
  </si>
  <si>
    <t xml:space="preserve">New 'Game. Set. Snack.' tin and game bundles published on brand store</t>
  </si>
  <si>
    <t xml:space="preserve">https://cobfoods.com/products/game-set-snack-tin</t>
  </si>
  <si>
    <t xml:space="preserve">2026-08-28</t>
  </si>
  <si>
    <t xml:space="preserve">https://cobfoods.com/pages/our-story</t>
  </si>
  <si>
    <t xml:space="preserve">Cob popped sorghum snacks (Flavor Sampler; Game. Set. Snack. tin)</t>
  </si>
  <si>
    <t xml:space="preserve">New York (privacy policy mail address 1430 Broadway; contact page lists Sag Harbor NY)</t>
  </si>
  <si>
    <t xml:space="preserve">https://cobfoods.com</t>
  </si>
  <si>
    <t xml:space="preserve">Health-claim gate hinges on site copy vs pack copy; celebrity co-founder (Novak Djokovic) may mean a larger marketing budget and slower approvals</t>
  </si>
  <si>
    <t xml:space="preserve">health-claim: Site title positions the snack 'for Energy, Digestion &amp; Performance' (structure/function wording); founder may clear if this is not on pack</t>
  </si>
  <si>
    <t xml:space="preserve">Popped sorghum snacks sold ambient online and at PopUp Grocer 'Puffs + Crunch'</t>
  </si>
  <si>
    <t xml:space="preserve">Site title positions the snack 'for Energy, Digestion &amp; Performance' (structure/function wording); founder may clear if this is not on pack</t>
  </si>
  <si>
    <t xml:space="preserve">https://popupgrocer.com/pages/directory (availability 'NYC Flagship', 2026-10-23); https://popupgrocer.com/products/cob</t>
  </si>
  <si>
    <t xml:space="preserve">Novak Djokovic</t>
  </si>
  <si>
    <t xml:space="preserve">Jess</t>
  </si>
  <si>
    <t xml:space="preserve">https://instagram.com/cobfoods</t>
  </si>
  <si>
    <t xml:space="preserve">BR1:15</t>
  </si>
  <si>
    <t xml:space="preserve">Two business addresses on Shopify policy pages: Cob Inc., Sag Harbor NY (contact-information) and 1430 Broadway, New York NY 10018 (privacy policy mail address, Garment District). Homepage claims 20,000+ customers.</t>
  </si>
  <si>
    <t xml:space="preserve">AB-301</t>
  </si>
  <si>
    <t xml:space="preserve">DrinkFolks</t>
  </si>
  <si>
    <t xml:space="preserve">Tiffany</t>
  </si>
  <si>
    <t xml:space="preserve">Gated out: health-claim: Explicit structure-function claims: 'Supports Digestion &amp; Immune Health', 'Strengthens Immunity', 'Gut Reset calms bloat'.</t>
  </si>
  <si>
    <t xml:space="preserve">Added new Gut Reset and Immunity 6-pack and 2-pack listings at lower prices than the March 2026 listings</t>
  </si>
  <si>
    <t xml:space="preserve">https://www.drinkfolks.com/products.json</t>
  </si>
  <si>
    <t xml:space="preserve">DrinkFolks Gut Reset jamu root tonic, 6-pack</t>
  </si>
  <si>
    <t xml:space="preserve">New York City (Hot Bread Kitchen incubator alumna)</t>
  </si>
  <si>
    <t xml:space="preserve">https://www.drinkfolks.com</t>
  </si>
  <si>
    <t xml:space="preserve">health-claim: Explicit structure-function claims: 'Supports Digestion &amp; Immune Health', 'Strengthens Immunity', 'Gut Reset calms bloat'</t>
  </si>
  <si>
    <t xml:space="preserve">Bottled root tonics sold online in 6-packs; storage not checked</t>
  </si>
  <si>
    <t xml:space="preserve">Explicit structure-function claims: 'Supports Digestion &amp; Immune Health', 'Strengthens Immunity', 'Gut Reset calms bloat'</t>
  </si>
  <si>
    <t xml:space="preserve">https://startupcpg.com/13-female-founded-beverage-brands-you-might-not-know-but-should/</t>
  </si>
  <si>
    <t xml:space="preserve">https://instagram.com/drinkfolks</t>
  </si>
  <si>
    <t xml:space="preserve">BR5:37</t>
  </si>
  <si>
    <t xml:space="preserve">Hot Bread Kitchen Breadwinners Marketplace lists DrinkFolks. HBKi quotes 'Tiffany, DrinkFolks' (Seed program). Recorded so the health-claim gate is visible.</t>
  </si>
  <si>
    <t xml:space="preserve">AB-199</t>
  </si>
  <si>
    <t xml:space="preserve">Ghia</t>
  </si>
  <si>
    <t xml:space="preserve">Melanie</t>
  </si>
  <si>
    <t xml:space="preserve">Gated out: health-claim: FAQ: 'Ghia keeps you calm, enhances your appetite, and soothe[s]...' (structure or function wording).</t>
  </si>
  <si>
    <t xml:space="preserve">Launched Le Fizz</t>
  </si>
  <si>
    <t xml:space="preserve">https://drinkghia.com/products.json</t>
  </si>
  <si>
    <t xml:space="preserve">2026-09-03</t>
  </si>
  <si>
    <t xml:space="preserve">https://drinkghia.com/pages/faq</t>
  </si>
  <si>
    <t xml:space="preserve">https://drinkghia.com/pages/our-story</t>
  </si>
  <si>
    <t xml:space="preserve">Ghia Le Spritz non-alcoholic aperitif, can</t>
  </si>
  <si>
    <t xml:space="preserve">https://drinkghia.com</t>
  </si>
  <si>
    <t xml:space="preserve">health-claim: FAQ: 'Ghia keeps you calm, enhances your appetite, and soothe[s]...' (structure or function wording)</t>
  </si>
  <si>
    <t xml:space="preserve">No unopened storage statement read</t>
  </si>
  <si>
    <t xml:space="preserve">FAQ: 'Ghia keeps you calm, enhances your appetite, and soothe[s]...' (structure or function wording)</t>
  </si>
  <si>
    <t xml:space="preserve">https://www.instagram.com/drinkghia</t>
  </si>
  <si>
    <t xml:space="preserve">BR3:73</t>
  </si>
  <si>
    <t xml:space="preserve">Recorded so it is not re-researched.</t>
  </si>
  <si>
    <t xml:space="preserve">AB-203</t>
  </si>
  <si>
    <t xml:space="preserve">GoodMood Kombucha</t>
  </si>
  <si>
    <t xml:space="preserve">Li</t>
  </si>
  <si>
    <t xml:space="preserve">Gated out: not-shelf-stable: Refrigerated: brand says to refrigerate on arrival (living kombucha).</t>
  </si>
  <si>
    <t xml:space="preserve">Exhibited at the 2026 Summer Fancy Food Show (booth 4309A); added to Pop Up Grocer NYC Flagship (2026-09-29)</t>
  </si>
  <si>
    <t xml:space="preserve">https://popupgrocer.com/products/goodmood-kombucha-llc</t>
  </si>
  <si>
    <t xml:space="preserve">https://goodmoodkombucha.com/pages/about-us</t>
  </si>
  <si>
    <t xml:space="preserve">GoodMood Kombucha Berry Pomegranate, can</t>
  </si>
  <si>
    <t xml:space="preserve">https://goodmoodkombucha.com</t>
  </si>
  <si>
    <t xml:space="preserve">not-shelf-stable: Refrigerated: brand says to refrigerate on arrival (living kombucha)</t>
  </si>
  <si>
    <t xml:space="preserve">FAQ: 'As soon as it arrives, refrigerate it. Kombucha is a living product...' (goodmoodkombucha.com/pages/faq, opened 2026-10-23)</t>
  </si>
  <si>
    <t xml:space="preserve">Refrigerated: brand says to refrigerate on arrival (living kombucha)</t>
  </si>
  <si>
    <t xml:space="preserve">Pop Up Grocer NYC Flagship (directory); Summer Fancy Food Show 2026 exhibitor</t>
  </si>
  <si>
    <t xml:space="preserve">Chris Li</t>
  </si>
  <si>
    <t xml:space="preserve">BR3:77</t>
  </si>
  <si>
    <t xml:space="preserve">About: founded in New York City in 2023; FAQ: brewed and canned in Brooklyn. Fancy Food exhibitor list read via WebFetch (events.specialtyfood.com). Recorded because it is an NYC brand, but fails the refrigeration gate.</t>
  </si>
  <si>
    <t xml:space="preserve">AB-142</t>
  </si>
  <si>
    <t xml:space="preserve">Grady's Cold Brew</t>
  </si>
  <si>
    <t xml:space="preserve">Grady</t>
  </si>
  <si>
    <t xml:space="preserve">Gated out: excluded-category: Refrigerated concentrate that needs preparation (dilution); not individually packaged.</t>
  </si>
  <si>
    <t xml:space="preserve">New 32 oz Cocoa Mocha concentrate listed on store</t>
  </si>
  <si>
    <t xml:space="preserve">https://www.gradyscoldbrew.com/products.json</t>
  </si>
  <si>
    <t xml:space="preserve">https://www.gradyscoldbrew.com/pages/about-grady-s</t>
  </si>
  <si>
    <t xml:space="preserve">Grady's 32 oz Cold Brew Concentrate</t>
  </si>
  <si>
    <t xml:space="preserve">https://www.gradyscoldbrew.com</t>
  </si>
  <si>
    <t xml:space="preserve">excluded-category;not-shelf-stable</t>
  </si>
  <si>
    <t xml:space="preserve">excluded-category: Refrigerated concentrate that needs preparation (dilution); not individually packaged | not-shelf-stable: Refrigerated concentrate that needs preparation (dilution); not individually packaged</t>
  </si>
  <si>
    <t xml:space="preserve">Product copy: 'Must be refrigerated before and after opening' (gradyscoldbrew.com/products.json, read 2026-10-23)</t>
  </si>
  <si>
    <t xml:space="preserve">Refrigerated concentrate that needs preparation (dilution); not individually packaged</t>
  </si>
  <si>
    <t xml:space="preserve">unknown (Storemapper locator not queried)</t>
  </si>
  <si>
    <t xml:space="preserve">https://www.instagram.com/gradyscoldbrew</t>
  </si>
  <si>
    <t xml:space="preserve">BR3:16</t>
  </si>
  <si>
    <t xml:space="preserve">About page: started in a Brooklyn kitchen; product copy 'Made in New York City'. Recorded so it is not re-researched.</t>
  </si>
  <si>
    <t xml:space="preserve">AB-227</t>
  </si>
  <si>
    <t xml:space="preserve">Hazy Fudge</t>
  </si>
  <si>
    <t xml:space="preserve">Fitzgerald</t>
  </si>
  <si>
    <t xml:space="preserve">Gated out: excluded-category: Alcohol: homepage describes the fudge as 'Alcohol Infused' (bourbon and Cabernet Sauvignon).</t>
  </si>
  <si>
    <t xml:space="preserve">Named 2026 sofi Gold Award finalist in Chocolate &amp; Confections</t>
  </si>
  <si>
    <t xml:space="preserve">https://startupcpg.com/startup-cpg-newswire-hazy-fudge-named-2026-sofi-gold-finalist-in-chocolate-confections/</t>
  </si>
  <si>
    <t xml:space="preserve">2025-12-19</t>
  </si>
  <si>
    <t xml:space="preserve">https://hazyfudge.com/</t>
  </si>
  <si>
    <t xml:space="preserve">Cabernet Infused spoonable fudge (2-packs online)</t>
  </si>
  <si>
    <t xml:space="preserve">Dundee</t>
  </si>
  <si>
    <t xml:space="preserve">https://hazyfudge.com</t>
  </si>
  <si>
    <t xml:space="preserve">excluded-category: Alcohol: homepage describes the fudge as 'Alcohol Infused' (bourbon and Cabernet Sauvignon)</t>
  </si>
  <si>
    <t xml:space="preserve">unknown (2024 Amber Grant winner per homepage)</t>
  </si>
  <si>
    <t xml:space="preserve">Made with New York dairy; storage not stated on homepage</t>
  </si>
  <si>
    <t xml:space="preserve">No sales figure published. Commercial sales since June 2024, 25+ NY retail locations (store count not used for band)</t>
  </si>
  <si>
    <t xml:space="preserve">Alcohol: homepage describes the fudge as 'Alcohol Infused' (bourbon and Cabernet Sauvignon)</t>
  </si>
  <si>
    <t xml:space="preserve">25+ New York retail locations incl. Official Taste NY stores</t>
  </si>
  <si>
    <t xml:space="preserve">Carol Fitzgerald</t>
  </si>
  <si>
    <t xml:space="preserve">BR4:22</t>
  </si>
  <si>
    <t xml:space="preserve">Recorded so the gate is visible. Finger Lakes (NY State) brand; Cornell Dairy Runway alumna per release.</t>
  </si>
  <si>
    <t xml:space="preserve">AB-103</t>
  </si>
  <si>
    <t xml:space="preserve">IQBAR</t>
  </si>
  <si>
    <t xml:space="preserve">Gated out: health-claim: Function claims: FAQ says bars 'fuel the brain and body' with '5 functional nutrients'; brand also sells hydration drink sticks.</t>
  </si>
  <si>
    <t xml:space="preserve">Launched IQBAR Bites (10-count) in three flavors, Oct 2026</t>
  </si>
  <si>
    <t xml:space="preserve">https://www.eatiqbar.com/</t>
  </si>
  <si>
    <t xml:space="preserve">https://www.eatiqbar.com/pages/faq</t>
  </si>
  <si>
    <t xml:space="preserve">Salted Caramel Chip plant protein bar; IQBAR Bites</t>
  </si>
  <si>
    <t xml:space="preserve">https://www.eatiqbar.com</t>
  </si>
  <si>
    <t xml:space="preserve">Confirm whether claims are on pack (structure/function) before final exclusion; 60-day shelf life not stated</t>
  </si>
  <si>
    <t xml:space="preserve">health-claim: Function claims: FAQ says bars 'fuel the brain and body' with '5 functional nutrients'; brand also sells hydration drink sticks</t>
  </si>
  <si>
    <t xml:space="preserve">Wrapped bars shipped nationally; shelf-life figure not found</t>
  </si>
  <si>
    <t xml:space="preserve">Function claims: FAQ says bars 'fuel the brain and body' with '5 functional nutrients'; brand also sells hydration drink sticks</t>
  </si>
  <si>
    <t xml:space="preserve">Local stores and online retailers (brand store locator)</t>
  </si>
  <si>
    <t xml:space="preserve">https://www.wholefoodsmarket.com/api/search?text=iqbar&amp;store=10162&amp;limit=60&amp;offset=0</t>
  </si>
  <si>
    <t xml:space="preserve">https://www.instagram.com/iqbar/</t>
  </si>
  <si>
    <t xml:space="preserve">BR2:41</t>
  </si>
  <si>
    <t xml:space="preserve">Not in WFM cluster catalogs. Why-now date from Shopify publish date.</t>
  </si>
  <si>
    <t xml:space="preserve">AB-230</t>
  </si>
  <si>
    <t xml:space="preserve">KEANU</t>
  </si>
  <si>
    <t xml:space="preserve">Founder, KEANU / Nothing Special</t>
  </si>
  <si>
    <t xml:space="preserve">Gated out: excluded-category: Needs preparation (powder to whisk with water); kava is a functional/relaxant product with supplement-like positioning.</t>
  </si>
  <si>
    <t xml:space="preserve">Launched inaugural product (Founder's Kits)</t>
  </si>
  <si>
    <t xml:space="preserve">https://startupcpg.com/startup-cpg-newswire-keanu-launches-their-inaugural-product-after-5-years-of-work-on-kava/</t>
  </si>
  <si>
    <t xml:space="preserve">Instant noble kava, 10 g stick packs (Founder's Kit)</t>
  </si>
  <si>
    <t xml:space="preserve">https://drinkkeanu.com</t>
  </si>
  <si>
    <t xml:space="preserve">excluded-category;health-claim</t>
  </si>
  <si>
    <t xml:space="preserve">excluded-category: Needs preparation (powder to whisk with water); kava is a functional/relaxant product with supplement-like positioning | health-claim: Needs preparation (powder to whisk with water); kava is a functional/relaxant product with supplement-like positioning</t>
  </si>
  <si>
    <t xml:space="preserve">Instant powder stick packs</t>
  </si>
  <si>
    <t xml:space="preserve">under-500k</t>
  </si>
  <si>
    <t xml:space="preserve">Startup CPG 2025-11-14: launched DTC with only 100 Founder's Kits at $79.99 (sales-volume quote)</t>
  </si>
  <si>
    <t xml:space="preserve">Needs preparation (powder to whisk with water); kava is a functional/relaxant product with supplement-like positioning</t>
  </si>
  <si>
    <t xml:space="preserve">DTC only (release)</t>
  </si>
  <si>
    <t xml:space="preserve">Alex Russell</t>
  </si>
  <si>
    <t xml:space="preserve">BR4:25</t>
  </si>
  <si>
    <t xml:space="preserve">AB-206</t>
  </si>
  <si>
    <t xml:space="preserve">Lantern Beverages</t>
  </si>
  <si>
    <t xml:space="preserve">https://popupgrocer.com/products/lantern</t>
  </si>
  <si>
    <t xml:space="preserve">Lantern matcha soda (packaged matcha drinks in multiple flavors)</t>
  </si>
  <si>
    <t xml:space="preserve">Almost nothing readable on the brand site (founder, HQ, format, online store unknown); Pop Up Grocer tags it 'Functional', so check the label for claims; contains caffeine (matcha); 60-day shelf life not stated</t>
  </si>
  <si>
    <t xml:space="preserve">https://www.lanternbeverages.com</t>
  </si>
  <si>
    <t xml:space="preserve">Brand site is script-rendered; no statement readable</t>
  </si>
  <si>
    <t xml:space="preserve">BR3:80</t>
  </si>
  <si>
    <t xml:space="preserve">Brand site title: 'Lantern Beverages | Matcha Soda Brand' (WebFetch 2026-10-23). Thin record; founder to complete.</t>
  </si>
  <si>
    <t xml:space="preserve">AB-017</t>
  </si>
  <si>
    <t xml:space="preserve">MASA Chips</t>
  </si>
  <si>
    <t xml:space="preserve">Gated out: health-claim: Brand About page says tallow fats 'have functions for nervous system health, anti-inflammation and anti-bacterial immune function' (structure/func.</t>
  </si>
  <si>
    <t xml:space="preserve">Launched Vandy Crisps potato chip line (four flavors) on brand store; Vandy Crisps also in WFM NYC stores</t>
  </si>
  <si>
    <t xml:space="preserve">https://www.masachips.com/products/vandy-crisps-original</t>
  </si>
  <si>
    <t xml:space="preserve">2026-07-31</t>
  </si>
  <si>
    <t xml:space="preserve">https://www.masachips.com/pages/about</t>
  </si>
  <si>
    <t xml:space="preserve">MASA Yellow Corn Tortilla Chips cooked in beef tallow, 5 oz; Vandy Crisps potato chips 5 oz</t>
  </si>
  <si>
    <t xml:space="preserve">https://www.masachips.com</t>
  </si>
  <si>
    <t xml:space="preserve">Health wording is on the About page, not confirmed on pack; founder may clear after checking the bag</t>
  </si>
  <si>
    <t xml:space="preserve">health-claim: Brand About page says tallow fats 'have functions for nervous system health, anti-inflammation and anti-bacterial immune function' (structure/function health wording)</t>
  </si>
  <si>
    <t xml:space="preserve">Bagged chips sold ambient</t>
  </si>
  <si>
    <t xml:space="preserve">Brand About page says tallow fats 'have functions for nervous system health, anti-inflammation and anti-bacterial immune function' (structure/function health wording)</t>
  </si>
  <si>
    <t xml:space="preserve">https://www.wholefoodsmarket.com/search?text=masa%20chips (store context Union Square, NoMad, Chelsea; MASA and Vandy Crisps IN_STOCK 2026-10-23)</t>
  </si>
  <si>
    <t xml:space="preserve">https://instagram.com/masa_chips</t>
  </si>
  <si>
    <t xml:space="preserve">BR1:18</t>
  </si>
  <si>
    <t xml:space="preserve">WFM lists brand as 'Ancient Crunch'. Strong NYC shelf presence; excluded only on the site health wording.</t>
  </si>
  <si>
    <t xml:space="preserve">AB-229</t>
  </si>
  <si>
    <t xml:space="preserve">Pitara Co.</t>
  </si>
  <si>
    <t xml:space="preserve">Aditi</t>
  </si>
  <si>
    <t xml:space="preserve">Luthra</t>
  </si>
  <si>
    <t xml:space="preserve">Gated out: excluded-category: Needs preparation (coffee blends to brew, not ready-to-drink).</t>
  </si>
  <si>
    <t xml:space="preserve">Launched with four signature coffee blends</t>
  </si>
  <si>
    <t xml:space="preserve">https://startupcpg.com/startup-cpg-newswire-pitara-co-launches/</t>
  </si>
  <si>
    <t xml:space="preserve">2025-11-06</t>
  </si>
  <si>
    <t xml:space="preserve">South Indian filter-style coffee blend (ground or whole coffee)</t>
  </si>
  <si>
    <t xml:space="preserve">https://pitaraco.com</t>
  </si>
  <si>
    <t xml:space="preserve">excluded-category: Needs preparation (coffee blends to brew, not ready-to-drink)</t>
  </si>
  <si>
    <t xml:space="preserve">Packaged coffee</t>
  </si>
  <si>
    <t xml:space="preserve">No sales figure published. Launched online Nov 2025 (Startup CPG 2025-11-06)</t>
  </si>
  <si>
    <t xml:space="preserve">Needs preparation (coffee blends to brew, not ready-to-drink)</t>
  </si>
  <si>
    <t xml:space="preserve">pitaraco.com (DTC)</t>
  </si>
  <si>
    <t xml:space="preserve">Aditi Luthra</t>
  </si>
  <si>
    <t xml:space="preserve">BR4:24</t>
  </si>
  <si>
    <t xml:space="preserve">Recorded so the gate is visible; a future RTD line would change the call.</t>
  </si>
  <si>
    <t xml:space="preserve">AB-259</t>
  </si>
  <si>
    <t xml:space="preserve">SAYSO</t>
  </si>
  <si>
    <t xml:space="preserve">Alison</t>
  </si>
  <si>
    <t xml:space="preserve">Evans</t>
  </si>
  <si>
    <t xml:space="preserve">Gated out: excluded-category: Needs preparation (drink-mix stick packs); cocktail-mixer positioning.</t>
  </si>
  <si>
    <t xml:space="preserve">Launched stick pack line after viral sell-out</t>
  </si>
  <si>
    <t xml:space="preserve">https://startupcpg.com/startup-cpg-newswire-sayso-expands-with-launch-of-new-stick-pack-line-after-viral-sell-out/</t>
  </si>
  <si>
    <t xml:space="preserve">Cocktail/mocktail mix stick packs and tea-bag format</t>
  </si>
  <si>
    <t xml:space="preserve">Brooklyn (release datelined Brooklyn, NY)</t>
  </si>
  <si>
    <t xml:space="preserve">excluded-category: Needs preparation (drink-mix stick packs); cocktail-mixer positioning | no-buy-path: no graded store within ten blocks and no online store shown (online store unknown)</t>
  </si>
  <si>
    <t xml:space="preserve">https://drinksayso.com</t>
  </si>
  <si>
    <t xml:space="preserve">Needs preparation (drink-mix stick packs); cocktail-mixer positioning</t>
  </si>
  <si>
    <t xml:space="preserve">Alison Evans</t>
  </si>
  <si>
    <t xml:space="preserve">BR4:54</t>
  </si>
  <si>
    <t xml:space="preserve">AB-262</t>
  </si>
  <si>
    <t xml:space="preserve">Unrefined Foods</t>
  </si>
  <si>
    <t xml:space="preserve">Bermudez</t>
  </si>
  <si>
    <t xml:space="preserve">Gated out: not-shelf-stable: Frozen product.</t>
  </si>
  <si>
    <t xml:space="preserve">Reached 15,000-muffin production milestone; raising an angel round</t>
  </si>
  <si>
    <t xml:space="preserve">https://startupcpg.com/startup-cpg-newswire-unrefined-foods-reaches-production-milestone-announces-fundraising-round/</t>
  </si>
  <si>
    <t xml:space="preserve">Whole-wheat fruit and vegetable muffins (frozen)</t>
  </si>
  <si>
    <t xml:space="preserve">Amesbury</t>
  </si>
  <si>
    <t xml:space="preserve">not-shelf-stable: Frozen product | no-buy-path: no graded store within ten blocks and no online store shown (online store unknown)</t>
  </si>
  <si>
    <t xml:space="preserve">http://www.unrefinedfoods.com</t>
  </si>
  <si>
    <t xml:space="preserve">Release: 'farm-to-freezer system... the frozen aisle'</t>
  </si>
  <si>
    <t xml:space="preserve">Startup CPG 2025-11-14: six retail locations, 'moving 50 cases monthly' (sales-volume quote)</t>
  </si>
  <si>
    <t xml:space="preserve">Frozen product</t>
  </si>
  <si>
    <t xml:space="preserve">Melissa Bermudez</t>
  </si>
  <si>
    <t xml:space="preserve">BR4:57</t>
  </si>
  <si>
    <t xml:space="preserve">AB-299</t>
  </si>
  <si>
    <t xml:space="preserve">MALAPOP (Taste Department)</t>
  </si>
  <si>
    <t xml:space="preserve">Gated out: health-claim: Explicit health claims in the website's ingredient panel: 'lowers blood pressure', 'boosts metabolism, fires up digestion', 'anti-inflammatory, be.</t>
  </si>
  <si>
    <t xml:space="preserve">Launched MALAPOP 3, 5 and 10 packs online and showed it as a new product at SFFS 2026</t>
  </si>
  <si>
    <t xml:space="preserve">https://malapop.food/products.json</t>
  </si>
  <si>
    <t xml:space="preserve">https://events.specialtyfood.com/event/2026-summer-fancy-food-show/exhibitor/RXhoaWJpdG9yXzI0Njk4NjE=</t>
  </si>
  <si>
    <t xml:space="preserve">MALAPOP Sichuan flavored popcorn, 3-pack</t>
  </si>
  <si>
    <t xml:space="preserve">https://tastedepartment.food</t>
  </si>
  <si>
    <t xml:space="preserve">Claims were seen on the website, not the pack; if the bag carries none, the founder may reconsider</t>
  </si>
  <si>
    <t xml:space="preserve">health-claim: Explicit health claims in the website's ingredient panel: 'lowers blood pressure', 'boosts metabolism, fires up digestion', 'anti-inflammatory, benefits digestion'</t>
  </si>
  <si>
    <t xml:space="preserve">https://malapop.food</t>
  </si>
  <si>
    <t xml:space="preserve">Bagged popcorn sold ambient online</t>
  </si>
  <si>
    <t xml:space="preserve">Explicit health claims in the website's ingredient panel: 'lowers blood pressure', 'boosts metabolism, fires up digestion', 'anti-inflammatory, benefits digestion'</t>
  </si>
  <si>
    <t xml:space="preserve">Stockists page is empty</t>
  </si>
  <si>
    <t xml:space="preserve">https://www.instagram.com/tastedeptsnacks</t>
  </si>
  <si>
    <t xml:space="preserve">BR5:35</t>
  </si>
  <si>
    <t xml:space="preserve">SFFS 2026 (Taste Department, LLC; State: New York): 'the company behind MALAPOP - Sichuan Flavored Popcorn. Produced in Brooklyn'. malapop.food redirects to tastedepartment.food.</t>
  </si>
  <si>
    <t xml:space="preserve">AB-138</t>
  </si>
  <si>
    <t xml:space="preserve">Asarasi</t>
  </si>
  <si>
    <t xml:space="preserve">Gated out: health-claim: Explicit health claims: probiotics 'promote digestive wellness, enhance immune support, and foster a healthy gut microbiome'; homepage 'Gut Health.</t>
  </si>
  <si>
    <t xml:space="preserve">https://asarasi.com/products.json</t>
  </si>
  <si>
    <t xml:space="preserve">Asarasi Probiotic Seltzer (sparkling tree water), can</t>
  </si>
  <si>
    <t xml:space="preserve">https://asarasi.com</t>
  </si>
  <si>
    <t xml:space="preserve">health-claim: Explicit health claims: probiotics 'promote digestive wellness, enhance immune support, and foster a healthy gut microbiome'; homepage 'Gut Healthy'</t>
  </si>
  <si>
    <t xml:space="preserve">No statement found</t>
  </si>
  <si>
    <t xml:space="preserve">Explicit health claims: probiotics 'promote digestive wellness, enhance immune support, and foster a healthy gut microbiome'; homepage 'Gut Healthy'</t>
  </si>
  <si>
    <t xml:space="preserve">https://www.instagram.com/asarasi</t>
  </si>
  <si>
    <t xml:space="preserve">BR3:12</t>
  </si>
  <si>
    <t xml:space="preserve">NY state (Adirondack maple tree water) origin is from memory only, so hq_city left unknown. Plain 'Shop Bottles' line may lack probiotics; brand-level claims still exclude it.</t>
  </si>
  <si>
    <t xml:space="preserve">AB-065</t>
  </si>
  <si>
    <t xml:space="preserve">Belgian Boys</t>
  </si>
  <si>
    <t xml:space="preserve">Gated out: not-shelf-stable: Refrigerated products (brand where-to-buy page: refrigerated aisle).</t>
  </si>
  <si>
    <t xml:space="preserve">Debuted Bite-Sized Waffles at Expo West, Costco launch April 2026 (NOSH press release seen in search results; page blocked, unverified, founder to confirm)</t>
  </si>
  <si>
    <t xml:space="preserve">https://www.nosh.com/pr/2026/02/25/belgian-boys-to-debut-new-bitesized-waffles-at-expo-west</t>
  </si>
  <si>
    <t xml:space="preserve">https://www.belgianboys.com/pages/where-to-buy</t>
  </si>
  <si>
    <t xml:space="preserve">https://www.belgianboys.com/pages/our-story</t>
  </si>
  <si>
    <t xml:space="preserve">Bite-Sized Waffles (also pancakes, crepes)</t>
  </si>
  <si>
    <t xml:space="preserve">New York (founders live in NYC per brand Our Story; HQ address not stated)</t>
  </si>
  <si>
    <t xml:space="preserve">https://www.belgianboys.com</t>
  </si>
  <si>
    <t xml:space="preserve">scale signal in the why-now ('Costco'): likely above the $10M band; ask at intake</t>
  </si>
  <si>
    <t xml:space="preserve">not-shelf-stable: Refrigerated products (brand where-to-buy page: refrigerated aisle)</t>
  </si>
  <si>
    <t xml:space="preserve">Brand where-to-buy page says to find products 'in the nearest refrigerated aisle'</t>
  </si>
  <si>
    <t xml:space="preserve">Brand Our Story says 'found in over 12,000 stores' (store count, not used for band)</t>
  </si>
  <si>
    <t xml:space="preserve">Refrigerated products (brand where-to-buy page: refrigerated aisle)</t>
  </si>
  <si>
    <t xml:space="preserve">Costco; Target; Publix; Kroger; Walmart</t>
  </si>
  <si>
    <t xml:space="preserve">Anouck</t>
  </si>
  <si>
    <t xml:space="preserve">surname Gotlib per DeliMarket News search result, unverified, founder to confirm</t>
  </si>
  <si>
    <t xml:space="preserve">https://www.instagram.com/belgianboys/</t>
  </si>
  <si>
    <t xml:space="preserve">BR2:2</t>
  </si>
  <si>
    <t xml:space="preserve">Breakfast items, not a sweet-snack fit; recorded only so the gate is visible. Pages opened 2026-10-23.</t>
  </si>
  <si>
    <t xml:space="preserve">AB-132</t>
  </si>
  <si>
    <t xml:space="preserve">Brooklyn Crafted</t>
  </si>
  <si>
    <t xml:space="preserve">Terry</t>
  </si>
  <si>
    <t xml:space="preserve">Tang</t>
  </si>
  <si>
    <t xml:space="preserve">https://www.drinkbrooklyncrafted.com</t>
  </si>
  <si>
    <t xml:space="preserve">https://ediblebrooklyn.com/?p=78713</t>
  </si>
  <si>
    <t xml:space="preserve">Brooklyn Crafted Ginger Beer (Traditional, Extra Spicy, Sugar Free), glass bottle</t>
  </si>
  <si>
    <t xml:space="preserve">No online store and no named retailer near the cluster found (may fail buy-path gate); same parent as Moshi and Bruce Cost: contact once, Moshi is the stronger lead; 60-day shelf life not stated</t>
  </si>
  <si>
    <t xml:space="preserve">supermarkets and delis (Edible Brooklyn 2019, no names)</t>
  </si>
  <si>
    <t xml:space="preserve">http://instagram.com/bklynfnb</t>
  </si>
  <si>
    <t xml:space="preserve">BR3:6</t>
  </si>
  <si>
    <t xml:space="preserve">Site: 'Bottled and brewed in Brooklyn, NY', non-alcoholic, OU kosher. Edible Brooklyn (2019-08-14) describes in-house Brooklyn bottling line and owner Terry Tang. Owner title is from 2019; current role unverified.</t>
  </si>
  <si>
    <t xml:space="preserve">person 'horin yip' shared with AB-130, AB-131; person 'terry tang' shared with AB-131</t>
  </si>
  <si>
    <t xml:space="preserve">AB-149</t>
  </si>
  <si>
    <t xml:space="preserve">Curious Elixirs</t>
  </si>
  <si>
    <t xml:space="preserve">Gated out: health-claim: Adaptogen drinks with structure or function claims ('support your immune system', 'boost mood, promote relaxation'; elderberry 'for immunity').</t>
  </si>
  <si>
    <t xml:space="preserve">https://curiouselixirs.com/pages/faq-1</t>
  </si>
  <si>
    <t xml:space="preserve">Curious Elixir No. 1 booze-free cocktail, bottle</t>
  </si>
  <si>
    <t xml:space="preserve">https://curiouselixirs.com</t>
  </si>
  <si>
    <t xml:space="preserve">health-claim: Adaptogen drinks with structure or function claims ('support your immune system', 'boost mood, promote relaxation'; elderberry 'for immunity')</t>
  </si>
  <si>
    <t xml:space="preserve">No statement read</t>
  </si>
  <si>
    <t xml:space="preserve">Adaptogen drinks with structure or function claims ('support your immune system', 'boost mood, promote relaxation'; elderberry 'for immunity')</t>
  </si>
  <si>
    <t xml:space="preserve">https://www.instagram.com/curiouselixirs</t>
  </si>
  <si>
    <t xml:space="preserve">BR3:23</t>
  </si>
  <si>
    <t xml:space="preserve">Checked as a possible NY brand; HQ not confirmed on pages read.</t>
  </si>
  <si>
    <t xml:space="preserve">AB-263</t>
  </si>
  <si>
    <t xml:space="preserve">Ginjan Bros</t>
  </si>
  <si>
    <t xml:space="preserve">Gated out: not-shelf-stable: Refrigerated cold-pressed juice; 'health juices/elixirs' positioning.</t>
  </si>
  <si>
    <t xml:space="preserve">https://ginjanbros.com/</t>
  </si>
  <si>
    <t xml:space="preserve">Ginger cold-pressed juice (Half &amp; Half 12-pack)</t>
  </si>
  <si>
    <t xml:space="preserve">New York (homepage: 'Made in New York'; cafes in Harlem and Brooklyn)</t>
  </si>
  <si>
    <t xml:space="preserve">https://ginjanbros.com</t>
  </si>
  <si>
    <t xml:space="preserve">not-shelf-stable: Refrigerated cold-pressed juice; 'health juices/elixirs' positioning</t>
  </si>
  <si>
    <t xml:space="preserve">Homepage: 'African-inspired cold-pressed and organic health juices' (cold-pressed juice is refrigerated)</t>
  </si>
  <si>
    <t xml:space="preserve">Refrigerated cold-pressed juice; 'health juices/elixirs' positioning</t>
  </si>
  <si>
    <t xml:space="preserve">Ginjan Cafe (Harlem, Brooklyn); where-to-buy page</t>
  </si>
  <si>
    <t xml:space="preserve">BR4:58</t>
  </si>
  <si>
    <t xml:space="preserve">Recorded so the gate is visible. Homepage quotes Howard Schultz saying his foundation is an investor.</t>
  </si>
  <si>
    <t xml:space="preserve">AB-122</t>
  </si>
  <si>
    <t xml:space="preserve">Hail Merry</t>
  </si>
  <si>
    <t xml:space="preserve">Susan</t>
  </si>
  <si>
    <t xml:space="preserve">O'Brien</t>
  </si>
  <si>
    <t xml:space="preserve">Gated out: not-shelf-stable: Refrigerated product (brand FAQ).</t>
  </si>
  <si>
    <t xml:space="preserve">https://hailmerry.com/pages/faqs</t>
  </si>
  <si>
    <t xml:space="preserve">https://hailmerry.com/pages/our-story</t>
  </si>
  <si>
    <t xml:space="preserve">Cookies N Creme Cups 1.5 oz</t>
  </si>
  <si>
    <t xml:space="preserve">https://hailmerry.com</t>
  </si>
  <si>
    <t xml:space="preserve">not-shelf-stable: Refrigerated product (brand FAQ)</t>
  </si>
  <si>
    <t xml:space="preserve">Brand FAQ: 'all of our products must be kept refrigerated until ready to eat'</t>
  </si>
  <si>
    <t xml:space="preserve">Refrigerated product (brand FAQ)</t>
  </si>
  <si>
    <t xml:space="preserve">Store locator ('Find Us in a Refrigerator Near You')</t>
  </si>
  <si>
    <t xml:space="preserve">https://www.wholefoodsmarket.com/api/search?text=hail%20merry&amp;store=10162&amp;limit=60&amp;offset=0</t>
  </si>
  <si>
    <t xml:space="preserve">Susan O'Brien</t>
  </si>
  <si>
    <t xml:space="preserve">https://www.instagram.com/hailmerrysnacks/</t>
  </si>
  <si>
    <t xml:space="preserve">BR2:60</t>
  </si>
  <si>
    <t xml:space="preserve">Recorded so the refrigeration gate is visible.</t>
  </si>
  <si>
    <t xml:space="preserve">AB-121</t>
  </si>
  <si>
    <t xml:space="preserve">Honey Mama's</t>
  </si>
  <si>
    <t xml:space="preserve">Christy</t>
  </si>
  <si>
    <t xml:space="preserve">Goldsby</t>
  </si>
  <si>
    <t xml:space="preserve">https://honeymamas.com/pages/faqs</t>
  </si>
  <si>
    <t xml:space="preserve">https://honeymamas.com/</t>
  </si>
  <si>
    <t xml:space="preserve">Peanut Butter Brownie Crunch Bar 1.25 oz</t>
  </si>
  <si>
    <t xml:space="preserve">Portland</t>
  </si>
  <si>
    <t xml:space="preserve">https://honeymamas.com</t>
  </si>
  <si>
    <t xml:space="preserve">OR</t>
  </si>
  <si>
    <t xml:space="preserve">Brand FAQ: 'maker of delicious refrigerated raw honey-sweetened truffle bars'; find-us page: 'in the fridge'</t>
  </si>
  <si>
    <t xml:space="preserve">All Whole Foods Market locations (brand home page)</t>
  </si>
  <si>
    <t xml:space="preserve">https://www.wholefoodsmarket.com/api/search?text=honey%20mamas&amp;store=10162&amp;limit=60&amp;offset=0</t>
  </si>
  <si>
    <t xml:space="preserve">Christy Goldsby</t>
  </si>
  <si>
    <t xml:space="preserve">https://www.instagram.com/honeymamas/</t>
  </si>
  <si>
    <t xml:space="preserve">BR2:59</t>
  </si>
  <si>
    <t xml:space="preserve">Recorded so the refrigeration gate is visible; WFM cluster catalogs list it but it is refrigerated.</t>
  </si>
  <si>
    <t xml:space="preserve">AB-201</t>
  </si>
  <si>
    <t xml:space="preserve">JAS</t>
  </si>
  <si>
    <t xml:space="preserve">Gated out: excluded-category: Functional ingredients: 225 mg KSM-66 ashwagandha (Paloma Libre) and lion's mane (Carajillo Tejas); adaptogens are treated as supplement-styl.</t>
  </si>
  <si>
    <t xml:space="preserve">https://drinkjas.com/pages/mission</t>
  </si>
  <si>
    <t xml:space="preserve">JAS non-alcoholic canned cocktail (Paloma Libre, Mojito Fresco)</t>
  </si>
  <si>
    <t xml:space="preserve">https://drinkjas.com</t>
  </si>
  <si>
    <t xml:space="preserve">Exclusion is ingredient-based, not a claim seen; a non-functional SKU might pass. Texas brand</t>
  </si>
  <si>
    <t xml:space="preserve">excluded-category: Functional ingredients: 225 mg KSM-66 ashwagandha (Paloma Libre) and lion's mane (Carajillo Tejas); adaptogens are treated as supplement-style functional drinks | health-claim: Functional ingredients: 225 mg KSM-66 ashwagandha (Paloma Libre) and lion's mane (Carajillo Tejas); adaptogens are treated as supplement-style functional drinks</t>
  </si>
  <si>
    <t xml:space="preserve">FAQ: 'Our cans are shelf-stable for 24 months' (drinkjas.com/pages/faq, opened 2026-10-23)</t>
  </si>
  <si>
    <t xml:space="preserve">Functional ingredients: 225 mg KSM-66 ashwagandha (Paloma Libre) and lion's mane (Carajillo Tejas); adaptogens are treated as supplement-style functional drinks</t>
  </si>
  <si>
    <t xml:space="preserve">https://instagram.com/drinkjas</t>
  </si>
  <si>
    <t xml:space="preserve">BR3:75</t>
  </si>
  <si>
    <t xml:space="preserve">Mission page: 'Latina-founded. Boldly made in Texas.' (basis for hq_state TX).</t>
  </si>
  <si>
    <t xml:space="preserve">AB-232</t>
  </si>
  <si>
    <t xml:space="preserve">Journée</t>
  </si>
  <si>
    <t xml:space="preserve">Khoury</t>
  </si>
  <si>
    <t xml:space="preserve">Gated out: health-claim: Explicit health/function positioning: 'Cognitive Wellness', 'caring for your brain' (release); functional mushroom energy drink.</t>
  </si>
  <si>
    <t xml:space="preserve">https://startupcpg.com/startup-cpg-newswire-journee-launches-mushroom-based-drink-for-juicy-energy-cognitive-wellness/</t>
  </si>
  <si>
    <t xml:space="preserve">Mushroom-based functional energy drink, 12 oz slim can (Soleil Citrus)</t>
  </si>
  <si>
    <t xml:space="preserve">http://drinkjournee.com</t>
  </si>
  <si>
    <t xml:space="preserve">health-claim: Explicit health/function positioning: 'Cognitive Wellness', 'caring for your brain' (release); functional mushroom energy drink</t>
  </si>
  <si>
    <t xml:space="preserve">Canned; storage not stated</t>
  </si>
  <si>
    <t xml:space="preserve">No sales figure published. Launched July 2025, DTC only (Startup CPG 2025-08-01)</t>
  </si>
  <si>
    <t xml:space="preserve">Explicit health/function positioning: 'Cognitive Wellness', 'caring for your brain' (release); functional mushroom energy drink</t>
  </si>
  <si>
    <t xml:space="preserve">DTC (release)</t>
  </si>
  <si>
    <t xml:space="preserve">Nicole Khoury</t>
  </si>
  <si>
    <t xml:space="preserve">BR4:27</t>
  </si>
  <si>
    <t xml:space="preserve">Launch release dated 2025-08-01 is outside the 12-month why-now window. Recorded so the gate is visible.</t>
  </si>
  <si>
    <t xml:space="preserve">AB-005</t>
  </si>
  <si>
    <t xml:space="preserve">Kings County Jerky Co.</t>
  </si>
  <si>
    <t xml:space="preserve">Woehrle</t>
  </si>
  <si>
    <t xml:space="preserve">Gated out: no-buy-path: No working online store (kingscountyjerky.com returned HTTP 521 on 2026-10-23) and no retailer found near cluster; may be inactive.</t>
  </si>
  <si>
    <t xml:space="preserve">https://www.kingscountyjerky.com</t>
  </si>
  <si>
    <t xml:space="preserve">unknown (site unreachable)</t>
  </si>
  <si>
    <t xml:space="preserve">no-buy-path: No working online store (kingscountyjerky.com returned HTTP 521 on 2026-10-23) and no retailer found near cluster; may be inactive</t>
  </si>
  <si>
    <t xml:space="preserve">No working online store (kingscountyjerky.com returned HTTP 521 on 2026-10-23) and no retailer found near cluster; may be inactive</t>
  </si>
  <si>
    <t xml:space="preserve">https://www.wholefoodsmarket.com/search?text=kings%20county%20jerky (no results for Union Square context, 2026-10-23)</t>
  </si>
  <si>
    <t xml:space="preserve">Chris Woehrle</t>
  </si>
  <si>
    <t xml:space="preserve">Robert Stout</t>
  </si>
  <si>
    <t xml:space="preserve">Stout</t>
  </si>
  <si>
    <t xml:space="preserve">BR1:6</t>
  </si>
  <si>
    <t xml:space="preserve">Brooklyn craft jerky brand from 2011-era press. Checked and parked; recheck only if founder knows it is active.</t>
  </si>
  <si>
    <t xml:space="preserve">AB-198</t>
  </si>
  <si>
    <t xml:space="preserve">Lemon Perfect</t>
  </si>
  <si>
    <t xml:space="preserve">Gated out: health-claim: Explicit health claim in FAQ: '100% Daily Value vitamin C for immune support'.</t>
  </si>
  <si>
    <t xml:space="preserve">https://lemonperfect.com/pages/sr-faq</t>
  </si>
  <si>
    <t xml:space="preserve">Lemon Perfect lemon water, bottle (Original, Dragon Fruit, Peach)</t>
  </si>
  <si>
    <t xml:space="preserve">https://lemonperfect.com</t>
  </si>
  <si>
    <t xml:space="preserve">health-claim: Explicit health claim in FAQ: '100% Daily Value vitamin C for immune support'</t>
  </si>
  <si>
    <t xml:space="preserve">No public sales figure opened</t>
  </si>
  <si>
    <t xml:space="preserve">Explicit health claim in FAQ: '100% Daily Value vitamin C for immune support'</t>
  </si>
  <si>
    <t xml:space="preserve">https://www.instagram.com/lemonperfect</t>
  </si>
  <si>
    <t xml:space="preserve">BR3:72</t>
  </si>
  <si>
    <t xml:space="preserve">Search snippets (not opened) place HQ in Atlanta and describe a large investor-backed brand; recorded so it is not re-researched.</t>
  </si>
  <si>
    <t xml:space="preserve">AB-030</t>
  </si>
  <si>
    <t xml:space="preserve">Maine Crisp Co.</t>
  </si>
  <si>
    <t xml:space="preserve">Getz</t>
  </si>
  <si>
    <t xml:space="preserve">Gated out: health-claim: explicit health claim on the brand's homepage (opened 2026-10-24): buckwheat is 'gluten-free, grain-free, low glycemic, anti-inflammatory, rich in.</t>
  </si>
  <si>
    <t xml:space="preserve">https://www.mainecrisp.com/pages/pg-about-2</t>
  </si>
  <si>
    <t xml:space="preserve">https://www.mainecrisp.com/pages/about-us</t>
  </si>
  <si>
    <t xml:space="preserve">Maine Crisps Olive &amp; Za'atar buckwheat crisps, 4 oz</t>
  </si>
  <si>
    <t xml:space="preserve">Waterville</t>
  </si>
  <si>
    <t xml:space="preserve">https://www.mainecrisp.com</t>
  </si>
  <si>
    <t xml:space="preserve">health-claim: explicit health claim on the brand's homepage (opened 2026-10-24): buckwheat is 'gluten-free, grain-free, low glycemic, anti-inflammatory, rich in fiber'</t>
  </si>
  <si>
    <t xml:space="preserve">Brand wholesale FAQ: 'Our crisps and crackers are shelf stable for 6-12 months.'</t>
  </si>
  <si>
    <t xml:space="preserve">explicit health claim on the brand's homepage (opened 2026-10-24): buckwheat is 'gluten-free, grain-free, low glycemic, anti-inflammatory, rich in fiber'</t>
  </si>
  <si>
    <t xml:space="preserve">Whole Foods Market Union Square, 4 Union Sq S (unverified, inside)</t>
  </si>
  <si>
    <t xml:space="preserve">https://www.wholefoodsmarket.com/search?text=maine%20crisp (Union Square context: Cranberry Almond and Olive &amp; Za'atar Crisps 4 oz IN_STOCK, from category search 2026-10-23)</t>
  </si>
  <si>
    <t xml:space="preserve">Karen Getz</t>
  </si>
  <si>
    <t xml:space="preserve">BR1:31</t>
  </si>
  <si>
    <t xml:space="preserve">Handmade in Maine. Union Square evidence from the 'cracker crisps' category search run in store context; not re-run per store.</t>
  </si>
  <si>
    <t xml:space="preserve">shelf_stable_basis &lt;- https://www.mainecrisp.com/pages/wholesale (2026-10-24, opened); hq_city &lt;- https://www.mainecrisp.com/pages/about-us (2026-10-24, opened); founder_name &lt;- https://www.mainecrisp.com/pages/about-us (2026-10-24, opened); excluded &lt;- https://www.mainecrisp.com (2026-10-24, stage 3 correction); exclusion_reason &lt;- https://www.mainecrisp.com (2026-10-24, stage 3 correction); </t>
  </si>
  <si>
    <t xml:space="preserve">AB-153</t>
  </si>
  <si>
    <t xml:space="preserve">Maine Root</t>
  </si>
  <si>
    <t xml:space="preserve">https://www.maineroot.com/our-roots</t>
  </si>
  <si>
    <t xml:space="preserve">Maine Root Root Beer (fair trade cane sugar), 12 oz bottle</t>
  </si>
  <si>
    <t xml:space="preserve">Site footer says (c) 2017 and 'Buy Online' link 404s; activity and buy path unclear; 60-day shelf life not stated</t>
  </si>
  <si>
    <t xml:space="preserve">https://www.maineroot.com</t>
  </si>
  <si>
    <t xml:space="preserve">unknown (store locator is a contact form)</t>
  </si>
  <si>
    <t xml:space="preserve">https://www.instagram.com/maineroot</t>
  </si>
  <si>
    <t xml:space="preserve">BR3:27</t>
  </si>
  <si>
    <t xml:space="preserve">Fair trade certified sodas, lemonade and ginger brew (our-roots page). HQ not stated on pages read; the name suggests Maine but that is not a source (founder to confirm). | Stage 1 online-store check 2026-10-24: Brand 'Buy Online' path /collections/maine-root returns 404 (re-checked) (https://www.maineroot.com/collections/maine-root)</t>
  </si>
  <si>
    <t xml:space="preserve">online_store &lt;- https://www.maineroot.com/collections/maine-root (2026-10-24, opened, stage 1); </t>
  </si>
  <si>
    <t xml:space="preserve">AB-139</t>
  </si>
  <si>
    <t xml:space="preserve">Moment</t>
  </si>
  <si>
    <t xml:space="preserve">Aisha</t>
  </si>
  <si>
    <t xml:space="preserve">Gated out: health-claim: Adaptogen drinks with structure or function claims ('supports your mood and focus', 'Balance meets immunity', sleep blends).</t>
  </si>
  <si>
    <t xml:space="preserve">https://drinkmoment.com/products.json</t>
  </si>
  <si>
    <t xml:space="preserve">https://drinkmoment.com/pages/about</t>
  </si>
  <si>
    <t xml:space="preserve">Moment sparkling botanical drink with ashwagandha and L-theanine</t>
  </si>
  <si>
    <t xml:space="preserve">https://drinkmoment.com</t>
  </si>
  <si>
    <t xml:space="preserve">health-claim: Adaptogen drinks with structure or function claims ('supports your mood and focus', 'Balance meets immunity', sleep blends)</t>
  </si>
  <si>
    <t xml:space="preserve">Adaptogen drinks with structure or function claims ('supports your mood and focus', 'Balance meets immunity', sleep blends)</t>
  </si>
  <si>
    <t xml:space="preserve">https://www.instagram.com/drinkmoment</t>
  </si>
  <si>
    <t xml:space="preserve">BR3:13</t>
  </si>
  <si>
    <t xml:space="preserve">Checked as a possible NYC brand; HQ not confirmed. Excluded on claims.</t>
  </si>
  <si>
    <t xml:space="preserve">AB-100</t>
  </si>
  <si>
    <t xml:space="preserve">Munk Pack</t>
  </si>
  <si>
    <t xml:space="preserve">Gated out: health-claim: Explicit health claims: brand FAQ says probiotics have 'benefits for digestive health' and 'aid in the body's immune response'; 'virtually no impa.</t>
  </si>
  <si>
    <t xml:space="preserve">https://munkpack.com/pages/faq</t>
  </si>
  <si>
    <t xml:space="preserve">https://munkpack.com/pages/about-us</t>
  </si>
  <si>
    <t xml:space="preserve">Cookie Dough Probiotic Protein Bar; Peanut Butter Dark Chocolate Nut &amp; Seed Bar</t>
  </si>
  <si>
    <t xml:space="preserve">https://munkpack.com</t>
  </si>
  <si>
    <t xml:space="preserve">health-claim: Explicit health claims: brand FAQ says probiotics have 'benefits for digestive health' and 'aid in the body's immune response'; 'virtually no impact on blood sugar'</t>
  </si>
  <si>
    <t xml:space="preserve">Explicit health claims: brand FAQ says probiotics have 'benefits for digestive health' and 'aid in the body's immune response'; 'virtually no impact on blood sugar'</t>
  </si>
  <si>
    <t xml:space="preserve">Store locator on brand site (not machine-read)</t>
  </si>
  <si>
    <t xml:space="preserve">https://www.wholefoodsmarket.com/api/search?text=munk%20pack&amp;store=10162&amp;limit=60&amp;offset=0</t>
  </si>
  <si>
    <t xml:space="preserve">first names on brand about page</t>
  </si>
  <si>
    <t xml:space="preserve">Toby</t>
  </si>
  <si>
    <t xml:space="preserve">https://www.instagram.com/munkpack/</t>
  </si>
  <si>
    <t xml:space="preserve">BR2:38</t>
  </si>
  <si>
    <t xml:space="preserve">1g sugar positioning. Not in WFM cluster catalogs.</t>
  </si>
  <si>
    <t xml:space="preserve">AB-204</t>
  </si>
  <si>
    <t xml:space="preserve">Mía</t>
  </si>
  <si>
    <t xml:space="preserve">Gated out: not-shelf-stable: Refrigerated before and after opening (cold-pressed juice).</t>
  </si>
  <si>
    <t xml:space="preserve">https://drinkmia.com</t>
  </si>
  <si>
    <t xml:space="preserve">Mía cold-pressed sugarcane juice (Lime, Yuzu, Passion fruit), bottle</t>
  </si>
  <si>
    <t xml:space="preserve">not-shelf-stable: Refrigerated before and after opening (cold-pressed juice) | no-buy-path: no graded store within ten blocks and no online store shown</t>
  </si>
  <si>
    <t xml:space="preserve">Site FAQ: 'keep it refrigerated before and after opening' (drinkmia.com, opened 2026-10-23)</t>
  </si>
  <si>
    <t xml:space="preserve">Refrigerated before and after opening (cold-pressed juice)</t>
  </si>
  <si>
    <t xml:space="preserve">Pop Up Grocer NYC Flagship (directory)</t>
  </si>
  <si>
    <t xml:space="preserve">https://popupgrocer.com/products/m-a</t>
  </si>
  <si>
    <t xml:space="preserve">BR3:78</t>
  </si>
  <si>
    <t xml:space="preserve">Products listed at $0.00 (no online sales). Recorded so it is not re-researched.</t>
  </si>
  <si>
    <t xml:space="preserve">AB-113</t>
  </si>
  <si>
    <t xml:space="preserve">Nelly's Organics</t>
  </si>
  <si>
    <t xml:space="preserve">https://nellysorganics.com/pages/faq</t>
  </si>
  <si>
    <t xml:space="preserve">Organic Dark Chocolate Caramel Nougat Bar 1.6 oz; Coconut Bar</t>
  </si>
  <si>
    <t xml:space="preserve">https://nellysorganics.com</t>
  </si>
  <si>
    <t xml:space="preserve">Brand FAQ: 'our bars are refrigerated. They are safe outside the fridge for up to 5 days'</t>
  </si>
  <si>
    <t xml:space="preserve">Refrigerated section of grocery (brand FAQ); Whole Foods</t>
  </si>
  <si>
    <t xml:space="preserve">https://www.instagram.com/nellysorganicsbars/</t>
  </si>
  <si>
    <t xml:space="preserve">BR2:51</t>
  </si>
  <si>
    <t xml:space="preserve">Listed at WFM Union Square in a catalog sweep (Dark Chocolate Caramel Nougat Bar). Excluded on refrigeration.</t>
  </si>
  <si>
    <t xml:space="preserve">AB-166</t>
  </si>
  <si>
    <t xml:space="preserve">Phocus</t>
  </si>
  <si>
    <t xml:space="preserve">Gated out: health-claim: Structure or function wording: L-theanine 'can lead to improved alertness', 'Phocus helps you stay focused, energized' (FAQ).</t>
  </si>
  <si>
    <t xml:space="preserve">https://www.phocus.com/pages/faq</t>
  </si>
  <si>
    <t xml:space="preserve">Phocus caffeinated sparkling water (75 mg tea caffeine plus L-theanine), 12 oz can</t>
  </si>
  <si>
    <t xml:space="preserve">https://www.phocus.com</t>
  </si>
  <si>
    <t xml:space="preserve">health-claim: Structure or function wording: L-theanine 'can lead to improved alertness', 'Phocus helps you stay focused, energized' (FAQ)</t>
  </si>
  <si>
    <t xml:space="preserve">Structure or function wording: L-theanine 'can lead to improved alertness', 'Phocus helps you stay focused, energized' (FAQ)</t>
  </si>
  <si>
    <t xml:space="preserve">https://www.instagram.com/phocus</t>
  </si>
  <si>
    <t xml:space="preserve">BR3:40</t>
  </si>
  <si>
    <t xml:space="preserve">Founded 2017 (our-story page). Gate is borderline: caffeine plus focus wording; founder could reinstate if a non-claim SKU and copy are used.</t>
  </si>
  <si>
    <t xml:space="preserve">AB-167</t>
  </si>
  <si>
    <t xml:space="preserve">Proper Wild</t>
  </si>
  <si>
    <t xml:space="preserve">Gated out: excluded-category: Supplement-style energy shots and gummies with asterisked structure or function claims ('boost energy, focus and productivity'); now also sel.</t>
  </si>
  <si>
    <t xml:space="preserve">https://properwild.com/pages/mission</t>
  </si>
  <si>
    <t xml:space="preserve">Proper Wild Clean Energy Shot (100 mg caffeine plus L-theanine), 2.5 oz bottle</t>
  </si>
  <si>
    <t xml:space="preserve">https://properwild.com</t>
  </si>
  <si>
    <t xml:space="preserve">excluded-category: Supplement-style energy shots and gummies with asterisked structure or function claims ('boost energy, focus and productivity'); now also sells a women's daily multivitamin | health-claim: Supplement-style energy shots and gummies with asterisked structure or function claims ('boost energy, focus and productivity'); now also sells a women's daily multivitamin</t>
  </si>
  <si>
    <t xml:space="preserve">FAQ: 'room temperature shelf-life of 18 months at the time of production' (properwild.com/pages/faq, opened 2026-10-23)</t>
  </si>
  <si>
    <t xml:space="preserve">Supplement-style energy shots and gummies with asterisked structure or function claims ('boost energy, focus and productivity'); now also sells a women's daily multivitamin</t>
  </si>
  <si>
    <t xml:space="preserve">unknown (Storemapper/GoToAisle locator not read)</t>
  </si>
  <si>
    <t xml:space="preserve">https://www.instagram.com/properwild</t>
  </si>
  <si>
    <t xml:space="preserve">BR3:41</t>
  </si>
  <si>
    <t xml:space="preserve">Mission page: team 'based in New York City'. Recorded so it is not re-researched.</t>
  </si>
  <si>
    <t xml:space="preserve">AB-137</t>
  </si>
  <si>
    <t xml:space="preserve">Recess</t>
  </si>
  <si>
    <t xml:space="preserve">Gated out: excluded-category: Hemp-extract line (cannabis category) and adaptogen/magnesium drinks marketed to 'help you unwind' and feel calm (structure or function claim.</t>
  </si>
  <si>
    <t xml:space="preserve">https://takearecess.com/faq</t>
  </si>
  <si>
    <t xml:space="preserve">Recess Mood sparkling water with magnesium and adaptogens</t>
  </si>
  <si>
    <t xml:space="preserve">https://takearecess.com</t>
  </si>
  <si>
    <t xml:space="preserve">excluded-category: Hemp-extract line (cannabis category) and adaptogen/magnesium drinks marketed to 'help you unwind' and feel calm (structure or function claims) | health-claim: Hemp-extract line (cannabis category) and adaptogen/magnesium drinks marketed to 'help you unwind' and feel calm (structure or function claims)</t>
  </si>
  <si>
    <t xml:space="preserve">Brand FAQ: 'all of our products are shelf stable' (takearecess.com/faq, opened 2026-10-23)</t>
  </si>
  <si>
    <t xml:space="preserve">Hemp-extract line (cannabis category) and adaptogen/magnesium drinks marketed to 'help you unwind' and feel calm (structure or function claims)</t>
  </si>
  <si>
    <t xml:space="preserve">https://www.instagram.com/takearecess</t>
  </si>
  <si>
    <t xml:space="preserve">BR3:11</t>
  </si>
  <si>
    <t xml:space="preserve">FAQ: 'NY is our forever home'. Zero Proof mocktail line alone might pass, but the brand is built on calm claims; recorded so it is not re-researched.</t>
  </si>
  <si>
    <t xml:space="preserve">AB-145</t>
  </si>
  <si>
    <t xml:space="preserve">Red Jacket Orchards</t>
  </si>
  <si>
    <t xml:space="preserve">Gated out: not-shelf-stable: Refrigerated: brand FAQ says all products must be refrigerated before and after opening.</t>
  </si>
  <si>
    <t xml:space="preserve">Joe's NY Style Lemonade was a 2026 sofi Gold finalist, Non-Alcoholic Beverages (listed under Berryfield Bottling); search summaries report it won Gold on 2026-01-13 (Gold page not opened; unverified, founder to confirm)</t>
  </si>
  <si>
    <t xml:space="preserve">https://foodindustryexecutive.com/2025/10/specialty-food-association-announces-75-sofi-gold-award-finalists-ahead-of-winter-fancyfaire-2026/</t>
  </si>
  <si>
    <t xml:space="preserve">2025-10</t>
  </si>
  <si>
    <t xml:space="preserve">https://redjacketorchards.com/products/ny-lemonade</t>
  </si>
  <si>
    <t xml:space="preserve">Joe's NY Style Lemonade, 12 oz bottle (cold-pressed apple and lemon)</t>
  </si>
  <si>
    <t xml:space="preserve">https://redjacketorchards.com</t>
  </si>
  <si>
    <t xml:space="preserve">Probably fails the shelf-stable gate (cold-pressed juice); keep only if a shelf-stable SKU exists. Strong NY story and a 2026 sofi Gold</t>
  </si>
  <si>
    <t xml:space="preserve">not-shelf-stable: Refrigerated: brand FAQ says all products must be refrigerated before and after opening</t>
  </si>
  <si>
    <t xml:space="preserve">Brand FAQ: All products must be refrigerated before and after they are opened (redjacketorchards.com/pages/faqs, opened 2026-10-24)</t>
  </si>
  <si>
    <t xml:space="preserve">Refrigerated: brand FAQ says all products must be refrigerated before and after opening</t>
  </si>
  <si>
    <t xml:space="preserve">stale (over 12 months)</t>
  </si>
  <si>
    <t xml:space="preserve">https://www.instagram.com/redjacketorchards</t>
  </si>
  <si>
    <t xml:space="preserve">BR3:19</t>
  </si>
  <si>
    <t xml:space="preserve">Finalist list opened 2026-10-23 (foodindustryexecutive.com): 'Berryfield Bottling - Joe's NY Style Lemonade'. Gold win per NOSH/Prepared Foods search summaries only. Instagram handle redjacketny also appears. HQ not stated on pages read (Finger Lakes NY farm per brand lore; founder to confirm).</t>
  </si>
  <si>
    <t xml:space="preserve">shelf_stable &lt;- https://redjacketorchards.com/pages/faqs (2026-10-24, opened); shelf_stable_basis &lt;- https://redjacketorchards.com/pages/faqs (2026-10-24, opened); excluded &lt;- https://redjacketorchards.com/pages/faqs (2026-10-24, opened); exclusion_reason &lt;- https://redjacketorchards.com/pages/faqs (2026-10-24, opened); </t>
  </si>
  <si>
    <t xml:space="preserve">AB-148</t>
  </si>
  <si>
    <t xml:space="preserve">Sap!</t>
  </si>
  <si>
    <t xml:space="preserve">Chas</t>
  </si>
  <si>
    <t xml:space="preserve">Gated out: health-claim: Explicit health claim on product pages: 'Prebiotics (Good for Gut Health)'.</t>
  </si>
  <si>
    <t xml:space="preserve">https://sapvt.com/pages/faqs</t>
  </si>
  <si>
    <t xml:space="preserve">https://sapvt.com/pages/our-story</t>
  </si>
  <si>
    <t xml:space="preserve">Sap! Maple Soda / Maple Seltzer, can</t>
  </si>
  <si>
    <t xml:space="preserve">https://sapvt.com</t>
  </si>
  <si>
    <t xml:space="preserve">health-claim: Explicit health claim on product pages: 'Prebiotics (Good for Gut Health)'</t>
  </si>
  <si>
    <t xml:space="preserve">Brand FAQ: 'Sap! does not require refrigeration' (sapvt.com/pages/faqs, opened 2026-10-23)</t>
  </si>
  <si>
    <t xml:space="preserve">Explicit health claim on product pages: 'Prebiotics (Good for Gut Health)'</t>
  </si>
  <si>
    <t xml:space="preserve">first names on story page</t>
  </si>
  <si>
    <t xml:space="preserve">Nikita</t>
  </si>
  <si>
    <t xml:space="preserve">https://www.instagram.com/drinksap</t>
  </si>
  <si>
    <t xml:space="preserve">BR3:22</t>
  </si>
  <si>
    <t xml:space="preserve">Vermont maple and birch sap drinks. Could pass if the gut-health line were removed from copy; founder may revisit.</t>
  </si>
  <si>
    <t xml:space="preserve">AB-076</t>
  </si>
  <si>
    <t xml:space="preserve">Sour Strips</t>
  </si>
  <si>
    <t xml:space="preserve">https://www.hersheyland.com/brands/sourstrips/about-us.html</t>
  </si>
  <si>
    <t xml:space="preserve">SOUR STRIPS sour candy strips</t>
  </si>
  <si>
    <t xml:space="preserve">Big-brand ownership: now part of The Hershey Company (2025); unlikely to buy a $600 founder-approved campaign; 60-day shelf life not stated</t>
  </si>
  <si>
    <t xml:space="preserve">https://www.hersheyland.com/brands/sourstrips.html</t>
  </si>
  <si>
    <t xml:space="preserve">partnered with The Hershey Company in 2025 (brand about page)</t>
  </si>
  <si>
    <t xml:space="preserve">Packaged sour candy; no shelf-life figure on brand page</t>
  </si>
  <si>
    <t xml:space="preserve">The Hershey Store; wherever Hershey's products are sold</t>
  </si>
  <si>
    <t xml:space="preserve">BR2:13</t>
  </si>
  <si>
    <t xml:space="preserve">sourstrips.com now redirects to hersheyland.com. Recorded so it is not re-researched.</t>
  </si>
  <si>
    <t xml:space="preserve">AB-141</t>
  </si>
  <si>
    <t xml:space="preserve">Superfrau</t>
  </si>
  <si>
    <t xml:space="preserve">Gated out: health-claim: Explicit health claims on every product: 'Good for gut health', 'Lactic acid for your gut', 'Natural energy'.</t>
  </si>
  <si>
    <t xml:space="preserve">https://www.drinksuperfrau.com/pages/faq</t>
  </si>
  <si>
    <t xml:space="preserve">Superfrau sparkling upcycled fresh whey, 12 oz can</t>
  </si>
  <si>
    <t xml:space="preserve">https://www.drinksuperfrau.com</t>
  </si>
  <si>
    <t xml:space="preserve">health-claim: Explicit health claims on every product: 'Good for gut health', 'Lactic acid for your gut', 'Natural energy'</t>
  </si>
  <si>
    <t xml:space="preserve">Brand FAQ: 'Does Superfrau need to be refrigerated? Nope... until after it's opened' (opened 2026-10-23)</t>
  </si>
  <si>
    <t xml:space="preserve">Explicit health claims on every product: 'Good for gut health', 'Lactic acid for your gut', 'Natural energy'</t>
  </si>
  <si>
    <t xml:space="preserve">unknown (Stockist locator tag u11136 not queried)</t>
  </si>
  <si>
    <t xml:space="preserve">https://www.instagram.com/drinksuperfrau</t>
  </si>
  <si>
    <t xml:space="preserve">BR3:15</t>
  </si>
  <si>
    <t xml:space="preserve">Sources whey from yogurt makers in New York and Pennsylvania (FAQ). Newest product listing 2022-12, may be low activity.</t>
  </si>
  <si>
    <t xml:space="preserve">AB-194</t>
  </si>
  <si>
    <t xml:space="preserve">Twrl Milk Tea</t>
  </si>
  <si>
    <t xml:space="preserve">Pauline</t>
  </si>
  <si>
    <t xml:space="preserve">Gated out: health-claim: Structure or function claims on site: antioxidants 'protects cells and supports health'; 'mild caffeine for improved focus with L-theanine'.</t>
  </si>
  <si>
    <t xml:space="preserve">https://twrl.com/pages/about-milk-tea</t>
  </si>
  <si>
    <t xml:space="preserve">https://twrl.com/pages/our-story</t>
  </si>
  <si>
    <t xml:space="preserve">Twrl Milk Tea (pea-protein milk, whole-leaf tea), 7.5 oz can</t>
  </si>
  <si>
    <t xml:space="preserve">https://twrl.com</t>
  </si>
  <si>
    <t xml:space="preserve">health-claim: Structure or function claims on site: antioxidants 'protects cells and supports health'; 'mild caffeine for improved focus with L-theanine'</t>
  </si>
  <si>
    <t xml:space="preserve">Structure or function claims on site: antioxidants 'protects cells and supports health'; 'mild caffeine for improved focus with L-theanine'</t>
  </si>
  <si>
    <t xml:space="preserve">https://popupgrocer.com/products/twrl-milk-tea</t>
  </si>
  <si>
    <t xml:space="preserve">https://instagram.com/twrlmilktea</t>
  </si>
  <si>
    <t xml:space="preserve">BR3:68</t>
  </si>
  <si>
    <t xml:space="preserve">twrlmilktea.com redirects to twrl.com. Press page: two mothers, Taiwanese heritage. Product itself (canned milk tea) would otherwise fit.</t>
  </si>
  <si>
    <t xml:space="preserve">AB-037</t>
  </si>
  <si>
    <t xml:space="preserve">Unbothered Foods</t>
  </si>
  <si>
    <t xml:space="preserve">Morgan</t>
  </si>
  <si>
    <t xml:space="preserve">Murdock</t>
  </si>
  <si>
    <t xml:space="preserve">Founder, Registered Dietitian</t>
  </si>
  <si>
    <t xml:space="preserve">Gated out: health-claim: Positioned as 'Gut-Friendly Sourdough Crackers' with 'gut benefit' copy (structure/function wording).</t>
  </si>
  <si>
    <t xml:space="preserve">https://www.unbotheredfoods.com/</t>
  </si>
  <si>
    <t xml:space="preserve">Unbothered Foods sourdough crackers</t>
  </si>
  <si>
    <t xml:space="preserve">https://www.unbotheredfoods.com</t>
  </si>
  <si>
    <t xml:space="preserve">health-claim: Positioned as 'Gut-Friendly Sourdough Crackers' with 'gut benefit' copy (structure/function wording)</t>
  </si>
  <si>
    <t xml:space="preserve">Baked sourdough crackers sold ambient (PopUp Grocer 'Puffs + Crunch')</t>
  </si>
  <si>
    <t xml:space="preserve">Positioned as 'Gut-Friendly Sourdough Crackers' with 'gut benefit' copy (structure/function wording)</t>
  </si>
  <si>
    <t xml:space="preserve">https://popupgrocer.com/pages/directory (availability 'NYC Flagship', 2026-10-23); https://popupgrocer.com/products/unbothered-foods</t>
  </si>
  <si>
    <t xml:space="preserve">Morgan Murdock</t>
  </si>
  <si>
    <t xml:space="preserve">https://instagram.com/unbotheredfoods</t>
  </si>
  <si>
    <t xml:space="preserve">BR1:38</t>
  </si>
  <si>
    <t xml:space="preserve">Recorded for the gate log; excluded on gut-health positioning.</t>
  </si>
  <si>
    <t xml:space="preserve">AB-155</t>
  </si>
  <si>
    <t xml:space="preserve">Zest Tea</t>
  </si>
  <si>
    <t xml:space="preserve">Fayal</t>
  </si>
  <si>
    <t xml:space="preserve">Gated out: excluded-category: Functional/supplement positioning: creatine powders, 'sleep, gut health, and immunity blends', energy and focus claims.</t>
  </si>
  <si>
    <t xml:space="preserve">https://livezesty.com/pages/about-zest</t>
  </si>
  <si>
    <t xml:space="preserve">Zest high-caffeine sparkling energy tea, can</t>
  </si>
  <si>
    <t xml:space="preserve">https://livezesty.com</t>
  </si>
  <si>
    <t xml:space="preserve">excluded-category: Functional/supplement positioning: creatine powders, 'sleep, gut health, and immunity blends', energy and focus claims | health-claim: Functional/supplement positioning: creatine powders, 'sleep, gut health, and immunity blends', energy and focus claims</t>
  </si>
  <si>
    <t xml:space="preserve">Functional/supplement positioning: creatine powders, 'sleep, gut health, and immunity blends', energy and focus claims</t>
  </si>
  <si>
    <t xml:space="preserve">James Fayal</t>
  </si>
  <si>
    <t xml:space="preserve">https://www.instagram.com/zesthq</t>
  </si>
  <si>
    <t xml:space="preserve">BR3:29</t>
  </si>
  <si>
    <t xml:space="preserve">Domain zesttea.com redirects to livezesty.com. Recorded so it is not re-researched.</t>
  </si>
  <si>
    <t xml:space="preserve">column</t>
  </si>
  <si>
    <t xml:space="preserve">tables</t>
  </si>
  <si>
    <t xml:space="preserve">group</t>
  </si>
  <si>
    <t xml:space="preserve">edited_by</t>
  </si>
  <si>
    <t xml:space="preserve">values</t>
  </si>
  <si>
    <t xml:space="preserve">meaning</t>
  </si>
  <si>
    <t xml:space="preserve">both</t>
  </si>
  <si>
    <t xml:space="preserve">stable (CONTRACTS 6.2)</t>
  </si>
  <si>
    <t xml:space="preserve">build</t>
  </si>
  <si>
    <t xml:space="preserve">AO-C-### (B's company), AO-W-### (B's coworking site), AB-### (brand)</t>
  </si>
  <si>
    <t xml:space="preserve">Stable row key. Never reused. Use it as org_id in E's pipeline log.</t>
  </si>
  <si>
    <t xml:space="preserve">text</t>
  </si>
  <si>
    <t xml:space="preserve">Company name (offices) or brand name (brands), as the source gives it.</t>
  </si>
  <si>
    <t xml:space="preserve">text or blank</t>
  </si>
  <si>
    <t xml:space="preserve">Primary contact's first name. Filled only when a page that was opened shows the name; a name seen only in a search snippet stays in contact_name_as_found and this stays blank.</t>
  </si>
  <si>
    <t xml:space="preserve">text, 'unknown' or blank</t>
  </si>
  <si>
    <t xml:space="preserve">Primary contact's surname as the page spells it; 'unknown' when only a first name is public.</t>
  </si>
  <si>
    <t xml:space="preserve">Primary contact's job title as the opened page gives it.</t>
  </si>
  <si>
    <t xml:space="preserve">URL or blank</t>
  </si>
  <si>
    <t xml:space="preserve">Primary contact's LinkedIn profile. Agents never open LinkedIn, so it is blank unless a page we opened linked it. The founder pastes it during the daily routine, or Clay's person enrichment fills it.</t>
  </si>
  <si>
    <t xml:space="preserve">business address or blank</t>
  </si>
  <si>
    <t xml:space="preserve">Primary contact's work email from the Clay waterfall. Blank on every row today: no waterfall has run. Never guessed from a name pattern.</t>
  </si>
  <si>
    <t xml:space="preserve">verified, unverified, none</t>
  </si>
  <si>
    <t xml:space="preserve">verified: the waterfall's validator returned deliverable. unverified: found but catch-all or unknown. none: no email. E emails only verified rows.</t>
  </si>
  <si>
    <t xml:space="preserve">email, linkedin, warm-intro, walk-in, or blank</t>
  </si>
  <si>
    <t xml:space="preserve">How the first touch goes. linkedin for a named contact until a verified email exists (then email); walk-in for a top-50 office with nobody named; warm-intro when known_to_founder = Y; blank for a brand with nobody named (E skips it).</t>
  </si>
  <si>
    <t xml:space="preserve">formula</t>
  </si>
  <si>
    <t xml:space="preserve">0 to 100</t>
  </si>
  <si>
    <t xml:space="preserve">Fit score; 0 for a row that failed a hard gate. The sum of the score_ parts (see the Scoring tab). In the workbook it recomputes when known_to_founder or title_match changes.</t>
  </si>
  <si>
    <t xml:space="preserve">one sentence</t>
  </si>
  <si>
    <t xml:space="preserve">The score in one plain sentence, built from its parts.</t>
  </si>
  <si>
    <t xml:space="preserve">40-75, 76-150, 151-250, 251-500, under-40, over-500, unknown (offices); blank (brands)</t>
  </si>
  <si>
    <t xml:space="preserve">Offices: the CONTRACTS band holding the central Tuesday onsite estimate. An estimate until intake replaces it. Never printed in copy.</t>
  </si>
  <si>
    <t xml:space="preserve">'Store, street' or 'none found within ten blocks' (brands); blank (offices)</t>
  </si>
  <si>
    <t xml:space="preserve">Brands: the best graded store within ten blocks of the cluster: store_selector before brand_claim, then fewest blocks out; else the nearest unverified store.</t>
  </si>
  <si>
    <t xml:space="preserve">seen_on_shelf, store_selector, brand_claim, unverified</t>
  </si>
  <si>
    <t xml:space="preserve">Evidence grade of nearest_stocked_retailer (CONTRACTS section 4). seen_on_shelf is the founder's only; no agent sets it.</t>
  </si>
  <si>
    <t xml:space="preserve">A dated reason to write now: brands, news or a new listing in the last 12 months; offices, a lease reported since 2025-11 in an article about the company.</t>
  </si>
  <si>
    <t xml:space="preserve">Source of why_now. E writes a hook only after opening it.</t>
  </si>
  <si>
    <t xml:space="preserve">YYYY-MM-DD or YYYY-MM</t>
  </si>
  <si>
    <t xml:space="preserve">Date of the why_now source.</t>
  </si>
  <si>
    <t xml:space="preserve">Y, N</t>
  </si>
  <si>
    <t xml:space="preserve">Y when the founder knows this person. Adds 15 points (offices) or 10 (brands) and makes the channel warm-intro. N everywhere until the founder marks rows.</t>
  </si>
  <si>
    <t xml:space="preserve">Y, N, unknown</t>
  </si>
  <si>
    <t xml:space="preserve">Brands: Y where a public Startup CPG page shows the brand (participation, not proven membership). Never a hook and no points. Offices: unknown.</t>
  </si>
  <si>
    <t xml:space="preserve">E / founder</t>
  </si>
  <si>
    <t xml:space="preserve">Y the same day anyone opts out, in any words, on any channel. Never reversed. A Y row, and every row in its company_group, never enters a daily view.</t>
  </si>
  <si>
    <t xml:space="preserve">new, queued, contacted, replied, call_booked, call_done, yes_in_principle, materials_sent, signed (office) or paid (brand); side states not_now, no, wrong_person, do_not_contact</t>
  </si>
  <si>
    <t xml:space="preserve">Outreach status. Lives in these tables and nowhere else. queued means it is in today's daily view and picked for sending.</t>
  </si>
  <si>
    <t xml:space="preserve">URL</t>
  </si>
  <si>
    <t xml:space="preserve">Main source for the row: the address source (offices) or the brand's research source (brands).</t>
  </si>
  <si>
    <t xml:space="preserve">YYYY-MM-DD</t>
  </si>
  <si>
    <t xml:space="preserve">Date the row was first found.</t>
  </si>
  <si>
    <t xml:space="preserve">daily view</t>
  </si>
  <si>
    <t xml:space="preserve">office, brand</t>
  </si>
  <si>
    <t xml:space="preserve">Which table the row is from (E asked for it in merged views).</t>
  </si>
  <si>
    <t xml:space="preserve">1, 2, ... or blank</t>
  </si>
  <si>
    <t xml:space="preserve">Position among rows that can go out today: eligible, best in its company_group, by score (ties by row order). Ranks 1 to 10 form the daily view.</t>
  </si>
  <si>
    <t xml:space="preserve">1 to n, blank when gated out</t>
  </si>
  <si>
    <t xml:space="preserve">Rank by score among rows that passed the gates, as built today.</t>
  </si>
  <si>
    <t xml:space="preserve">offices</t>
  </si>
  <si>
    <t xml:space="preserve">Y for the 50 best-scored offices that passed the gates: the rows whose contacts were researched and that get the email waterfall.</t>
  </si>
  <si>
    <t xml:space="preserve">brands</t>
  </si>
  <si>
    <t xml:space="preserve">Y for the 60 best-scored brands that passed the gates: the rows whose contacts were researched and that get the email waterfall.</t>
  </si>
  <si>
    <t xml:space="preserve">The one-minute checks left for the morning routine: paste the LinkedIn URL, confirm an old record, re-open a store page, read a founder-review note.</t>
  </si>
  <si>
    <t xml:space="preserve">Why this person: pantry or office lead (offices); founder, CEO or owner (not shown as a founder), marketing lead, or co-founder or executive (brands).</t>
  </si>
  <si>
    <t xml:space="preserve">verified-page, first-name-only, unverified, none</t>
  </si>
  <si>
    <t xml:space="preserve">verified-page: an opened page shows the full name. first-name-only: an opened page shows the first name. unverified: seen only in a search snippet (name not in first_name). none: nobody found.</t>
  </si>
  <si>
    <t xml:space="preserve">employer's own site, The Org (crowd-edited org chart), press, event or podcast page, LinkedIn (not opened), search snippet only (not opened)</t>
  </si>
  <si>
    <t xml:space="preserve">What kind of page supports the name, so the founder can weigh it.</t>
  </si>
  <si>
    <t xml:space="preserve">The opened page that supports the primary contact's name and title.</t>
  </si>
  <si>
    <t xml:space="preserve">Date that page was opened (or the row's found date for brands whose contact dates from stage 1).</t>
  </si>
  <si>
    <t xml:space="preserve">exact, adjacent, none</t>
  </si>
  <si>
    <t xml:space="preserve">exact: one of the five target titles or its direct form (office manager or coordinator, office services, workplace, facilities, people operations, EA to the CEO), on an opened page, placed in New York: 10 points. adjacent: any other named person, or a target title with no New York base shown, or a snippet-only name: 5. none: 0. Re-set it when you swap the contact; the score follows.</t>
  </si>
  <si>
    <t xml:space="preserve">Business street address as the source gives it.</t>
  </si>
  <si>
    <t xml:space="preserve">text or unknown</t>
  </si>
  <si>
    <t xml:space="preserve">Floor or suite as sourced; 'unknown' when no source names it (never blank).</t>
  </si>
  <si>
    <t xml:space="preserve">occupied, occupancy-unconfirmed, signed-not-occupied, moving-out (companies); open, open-unverified, unverified, possibly-closed (coworking sites)</t>
  </si>
  <si>
    <t xml:space="preserve">occupied (a dated source under 24 months or the company's own live page shows the company in the space; review round 3); occupancy-unconfirmed (lease press only, or only an undated profile or older sources place it here); signed-not-occupied (a source says the move is ahead, or the company's own site still shows its old address); moving-out (a newer source says it signed elsewhere). Coworking rows carry the site's status.</t>
  </si>
  <si>
    <t xml:space="preserve">number or unknown</t>
  </si>
  <si>
    <t xml:space="preserve">Low end of the Tuesday onsite estimate (see onsite_basis). An estimate until intake replaces it.</t>
  </si>
  <si>
    <t xml:space="preserve">High end of the Tuesday onsite estimate.</t>
  </si>
  <si>
    <t xml:space="preserve">medium, low, none</t>
  </si>
  <si>
    <t xml:space="preserve">medium: the count is for the New York office. low: a company-wide count with an assumed New York share. none: no count.</t>
  </si>
  <si>
    <t xml:space="preserve">in-office-5, hybrid-4, hybrid-3, hybrid-unspecified, hybrid-2-or-less, remote, unknown</t>
  </si>
  <si>
    <t xml:space="preserve">Attendance read from the employer's own words (Built In policy text, B's notes). The policy sentence beats the 'typical time on-site' box; a range uses its lower figure.</t>
  </si>
  <si>
    <t xml:space="preserve">the row_id, or grp-...</t>
  </si>
  <si>
    <t xml:space="preserve">Rows that share a named parent, an operator, a company name or a named person form one group. The daily view takes one row per group and skips a group with anyone in flight or opted out.</t>
  </si>
  <si>
    <t xml:space="preserve">Y keeps the row out of outreach (B: lease signed but move not confirmed, an address conflict, a tenant still in coworking, a site possibly closed). The founder sets N after the lobby check. Brands: always N today.</t>
  </si>
  <si>
    <t xml:space="preserve">Why the row is held, and what clears it.</t>
  </si>
  <si>
    <t xml:space="preserve">YYYY-MM-DD or blank</t>
  </si>
  <si>
    <t xml:space="preserve">E's column (CONTRACTS 6.2): the day someone opted out. Filled means never contacted again, whatever do_not_contact says.</t>
  </si>
  <si>
    <t xml:space="preserve">A shelf-stable SKU the research found (E's {product} source).</t>
  </si>
  <si>
    <t xml:space="preserve">a CONTRACTS section 4 category key</t>
  </si>
  <si>
    <t xml:space="preserve">Brand category.</t>
  </si>
  <si>
    <t xml:space="preserve">Brands: HQ city as researched, with any evidence note. Offices: B's HQ city.</t>
  </si>
  <si>
    <t xml:space="preserve">The brand's own online store (buy path for a discount code).</t>
  </si>
  <si>
    <t xml:space="preserve">brand research</t>
  </si>
  <si>
    <t xml:space="preserve">What the online store check found when it is not a plain store (for example 'Shop buttons route to Amazon').</t>
  </si>
  <si>
    <t xml:space="preserve">Y for a borderline case the founder should read before outreach (founder_review_reason). Not a gate.</t>
  </si>
  <si>
    <t xml:space="preserve">The researcher's reason plus build notes (shelf life not stated; no online store).</t>
  </si>
  <si>
    <t xml:space="preserve">control</t>
  </si>
  <si>
    <t xml:space="preserve">Y when the row passed the gates, is not on hold, has a contact named on an opened page and (offices) its Tuesday band is 40 to 250 or the founder said yes. Only Y rows can enter a daily view.</t>
  </si>
  <si>
    <t xml:space="preserve">Why a row is not ready, in words.</t>
  </si>
  <si>
    <t xml:space="preserve">Y or blank</t>
  </si>
  <si>
    <t xml:space="preserve">Offices: Y lets a row whose Tuesday band is under-40, 251-500 or over-500 into the daily view (the prompt makes 30 to 39 the founder's call). Brands: unused today.</t>
  </si>
  <si>
    <t xml:space="preserve">Y when the central Tuesday estimate is outside 40 to 250: the row needs founder_ok_to_queue = Y.</t>
  </si>
  <si>
    <t xml:space="preserve">gate and score</t>
  </si>
  <si>
    <t xml:space="preserve">pass, fail</t>
  </si>
  <si>
    <t xml:space="preserve">Whether the row passed every hard gate (applied before any enrichment spend).</t>
  </si>
  <si>
    <t xml:space="preserve">Every gate the row failed, or 'passes all hard gates'.</t>
  </si>
  <si>
    <t xml:space="preserve">excluded-category, health-claim, not-shelf-stable, no-buy-path</t>
  </si>
  <si>
    <t xml:space="preserve">Machine-readable list of failed brand gates.</t>
  </si>
  <si>
    <t xml:space="preserve">number</t>
  </si>
  <si>
    <t xml:space="preserve">What the row would score if it had passed (gated rows keep it for review).</t>
  </si>
  <si>
    <t xml:space="preserve">0 to 30</t>
  </si>
  <si>
    <t xml:space="preserve">25 x the share of the Tuesday range inside 40 to 250 (ratio scale), plus 5 when the count is for the New York office; 7 when headcount is unknown.</t>
  </si>
  <si>
    <t xml:space="preserve">-4 to 15</t>
  </si>
  <si>
    <t xml:space="preserve">Company size: 500 or fewer 15; 501-1,000 6; 1,001-4,999 2; 5,000+ 0; unknown 8; minus 4 when a controlling parent is named.</t>
  </si>
  <si>
    <t xml:space="preserve">-5 to 15</t>
  </si>
  <si>
    <t xml:space="preserve">On-site 5 days 15; hybrid 4 days 12; 3 days 10; days not stated 7; 2 or fewer 5; no signal 6; remote -5; plus 3 when the policy names Tuesday (cap 15).</t>
  </si>
  <si>
    <t xml:space="preserve">0 to 15</t>
  </si>
  <si>
    <t xml:space="preserve">Occupied 10, occupancy-unconfirmed 5, signed-not-occupied 2 (coworking site: open 10, open-unverified 5, unverified 2); 0 with an address conflict; plus confidence high 5, medium 3, low 0.</t>
  </si>
  <si>
    <t xml:space="preserve">0, 5, 10</t>
  </si>
  <si>
    <t xml:space="preserve">From title_match: exact 10, adjacent 5, none 0.</t>
  </si>
  <si>
    <t xml:space="preserve">0, 15 (offices) or 0, 10 (brands)</t>
  </si>
  <si>
    <t xml:space="preserve">From known_to_founder.</t>
  </si>
  <si>
    <t xml:space="preserve">0 to 25</t>
  </si>
  <si>
    <t xml:space="preserve">Best graded store within ten blocks: store page inside the cluster 25, store page within ten blocks 20, brand locator inside 17, brand locator within ten 13; online store only 6; none 0.</t>
  </si>
  <si>
    <t xml:space="preserve">0 to 20</t>
  </si>
  <si>
    <t xml:space="preserve">HQ New York City 20, rest of New York State 13, Northeast 8, elsewhere 3, unknown 4; minus 3 when a New York HQ is unverified.</t>
  </si>
  <si>
    <t xml:space="preserve">Press in the last 180 days 15, 181 to 365 days 8; own listing in 180 days 8, 181 to 365 days 4; none or unverified 0.</t>
  </si>
  <si>
    <t xml:space="preserve">0 to 10</t>
  </si>
  <si>
    <t xml:space="preserve">Revenue $500k to $10M 10; unknown 5; under $500k 2; over $10M 0.</t>
  </si>
  <si>
    <t xml:space="preserve">Shelf-stable Y 4, likely 2, unknown 1; individually packaged Y 3, unknown 1; online store Y 3, unknown 1.</t>
  </si>
  <si>
    <t xml:space="preserve">Founder named on an opened page 6 (first name only or snippet 3); marketing lead named on an opened page 4 (snippet 2).</t>
  </si>
  <si>
    <t xml:space="preserve">-35 to 0</t>
  </si>
  <si>
    <t xml:space="preserve">The most severe founder-review type: sourced revenue over $10M -35; large-company owner -25; scale signals -12; dormant -12; heritage -10; perishable risk -8; under $500k -5; alcohol-adjacent -5; borderline claim -4; pack format -4; other -2.</t>
  </si>
  <si>
    <t xml:space="preserve">owner, scale-reported, scale, dormant, not-emerging, perishable-risk, under-floor, alcohol-adjacent, format, claim-borderline, other</t>
  </si>
  <si>
    <t xml:space="preserve">The founder-review reason sorted into types; the most severe sets score_review.</t>
  </si>
  <si>
    <t xml:space="preserve">le500, 501-1000, 1001-4999, 5000+, unknown</t>
  </si>
  <si>
    <t xml:space="preserve">Company-wide size class used by score_size.</t>
  </si>
  <si>
    <t xml:space="preserve">Middle of the Tuesday range on a ratio scale (square root of low x high).</t>
  </si>
  <si>
    <t xml:space="preserve">may be under 30, may exceed 250, 30 to 39 is the founder's call, central estimate under 30; under-30 and over-250 mean the row failed the gate.</t>
  </si>
  <si>
    <t xml:space="preserve">The Tuesday estimate's arithmetic in words: count x New York share x in-office rate.</t>
  </si>
  <si>
    <t xml:space="preserve">Always 'estimate until intake replaces it'.</t>
  </si>
  <si>
    <t xml:space="preserve">0 to 1 or unknown</t>
  </si>
  <si>
    <t xml:space="preserve">Share of the Tuesday range inside 40 to 250 (ratio scale); the first tie-break.</t>
  </si>
  <si>
    <t xml:space="preserve">contact</t>
  </si>
  <si>
    <t xml:space="preserve">The primary contact's name as found, even when it is not verified enough for first_name.</t>
  </si>
  <si>
    <t xml:space="preserve">YYYY-MM-DD, YYYY or blank</t>
  </si>
  <si>
    <t xml:space="preserve">The source's own date for the contact (The Org 'updated' date, article date). Older than 12 months adds a check to check_before_send.</t>
  </si>
  <si>
    <t xml:space="preserve">What the page said, where it was found and any doubt.</t>
  </si>
  <si>
    <t xml:space="preserve">confirmed, likely, unconfirmed</t>
  </si>
  <si>
    <t xml:space="preserve">Whether the contact works from the New York office: confirmed (the employer's page or The Org's office record), likely (New York area or a New York firm's page with no city), unconfirmed.</t>
  </si>
  <si>
    <t xml:space="preserve">Where a LinkedIn URL came from. LinkedIn itself was never opened.</t>
  </si>
  <si>
    <t xml:space="preserve">Y, N (offices); stage 2, stage 3, stage 1 only (brands)</t>
  </si>
  <si>
    <t xml:space="preserve">Whether stage 2 or 3 researched this row's contacts (the top 50 offices and top 60 brands).</t>
  </si>
  <si>
    <t xml:space="preserve">Backup contact's first name (opened page only).</t>
  </si>
  <si>
    <t xml:space="preserve">text, unknown or blank</t>
  </si>
  <si>
    <t xml:space="preserve">Backup contact's surname.</t>
  </si>
  <si>
    <t xml:space="preserve">Backup contact's title.</t>
  </si>
  <si>
    <t xml:space="preserve">Backup contact's LinkedIn profile, if linked from an opened page.</t>
  </si>
  <si>
    <t xml:space="preserve">Backup's work email (waterfall); blank today.</t>
  </si>
  <si>
    <t xml:space="preserve">As email_status, for the backup.</t>
  </si>
  <si>
    <t xml:space="preserve">Why the backup: pantry or office lead (offices); marketing lead or co-founder or executive (brands).</t>
  </si>
  <si>
    <t xml:space="preserve">Backup's name as found.</t>
  </si>
  <si>
    <t xml:space="preserve">As contact_status, for the backup.</t>
  </si>
  <si>
    <t xml:space="preserve">as contact_evidence</t>
  </si>
  <si>
    <t xml:space="preserve">What kind of page supports the backup.</t>
  </si>
  <si>
    <t xml:space="preserve">The page that supports the backup.</t>
  </si>
  <si>
    <t xml:space="preserve">date or blank</t>
  </si>
  <si>
    <t xml:space="preserve">The backup source's own date.</t>
  </si>
  <si>
    <t xml:space="preserve">Notes on the backup.</t>
  </si>
  <si>
    <t xml:space="preserve">Where the backup's LinkedIn URL came from (stage-1 rows).</t>
  </si>
  <si>
    <t xml:space="preserve">What the group's rows share (parent, operator, name or person).</t>
  </si>
  <si>
    <t xml:space="preserve">office research</t>
  </si>
  <si>
    <t xml:space="preserve">company, coworking-operator</t>
  </si>
  <si>
    <t xml:space="preserve">A company office, or a coworking site that may join as one office if the operator controls the pantry.</t>
  </si>
  <si>
    <t xml:space="preserve">B-C-### or B-W-###</t>
  </si>
  <si>
    <t xml:space="preserve">The row's ID in B's files.</t>
  </si>
  <si>
    <t xml:space="preserve">URL or unknown</t>
  </si>
  <si>
    <t xml:space="preserve">Company or brand website (the domain the email waterfall uses).</t>
  </si>
  <si>
    <t xml:space="preserve">Short industry label from the research slice.</t>
  </si>
  <si>
    <t xml:space="preserve">number as sourced or unknown</t>
  </si>
  <si>
    <t xml:space="preserve">The sourced headcount the estimate starts from (B's headcount_count, else the company-wide count cited).</t>
  </si>
  <si>
    <t xml:space="preserve">number or blank</t>
  </si>
  <si>
    <t xml:space="preserve">B's second, independent count.</t>
  </si>
  <si>
    <t xml:space="preserve">CONTRACTS band</t>
  </si>
  <si>
    <t xml:space="preserve">40-75, 76-150, 151-250, 251-500, under-40, over-500 or unknown. From a sourced count only (mostly Built In 'Total Employees'); never estimated from floor area. Not an onsite or Tuesday count. Review round 2: kept only when a second count agrees or no second count was found (see headcount_check); unknown when two counts disagree.</t>
  </si>
  <si>
    <t xml:space="preserve">whole-company, nyc-office, unknown</t>
  </si>
  <si>
    <t xml:space="preserve">whole-company (the count covers the whole firm), nyc-office (the source counts the New York office), or unknown.</t>
  </si>
  <si>
    <t xml:space="preserve">agree, disagree, single-source, scope-differs, no-count, over-500-second-source</t>
  </si>
  <si>
    <t xml:space="preserve">Review round 2: agree (a second, independent count falls in the same band), disagree (it falls in another band, so the band is unknown), over-500-second-source (the second count is over 500, so the row moved to Near-miss), scope-differs (one count is the NYC office, the other the whole company), single-source (no second count found) or no-count.</t>
  </si>
  <si>
    <t xml:space="preserve">Where the count came from.</t>
  </si>
  <si>
    <t xml:space="preserve">Source of headcount_second_count: a Revelio Labs public page (reveliolabs.com/companies/&lt;slug&gt;/employees, matched on legal name and description), the company's own page, or for swapped rows the original Built In page.</t>
  </si>
  <si>
    <t xml:space="preserve">Y if hq_city is New York, N if elsewhere, unknown. A whole-company band for an N row can be far larger than the New York office.</t>
  </si>
  <si>
    <t xml:space="preserve">Owner of the company where a source names one (for example a P&amp;G or LVMH brand; review round 3 added owners named on Wikipedia), else 'unknown'. A parent far over 500 matters to 'firms under 500 preferred'. Stage 3 added Axon (Carbyne, Prepared 911) and DraftKings (Simplebet) with sources in a_corrections.</t>
  </si>
  <si>
    <t xml:space="preserve">Company LinkedIn page: unknown on every row (LinkedIn not opened).</t>
  </si>
  <si>
    <t xml:space="preserve">5 digits</t>
  </si>
  <si>
    <t xml:space="preserve">ZIP code from a source for the building, else from NYC PLUTO (2026 v2) for the tax lot.</t>
  </si>
  <si>
    <t xml:space="preserve">decimal degrees</t>
  </si>
  <si>
    <t xml:space="preserve">Latitude, WGS84 decimal degrees. From the project geocoder (_shared/geocode.py: NYC Planning GeoSearch, the city's own address database). A pin that landed on the far side of its tax lot was moved to the addressed block face; that row's notes say so.</t>
  </si>
  <si>
    <t xml:space="preserve">Longitude, WGS84 decimal degrees. Same source as lat.</t>
  </si>
  <si>
    <t xml:space="preserve">Y if the pin is inside boundary.geojson, else N (computed, not judged).</t>
  </si>
  <si>
    <t xml:space="preserve">Walking distance from the boundary on the street grid, in street blocks (79.4 m each); 0 inside. Crosstown metres count at their length, so the Sixth-to-Fifth block counts as about 3.9.</t>
  </si>
  <si>
    <t xml:space="preserve">B-B-### or blank</t>
  </si>
  <si>
    <t xml:space="preserve">B-B-### of the building row in the Buildings tab; blank if the building is not in that tab (near-miss rows outside the line).</t>
  </si>
  <si>
    <t xml:space="preserve">Building name from research (landlord or common name).</t>
  </si>
  <si>
    <t xml:space="preserve">Source that places the company at the address.</t>
  </si>
  <si>
    <t xml:space="preserve">date</t>
  </si>
  <si>
    <t xml:space="preserve">Date of that source (publication date, or the date a live page was opened).</t>
  </si>
  <si>
    <t xml:space="preserve">company-site, leasing-press, builtin, building-site, press-release, wikipedia, other, operator-site</t>
  </si>
  <si>
    <t xml:space="preserve">company-site, leasing-press, builtin, building-site, press-release, wikipedia or other.</t>
  </si>
  <si>
    <t xml:space="preserve">Independent confirmation, if any: press, a landlord or broker release, a filing or an encyclopedia. On a high row it is never an employer-editable profile when the first source is the company's own page (review round 3).</t>
  </si>
  <si>
    <t xml:space="preserve">Date of the second source.</t>
  </si>
  <si>
    <t xml:space="preserve">Set when a source is a sec.gov filing agents do not open (the founder may open it in a browser).</t>
  </si>
  <si>
    <t xml:space="preserve">high, medium, low</t>
  </si>
  <si>
    <t xml:space="preserve">high = a source under 24 months old (dated on or after 2024-10-24) plus one independent confirmation from a publisher the company does not write (review round 3: its own page and its employer-editable Built In profile count as one source); medium = one source under 24 months, or recent sources that disagree on move timing; low = only older sources, conflicting sources, or a map or broker listing alone. See the scale below.</t>
  </si>
  <si>
    <t xml:space="preserve">YYYY-MM, unknown or blank</t>
  </si>
  <si>
    <t xml:space="preserve">For signed-not-occupied and moving-out rows: YYYY-MM if a source states the month, else 'unknown' (a planned season is written in notes). Blank when the row is occupied or occupancy-unconfirmed.</t>
  </si>
  <si>
    <t xml:space="preserve">Y if the company is inside a coworking or serviced-office space (listed as a resident, or on a floor the operator holds), else N. Y rows are excluded as offices.</t>
  </si>
  <si>
    <t xml:space="preserve">B-W-### or blank</t>
  </si>
  <si>
    <t xml:space="preserve">B-W-### of the coworking site the company is inside (only when in_coworking = Y). For a company that merely shares a building with a coworking site, see coworking_check and the building's coworking_ids.</t>
  </si>
  <si>
    <t xml:space="preserve">operator, tenant, unknown (coworking rows)</t>
  </si>
  <si>
    <t xml:space="preserve">operator (the operator's own page or listing says it supplies coffee, drinks or snacks), tenant, or unknown.</t>
  </si>
  <si>
    <t xml:space="preserve">walk-up, security desk, loading dock, unknown</t>
  </si>
  <si>
    <t xml:space="preserve">walk-up, security desk, loading dock or unknown. Set only from an opened source (broker page, building site, press); undated broker pages are a starting point for the walk, not a verification.</t>
  </si>
  <si>
    <t xml:space="preserve">Source for lobby_type.</t>
  </si>
  <si>
    <t xml:space="preserve">yes, no, unknown</t>
  </si>
  <si>
    <t xml:space="preserve">yes, no or unknown: whether the building requires a certificate of insurance for deliveries. No opened source states a delivery rule, so every row is unknown.</t>
  </si>
  <si>
    <t xml:space="preserve">Y when the employer's own policy text names Tuesday as an office day.</t>
  </si>
  <si>
    <t xml:space="preserve">The words the attendance signal rests on.</t>
  </si>
  <si>
    <t xml:space="preserve">Page the attendance signal comes from (Built In offices page, opened 2026-10-24, or B's source).</t>
  </si>
  <si>
    <t xml:space="preserve">Date that page was opened.</t>
  </si>
  <si>
    <t xml:space="preserve">candidate, excluded-coworking, excluded-not-office, near-miss, coworking-operator</t>
  </si>
  <si>
    <t xml:space="preserve">candidate (in the boundary, 40-500 or unknown band, not in coworking); excluded-coworking; excluded-not-office (for example a mailbox suite); near-miss-over-500; near-miss-outside.</t>
  </si>
  <si>
    <t xml:space="preserve">Near-miss tab only: just-over-500 (501 to 1,000, the brief's 'just over 500'), over-1,000 (1,001 to 4,999), not-near (5,000 or more), over-500-count-not-cited, or outside-line (past the boundary).</t>
  </si>
  <si>
    <t xml:space="preserve">Near-miss tab only: Y where a source suggests the New York office alone could fit the 40-250 band (a small NYC lease against an HQ elsewhere, or the source says so). A flag for a founder look, not a size estimate.</t>
  </si>
  <si>
    <t xml:space="preserve">numbers</t>
  </si>
  <si>
    <t xml:space="preserve">Office sizes (square feet) that appear in the sourced notes. A fact from the source, not a headcount.</t>
  </si>
  <si>
    <t xml:space="preserve">B's research notes for the row, with sources.</t>
  </si>
  <si>
    <t xml:space="preserve">Facts this workstream changed after B, each with its source and date (_work/stage3_corrections.csv).</t>
  </si>
  <si>
    <t xml:space="preserve">two-letter state, country or unknown</t>
  </si>
  <si>
    <t xml:space="preserve">Brand HQ state.</t>
  </si>
  <si>
    <t xml:space="preserve">nyc, nys, northeast, elsewhere, unknown, with '(unverified)'</t>
  </si>
  <si>
    <t xml:space="preserve">HQ class used by score_ny (New York brands come first).</t>
  </si>
  <si>
    <t xml:space="preserve">Funding stage as researched.</t>
  </si>
  <si>
    <t xml:space="preserve">Source of funding_stage.</t>
  </si>
  <si>
    <t xml:space="preserve">Y, likely, unknown, N</t>
  </si>
  <si>
    <t xml:space="preserve">Sealed and shelf-stable; N fails the gate; likely or unknown pass with founder_review (the 60-day shelf life is asked at intake, q1).</t>
  </si>
  <si>
    <t xml:space="preserve">The page and words shelf_stable rests on.</t>
  </si>
  <si>
    <t xml:space="preserve">Y, unknown, N</t>
  </si>
  <si>
    <t xml:space="preserve">Single-serve, individually packaged SKU.</t>
  </si>
  <si>
    <t xml:space="preserve">The brand sells online (its own store, or Amazon linked from its site).</t>
  </si>
  <si>
    <t xml:space="preserve">under-500k, 500k-10m, over-10m, unknown</t>
  </si>
  <si>
    <t xml:space="preserve">Revenue band with basis, or unknown. Over $10M sets the -35 review penalty.</t>
  </si>
  <si>
    <t xml:space="preserve">reported, company projection, press quote, and its age.</t>
  </si>
  <si>
    <t xml:space="preserve">The figure and its source, or unknown.</t>
  </si>
  <si>
    <t xml:space="preserve">Researcher's note on claims (nutrient-content claims are allowed with founder_review; structure or function claims fail the gate).</t>
  </si>
  <si>
    <t xml:space="preserve">The researcher's own exclusion call.</t>
  </si>
  <si>
    <t xml:space="preserve">Why the researcher excluded it.</t>
  </si>
  <si>
    <t xml:space="preserve">Street blocks from the boundary to nearest_stocked_retailer (B's grid measure); 0 is inside.</t>
  </si>
  <si>
    <t xml:space="preserve">The nearest graded store is inside the line.</t>
  </si>
  <si>
    <t xml:space="preserve">Stores within ten blocks graded store_selector or brand_claim.</t>
  </si>
  <si>
    <t xml:space="preserve">list</t>
  </si>
  <si>
    <t xml:space="preserve">Every store within ten blocks with grade and distance.</t>
  </si>
  <si>
    <t xml:space="preserve">Stores further out or with no address.</t>
  </si>
  <si>
    <t xml:space="preserve">Retailers the researcher found (any distance).</t>
  </si>
  <si>
    <t xml:space="preserve">URLs</t>
  </si>
  <si>
    <t xml:space="preserve">Pages behind the store links (store catalog, locator).</t>
  </si>
  <si>
    <t xml:space="preserve">press, listing, unverified, none, stale (over 12 months)</t>
  </si>
  <si>
    <t xml:space="preserve">press: a third party; listing: the brand's own site or store feed; unverified earns nothing.</t>
  </si>
  <si>
    <t xml:space="preserve">Days from why_now_date to 2026-10-24.</t>
  </si>
  <si>
    <t xml:space="preserve">The public Startup CPG page behind startup_cpg_member = Y.</t>
  </si>
  <si>
    <t xml:space="preserve">Brand Instagram (not opened).</t>
  </si>
  <si>
    <t xml:space="preserve">BR1 to BR5</t>
  </si>
  <si>
    <t xml:space="preserve">Which research slice found the brand.</t>
  </si>
  <si>
    <t xml:space="preserve">BRn:line</t>
  </si>
  <si>
    <t xml:space="preserve">The line in that slice file.</t>
  </si>
  <si>
    <t xml:space="preserve">Research notes with sources, then build notes after ' | '.</t>
  </si>
  <si>
    <t xml:space="preserve">Every field update applied to the row, with source, date and confidence.</t>
  </si>
  <si>
    <t xml:space="preserve">outreach tracking (E)</t>
  </si>
  <si>
    <t xml:space="preserve">&lt;side&gt;-&lt;stage&gt;-&lt;variant&gt;, e.g. office-discovery-A</t>
  </si>
  <si>
    <t xml:space="preserve">E: the sequence started (desk-drop-outreach/tracking/csv/clay_tracking_columns.csv).</t>
  </si>
  <si>
    <t xml:space="preserve">E: day the first message with the ask was sent.</t>
  </si>
  <si>
    <t xml:space="preserve">E: day touch 2 was sent.</t>
  </si>
  <si>
    <t xml:space="preserve">E: day touch 3 was sent (last touch).</t>
  </si>
  <si>
    <t xml:space="preserve">E: the latest reply.</t>
  </si>
  <si>
    <t xml:space="preserve">E's list</t>
  </si>
  <si>
    <t xml:space="preserve">E: the latest meaningful reply type.</t>
  </si>
  <si>
    <t xml:space="preserve">E: the latest conversation.</t>
  </si>
  <si>
    <t xml:space="preserve">one line</t>
  </si>
  <si>
    <t xml:space="preserve">E: one line plus 'see tracker &lt;call_date&gt;'.</t>
  </si>
  <si>
    <t xml:space="preserve">E: Y if any conversation said yes in principle.</t>
  </si>
  <si>
    <t xml:space="preserve">E: the next step (drives the follow-up view).</t>
  </si>
  <si>
    <t xml:space="preserve">E: when the next step is due.</t>
  </si>
  <si>
    <t xml:space="preserve">E: the row that referred this person (a new row E adds).</t>
  </si>
  <si>
    <t xml:space="preserve">E: the street name with no number, for {area}.</t>
  </si>
  <si>
    <t xml:space="preserve">E: the hook written after opening why_now_url.</t>
  </si>
  <si>
    <t xml:space="preserve">two to four words</t>
  </si>
  <si>
    <t xml:space="preserve">E: the product's own name for {product}.</t>
  </si>
  <si>
    <t xml:space="preserve">twelve words or fewer</t>
  </si>
  <si>
    <t xml:space="preserve">E: what they said on the call.</t>
  </si>
  <si>
    <t xml:space="preserve">fifteen words or fewer</t>
  </si>
  <si>
    <t xml:space="preserve">E: how the founder knows them (warm templates).</t>
  </si>
  <si>
    <t xml:space="preserve">E: the referrer agreed to be named.</t>
  </si>
  <si>
    <t xml:space="preserve">E: every office on the brand's route said yes (gates the agreement and invoice).</t>
  </si>
  <si>
    <t xml:space="preserve">view helper</t>
  </si>
  <si>
    <t xml:space="preserve">Y when status is queued, contacted, replied, call_booked, call_done, yes_in_principle or materials_sent.</t>
  </si>
  <si>
    <t xml:space="preserve">Y when any row in the company_group is in flight or do_not_contact.</t>
  </si>
  <si>
    <t xml:space="preserve">Y when status = new, do_not_contact = N, ready_for_outreach = Y, opt_out_date blank and the group is not blocked.</t>
  </si>
  <si>
    <t xml:space="preserve">Y for the best-scored eligible row of its group (one contact per company).</t>
  </si>
  <si>
    <t xml:space="preserve">Y for daily_view_rank 1 to 10.</t>
  </si>
  <si>
    <t xml:space="preserve">The row's position (the workbook uses ROW()); the last tie-break.</t>
  </si>
  <si>
    <t xml:space="preserve">table</t>
  </si>
  <si>
    <t xml:space="preserve">part</t>
  </si>
  <si>
    <t xml:space="preserve">points</t>
  </si>
  <si>
    <t xml:space="preserve">rule in plain words</t>
  </si>
  <si>
    <t xml:space="preserve">Offices</t>
  </si>
  <si>
    <t xml:space="preserve">HARD GATES</t>
  </si>
  <si>
    <t xml:space="preserve">Applied before any enrichment spend. A row fails if any one holds; a failed row scores 0.</t>
  </si>
  <si>
    <t xml:space="preserve">gate</t>
  </si>
  <si>
    <t xml:space="preserve">Outside the cluster: B's in_boundary = N against cluster-1-flatiron/boundary.geojson.</t>
  </si>
  <si>
    <t xml:space="preserve">Inside a coworking space (B's in_coworking = Y), or no staffed office at the address.</t>
  </si>
  <si>
    <t xml:space="preserve">Tuesday estimate wholly under 30 or wholly over 250. A range that crosses 30 or 250 passes with a flag.</t>
  </si>
  <si>
    <t xml:space="preserve">Coworking site whose operator is not shown to control the pantry, or a site possibly closed.</t>
  </si>
  <si>
    <t xml:space="preserve">SCORE</t>
  </si>
  <si>
    <t xml:space="preserve">How likely this office fits the drop and can say yes, from what is known today.</t>
  </si>
  <si>
    <t xml:space="preserve">25 x the share of the Tuesday range inside 40 to 250 (ratio scale), plus 5 when the count is for the New York office; unknown headcount 7.</t>
  </si>
  <si>
    <t xml:space="preserve">500 or fewer staff 15; 501 to 1,000 6; 1,001 to 4,999 2; 5,000+ 0; unknown 8; minus 4 when a controlling parent is named.</t>
  </si>
  <si>
    <t xml:space="preserve">Occupied 10, occupancy-unconfirmed 5, signed-not-occupied 2; 0 with an address conflict; plus source confidence high 5, medium 3, low 0.</t>
  </si>
  <si>
    <t xml:space="preserve">Primary contact in the five target titles (or their direct forms), on an opened page, in New York: 10. Any other named person: 5. Nobody: 0.</t>
  </si>
  <si>
    <t xml:space="preserve">0 or 15</t>
  </si>
  <si>
    <t xml:space="preserve">known_to_founder = Y.</t>
  </si>
  <si>
    <t xml:space="preserve">ties</t>
  </si>
  <si>
    <t xml:space="preserve">Share of the range inside 40 to 250, then source confidence, then name.</t>
  </si>
  <si>
    <t xml:space="preserve">Tuesday estimate</t>
  </si>
  <si>
    <t xml:space="preserve">Sourced count x New York share (100% for a New York office count; 50% to 100% for a company-wide count with a New York HQ; 5% to 100% otherwise) x the in-office rate (67% for firms of 500 or fewer, 57% for 501 to 4,999, 46% for 5,000+; Partnership for New York City, March 2025, via plan.md). Low to high, central = square root of low x high. An estimate until intake replaces it.</t>
  </si>
  <si>
    <t xml:space="preserve">Brands</t>
  </si>
  <si>
    <t xml:space="preserve">A row fails if any one holds; a failed row scores 0.</t>
  </si>
  <si>
    <t xml:space="preserve">Excluded category: alcohol, cannabis or hemp, supplements, anything needing preparation.</t>
  </si>
  <si>
    <t xml:space="preserve">An explicit health claim (structure or function wording such as 'supports gut health'). Nutrient-content claims such as '10g protein' pass with founder_review = Y.</t>
  </si>
  <si>
    <t xml:space="preserve">Not shelf-stable: refrigerated, frozen, under 60 days, or shelf_stable = N.</t>
  </si>
  <si>
    <t xml:space="preserve">No buy path: no graded store (store_selector or brand_claim) within ten blocks of the cluster and no online store.</t>
  </si>
  <si>
    <t xml:space="preserve">How likely this brand fits a founding campaign now: buyable near the offices, New York first, with a reason to sample now and a reachable owner.</t>
  </si>
  <si>
    <t xml:space="preserve">Store page inside the cluster 25; store page within ten blocks 20; brand locator inside 17; brand locator within ten 13; online store only 6; none 0.</t>
  </si>
  <si>
    <t xml:space="preserve">HQ New York City 20; rest of New York State 13; Northeast 8; elsewhere 3; unknown 4; minus 3 when a New York HQ is unverified.</t>
  </si>
  <si>
    <t xml:space="preserve">Press in the last 180 days 15, 181 to 365 days 8; own new listing in 180 days 8, 181 to 365 days 4; none or unverified 0.</t>
  </si>
  <si>
    <t xml:space="preserve">$500k to $10M 10; unknown 5; under $500k 2; over $10M 0.</t>
  </si>
  <si>
    <t xml:space="preserve">Founder named on an opened page 6 (first name only or snippet 3); marketing lead on an opened page 4 (snippet 2).</t>
  </si>
  <si>
    <t xml:space="preserve">0 or 10</t>
  </si>
  <si>
    <t xml:space="preserve">The most severe founder-review type: revenue over $10M sourced -35; owned by a large company -25; scale signals -12; dormant -12; heritage -10; perishable risk -8; under $500k -5; alcohol-adjacent -5; borderline claim -4; pack format -4; other -2.</t>
  </si>
  <si>
    <t xml:space="preserve">Store grade, then why-now points, then name.</t>
  </si>
  <si>
    <t xml:space="preserve">Both</t>
  </si>
  <si>
    <t xml:space="preserve">DAILY VIEW</t>
  </si>
  <si>
    <t xml:space="preserve">The ten best-scored rows with status = new, do_not_contact = N, ready_for_outreach = Y and no opt_out_date, taking one row per company_group and skipping any group with a row in flight (queued to materials_sent) or a do-not-contact row.</t>
  </si>
  <si>
    <t xml:space="preserve">Y/N</t>
  </si>
  <si>
    <t xml:space="preserve">Passed the gates, not on hold, a contact named on an opened page, and (offices) a Tuesday band of 40 to 250 or founder_ok_to_queue = Y.</t>
  </si>
  <si>
    <t xml:space="preserve">company_name</t>
  </si>
  <si>
    <t xml:space="preserve">Desk Drop</t>
  </si>
  <si>
    <t xml:space="preserve">The working name lives in this one cell.</t>
  </si>
  <si>
    <t xml:space="preserve">TAGLINE</t>
  </si>
  <si>
    <t xml:space="preserve">Emerging brands. Delivered to your workday.</t>
  </si>
  <si>
    <t xml:space="preserve">minute</t>
  </si>
  <si>
    <t xml:space="preserve">step</t>
  </si>
  <si>
    <t xml:space="preserve">where</t>
  </si>
  <si>
    <t xml:space="preserve">what to do</t>
  </si>
  <si>
    <t xml:space="preserve">0:00-2:00</t>
  </si>
  <si>
    <t xml:space="preserve">1. Log yesterday</t>
  </si>
  <si>
    <t xml:space="preserve">Offices and Brands tabs (or Clay)</t>
  </si>
  <si>
    <t xml:space="preserve">For every reply, bounce and opt-out since yesterday set status (CONTRACTS section 4 words) and E's columns. Any opt-out in any words: do_not_contact = Y, status = do_not_contact, opt_out_date = today. Never reverse it. A wrong_person reply: copy the backup_ contact into the primary columns, reset title_match, set status = new.</t>
  </si>
  <si>
    <t xml:space="preserve">2:00-3:00</t>
  </si>
  <si>
    <t xml:space="preserve">2. Clear holds you checked</t>
  </si>
  <si>
    <t xml:space="preserve">Offices tab</t>
  </si>
  <si>
    <t xml:space="preserve">If a walk-by showed a held company on the lobby directory, set hold_before_outreach = N (it may then enter the view). If you want an under-40 or over-250 estimate in anyway, set founder_ok_to_queue = Y.</t>
  </si>
  <si>
    <t xml:space="preserve">3:00-4:00</t>
  </si>
  <si>
    <t xml:space="preserve">3. Open both daily views</t>
  </si>
  <si>
    <t xml:space="preserve">Daily view - Offices, Daily view - Brands</t>
  </si>
  <si>
    <t xml:space="preserve">They have already updated. Take the top five of each (ten a day, the plan's pace). Rows 6 to 10 are spares for any row that fails step 4.</t>
  </si>
  <si>
    <t xml:space="preserve">4:00-13:00</t>
  </si>
  <si>
    <t xml:space="preserve">4. One minute per row, ten rows</t>
  </si>
  <si>
    <t xml:space="preserve">check_before_send column</t>
  </si>
  <si>
    <t xml:space="preserve">Read score_reason and check_before_send. Do what it says and nothing more: find the person on LinkedIn and paste contact_linkedin_url (this confirms the name and role); confirm an old record; for a brand, re-open the store page before using the retailer line; read a founder-review note. If the person has left or the row is wrong, set status = wrong_person (offices: try the backup) or no, and take the next spare.</t>
  </si>
  <si>
    <t xml:space="preserve">13:00-14:00</t>
  </si>
  <si>
    <t xml:space="preserve">5. Export</t>
  </si>
  <si>
    <t xml:space="preserve">File &gt; Download &gt; CSV (each daily view tab)</t>
  </si>
  <si>
    <t xml:space="preserve">Save the two tabs as daily-view-offices.csv and daily-view-brands.csv for E's draft maker (desk-drop-outreach/messages/_render/fill.py drafts --daily; it accepts status new or queued for a first touch). Export before step 6: a queued row leaves the live view at once. Sending is E's routine, not this one.</t>
  </si>
  <si>
    <t xml:space="preserve">14:00-15:00</t>
  </si>
  <si>
    <t xml:space="preserve">6. Queue</t>
  </si>
  <si>
    <t xml:space="preserve">status column</t>
  </si>
  <si>
    <t xml:space="preserve">Set status = queued on the rows you will send today (about five per side). They leave the daily view and their company_group is blocked, so no second person from the same company is in flight. Rows you skipped stay new for tomorrow.</t>
  </si>
  <si>
    <t xml:space="preserve">WEEKLY</t>
  </si>
  <si>
    <t xml:space="preserve">Friday, 10 min</t>
  </si>
  <si>
    <t xml:space="preserve">Refresh</t>
  </si>
  <si>
    <t xml:space="preserve">Offices and Brands tabs</t>
  </si>
  <si>
    <t xml:space="preserve">Copy B's walk notes into hold_before_outreach (N once the lobby directory shows the company); mark known_to_founder for anyone you know; add a row for each referral (status = new, referral_from = the referrer's row_id). Before anyone rebuilds the files, save these two tabs as CSV in clay-icp-tables/live/ so status carries over (clay-build-sheet.md, section 4).</t>
  </si>
  <si>
    <t xml:space="preserve">COLOR KEY</t>
  </si>
  <si>
    <t xml:space="preserve">yellow header</t>
  </si>
  <si>
    <t xml:space="preserve">you edit</t>
  </si>
  <si>
    <t xml:space="preserve">status-side columns the founder sets (known_to_founder, hold_before_outreach, founder_ok_to_queue, title_match, contact_linkedin_url, work_email)</t>
  </si>
  <si>
    <t xml:space="preserve">blue header</t>
  </si>
  <si>
    <t xml:space="preserve">outreach edits</t>
  </si>
  <si>
    <t xml:space="preserve">status, do_not_contact and E's tracking columns, written the same day</t>
  </si>
  <si>
    <t xml:space="preserve">grey header</t>
  </si>
  <si>
    <t xml:space="preserve">never type here: score, readiness and the view helpers</t>
  </si>
  <si>
    <t xml:space="preserve">white header</t>
  </si>
  <si>
    <t xml:space="preserve">researched facts; change them by fixing the source in _build/ and rebuilding</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</si>
</sst>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0"/>
      <name val="Arial"/>
      <family val="2"/>
    </font>
  </fonts>
  <fills count="6">
    <fill>
      <patternFill patternType="none"/>
    </fill>
    <fill>
      <patternFill patternType="gray125"/>
    </fill>
    <fill>
      <patternFill patternType="solid">
        <fgColor rgb="FFFFFFFF"/>
        <bgColor rgb="FFFFF2CC"/>
      </patternFill>
    </fill>
    <fill>
      <patternFill patternType="solid">
        <fgColor rgb="FFFFF2CC"/>
        <bgColor rgb="FFFFFFFF"/>
      </patternFill>
    </fill>
    <fill>
      <patternFill patternType="solid">
        <fgColor rgb="FFD9D9D9"/>
        <bgColor rgb="FFDDEBF7"/>
      </patternFill>
    </fill>
    <fill>
      <patternFill patternType="solid">
        <fgColor rgb="FFDDEBF7"/>
        <bgColor rgb="FFD9D9D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4" fillId="4" borderId="0" xfId="0" applyFont="true" applyBorder="false" applyAlignment="false" applyProtection="false">
      <alignment horizontal="general" vertical="bottom" textRotation="0" wrapText="false" indent="0" shrinkToFit="false"/>
      <protection locked="true" hidden="false"/>
    </xf>
    <xf numFmtId="164" fontId="4" fillId="5"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FFF2CC"/>
          <bgColor rgb="FF000000"/>
        </patternFill>
      </fill>
    </dxf>
    <dxf>
      <fill>
        <patternFill patternType="solid">
          <fgColor rgb="FFD9D9D9"/>
          <bgColor rgb="FF000000"/>
        </patternFill>
      </fill>
    </dxf>
    <dxf>
      <fill>
        <patternFill patternType="solid">
          <fgColor rgb="FFDDEBF7"/>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W30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40"/>
    <col collapsed="false" customWidth="true" hidden="false" outlineLevel="0" max="4" min="3" style="0" width="14"/>
    <col collapsed="false" customWidth="true" hidden="false" outlineLevel="0" max="5" min="5" style="0" width="40"/>
    <col collapsed="false" customWidth="true" hidden="false" outlineLevel="0" max="10" min="6" style="0" width="14"/>
    <col collapsed="false" customWidth="true" hidden="false" outlineLevel="0" max="11" min="11" style="0" width="40"/>
    <col collapsed="false" customWidth="true" hidden="false" outlineLevel="0" max="14" min="12" style="0" width="14"/>
    <col collapsed="false" customWidth="true" hidden="false" outlineLevel="0" max="15" min="15" style="0" width="40"/>
    <col collapsed="false" customWidth="true" hidden="false" outlineLevel="0" max="27" min="16" style="0" width="14"/>
    <col collapsed="false" customWidth="true" hidden="false" outlineLevel="0" max="28" min="28" style="0" width="40"/>
    <col collapsed="false" customWidth="true" hidden="false" outlineLevel="0" max="43" min="29" style="0" width="14"/>
    <col collapsed="false" customWidth="true" hidden="false" outlineLevel="0" max="44" min="44" style="0" width="40"/>
    <col collapsed="false" customWidth="true" hidden="false" outlineLevel="0" max="46" min="45" style="0" width="14"/>
    <col collapsed="false" customWidth="true" hidden="false" outlineLevel="0" max="47" min="47" style="0" width="40"/>
    <col collapsed="false" customWidth="true" hidden="false" outlineLevel="0" max="50" min="48" style="0" width="14"/>
    <col collapsed="false" customWidth="true" hidden="false" outlineLevel="0" max="51" min="51" style="0" width="40"/>
    <col collapsed="false" customWidth="true" hidden="false" outlineLevel="0" max="94" min="52" style="0" width="14"/>
    <col collapsed="false" customWidth="true" hidden="false" outlineLevel="0" max="95" min="95" style="0" width="40"/>
    <col collapsed="false" customWidth="true" hidden="false" outlineLevel="0" max="114" min="96" style="0" width="14"/>
    <col collapsed="false" customWidth="true" hidden="false" outlineLevel="0" max="115" min="115" style="0" width="40"/>
    <col collapsed="false" customWidth="true" hidden="false" outlineLevel="0" max="118" min="116" style="0" width="14"/>
    <col collapsed="false" customWidth="true" hidden="false" outlineLevel="0" max="119" min="119" style="0" width="40"/>
    <col collapsed="false" customWidth="true" hidden="false" outlineLevel="0" max="153" min="120" style="0" width="14"/>
  </cols>
  <sheetData>
    <row r="1" customFormat="false" ht="15" hidden="false" customHeight="false" outlineLevel="0" collapsed="false">
      <c r="A1" s="1" t="s">
        <v>0</v>
      </c>
      <c r="B1" s="1" t="s">
        <v>1</v>
      </c>
      <c r="C1" s="1" t="s">
        <v>2</v>
      </c>
      <c r="D1" s="1" t="s">
        <v>3</v>
      </c>
      <c r="E1" s="1" t="s">
        <v>4</v>
      </c>
      <c r="F1" s="2" t="s">
        <v>5</v>
      </c>
      <c r="G1" s="2" t="s">
        <v>6</v>
      </c>
      <c r="H1" s="2" t="s">
        <v>7</v>
      </c>
      <c r="I1" s="1" t="s">
        <v>8</v>
      </c>
      <c r="J1" s="3" t="s">
        <v>9</v>
      </c>
      <c r="K1" s="1" t="s">
        <v>10</v>
      </c>
      <c r="L1" s="1" t="s">
        <v>11</v>
      </c>
      <c r="M1" s="1" t="s">
        <v>12</v>
      </c>
      <c r="N1" s="1" t="s">
        <v>13</v>
      </c>
      <c r="O1" s="1" t="s">
        <v>14</v>
      </c>
      <c r="P1" s="1" t="s">
        <v>15</v>
      </c>
      <c r="Q1" s="1" t="s">
        <v>16</v>
      </c>
      <c r="R1" s="2" t="s">
        <v>17</v>
      </c>
      <c r="S1" s="1" t="s">
        <v>18</v>
      </c>
      <c r="T1" s="4" t="s">
        <v>19</v>
      </c>
      <c r="U1" s="4" t="s">
        <v>20</v>
      </c>
      <c r="V1" s="1" t="s">
        <v>21</v>
      </c>
      <c r="W1" s="1" t="s">
        <v>22</v>
      </c>
      <c r="X1" s="1" t="s">
        <v>23</v>
      </c>
      <c r="Y1" s="3" t="s">
        <v>24</v>
      </c>
      <c r="Z1" s="1" t="s">
        <v>25</v>
      </c>
      <c r="AA1" s="1" t="s">
        <v>26</v>
      </c>
      <c r="AB1" s="1" t="s">
        <v>27</v>
      </c>
      <c r="AC1" s="1" t="s">
        <v>28</v>
      </c>
      <c r="AD1" s="1" t="s">
        <v>29</v>
      </c>
      <c r="AE1" s="1" t="s">
        <v>30</v>
      </c>
      <c r="AF1" s="1" t="s">
        <v>31</v>
      </c>
      <c r="AG1" s="1" t="s">
        <v>32</v>
      </c>
      <c r="AH1" s="2" t="s">
        <v>33</v>
      </c>
      <c r="AI1" s="1" t="s">
        <v>34</v>
      </c>
      <c r="AJ1" s="1" t="s">
        <v>35</v>
      </c>
      <c r="AK1" s="1" t="s">
        <v>36</v>
      </c>
      <c r="AL1" s="1" t="s">
        <v>37</v>
      </c>
      <c r="AM1" s="1" t="s">
        <v>38</v>
      </c>
      <c r="AN1" s="1" t="s">
        <v>39</v>
      </c>
      <c r="AO1" s="1" t="s">
        <v>40</v>
      </c>
      <c r="AP1" s="1" t="s">
        <v>41</v>
      </c>
      <c r="AQ1" s="2" t="s">
        <v>42</v>
      </c>
      <c r="AR1" s="1" t="s">
        <v>43</v>
      </c>
      <c r="AS1" s="4" t="s">
        <v>44</v>
      </c>
      <c r="AT1" s="3" t="s">
        <v>45</v>
      </c>
      <c r="AU1" s="3" t="s">
        <v>46</v>
      </c>
      <c r="AV1" s="2"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3" t="s">
        <v>102</v>
      </c>
      <c r="CZ1" s="3" t="s">
        <v>103</v>
      </c>
      <c r="DA1" s="1" t="s">
        <v>104</v>
      </c>
      <c r="DB1" s="1" t="s">
        <v>105</v>
      </c>
      <c r="DC1" s="1" t="s">
        <v>106</v>
      </c>
      <c r="DD1" s="2" t="s">
        <v>107</v>
      </c>
      <c r="DE1" s="2" t="s">
        <v>108</v>
      </c>
      <c r="DF1" s="2"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4" t="s">
        <v>130</v>
      </c>
      <c r="EB1" s="4" t="s">
        <v>131</v>
      </c>
      <c r="EC1" s="4" t="s">
        <v>132</v>
      </c>
      <c r="ED1" s="4" t="s">
        <v>133</v>
      </c>
      <c r="EE1" s="4" t="s">
        <v>134</v>
      </c>
      <c r="EF1" s="4" t="s">
        <v>135</v>
      </c>
      <c r="EG1" s="4" t="s">
        <v>136</v>
      </c>
      <c r="EH1" s="4" t="s">
        <v>137</v>
      </c>
      <c r="EI1" s="4" t="s">
        <v>138</v>
      </c>
      <c r="EJ1" s="4" t="s">
        <v>139</v>
      </c>
      <c r="EK1" s="4" t="s">
        <v>140</v>
      </c>
      <c r="EL1" s="4" t="s">
        <v>141</v>
      </c>
      <c r="EM1" s="4" t="s">
        <v>142</v>
      </c>
      <c r="EN1" s="4" t="s">
        <v>143</v>
      </c>
      <c r="EO1" s="4" t="s">
        <v>144</v>
      </c>
      <c r="EP1" s="4" t="s">
        <v>145</v>
      </c>
      <c r="EQ1" s="4" t="s">
        <v>146</v>
      </c>
      <c r="ER1" s="3" t="s">
        <v>147</v>
      </c>
      <c r="ES1" s="3" t="s">
        <v>148</v>
      </c>
      <c r="ET1" s="3" t="s">
        <v>149</v>
      </c>
      <c r="EU1" s="3" t="s">
        <v>150</v>
      </c>
      <c r="EV1" s="3" t="s">
        <v>151</v>
      </c>
      <c r="EW1" s="3" t="s">
        <v>152</v>
      </c>
    </row>
    <row r="2" customFormat="false" ht="15" hidden="false" customHeight="false" outlineLevel="0" collapsed="false">
      <c r="A2" s="0" t="s">
        <v>153</v>
      </c>
      <c r="B2" s="0" t="s">
        <v>154</v>
      </c>
      <c r="C2" s="0" t="s">
        <v>155</v>
      </c>
      <c r="D2" s="0" t="s">
        <v>156</v>
      </c>
      <c r="E2" s="0" t="s">
        <v>157</v>
      </c>
      <c r="H2" s="5" t="s">
        <v>158</v>
      </c>
      <c r="I2" s="5" t="s">
        <v>159</v>
      </c>
      <c r="J2" s="0" t="n">
        <f aca="false">IF(AX2="pass",ROUND(CU2+CV2+CW2+CX2+CY2+CZ2,1),0)</f>
        <v>80</v>
      </c>
      <c r="K2" s="0" t="s">
        <v>160</v>
      </c>
      <c r="L2" s="0" t="s">
        <v>161</v>
      </c>
      <c r="R2" s="5" t="s">
        <v>162</v>
      </c>
      <c r="S2" s="0" t="s">
        <v>163</v>
      </c>
      <c r="T2" s="5" t="s">
        <v>162</v>
      </c>
      <c r="U2" s="5" t="s">
        <v>164</v>
      </c>
      <c r="V2" s="0" t="s">
        <v>165</v>
      </c>
      <c r="W2" s="0" t="s">
        <v>166</v>
      </c>
      <c r="X2" s="0" t="s">
        <v>167</v>
      </c>
      <c r="Y2" s="0" t="str">
        <f aca="false">IF(EU2&lt;&gt;"Y","",COUNTIFS($EU$2:$EU$1000,"Y",$J$2:$J$1000,"&gt;"&amp;J2)+COUNTIFS($EU$2:$EU$1000,"Y",$J$2:$J$1000,J2,$EW$2:$EW$1000,"&lt;"&amp;EW2)+1)</f>
        <v/>
      </c>
      <c r="Z2" s="0" t="n">
        <v>1</v>
      </c>
      <c r="AA2" s="0" t="s">
        <v>168</v>
      </c>
      <c r="AB2" s="0" t="s">
        <v>169</v>
      </c>
      <c r="AC2" s="0" t="s">
        <v>170</v>
      </c>
      <c r="AD2" s="0" t="s">
        <v>171</v>
      </c>
      <c r="AE2" s="0" t="s">
        <v>172</v>
      </c>
      <c r="AF2" s="0" t="s">
        <v>173</v>
      </c>
      <c r="AG2" s="0" t="s">
        <v>174</v>
      </c>
      <c r="AH2" s="5" t="s">
        <v>175</v>
      </c>
      <c r="AI2" s="0" t="s">
        <v>176</v>
      </c>
      <c r="AJ2" s="0" t="s">
        <v>177</v>
      </c>
      <c r="AK2" s="0" t="s">
        <v>178</v>
      </c>
      <c r="AL2" s="0" t="n">
        <v>63</v>
      </c>
      <c r="AM2" s="0" t="n">
        <v>125</v>
      </c>
      <c r="AN2" s="0" t="s">
        <v>179</v>
      </c>
      <c r="AO2" s="0" t="s">
        <v>180</v>
      </c>
      <c r="AP2" s="0" t="s">
        <v>153</v>
      </c>
      <c r="AQ2" s="5" t="s">
        <v>162</v>
      </c>
      <c r="AT2" s="0" t="str">
        <f aca="false">IF(AND(AX2="pass",AQ2&lt;&gt;"Y",C2&lt;&gt;"",OR(AW2&lt;&gt;"Y",AV2="Y")),"Y","N")</f>
        <v>Y</v>
      </c>
      <c r="AU2" s="0" t="str">
        <f aca="false">_xlfn.TEXTJOIN("; ",TRUE(),IF(AX2&lt;&gt;"pass","gated out",""),IF(AQ2="Y","on hold: "&amp;AR2,""),IF(C2="","no contact named on an opened page",""),IF(AND(AW2="Y",AV2&lt;&gt;"Y"),"Tuesday estimate band "&amp;L2&amp;": founder's call",""))</f>
        <v/>
      </c>
      <c r="AW2" s="0" t="s">
        <v>162</v>
      </c>
      <c r="AX2" s="0" t="s">
        <v>181</v>
      </c>
      <c r="AY2" s="0" t="s">
        <v>182</v>
      </c>
      <c r="AZ2" s="0" t="s">
        <v>1</v>
      </c>
      <c r="BA2" s="0" t="s">
        <v>183</v>
      </c>
      <c r="BB2" s="0" t="s">
        <v>184</v>
      </c>
      <c r="BC2" s="0" t="s">
        <v>185</v>
      </c>
      <c r="BD2" s="0" t="s">
        <v>186</v>
      </c>
      <c r="BF2" s="0" t="s">
        <v>187</v>
      </c>
      <c r="BG2" s="0" t="s">
        <v>188</v>
      </c>
      <c r="BH2" s="0" t="s">
        <v>189</v>
      </c>
      <c r="BI2" s="0" t="s">
        <v>190</v>
      </c>
      <c r="BK2" s="0" t="s">
        <v>191</v>
      </c>
      <c r="BL2" s="0" t="s">
        <v>192</v>
      </c>
      <c r="BM2" s="0" t="s">
        <v>168</v>
      </c>
      <c r="BN2" s="0" t="s">
        <v>163</v>
      </c>
      <c r="BO2" s="0" t="s">
        <v>163</v>
      </c>
      <c r="BP2" s="0" t="s">
        <v>193</v>
      </c>
      <c r="BQ2" s="0" t="n">
        <v>40.73686</v>
      </c>
      <c r="BR2" s="0" t="n">
        <v>-73.988546</v>
      </c>
      <c r="BS2" s="0" t="s">
        <v>168</v>
      </c>
      <c r="BT2" s="0" t="n">
        <v>0</v>
      </c>
      <c r="BU2" s="0" t="s">
        <v>194</v>
      </c>
      <c r="BV2" s="0" t="s">
        <v>195</v>
      </c>
      <c r="BW2" s="0" t="s">
        <v>165</v>
      </c>
      <c r="BX2" s="0" t="s">
        <v>166</v>
      </c>
      <c r="BY2" s="0" t="s">
        <v>196</v>
      </c>
      <c r="BZ2" s="0" t="s">
        <v>197</v>
      </c>
      <c r="CA2" s="0" t="s">
        <v>198</v>
      </c>
      <c r="CB2" s="0" t="s">
        <v>199</v>
      </c>
      <c r="CC2" s="0" t="s">
        <v>200</v>
      </c>
      <c r="CE2" s="0" t="s">
        <v>162</v>
      </c>
      <c r="CH2" s="0" t="s">
        <v>201</v>
      </c>
      <c r="CI2" s="0" t="s">
        <v>202</v>
      </c>
      <c r="CJ2" s="0" t="s">
        <v>163</v>
      </c>
      <c r="CK2" s="0" t="s">
        <v>162</v>
      </c>
      <c r="CL2" s="0" t="s">
        <v>203</v>
      </c>
      <c r="CM2" s="0" t="s">
        <v>204</v>
      </c>
      <c r="CN2" s="0" t="s">
        <v>174</v>
      </c>
      <c r="CO2" s="0" t="n">
        <v>89</v>
      </c>
      <c r="CQ2" s="0" t="s">
        <v>205</v>
      </c>
      <c r="CR2" s="0" t="s">
        <v>206</v>
      </c>
      <c r="CS2" s="0" t="n">
        <v>1</v>
      </c>
      <c r="CT2" s="0" t="n">
        <v>80</v>
      </c>
      <c r="CU2" s="0" t="n">
        <v>25</v>
      </c>
      <c r="CV2" s="0" t="n">
        <v>15</v>
      </c>
      <c r="CW2" s="0" t="n">
        <v>15</v>
      </c>
      <c r="CX2" s="0" t="n">
        <v>15</v>
      </c>
      <c r="CY2" s="0" t="n">
        <f aca="false">IF(AH2="exact",10,IF(AH2="adjacent",5,0))</f>
        <v>10</v>
      </c>
      <c r="CZ2" s="0" t="n">
        <f aca="false">IF(R2="Y",15,0)</f>
        <v>0</v>
      </c>
      <c r="DA2" s="0" t="s">
        <v>207</v>
      </c>
      <c r="DB2" s="0" t="s">
        <v>208</v>
      </c>
      <c r="DC2" s="0" t="s">
        <v>209</v>
      </c>
      <c r="DD2" s="0" t="s">
        <v>210</v>
      </c>
      <c r="DF2" s="0" t="s">
        <v>158</v>
      </c>
      <c r="DG2" s="0" t="s">
        <v>211</v>
      </c>
      <c r="DJ2" s="0" t="s">
        <v>212</v>
      </c>
      <c r="DK2" s="0" t="s">
        <v>213</v>
      </c>
      <c r="DM2" s="0" t="s">
        <v>214</v>
      </c>
      <c r="DO2" s="0" t="s">
        <v>215</v>
      </c>
      <c r="DQ2" s="0" t="s">
        <v>216</v>
      </c>
      <c r="DR2" s="0" t="s">
        <v>217</v>
      </c>
      <c r="DS2" s="0" t="s">
        <v>171</v>
      </c>
      <c r="DT2" s="0" t="s">
        <v>172</v>
      </c>
      <c r="DU2" s="0" t="s">
        <v>218</v>
      </c>
      <c r="DV2" s="0" t="s">
        <v>219</v>
      </c>
      <c r="DW2" s="0" t="s">
        <v>220</v>
      </c>
      <c r="DX2" s="0" t="s">
        <v>168</v>
      </c>
      <c r="DY2" s="0" t="s">
        <v>221</v>
      </c>
      <c r="ER2" s="0" t="str">
        <f aca="false">IF(ISNUMBER(MATCH(U2,{"queued","contacted","replied","call_booked","call_done","yes_in_principle","materials_sent"},0)),"Y","N")</f>
        <v>Y</v>
      </c>
      <c r="ES2" s="0" t="str">
        <f aca="false">IF(COUNTIFS($AP$2:$AP$1000,AP2,$ER$2:$ER$1000,"Y")+COUNTIFS($AP$2:$AP$1000,AP2,$T$2:$T$1000,"Y")&gt;0,"Y","N")</f>
        <v>Y</v>
      </c>
      <c r="ET2" s="0" t="str">
        <f aca="false">IF(AND(U2="new",T2="N",AT2="Y",AS2="",ES2="N"),"Y","N")</f>
        <v>N</v>
      </c>
      <c r="EU2" s="0" t="str">
        <f aca="false">IF(ET2&lt;&gt;"Y","N",IF(COUNTIFS($AP$2:$AP$1000,AP2,$ET$2:$ET$1000,"Y",$J$2:$J$1000,"&gt;"&amp;J2)+COUNTIFS($AP$2:$AP$1000,AP2,$ET$2:$ET$1000,"Y",$J$2:$J$1000,J2,$EW$2:$EW$1000,"&lt;"&amp;EW2)=0,"Y","N"))</f>
        <v>N</v>
      </c>
      <c r="EV2" s="0" t="str">
        <f aca="false">IF(Y2="","N",IF(Y2&lt;=10,"Y","N"))</f>
        <v>N</v>
      </c>
      <c r="EW2" s="0" t="n">
        <f aca="false">ROW()-1</f>
        <v>1</v>
      </c>
    </row>
    <row r="3" customFormat="false" ht="15" hidden="false" customHeight="false" outlineLevel="0" collapsed="false">
      <c r="A3" s="0" t="s">
        <v>222</v>
      </c>
      <c r="B3" s="0" t="s">
        <v>223</v>
      </c>
      <c r="C3" s="0" t="s">
        <v>224</v>
      </c>
      <c r="D3" s="0" t="s">
        <v>225</v>
      </c>
      <c r="E3" s="0" t="s">
        <v>226</v>
      </c>
      <c r="H3" s="5" t="s">
        <v>158</v>
      </c>
      <c r="I3" s="5" t="s">
        <v>159</v>
      </c>
      <c r="J3" s="0" t="n">
        <f aca="false">IF(AX3="pass",ROUND(CU3+CV3+CW3+CX3+CY3+CZ3,1),0)</f>
        <v>76.5</v>
      </c>
      <c r="K3" s="0" t="s">
        <v>227</v>
      </c>
      <c r="L3" s="0" t="s">
        <v>187</v>
      </c>
      <c r="R3" s="5" t="s">
        <v>162</v>
      </c>
      <c r="S3" s="0" t="s">
        <v>163</v>
      </c>
      <c r="T3" s="5" t="s">
        <v>162</v>
      </c>
      <c r="U3" s="5" t="s">
        <v>164</v>
      </c>
      <c r="V3" s="0" t="s">
        <v>228</v>
      </c>
      <c r="W3" s="0" t="s">
        <v>166</v>
      </c>
      <c r="X3" s="0" t="s">
        <v>167</v>
      </c>
      <c r="Y3" s="0" t="str">
        <f aca="false">IF(EU3&lt;&gt;"Y","",COUNTIFS($EU$2:$EU$1000,"Y",$J$2:$J$1000,"&gt;"&amp;J3)+COUNTIFS($EU$2:$EU$1000,"Y",$J$2:$J$1000,J3,$EW$2:$EW$1000,"&lt;"&amp;EW3)+1)</f>
        <v/>
      </c>
      <c r="Z3" s="0" t="n">
        <v>2</v>
      </c>
      <c r="AA3" s="0" t="s">
        <v>168</v>
      </c>
      <c r="AB3" s="0" t="s">
        <v>229</v>
      </c>
      <c r="AC3" s="0" t="s">
        <v>170</v>
      </c>
      <c r="AD3" s="0" t="s">
        <v>171</v>
      </c>
      <c r="AE3" s="0" t="s">
        <v>230</v>
      </c>
      <c r="AF3" s="0" t="s">
        <v>231</v>
      </c>
      <c r="AG3" s="0" t="s">
        <v>174</v>
      </c>
      <c r="AH3" s="5" t="s">
        <v>175</v>
      </c>
      <c r="AI3" s="0" t="s">
        <v>232</v>
      </c>
      <c r="AJ3" s="0" t="s">
        <v>233</v>
      </c>
      <c r="AK3" s="0" t="s">
        <v>178</v>
      </c>
      <c r="AL3" s="0" t="n">
        <v>122</v>
      </c>
      <c r="AM3" s="0" t="n">
        <v>281</v>
      </c>
      <c r="AN3" s="0" t="s">
        <v>179</v>
      </c>
      <c r="AO3" s="0" t="s">
        <v>180</v>
      </c>
      <c r="AP3" s="0" t="s">
        <v>222</v>
      </c>
      <c r="AQ3" s="5" t="s">
        <v>162</v>
      </c>
      <c r="AT3" s="0" t="str">
        <f aca="false">IF(AND(AX3="pass",AQ3&lt;&gt;"Y",C3&lt;&gt;"",OR(AW3&lt;&gt;"Y",AV3="Y")),"Y","N")</f>
        <v>Y</v>
      </c>
      <c r="AU3" s="0" t="str">
        <f aca="false">_xlfn.TEXTJOIN("; ",TRUE(),IF(AX3&lt;&gt;"pass","gated out",""),IF(AQ3="Y","on hold: "&amp;AR3,""),IF(C3="","no contact named on an opened page",""),IF(AND(AW3="Y",AV3&lt;&gt;"Y"),"Tuesday estimate band "&amp;L3&amp;": founder's call",""))</f>
        <v/>
      </c>
      <c r="AW3" s="0" t="s">
        <v>162</v>
      </c>
      <c r="AX3" s="0" t="s">
        <v>181</v>
      </c>
      <c r="AY3" s="0" t="s">
        <v>182</v>
      </c>
      <c r="AZ3" s="0" t="s">
        <v>1</v>
      </c>
      <c r="BA3" s="0" t="s">
        <v>234</v>
      </c>
      <c r="BB3" s="0" t="s">
        <v>235</v>
      </c>
      <c r="BC3" s="0" t="s">
        <v>236</v>
      </c>
      <c r="BD3" s="0" t="s">
        <v>237</v>
      </c>
      <c r="BE3" s="0" t="s">
        <v>238</v>
      </c>
      <c r="BF3" s="0" t="s">
        <v>239</v>
      </c>
      <c r="BG3" s="0" t="s">
        <v>188</v>
      </c>
      <c r="BH3" s="0" t="s">
        <v>240</v>
      </c>
      <c r="BI3" s="0" t="s">
        <v>241</v>
      </c>
      <c r="BJ3" s="0" t="s">
        <v>242</v>
      </c>
      <c r="BK3" s="0" t="s">
        <v>191</v>
      </c>
      <c r="BL3" s="0" t="s">
        <v>192</v>
      </c>
      <c r="BM3" s="0" t="s">
        <v>168</v>
      </c>
      <c r="BN3" s="0" t="s">
        <v>163</v>
      </c>
      <c r="BO3" s="0" t="s">
        <v>163</v>
      </c>
      <c r="BP3" s="0" t="s">
        <v>243</v>
      </c>
      <c r="BQ3" s="0" t="n">
        <v>40.742833</v>
      </c>
      <c r="BR3" s="0" t="n">
        <v>-73.984174</v>
      </c>
      <c r="BS3" s="0" t="s">
        <v>168</v>
      </c>
      <c r="BT3" s="0" t="n">
        <v>0</v>
      </c>
      <c r="BU3" s="0" t="s">
        <v>244</v>
      </c>
      <c r="BV3" s="0" t="s">
        <v>245</v>
      </c>
      <c r="BW3" s="0" t="s">
        <v>228</v>
      </c>
      <c r="BX3" s="0" t="s">
        <v>246</v>
      </c>
      <c r="BY3" s="0" t="s">
        <v>247</v>
      </c>
      <c r="BZ3" s="0" t="s">
        <v>248</v>
      </c>
      <c r="CA3" s="0" t="s">
        <v>174</v>
      </c>
      <c r="CC3" s="0" t="s">
        <v>200</v>
      </c>
      <c r="CE3" s="0" t="s">
        <v>162</v>
      </c>
      <c r="CH3" s="0" t="s">
        <v>163</v>
      </c>
      <c r="CJ3" s="0" t="s">
        <v>163</v>
      </c>
      <c r="CK3" s="0" t="s">
        <v>162</v>
      </c>
      <c r="CL3" s="0" t="s">
        <v>249</v>
      </c>
      <c r="CM3" s="0" t="s">
        <v>241</v>
      </c>
      <c r="CN3" s="0" t="s">
        <v>166</v>
      </c>
      <c r="CO3" s="0" t="n">
        <v>185</v>
      </c>
      <c r="CP3" s="0" t="s">
        <v>250</v>
      </c>
      <c r="CQ3" s="0" t="s">
        <v>251</v>
      </c>
      <c r="CR3" s="0" t="s">
        <v>206</v>
      </c>
      <c r="CS3" s="0" t="n">
        <v>0.86</v>
      </c>
      <c r="CT3" s="0" t="n">
        <v>76.5</v>
      </c>
      <c r="CU3" s="0" t="n">
        <v>21.5</v>
      </c>
      <c r="CV3" s="0" t="n">
        <v>15</v>
      </c>
      <c r="CW3" s="0" t="n">
        <v>15</v>
      </c>
      <c r="CX3" s="0" t="n">
        <v>15</v>
      </c>
      <c r="CY3" s="0" t="n">
        <f aca="false">IF(AH3="exact",10,IF(AH3="adjacent",5,0))</f>
        <v>10</v>
      </c>
      <c r="CZ3" s="0" t="n">
        <f aca="false">IF(R3="Y",15,0)</f>
        <v>0</v>
      </c>
      <c r="DA3" s="0" t="s">
        <v>252</v>
      </c>
      <c r="DB3" s="0" t="s">
        <v>253</v>
      </c>
      <c r="DC3" s="0" t="s">
        <v>254</v>
      </c>
      <c r="DF3" s="0" t="s">
        <v>158</v>
      </c>
      <c r="DG3" s="0" t="s">
        <v>211</v>
      </c>
      <c r="DK3" s="0" t="s">
        <v>255</v>
      </c>
      <c r="DM3" s="0" t="s">
        <v>256</v>
      </c>
      <c r="DN3" s="0" t="s">
        <v>257</v>
      </c>
      <c r="DO3" s="0" t="s">
        <v>258</v>
      </c>
      <c r="DQ3" s="0" t="s">
        <v>216</v>
      </c>
      <c r="DR3" s="0" t="s">
        <v>259</v>
      </c>
      <c r="DS3" s="0" t="s">
        <v>171</v>
      </c>
      <c r="DT3" s="0" t="s">
        <v>230</v>
      </c>
      <c r="DU3" s="0" t="s">
        <v>260</v>
      </c>
      <c r="DV3" s="0" t="s">
        <v>261</v>
      </c>
      <c r="DW3" s="0" t="s">
        <v>262</v>
      </c>
      <c r="DX3" s="0" t="s">
        <v>168</v>
      </c>
      <c r="DY3" s="0" t="s">
        <v>263</v>
      </c>
      <c r="ER3" s="0" t="str">
        <f aca="false">IF(ISNUMBER(MATCH(U3,{"queued","contacted","replied","call_booked","call_done","yes_in_principle","materials_sent"},0)),"Y","N")</f>
        <v>Y</v>
      </c>
      <c r="ES3" s="0" t="str">
        <f aca="false">IF(COUNTIFS($AP$2:$AP$1000,AP3,$ER$2:$ER$1000,"Y")+COUNTIFS($AP$2:$AP$1000,AP3,$T$2:$T$1000,"Y")&gt;0,"Y","N")</f>
        <v>Y</v>
      </c>
      <c r="ET3" s="0" t="str">
        <f aca="false">IF(AND(U3="new",T3="N",AT3="Y",AS3="",ES3="N"),"Y","N")</f>
        <v>N</v>
      </c>
      <c r="EU3" s="0" t="str">
        <f aca="false">IF(ET3&lt;&gt;"Y","N",IF(COUNTIFS($AP$2:$AP$1000,AP3,$ET$2:$ET$1000,"Y",$J$2:$J$1000,"&gt;"&amp;J3)+COUNTIFS($AP$2:$AP$1000,AP3,$ET$2:$ET$1000,"Y",$J$2:$J$1000,J3,$EW$2:$EW$1000,"&lt;"&amp;EW3)=0,"Y","N"))</f>
        <v>N</v>
      </c>
      <c r="EV3" s="0" t="str">
        <f aca="false">IF(Y3="","N",IF(Y3&lt;=10,"Y","N"))</f>
        <v>N</v>
      </c>
      <c r="EW3" s="0" t="n">
        <f aca="false">ROW()-1</f>
        <v>2</v>
      </c>
    </row>
    <row r="4" customFormat="false" ht="15" hidden="false" customHeight="false" outlineLevel="0" collapsed="false">
      <c r="A4" s="0" t="s">
        <v>264</v>
      </c>
      <c r="B4" s="0" t="s">
        <v>265</v>
      </c>
      <c r="C4" s="0" t="s">
        <v>266</v>
      </c>
      <c r="D4" s="0" t="s">
        <v>267</v>
      </c>
      <c r="E4" s="0" t="s">
        <v>268</v>
      </c>
      <c r="H4" s="5" t="s">
        <v>158</v>
      </c>
      <c r="I4" s="5" t="s">
        <v>159</v>
      </c>
      <c r="J4" s="0" t="n">
        <f aca="false">IF(AX4="pass",ROUND(CU4+CV4+CW4+CX4+CY4+CZ4,1),0)</f>
        <v>75</v>
      </c>
      <c r="K4" s="0" t="s">
        <v>269</v>
      </c>
      <c r="L4" s="0" t="s">
        <v>161</v>
      </c>
      <c r="R4" s="5" t="s">
        <v>162</v>
      </c>
      <c r="S4" s="0" t="s">
        <v>163</v>
      </c>
      <c r="T4" s="5" t="s">
        <v>162</v>
      </c>
      <c r="U4" s="5" t="s">
        <v>164</v>
      </c>
      <c r="V4" s="0" t="s">
        <v>197</v>
      </c>
      <c r="W4" s="0" t="s">
        <v>166</v>
      </c>
      <c r="X4" s="0" t="s">
        <v>167</v>
      </c>
      <c r="Y4" s="0" t="str">
        <f aca="false">IF(EU4&lt;&gt;"Y","",COUNTIFS($EU$2:$EU$1000,"Y",$J$2:$J$1000,"&gt;"&amp;J4)+COUNTIFS($EU$2:$EU$1000,"Y",$J$2:$J$1000,J4,$EW$2:$EW$1000,"&lt;"&amp;EW4)+1)</f>
        <v/>
      </c>
      <c r="Z4" s="0" t="n">
        <v>3</v>
      </c>
      <c r="AA4" s="0" t="s">
        <v>168</v>
      </c>
      <c r="AB4" s="0" t="s">
        <v>270</v>
      </c>
      <c r="AC4" s="0" t="s">
        <v>170</v>
      </c>
      <c r="AD4" s="0" t="s">
        <v>171</v>
      </c>
      <c r="AE4" s="0" t="s">
        <v>230</v>
      </c>
      <c r="AF4" s="0" t="s">
        <v>271</v>
      </c>
      <c r="AG4" s="0" t="s">
        <v>174</v>
      </c>
      <c r="AH4" s="5" t="s">
        <v>175</v>
      </c>
      <c r="AI4" s="0" t="s">
        <v>176</v>
      </c>
      <c r="AJ4" s="0" t="s">
        <v>272</v>
      </c>
      <c r="AK4" s="0" t="s">
        <v>178</v>
      </c>
      <c r="AL4" s="0" t="n">
        <v>50</v>
      </c>
      <c r="AM4" s="0" t="n">
        <v>134</v>
      </c>
      <c r="AN4" s="0" t="s">
        <v>179</v>
      </c>
      <c r="AO4" s="0" t="s">
        <v>273</v>
      </c>
      <c r="AP4" s="0" t="s">
        <v>264</v>
      </c>
      <c r="AQ4" s="5" t="s">
        <v>162</v>
      </c>
      <c r="AT4" s="0" t="str">
        <f aca="false">IF(AND(AX4="pass",AQ4&lt;&gt;"Y",C4&lt;&gt;"",OR(AW4&lt;&gt;"Y",AV4="Y")),"Y","N")</f>
        <v>Y</v>
      </c>
      <c r="AU4" s="0" t="str">
        <f aca="false">_xlfn.TEXTJOIN("; ",TRUE(),IF(AX4&lt;&gt;"pass","gated out",""),IF(AQ4="Y","on hold: "&amp;AR4,""),IF(C4="","no contact named on an opened page",""),IF(AND(AW4="Y",AV4&lt;&gt;"Y"),"Tuesday estimate band "&amp;L4&amp;": founder's call",""))</f>
        <v/>
      </c>
      <c r="AW4" s="0" t="s">
        <v>162</v>
      </c>
      <c r="AX4" s="0" t="s">
        <v>181</v>
      </c>
      <c r="AY4" s="0" t="s">
        <v>182</v>
      </c>
      <c r="AZ4" s="0" t="s">
        <v>1</v>
      </c>
      <c r="BA4" s="0" t="s">
        <v>274</v>
      </c>
      <c r="BB4" s="0" t="s">
        <v>275</v>
      </c>
      <c r="BC4" s="0" t="s">
        <v>276</v>
      </c>
      <c r="BD4" s="0" t="s">
        <v>277</v>
      </c>
      <c r="BE4" s="0" t="s">
        <v>278</v>
      </c>
      <c r="BF4" s="0" t="s">
        <v>163</v>
      </c>
      <c r="BG4" s="0" t="s">
        <v>163</v>
      </c>
      <c r="BH4" s="0" t="s">
        <v>279</v>
      </c>
      <c r="BI4" s="0" t="s">
        <v>280</v>
      </c>
      <c r="BJ4" s="0" t="s">
        <v>281</v>
      </c>
      <c r="BK4" s="0" t="s">
        <v>191</v>
      </c>
      <c r="BL4" s="0" t="s">
        <v>192</v>
      </c>
      <c r="BM4" s="0" t="s">
        <v>168</v>
      </c>
      <c r="BN4" s="0" t="s">
        <v>163</v>
      </c>
      <c r="BO4" s="0" t="s">
        <v>163</v>
      </c>
      <c r="BP4" s="0" t="s">
        <v>193</v>
      </c>
      <c r="BQ4" s="0" t="n">
        <v>40.73686</v>
      </c>
      <c r="BR4" s="0" t="n">
        <v>-73.988546</v>
      </c>
      <c r="BS4" s="0" t="s">
        <v>168</v>
      </c>
      <c r="BT4" s="0" t="n">
        <v>0</v>
      </c>
      <c r="BU4" s="0" t="s">
        <v>194</v>
      </c>
      <c r="BV4" s="0" t="s">
        <v>195</v>
      </c>
      <c r="BW4" s="0" t="s">
        <v>197</v>
      </c>
      <c r="BX4" s="0" t="s">
        <v>198</v>
      </c>
      <c r="BY4" s="0" t="s">
        <v>282</v>
      </c>
      <c r="BZ4" s="0" t="s">
        <v>283</v>
      </c>
      <c r="CA4" s="0" t="s">
        <v>284</v>
      </c>
      <c r="CB4" s="0" t="s">
        <v>199</v>
      </c>
      <c r="CC4" s="0" t="s">
        <v>200</v>
      </c>
      <c r="CE4" s="0" t="s">
        <v>162</v>
      </c>
      <c r="CH4" s="0" t="s">
        <v>201</v>
      </c>
      <c r="CI4" s="0" t="s">
        <v>202</v>
      </c>
      <c r="CJ4" s="0" t="s">
        <v>163</v>
      </c>
      <c r="CK4" s="0" t="s">
        <v>162</v>
      </c>
      <c r="CL4" s="0" t="s">
        <v>285</v>
      </c>
      <c r="CM4" s="0" t="s">
        <v>286</v>
      </c>
      <c r="CN4" s="0" t="s">
        <v>174</v>
      </c>
      <c r="CO4" s="0" t="n">
        <v>82</v>
      </c>
      <c r="CQ4" s="0" t="s">
        <v>287</v>
      </c>
      <c r="CR4" s="0" t="s">
        <v>206</v>
      </c>
      <c r="CS4" s="0" t="n">
        <v>1</v>
      </c>
      <c r="CT4" s="0" t="n">
        <v>75</v>
      </c>
      <c r="CU4" s="0" t="n">
        <v>25</v>
      </c>
      <c r="CV4" s="0" t="n">
        <v>15</v>
      </c>
      <c r="CW4" s="0" t="n">
        <v>10</v>
      </c>
      <c r="CX4" s="0" t="n">
        <v>15</v>
      </c>
      <c r="CY4" s="0" t="n">
        <f aca="false">IF(AH4="exact",10,IF(AH4="adjacent",5,0))</f>
        <v>10</v>
      </c>
      <c r="CZ4" s="0" t="n">
        <f aca="false">IF(R4="Y",15,0)</f>
        <v>0</v>
      </c>
      <c r="DA4" s="0" t="s">
        <v>288</v>
      </c>
      <c r="DB4" s="0" t="s">
        <v>289</v>
      </c>
      <c r="DC4" s="0" t="s">
        <v>290</v>
      </c>
      <c r="DF4" s="0" t="s">
        <v>158</v>
      </c>
      <c r="DG4" s="0" t="s">
        <v>211</v>
      </c>
      <c r="DJ4" s="0" t="s">
        <v>291</v>
      </c>
      <c r="DK4" s="0" t="s">
        <v>292</v>
      </c>
      <c r="DM4" s="0" t="s">
        <v>293</v>
      </c>
      <c r="DN4" s="0" t="s">
        <v>294</v>
      </c>
      <c r="DO4" s="0" t="s">
        <v>295</v>
      </c>
      <c r="DQ4" s="0" t="s">
        <v>216</v>
      </c>
      <c r="DR4" s="0" t="s">
        <v>296</v>
      </c>
      <c r="DS4" s="0" t="s">
        <v>171</v>
      </c>
      <c r="DT4" s="0" t="s">
        <v>230</v>
      </c>
      <c r="DU4" s="0" t="s">
        <v>297</v>
      </c>
      <c r="DV4" s="0" t="s">
        <v>298</v>
      </c>
      <c r="DW4" s="0" t="s">
        <v>299</v>
      </c>
      <c r="DX4" s="0" t="s">
        <v>168</v>
      </c>
      <c r="DY4" s="0" t="s">
        <v>263</v>
      </c>
      <c r="ER4" s="0" t="str">
        <f aca="false">IF(ISNUMBER(MATCH(U4,{"queued","contacted","replied","call_booked","call_done","yes_in_principle","materials_sent"},0)),"Y","N")</f>
        <v>Y</v>
      </c>
      <c r="ES4" s="0" t="str">
        <f aca="false">IF(COUNTIFS($AP$2:$AP$1000,AP4,$ER$2:$ER$1000,"Y")+COUNTIFS($AP$2:$AP$1000,AP4,$T$2:$T$1000,"Y")&gt;0,"Y","N")</f>
        <v>Y</v>
      </c>
      <c r="ET4" s="0" t="str">
        <f aca="false">IF(AND(U4="new",T4="N",AT4="Y",AS4="",ES4="N"),"Y","N")</f>
        <v>N</v>
      </c>
      <c r="EU4" s="0" t="str">
        <f aca="false">IF(ET4&lt;&gt;"Y","N",IF(COUNTIFS($AP$2:$AP$1000,AP4,$ET$2:$ET$1000,"Y",$J$2:$J$1000,"&gt;"&amp;J4)+COUNTIFS($AP$2:$AP$1000,AP4,$ET$2:$ET$1000,"Y",$J$2:$J$1000,J4,$EW$2:$EW$1000,"&lt;"&amp;EW4)=0,"Y","N"))</f>
        <v>N</v>
      </c>
      <c r="EV4" s="0" t="str">
        <f aca="false">IF(Y4="","N",IF(Y4&lt;=10,"Y","N"))</f>
        <v>N</v>
      </c>
      <c r="EW4" s="0" t="n">
        <f aca="false">ROW()-1</f>
        <v>3</v>
      </c>
    </row>
    <row r="5" customFormat="false" ht="15" hidden="false" customHeight="false" outlineLevel="0" collapsed="false">
      <c r="A5" s="0" t="s">
        <v>300</v>
      </c>
      <c r="B5" s="0" t="s">
        <v>301</v>
      </c>
      <c r="C5" s="0" t="s">
        <v>302</v>
      </c>
      <c r="D5" s="0" t="s">
        <v>303</v>
      </c>
      <c r="E5" s="0" t="s">
        <v>304</v>
      </c>
      <c r="H5" s="5" t="s">
        <v>158</v>
      </c>
      <c r="I5" s="5" t="s">
        <v>159</v>
      </c>
      <c r="J5" s="0" t="n">
        <f aca="false">IF(AX5="pass",ROUND(CU5+CV5+CW5+CX5+CY5+CZ5,1),0)</f>
        <v>73</v>
      </c>
      <c r="K5" s="0" t="s">
        <v>305</v>
      </c>
      <c r="L5" s="0" t="s">
        <v>161</v>
      </c>
      <c r="R5" s="5" t="s">
        <v>162</v>
      </c>
      <c r="S5" s="0" t="s">
        <v>163</v>
      </c>
      <c r="T5" s="5" t="s">
        <v>162</v>
      </c>
      <c r="U5" s="5" t="s">
        <v>164</v>
      </c>
      <c r="V5" s="0" t="s">
        <v>306</v>
      </c>
      <c r="W5" s="0" t="s">
        <v>166</v>
      </c>
      <c r="X5" s="0" t="s">
        <v>167</v>
      </c>
      <c r="Y5" s="0" t="str">
        <f aca="false">IF(EU5&lt;&gt;"Y","",COUNTIFS($EU$2:$EU$1000,"Y",$J$2:$J$1000,"&gt;"&amp;J5)+COUNTIFS($EU$2:$EU$1000,"Y",$J$2:$J$1000,J5,$EW$2:$EW$1000,"&lt;"&amp;EW5)+1)</f>
        <v/>
      </c>
      <c r="Z5" s="0" t="n">
        <v>4</v>
      </c>
      <c r="AA5" s="0" t="s">
        <v>168</v>
      </c>
      <c r="AB5" s="0" t="s">
        <v>307</v>
      </c>
      <c r="AC5" s="0" t="s">
        <v>170</v>
      </c>
      <c r="AD5" s="0" t="s">
        <v>171</v>
      </c>
      <c r="AE5" s="0" t="s">
        <v>172</v>
      </c>
      <c r="AF5" s="0" t="s">
        <v>308</v>
      </c>
      <c r="AG5" s="0" t="s">
        <v>174</v>
      </c>
      <c r="AH5" s="5" t="s">
        <v>309</v>
      </c>
      <c r="AI5" s="0" t="s">
        <v>176</v>
      </c>
      <c r="AJ5" s="0" t="s">
        <v>310</v>
      </c>
      <c r="AK5" s="0" t="s">
        <v>178</v>
      </c>
      <c r="AL5" s="0" t="n">
        <v>56</v>
      </c>
      <c r="AM5" s="0" t="n">
        <v>114</v>
      </c>
      <c r="AN5" s="0" t="s">
        <v>179</v>
      </c>
      <c r="AO5" s="0" t="s">
        <v>273</v>
      </c>
      <c r="AP5" s="0" t="s">
        <v>300</v>
      </c>
      <c r="AQ5" s="5" t="s">
        <v>162</v>
      </c>
      <c r="AT5" s="0" t="str">
        <f aca="false">IF(AND(AX5="pass",AQ5&lt;&gt;"Y",C5&lt;&gt;"",OR(AW5&lt;&gt;"Y",AV5="Y")),"Y","N")</f>
        <v>Y</v>
      </c>
      <c r="AU5" s="0" t="str">
        <f aca="false">_xlfn.TEXTJOIN("; ",TRUE(),IF(AX5&lt;&gt;"pass","gated out",""),IF(AQ5="Y","on hold: "&amp;AR5,""),IF(C5="","no contact named on an opened page",""),IF(AND(AW5="Y",AV5&lt;&gt;"Y"),"Tuesday estimate band "&amp;L5&amp;": founder's call",""))</f>
        <v/>
      </c>
      <c r="AW5" s="0" t="s">
        <v>162</v>
      </c>
      <c r="AX5" s="0" t="s">
        <v>181</v>
      </c>
      <c r="AY5" s="0" t="s">
        <v>182</v>
      </c>
      <c r="AZ5" s="0" t="s">
        <v>1</v>
      </c>
      <c r="BA5" s="0" t="s">
        <v>311</v>
      </c>
      <c r="BB5" s="0" t="s">
        <v>312</v>
      </c>
      <c r="BC5" s="0" t="s">
        <v>313</v>
      </c>
      <c r="BD5" s="0" t="s">
        <v>314</v>
      </c>
      <c r="BE5" s="0" t="s">
        <v>315</v>
      </c>
      <c r="BF5" s="0" t="s">
        <v>187</v>
      </c>
      <c r="BG5" s="0" t="s">
        <v>188</v>
      </c>
      <c r="BH5" s="0" t="s">
        <v>240</v>
      </c>
      <c r="BI5" s="0" t="s">
        <v>316</v>
      </c>
      <c r="BJ5" s="0" t="s">
        <v>317</v>
      </c>
      <c r="BK5" s="0" t="s">
        <v>191</v>
      </c>
      <c r="BL5" s="0" t="s">
        <v>192</v>
      </c>
      <c r="BM5" s="0" t="s">
        <v>168</v>
      </c>
      <c r="BN5" s="0" t="s">
        <v>163</v>
      </c>
      <c r="BO5" s="0" t="s">
        <v>163</v>
      </c>
      <c r="BP5" s="0" t="s">
        <v>193</v>
      </c>
      <c r="BQ5" s="0" t="n">
        <v>40.73686</v>
      </c>
      <c r="BR5" s="0" t="n">
        <v>-73.988546</v>
      </c>
      <c r="BS5" s="0" t="s">
        <v>168</v>
      </c>
      <c r="BT5" s="0" t="n">
        <v>0</v>
      </c>
      <c r="BU5" s="0" t="s">
        <v>194</v>
      </c>
      <c r="BV5" s="0" t="s">
        <v>195</v>
      </c>
      <c r="BW5" s="0" t="s">
        <v>306</v>
      </c>
      <c r="BX5" s="0" t="s">
        <v>166</v>
      </c>
      <c r="BY5" s="0" t="s">
        <v>196</v>
      </c>
      <c r="BZ5" s="0" t="s">
        <v>197</v>
      </c>
      <c r="CA5" s="0" t="s">
        <v>198</v>
      </c>
      <c r="CB5" s="0" t="s">
        <v>199</v>
      </c>
      <c r="CC5" s="0" t="s">
        <v>200</v>
      </c>
      <c r="CE5" s="0" t="s">
        <v>162</v>
      </c>
      <c r="CH5" s="0" t="s">
        <v>201</v>
      </c>
      <c r="CI5" s="0" t="s">
        <v>202</v>
      </c>
      <c r="CJ5" s="0" t="s">
        <v>163</v>
      </c>
      <c r="CK5" s="0" t="s">
        <v>168</v>
      </c>
      <c r="CL5" s="0" t="s">
        <v>285</v>
      </c>
      <c r="CM5" s="0" t="s">
        <v>318</v>
      </c>
      <c r="CN5" s="0" t="s">
        <v>174</v>
      </c>
      <c r="CO5" s="0" t="n">
        <v>80</v>
      </c>
      <c r="CQ5" s="0" t="s">
        <v>319</v>
      </c>
      <c r="CR5" s="0" t="s">
        <v>206</v>
      </c>
      <c r="CS5" s="0" t="n">
        <v>1</v>
      </c>
      <c r="CT5" s="0" t="n">
        <v>73</v>
      </c>
      <c r="CU5" s="0" t="n">
        <v>25</v>
      </c>
      <c r="CV5" s="0" t="n">
        <v>15</v>
      </c>
      <c r="CW5" s="0" t="n">
        <v>13</v>
      </c>
      <c r="CX5" s="0" t="n">
        <v>15</v>
      </c>
      <c r="CY5" s="0" t="n">
        <f aca="false">IF(AH5="exact",10,IF(AH5="adjacent",5,0))</f>
        <v>5</v>
      </c>
      <c r="CZ5" s="0" t="n">
        <f aca="false">IF(R5="Y",15,0)</f>
        <v>0</v>
      </c>
      <c r="DA5" s="0" t="s">
        <v>320</v>
      </c>
      <c r="DB5" s="0" t="s">
        <v>321</v>
      </c>
      <c r="DC5" s="0" t="s">
        <v>322</v>
      </c>
      <c r="DF5" s="0" t="s">
        <v>158</v>
      </c>
      <c r="DG5" s="0" t="s">
        <v>211</v>
      </c>
      <c r="DJ5" s="0" t="s">
        <v>323</v>
      </c>
      <c r="DK5" s="0" t="s">
        <v>324</v>
      </c>
      <c r="DM5" s="0" t="s">
        <v>325</v>
      </c>
      <c r="DN5" s="0" t="s">
        <v>326</v>
      </c>
      <c r="DO5" s="0" t="s">
        <v>327</v>
      </c>
      <c r="DQ5" s="0" t="s">
        <v>216</v>
      </c>
      <c r="DR5" s="0" t="s">
        <v>328</v>
      </c>
      <c r="DS5" s="0" t="s">
        <v>171</v>
      </c>
      <c r="DT5" s="0" t="s">
        <v>230</v>
      </c>
      <c r="DU5" s="0" t="s">
        <v>329</v>
      </c>
      <c r="DV5" s="0" t="s">
        <v>261</v>
      </c>
      <c r="DW5" s="0" t="s">
        <v>330</v>
      </c>
      <c r="DX5" s="0" t="s">
        <v>168</v>
      </c>
      <c r="DY5" s="0" t="s">
        <v>221</v>
      </c>
      <c r="ER5" s="0" t="str">
        <f aca="false">IF(ISNUMBER(MATCH(U5,{"queued","contacted","replied","call_booked","call_done","yes_in_principle","materials_sent"},0)),"Y","N")</f>
        <v>Y</v>
      </c>
      <c r="ES5" s="0" t="str">
        <f aca="false">IF(COUNTIFS($AP$2:$AP$1000,AP5,$ER$2:$ER$1000,"Y")+COUNTIFS($AP$2:$AP$1000,AP5,$T$2:$T$1000,"Y")&gt;0,"Y","N")</f>
        <v>Y</v>
      </c>
      <c r="ET5" s="0" t="str">
        <f aca="false">IF(AND(U5="new",T5="N",AT5="Y",AS5="",ES5="N"),"Y","N")</f>
        <v>N</v>
      </c>
      <c r="EU5" s="0" t="str">
        <f aca="false">IF(ET5&lt;&gt;"Y","N",IF(COUNTIFS($AP$2:$AP$1000,AP5,$ET$2:$ET$1000,"Y",$J$2:$J$1000,"&gt;"&amp;J5)+COUNTIFS($AP$2:$AP$1000,AP5,$ET$2:$ET$1000,"Y",$J$2:$J$1000,J5,$EW$2:$EW$1000,"&lt;"&amp;EW5)=0,"Y","N"))</f>
        <v>N</v>
      </c>
      <c r="EV5" s="0" t="str">
        <f aca="false">IF(Y5="","N",IF(Y5&lt;=10,"Y","N"))</f>
        <v>N</v>
      </c>
      <c r="EW5" s="0" t="n">
        <f aca="false">ROW()-1</f>
        <v>4</v>
      </c>
    </row>
    <row r="6" customFormat="false" ht="15" hidden="false" customHeight="false" outlineLevel="0" collapsed="false">
      <c r="A6" s="0" t="s">
        <v>331</v>
      </c>
      <c r="B6" s="0" t="s">
        <v>332</v>
      </c>
      <c r="C6" s="0" t="s">
        <v>333</v>
      </c>
      <c r="D6" s="0" t="s">
        <v>334</v>
      </c>
      <c r="E6" s="0" t="s">
        <v>335</v>
      </c>
      <c r="H6" s="5" t="s">
        <v>158</v>
      </c>
      <c r="I6" s="5" t="s">
        <v>159</v>
      </c>
      <c r="J6" s="0" t="n">
        <f aca="false">IF(AX6="pass",ROUND(CU6+CV6+CW6+CX6+CY6+CZ6,1),0)</f>
        <v>73</v>
      </c>
      <c r="K6" s="0" t="s">
        <v>336</v>
      </c>
      <c r="L6" s="0" t="s">
        <v>161</v>
      </c>
      <c r="R6" s="5" t="s">
        <v>162</v>
      </c>
      <c r="S6" s="0" t="s">
        <v>163</v>
      </c>
      <c r="T6" s="5" t="s">
        <v>162</v>
      </c>
      <c r="U6" s="5" t="s">
        <v>164</v>
      </c>
      <c r="V6" s="0" t="s">
        <v>337</v>
      </c>
      <c r="W6" s="0" t="s">
        <v>166</v>
      </c>
      <c r="X6" s="0" t="s">
        <v>167</v>
      </c>
      <c r="Y6" s="0" t="str">
        <f aca="false">IF(EU6&lt;&gt;"Y","",COUNTIFS($EU$2:$EU$1000,"Y",$J$2:$J$1000,"&gt;"&amp;J6)+COUNTIFS($EU$2:$EU$1000,"Y",$J$2:$J$1000,J6,$EW$2:$EW$1000,"&lt;"&amp;EW6)+1)</f>
        <v/>
      </c>
      <c r="Z6" s="0" t="n">
        <v>5</v>
      </c>
      <c r="AA6" s="0" t="s">
        <v>168</v>
      </c>
      <c r="AB6" s="0" t="s">
        <v>338</v>
      </c>
      <c r="AC6" s="0" t="s">
        <v>170</v>
      </c>
      <c r="AD6" s="0" t="s">
        <v>171</v>
      </c>
      <c r="AE6" s="0" t="s">
        <v>230</v>
      </c>
      <c r="AF6" s="0" t="s">
        <v>339</v>
      </c>
      <c r="AG6" s="0" t="s">
        <v>174</v>
      </c>
      <c r="AH6" s="5" t="s">
        <v>309</v>
      </c>
      <c r="AI6" s="0" t="s">
        <v>340</v>
      </c>
      <c r="AJ6" s="0" t="s">
        <v>341</v>
      </c>
      <c r="AK6" s="0" t="s">
        <v>178</v>
      </c>
      <c r="AL6" s="0" t="n">
        <v>67</v>
      </c>
      <c r="AM6" s="0" t="n">
        <v>134</v>
      </c>
      <c r="AN6" s="0" t="s">
        <v>179</v>
      </c>
      <c r="AO6" s="0" t="s">
        <v>273</v>
      </c>
      <c r="AP6" s="0" t="s">
        <v>331</v>
      </c>
      <c r="AQ6" s="5" t="s">
        <v>162</v>
      </c>
      <c r="AT6" s="0" t="str">
        <f aca="false">IF(AND(AX6="pass",AQ6&lt;&gt;"Y",C6&lt;&gt;"",OR(AW6&lt;&gt;"Y",AV6="Y")),"Y","N")</f>
        <v>Y</v>
      </c>
      <c r="AU6" s="0" t="str">
        <f aca="false">_xlfn.TEXTJOIN("; ",TRUE(),IF(AX6&lt;&gt;"pass","gated out",""),IF(AQ6="Y","on hold: "&amp;AR6,""),IF(C6="","no contact named on an opened page",""),IF(AND(AW6="Y",AV6&lt;&gt;"Y"),"Tuesday estimate band "&amp;L6&amp;": founder's call",""))</f>
        <v/>
      </c>
      <c r="AW6" s="0" t="s">
        <v>162</v>
      </c>
      <c r="AX6" s="0" t="s">
        <v>181</v>
      </c>
      <c r="AY6" s="0" t="s">
        <v>182</v>
      </c>
      <c r="AZ6" s="0" t="s">
        <v>1</v>
      </c>
      <c r="BA6" s="0" t="s">
        <v>342</v>
      </c>
      <c r="BB6" s="0" t="s">
        <v>343</v>
      </c>
      <c r="BC6" s="0" t="s">
        <v>344</v>
      </c>
      <c r="BD6" s="0" t="s">
        <v>278</v>
      </c>
      <c r="BF6" s="0" t="s">
        <v>187</v>
      </c>
      <c r="BG6" s="0" t="s">
        <v>188</v>
      </c>
      <c r="BH6" s="0" t="s">
        <v>189</v>
      </c>
      <c r="BI6" s="0" t="s">
        <v>345</v>
      </c>
      <c r="BK6" s="0" t="s">
        <v>191</v>
      </c>
      <c r="BL6" s="0" t="s">
        <v>192</v>
      </c>
      <c r="BM6" s="0" t="s">
        <v>168</v>
      </c>
      <c r="BN6" s="0" t="s">
        <v>163</v>
      </c>
      <c r="BO6" s="0" t="s">
        <v>163</v>
      </c>
      <c r="BP6" s="0" t="s">
        <v>346</v>
      </c>
      <c r="BQ6" s="0" t="n">
        <v>40.741838</v>
      </c>
      <c r="BR6" s="0" t="n">
        <v>-73.992892</v>
      </c>
      <c r="BS6" s="0" t="s">
        <v>168</v>
      </c>
      <c r="BT6" s="0" t="n">
        <v>0</v>
      </c>
      <c r="BU6" s="0" t="s">
        <v>347</v>
      </c>
      <c r="BV6" s="0" t="s">
        <v>348</v>
      </c>
      <c r="BW6" s="0" t="s">
        <v>337</v>
      </c>
      <c r="BX6" s="0" t="s">
        <v>174</v>
      </c>
      <c r="BY6" s="0" t="s">
        <v>196</v>
      </c>
      <c r="BZ6" s="0" t="s">
        <v>349</v>
      </c>
      <c r="CA6" s="0" t="s">
        <v>350</v>
      </c>
      <c r="CC6" s="0" t="s">
        <v>200</v>
      </c>
      <c r="CE6" s="0" t="s">
        <v>162</v>
      </c>
      <c r="CH6" s="0" t="s">
        <v>163</v>
      </c>
      <c r="CJ6" s="0" t="s">
        <v>163</v>
      </c>
      <c r="CK6" s="0" t="s">
        <v>168</v>
      </c>
      <c r="CL6" s="0" t="s">
        <v>351</v>
      </c>
      <c r="CM6" s="0" t="s">
        <v>352</v>
      </c>
      <c r="CN6" s="0" t="s">
        <v>174</v>
      </c>
      <c r="CO6" s="0" t="n">
        <v>95</v>
      </c>
      <c r="CQ6" s="0" t="s">
        <v>353</v>
      </c>
      <c r="CR6" s="0" t="s">
        <v>206</v>
      </c>
      <c r="CS6" s="0" t="n">
        <v>1</v>
      </c>
      <c r="CT6" s="0" t="n">
        <v>73</v>
      </c>
      <c r="CU6" s="0" t="n">
        <v>25</v>
      </c>
      <c r="CV6" s="0" t="n">
        <v>15</v>
      </c>
      <c r="CW6" s="0" t="n">
        <v>13</v>
      </c>
      <c r="CX6" s="0" t="n">
        <v>15</v>
      </c>
      <c r="CY6" s="0" t="n">
        <f aca="false">IF(AH6="exact",10,IF(AH6="adjacent",5,0))</f>
        <v>5</v>
      </c>
      <c r="CZ6" s="0" t="n">
        <f aca="false">IF(R6="Y",15,0)</f>
        <v>0</v>
      </c>
      <c r="DF6" s="0" t="s">
        <v>158</v>
      </c>
      <c r="DG6" s="0" t="s">
        <v>211</v>
      </c>
      <c r="DJ6" s="0" t="s">
        <v>354</v>
      </c>
      <c r="DK6" s="0" t="s">
        <v>355</v>
      </c>
      <c r="DM6" s="0" t="s">
        <v>356</v>
      </c>
      <c r="DN6" s="0" t="s">
        <v>357</v>
      </c>
      <c r="DO6" s="0" t="s">
        <v>358</v>
      </c>
      <c r="DS6" s="0" t="s">
        <v>158</v>
      </c>
      <c r="DX6" s="0" t="s">
        <v>168</v>
      </c>
      <c r="DY6" s="0" t="s">
        <v>221</v>
      </c>
      <c r="ER6" s="0" t="str">
        <f aca="false">IF(ISNUMBER(MATCH(U6,{"queued","contacted","replied","call_booked","call_done","yes_in_principle","materials_sent"},0)),"Y","N")</f>
        <v>Y</v>
      </c>
      <c r="ES6" s="0" t="str">
        <f aca="false">IF(COUNTIFS($AP$2:$AP$1000,AP6,$ER$2:$ER$1000,"Y")+COUNTIFS($AP$2:$AP$1000,AP6,$T$2:$T$1000,"Y")&gt;0,"Y","N")</f>
        <v>Y</v>
      </c>
      <c r="ET6" s="0" t="str">
        <f aca="false">IF(AND(U6="new",T6="N",AT6="Y",AS6="",ES6="N"),"Y","N")</f>
        <v>N</v>
      </c>
      <c r="EU6" s="0" t="str">
        <f aca="false">IF(ET6&lt;&gt;"Y","N",IF(COUNTIFS($AP$2:$AP$1000,AP6,$ET$2:$ET$1000,"Y",$J$2:$J$1000,"&gt;"&amp;J6)+COUNTIFS($AP$2:$AP$1000,AP6,$ET$2:$ET$1000,"Y",$J$2:$J$1000,J6,$EW$2:$EW$1000,"&lt;"&amp;EW6)=0,"Y","N"))</f>
        <v>N</v>
      </c>
      <c r="EV6" s="0" t="str">
        <f aca="false">IF(Y6="","N",IF(Y6&lt;=10,"Y","N"))</f>
        <v>N</v>
      </c>
      <c r="EW6" s="0" t="n">
        <f aca="false">ROW()-1</f>
        <v>5</v>
      </c>
    </row>
    <row r="7" customFormat="false" ht="15" hidden="false" customHeight="false" outlineLevel="0" collapsed="false">
      <c r="A7" s="0" t="s">
        <v>359</v>
      </c>
      <c r="B7" s="0" t="s">
        <v>360</v>
      </c>
      <c r="C7" s="0" t="s">
        <v>361</v>
      </c>
      <c r="D7" s="0" t="s">
        <v>362</v>
      </c>
      <c r="E7" s="0" t="s">
        <v>363</v>
      </c>
      <c r="H7" s="5" t="s">
        <v>158</v>
      </c>
      <c r="I7" s="5" t="s">
        <v>159</v>
      </c>
      <c r="J7" s="0" t="n">
        <f aca="false">IF(AX7="pass",ROUND(CU7+CV7+CW7+CX7+CY7+CZ7,1),0)</f>
        <v>72</v>
      </c>
      <c r="K7" s="0" t="s">
        <v>364</v>
      </c>
      <c r="L7" s="0" t="s">
        <v>161</v>
      </c>
      <c r="R7" s="5" t="s">
        <v>162</v>
      </c>
      <c r="S7" s="0" t="s">
        <v>163</v>
      </c>
      <c r="T7" s="5" t="s">
        <v>162</v>
      </c>
      <c r="U7" s="5" t="s">
        <v>164</v>
      </c>
      <c r="V7" s="0" t="s">
        <v>365</v>
      </c>
      <c r="W7" s="0" t="s">
        <v>166</v>
      </c>
      <c r="X7" s="0" t="s">
        <v>167</v>
      </c>
      <c r="Y7" s="0" t="str">
        <f aca="false">IF(EU7&lt;&gt;"Y","",COUNTIFS($EU$2:$EU$1000,"Y",$J$2:$J$1000,"&gt;"&amp;J7)+COUNTIFS($EU$2:$EU$1000,"Y",$J$2:$J$1000,J7,$EW$2:$EW$1000,"&lt;"&amp;EW7)+1)</f>
        <v/>
      </c>
      <c r="Z7" s="0" t="n">
        <v>6</v>
      </c>
      <c r="AA7" s="0" t="s">
        <v>168</v>
      </c>
      <c r="AB7" s="0" t="s">
        <v>366</v>
      </c>
      <c r="AC7" s="0" t="s">
        <v>170</v>
      </c>
      <c r="AD7" s="0" t="s">
        <v>171</v>
      </c>
      <c r="AE7" s="0" t="s">
        <v>230</v>
      </c>
      <c r="AF7" s="0" t="s">
        <v>367</v>
      </c>
      <c r="AG7" s="0" t="s">
        <v>174</v>
      </c>
      <c r="AH7" s="5" t="s">
        <v>175</v>
      </c>
      <c r="AI7" s="0" t="s">
        <v>368</v>
      </c>
      <c r="AJ7" s="0" t="s">
        <v>272</v>
      </c>
      <c r="AK7" s="0" t="s">
        <v>178</v>
      </c>
      <c r="AL7" s="0" t="n">
        <v>95</v>
      </c>
      <c r="AM7" s="0" t="n">
        <v>214</v>
      </c>
      <c r="AN7" s="0" t="s">
        <v>179</v>
      </c>
      <c r="AO7" s="0" t="s">
        <v>369</v>
      </c>
      <c r="AP7" s="0" t="s">
        <v>359</v>
      </c>
      <c r="AQ7" s="5" t="s">
        <v>162</v>
      </c>
      <c r="AT7" s="0" t="str">
        <f aca="false">IF(AND(AX7="pass",AQ7&lt;&gt;"Y",C7&lt;&gt;"",OR(AW7&lt;&gt;"Y",AV7="Y")),"Y","N")</f>
        <v>Y</v>
      </c>
      <c r="AU7" s="0" t="str">
        <f aca="false">_xlfn.TEXTJOIN("; ",TRUE(),IF(AX7&lt;&gt;"pass","gated out",""),IF(AQ7="Y","on hold: "&amp;AR7,""),IF(C7="","no contact named on an opened page",""),IF(AND(AW7="Y",AV7&lt;&gt;"Y"),"Tuesday estimate band "&amp;L7&amp;": founder's call",""))</f>
        <v/>
      </c>
      <c r="AW7" s="0" t="s">
        <v>162</v>
      </c>
      <c r="AX7" s="0" t="s">
        <v>181</v>
      </c>
      <c r="AY7" s="0" t="s">
        <v>182</v>
      </c>
      <c r="AZ7" s="0" t="s">
        <v>1</v>
      </c>
      <c r="BA7" s="0" t="s">
        <v>370</v>
      </c>
      <c r="BB7" s="0" t="s">
        <v>371</v>
      </c>
      <c r="BC7" s="0" t="s">
        <v>372</v>
      </c>
      <c r="BD7" s="0" t="s">
        <v>373</v>
      </c>
      <c r="BE7" s="0" t="s">
        <v>374</v>
      </c>
      <c r="BF7" s="0" t="s">
        <v>239</v>
      </c>
      <c r="BG7" s="0" t="s">
        <v>188</v>
      </c>
      <c r="BH7" s="0" t="s">
        <v>240</v>
      </c>
      <c r="BI7" s="0" t="s">
        <v>375</v>
      </c>
      <c r="BJ7" s="0" t="s">
        <v>376</v>
      </c>
      <c r="BK7" s="0" t="s">
        <v>191</v>
      </c>
      <c r="BL7" s="0" t="s">
        <v>192</v>
      </c>
      <c r="BM7" s="0" t="s">
        <v>168</v>
      </c>
      <c r="BN7" s="0" t="s">
        <v>163</v>
      </c>
      <c r="BO7" s="0" t="s">
        <v>163</v>
      </c>
      <c r="BP7" s="0" t="s">
        <v>377</v>
      </c>
      <c r="BQ7" s="0" t="n">
        <v>40.739342</v>
      </c>
      <c r="BR7" s="0" t="n">
        <v>-73.994287</v>
      </c>
      <c r="BS7" s="0" t="s">
        <v>168</v>
      </c>
      <c r="BT7" s="0" t="n">
        <v>0</v>
      </c>
      <c r="BU7" s="0" t="s">
        <v>378</v>
      </c>
      <c r="BV7" s="0" t="s">
        <v>368</v>
      </c>
      <c r="BW7" s="0" t="s">
        <v>365</v>
      </c>
      <c r="BX7" s="0" t="s">
        <v>166</v>
      </c>
      <c r="BY7" s="0" t="s">
        <v>196</v>
      </c>
      <c r="BZ7" s="0" t="s">
        <v>379</v>
      </c>
      <c r="CA7" s="0" t="s">
        <v>380</v>
      </c>
      <c r="CC7" s="0" t="s">
        <v>200</v>
      </c>
      <c r="CE7" s="0" t="s">
        <v>162</v>
      </c>
      <c r="CH7" s="0" t="s">
        <v>163</v>
      </c>
      <c r="CJ7" s="0" t="s">
        <v>163</v>
      </c>
      <c r="CK7" s="0" t="s">
        <v>162</v>
      </c>
      <c r="CL7" s="0" t="s">
        <v>381</v>
      </c>
      <c r="CM7" s="0" t="s">
        <v>382</v>
      </c>
      <c r="CN7" s="0" t="s">
        <v>174</v>
      </c>
      <c r="CO7" s="0" t="n">
        <v>143</v>
      </c>
      <c r="CQ7" s="0" t="s">
        <v>383</v>
      </c>
      <c r="CR7" s="0" t="s">
        <v>206</v>
      </c>
      <c r="CS7" s="0" t="n">
        <v>1</v>
      </c>
      <c r="CT7" s="0" t="n">
        <v>72</v>
      </c>
      <c r="CU7" s="0" t="n">
        <v>25</v>
      </c>
      <c r="CV7" s="0" t="n">
        <v>15</v>
      </c>
      <c r="CW7" s="0" t="n">
        <v>7</v>
      </c>
      <c r="CX7" s="0" t="n">
        <v>15</v>
      </c>
      <c r="CY7" s="0" t="n">
        <f aca="false">IF(AH7="exact",10,IF(AH7="adjacent",5,0))</f>
        <v>10</v>
      </c>
      <c r="CZ7" s="0" t="n">
        <f aca="false">IF(R7="Y",15,0)</f>
        <v>0</v>
      </c>
      <c r="DF7" s="0" t="s">
        <v>158</v>
      </c>
      <c r="DG7" s="0" t="s">
        <v>211</v>
      </c>
      <c r="DK7" s="0" t="s">
        <v>384</v>
      </c>
      <c r="DM7" s="0" t="s">
        <v>385</v>
      </c>
      <c r="DN7" s="0" t="s">
        <v>386</v>
      </c>
      <c r="DO7" s="0" t="s">
        <v>387</v>
      </c>
      <c r="DS7" s="0" t="s">
        <v>158</v>
      </c>
      <c r="DX7" s="0" t="s">
        <v>168</v>
      </c>
      <c r="DY7" s="0" t="s">
        <v>263</v>
      </c>
      <c r="ER7" s="0" t="str">
        <f aca="false">IF(ISNUMBER(MATCH(U7,{"queued","contacted","replied","call_booked","call_done","yes_in_principle","materials_sent"},0)),"Y","N")</f>
        <v>Y</v>
      </c>
      <c r="ES7" s="0" t="str">
        <f aca="false">IF(COUNTIFS($AP$2:$AP$1000,AP7,$ER$2:$ER$1000,"Y")+COUNTIFS($AP$2:$AP$1000,AP7,$T$2:$T$1000,"Y")&gt;0,"Y","N")</f>
        <v>Y</v>
      </c>
      <c r="ET7" s="0" t="str">
        <f aca="false">IF(AND(U7="new",T7="N",AT7="Y",AS7="",ES7="N"),"Y","N")</f>
        <v>N</v>
      </c>
      <c r="EU7" s="0" t="str">
        <f aca="false">IF(ET7&lt;&gt;"Y","N",IF(COUNTIFS($AP$2:$AP$1000,AP7,$ET$2:$ET$1000,"Y",$J$2:$J$1000,"&gt;"&amp;J7)+COUNTIFS($AP$2:$AP$1000,AP7,$ET$2:$ET$1000,"Y",$J$2:$J$1000,J7,$EW$2:$EW$1000,"&lt;"&amp;EW7)=0,"Y","N"))</f>
        <v>N</v>
      </c>
      <c r="EV7" s="0" t="str">
        <f aca="false">IF(Y7="","N",IF(Y7&lt;=10,"Y","N"))</f>
        <v>N</v>
      </c>
      <c r="EW7" s="0" t="n">
        <f aca="false">ROW()-1</f>
        <v>6</v>
      </c>
    </row>
    <row r="8" customFormat="false" ht="15" hidden="false" customHeight="false" outlineLevel="0" collapsed="false">
      <c r="A8" s="0" t="s">
        <v>388</v>
      </c>
      <c r="B8" s="0" t="s">
        <v>389</v>
      </c>
      <c r="C8" s="0" t="s">
        <v>390</v>
      </c>
      <c r="D8" s="0" t="s">
        <v>391</v>
      </c>
      <c r="E8" s="0" t="s">
        <v>392</v>
      </c>
      <c r="H8" s="5" t="s">
        <v>158</v>
      </c>
      <c r="I8" s="5" t="s">
        <v>159</v>
      </c>
      <c r="J8" s="0" t="n">
        <f aca="false">IF(AX8="pass",ROUND(CU8+CV8+CW8+CX8+CY8+CZ8,1),0)</f>
        <v>70</v>
      </c>
      <c r="K8" s="0" t="s">
        <v>393</v>
      </c>
      <c r="L8" s="0" t="s">
        <v>394</v>
      </c>
      <c r="R8" s="5" t="s">
        <v>162</v>
      </c>
      <c r="S8" s="0" t="s">
        <v>163</v>
      </c>
      <c r="T8" s="5" t="s">
        <v>162</v>
      </c>
      <c r="U8" s="5" t="s">
        <v>164</v>
      </c>
      <c r="V8" s="0" t="s">
        <v>395</v>
      </c>
      <c r="W8" s="0" t="s">
        <v>166</v>
      </c>
      <c r="X8" s="0" t="s">
        <v>167</v>
      </c>
      <c r="Y8" s="0" t="str">
        <f aca="false">IF(EU8&lt;&gt;"Y","",COUNTIFS($EU$2:$EU$1000,"Y",$J$2:$J$1000,"&gt;"&amp;J8)+COUNTIFS($EU$2:$EU$1000,"Y",$J$2:$J$1000,J8,$EW$2:$EW$1000,"&lt;"&amp;EW8)+1)</f>
        <v/>
      </c>
      <c r="Z8" s="0" t="n">
        <v>7</v>
      </c>
      <c r="AA8" s="0" t="s">
        <v>168</v>
      </c>
      <c r="AB8" s="0" t="s">
        <v>396</v>
      </c>
      <c r="AC8" s="0" t="s">
        <v>170</v>
      </c>
      <c r="AD8" s="0" t="s">
        <v>171</v>
      </c>
      <c r="AE8" s="0" t="s">
        <v>230</v>
      </c>
      <c r="AF8" s="0" t="s">
        <v>397</v>
      </c>
      <c r="AG8" s="0" t="s">
        <v>174</v>
      </c>
      <c r="AH8" s="5" t="s">
        <v>309</v>
      </c>
      <c r="AI8" s="0" t="s">
        <v>398</v>
      </c>
      <c r="AJ8" s="0" t="s">
        <v>272</v>
      </c>
      <c r="AK8" s="0" t="s">
        <v>178</v>
      </c>
      <c r="AL8" s="0" t="n">
        <v>50</v>
      </c>
      <c r="AM8" s="0" t="n">
        <v>105</v>
      </c>
      <c r="AN8" s="0" t="s">
        <v>179</v>
      </c>
      <c r="AO8" s="0" t="s">
        <v>273</v>
      </c>
      <c r="AP8" s="0" t="s">
        <v>388</v>
      </c>
      <c r="AQ8" s="5" t="s">
        <v>162</v>
      </c>
      <c r="AT8" s="0" t="str">
        <f aca="false">IF(AND(AX8="pass",AQ8&lt;&gt;"Y",C8&lt;&gt;"",OR(AW8&lt;&gt;"Y",AV8="Y")),"Y","N")</f>
        <v>Y</v>
      </c>
      <c r="AU8" s="0" t="str">
        <f aca="false">_xlfn.TEXTJOIN("; ",TRUE(),IF(AX8&lt;&gt;"pass","gated out",""),IF(AQ8="Y","on hold: "&amp;AR8,""),IF(C8="","no contact named on an opened page",""),IF(AND(AW8="Y",AV8&lt;&gt;"Y"),"Tuesday estimate band "&amp;L8&amp;": founder's call",""))</f>
        <v/>
      </c>
      <c r="AW8" s="0" t="s">
        <v>162</v>
      </c>
      <c r="AX8" s="0" t="s">
        <v>181</v>
      </c>
      <c r="AY8" s="0" t="s">
        <v>182</v>
      </c>
      <c r="AZ8" s="0" t="s">
        <v>1</v>
      </c>
      <c r="BA8" s="0" t="s">
        <v>399</v>
      </c>
      <c r="BB8" s="0" t="s">
        <v>400</v>
      </c>
      <c r="BC8" s="0" t="s">
        <v>401</v>
      </c>
      <c r="BD8" s="0" t="s">
        <v>277</v>
      </c>
      <c r="BE8" s="0" t="s">
        <v>402</v>
      </c>
      <c r="BF8" s="0" t="s">
        <v>163</v>
      </c>
      <c r="BG8" s="0" t="s">
        <v>163</v>
      </c>
      <c r="BH8" s="0" t="s">
        <v>279</v>
      </c>
      <c r="BI8" s="0" t="s">
        <v>403</v>
      </c>
      <c r="BJ8" s="0" t="s">
        <v>404</v>
      </c>
      <c r="BK8" s="0" t="s">
        <v>191</v>
      </c>
      <c r="BL8" s="0" t="s">
        <v>192</v>
      </c>
      <c r="BM8" s="0" t="s">
        <v>168</v>
      </c>
      <c r="BN8" s="0" t="s">
        <v>163</v>
      </c>
      <c r="BO8" s="0" t="s">
        <v>163</v>
      </c>
      <c r="BP8" s="0" t="s">
        <v>346</v>
      </c>
      <c r="BQ8" s="0" t="n">
        <v>40.742014</v>
      </c>
      <c r="BR8" s="0" t="n">
        <v>-73.993705</v>
      </c>
      <c r="BS8" s="0" t="s">
        <v>168</v>
      </c>
      <c r="BT8" s="0" t="n">
        <v>0</v>
      </c>
      <c r="BU8" s="0" t="s">
        <v>405</v>
      </c>
      <c r="BV8" s="0" t="s">
        <v>406</v>
      </c>
      <c r="BW8" s="0" t="s">
        <v>395</v>
      </c>
      <c r="BX8" s="0" t="s">
        <v>174</v>
      </c>
      <c r="BY8" s="0" t="s">
        <v>196</v>
      </c>
      <c r="BZ8" s="0" t="s">
        <v>407</v>
      </c>
      <c r="CA8" s="0" t="s">
        <v>408</v>
      </c>
      <c r="CC8" s="0" t="s">
        <v>200</v>
      </c>
      <c r="CE8" s="0" t="s">
        <v>162</v>
      </c>
      <c r="CH8" s="0" t="s">
        <v>163</v>
      </c>
      <c r="CJ8" s="0" t="s">
        <v>163</v>
      </c>
      <c r="CK8" s="0" t="s">
        <v>162</v>
      </c>
      <c r="CL8" s="0" t="s">
        <v>285</v>
      </c>
      <c r="CM8" s="0" t="s">
        <v>409</v>
      </c>
      <c r="CN8" s="0" t="s">
        <v>174</v>
      </c>
      <c r="CO8" s="0" t="n">
        <v>72</v>
      </c>
      <c r="CQ8" s="0" t="s">
        <v>410</v>
      </c>
      <c r="CR8" s="0" t="s">
        <v>206</v>
      </c>
      <c r="CS8" s="0" t="n">
        <v>1</v>
      </c>
      <c r="CT8" s="0" t="n">
        <v>70</v>
      </c>
      <c r="CU8" s="0" t="n">
        <v>25</v>
      </c>
      <c r="CV8" s="0" t="n">
        <v>15</v>
      </c>
      <c r="CW8" s="0" t="n">
        <v>10</v>
      </c>
      <c r="CX8" s="0" t="n">
        <v>15</v>
      </c>
      <c r="CY8" s="0" t="n">
        <f aca="false">IF(AH8="exact",10,IF(AH8="adjacent",5,0))</f>
        <v>5</v>
      </c>
      <c r="CZ8" s="0" t="n">
        <f aca="false">IF(R8="Y",15,0)</f>
        <v>0</v>
      </c>
      <c r="DA8" s="0" t="s">
        <v>411</v>
      </c>
      <c r="DB8" s="0" t="s">
        <v>412</v>
      </c>
      <c r="DC8" s="0" t="s">
        <v>413</v>
      </c>
      <c r="DF8" s="0" t="s">
        <v>158</v>
      </c>
      <c r="DG8" s="0" t="s">
        <v>211</v>
      </c>
      <c r="DJ8" s="0" t="s">
        <v>414</v>
      </c>
      <c r="DK8" s="0" t="s">
        <v>415</v>
      </c>
      <c r="DM8" s="0" t="s">
        <v>416</v>
      </c>
      <c r="DN8" s="0" t="s">
        <v>417</v>
      </c>
      <c r="DO8" s="0" t="s">
        <v>418</v>
      </c>
      <c r="DQ8" s="0" t="s">
        <v>216</v>
      </c>
      <c r="DR8" s="0" t="s">
        <v>419</v>
      </c>
      <c r="DS8" s="0" t="s">
        <v>171</v>
      </c>
      <c r="DT8" s="0" t="s">
        <v>230</v>
      </c>
      <c r="DU8" s="0" t="s">
        <v>420</v>
      </c>
      <c r="DV8" s="0" t="s">
        <v>421</v>
      </c>
      <c r="DW8" s="0" t="s">
        <v>422</v>
      </c>
      <c r="DX8" s="0" t="s">
        <v>168</v>
      </c>
      <c r="DY8" s="0" t="s">
        <v>221</v>
      </c>
      <c r="ER8" s="0" t="str">
        <f aca="false">IF(ISNUMBER(MATCH(U8,{"queued","contacted","replied","call_booked","call_done","yes_in_principle","materials_sent"},0)),"Y","N")</f>
        <v>Y</v>
      </c>
      <c r="ES8" s="0" t="str">
        <f aca="false">IF(COUNTIFS($AP$2:$AP$1000,AP8,$ER$2:$ER$1000,"Y")+COUNTIFS($AP$2:$AP$1000,AP8,$T$2:$T$1000,"Y")&gt;0,"Y","N")</f>
        <v>Y</v>
      </c>
      <c r="ET8" s="0" t="str">
        <f aca="false">IF(AND(U8="new",T8="N",AT8="Y",AS8="",ES8="N"),"Y","N")</f>
        <v>N</v>
      </c>
      <c r="EU8" s="0" t="str">
        <f aca="false">IF(ET8&lt;&gt;"Y","N",IF(COUNTIFS($AP$2:$AP$1000,AP8,$ET$2:$ET$1000,"Y",$J$2:$J$1000,"&gt;"&amp;J8)+COUNTIFS($AP$2:$AP$1000,AP8,$ET$2:$ET$1000,"Y",$J$2:$J$1000,J8,$EW$2:$EW$1000,"&lt;"&amp;EW8)=0,"Y","N"))</f>
        <v>N</v>
      </c>
      <c r="EV8" s="0" t="str">
        <f aca="false">IF(Y8="","N",IF(Y8&lt;=10,"Y","N"))</f>
        <v>N</v>
      </c>
      <c r="EW8" s="0" t="n">
        <f aca="false">ROW()-1</f>
        <v>7</v>
      </c>
    </row>
    <row r="9" customFormat="false" ht="15" hidden="false" customHeight="false" outlineLevel="0" collapsed="false">
      <c r="A9" s="0" t="s">
        <v>423</v>
      </c>
      <c r="B9" s="0" t="s">
        <v>424</v>
      </c>
      <c r="C9" s="0" t="s">
        <v>425</v>
      </c>
      <c r="D9" s="0" t="s">
        <v>426</v>
      </c>
      <c r="E9" s="0" t="s">
        <v>427</v>
      </c>
      <c r="H9" s="5" t="s">
        <v>158</v>
      </c>
      <c r="I9" s="5" t="s">
        <v>159</v>
      </c>
      <c r="J9" s="0" t="n">
        <f aca="false">IF(AX9="pass",ROUND(CU9+CV9+CW9+CX9+CY9+CZ9,1),0)</f>
        <v>70</v>
      </c>
      <c r="K9" s="0" t="s">
        <v>428</v>
      </c>
      <c r="L9" s="0" t="s">
        <v>161</v>
      </c>
      <c r="R9" s="5" t="s">
        <v>162</v>
      </c>
      <c r="S9" s="0" t="s">
        <v>163</v>
      </c>
      <c r="T9" s="5" t="s">
        <v>162</v>
      </c>
      <c r="U9" s="5" t="s">
        <v>164</v>
      </c>
      <c r="V9" s="0" t="s">
        <v>429</v>
      </c>
      <c r="W9" s="0" t="s">
        <v>166</v>
      </c>
      <c r="X9" s="0" t="s">
        <v>167</v>
      </c>
      <c r="Y9" s="0" t="str">
        <f aca="false">IF(EU9&lt;&gt;"Y","",COUNTIFS($EU$2:$EU$1000,"Y",$J$2:$J$1000,"&gt;"&amp;J9)+COUNTIFS($EU$2:$EU$1000,"Y",$J$2:$J$1000,J9,$EW$2:$EW$1000,"&lt;"&amp;EW9)+1)</f>
        <v/>
      </c>
      <c r="Z9" s="0" t="n">
        <v>8</v>
      </c>
      <c r="AA9" s="0" t="s">
        <v>168</v>
      </c>
      <c r="AB9" s="0" t="s">
        <v>430</v>
      </c>
      <c r="AC9" s="0" t="s">
        <v>170</v>
      </c>
      <c r="AD9" s="0" t="s">
        <v>171</v>
      </c>
      <c r="AE9" s="0" t="s">
        <v>230</v>
      </c>
      <c r="AF9" s="0" t="s">
        <v>431</v>
      </c>
      <c r="AG9" s="0" t="s">
        <v>174</v>
      </c>
      <c r="AH9" s="5" t="s">
        <v>175</v>
      </c>
      <c r="AI9" s="0" t="s">
        <v>432</v>
      </c>
      <c r="AJ9" s="0" t="s">
        <v>433</v>
      </c>
      <c r="AK9" s="0" t="s">
        <v>434</v>
      </c>
      <c r="AL9" s="0" t="n">
        <v>75</v>
      </c>
      <c r="AM9" s="0" t="n">
        <v>203</v>
      </c>
      <c r="AN9" s="0" t="s">
        <v>179</v>
      </c>
      <c r="AO9" s="0" t="s">
        <v>180</v>
      </c>
      <c r="AP9" s="0" t="s">
        <v>423</v>
      </c>
      <c r="AQ9" s="5" t="s">
        <v>162</v>
      </c>
      <c r="AT9" s="0" t="str">
        <f aca="false">IF(AND(AX9="pass",AQ9&lt;&gt;"Y",C9&lt;&gt;"",OR(AW9&lt;&gt;"Y",AV9="Y")),"Y","N")</f>
        <v>Y</v>
      </c>
      <c r="AU9" s="0" t="str">
        <f aca="false">_xlfn.TEXTJOIN("; ",TRUE(),IF(AX9&lt;&gt;"pass","gated out",""),IF(AQ9="Y","on hold: "&amp;AR9,""),IF(C9="","no contact named on an opened page",""),IF(AND(AW9="Y",AV9&lt;&gt;"Y"),"Tuesday estimate band "&amp;L9&amp;": founder's call",""))</f>
        <v/>
      </c>
      <c r="AW9" s="0" t="s">
        <v>162</v>
      </c>
      <c r="AX9" s="0" t="s">
        <v>181</v>
      </c>
      <c r="AY9" s="0" t="s">
        <v>182</v>
      </c>
      <c r="AZ9" s="0" t="s">
        <v>1</v>
      </c>
      <c r="BA9" s="0" t="s">
        <v>435</v>
      </c>
      <c r="BB9" s="0" t="s">
        <v>436</v>
      </c>
      <c r="BC9" s="0" t="s">
        <v>437</v>
      </c>
      <c r="BD9" s="0" t="s">
        <v>438</v>
      </c>
      <c r="BE9" s="0" t="s">
        <v>439</v>
      </c>
      <c r="BF9" s="0" t="s">
        <v>163</v>
      </c>
      <c r="BG9" s="0" t="s">
        <v>163</v>
      </c>
      <c r="BH9" s="0" t="s">
        <v>279</v>
      </c>
      <c r="BI9" s="0" t="s">
        <v>440</v>
      </c>
      <c r="BJ9" s="0" t="s">
        <v>441</v>
      </c>
      <c r="BK9" s="0" t="s">
        <v>191</v>
      </c>
      <c r="BL9" s="0" t="s">
        <v>192</v>
      </c>
      <c r="BM9" s="0" t="s">
        <v>168</v>
      </c>
      <c r="BN9" s="0" t="s">
        <v>163</v>
      </c>
      <c r="BO9" s="0" t="s">
        <v>163</v>
      </c>
      <c r="BP9" s="0" t="s">
        <v>193</v>
      </c>
      <c r="BQ9" s="0" t="n">
        <v>40.738311</v>
      </c>
      <c r="BR9" s="0" t="n">
        <v>-73.990185</v>
      </c>
      <c r="BS9" s="0" t="s">
        <v>168</v>
      </c>
      <c r="BT9" s="0" t="n">
        <v>0</v>
      </c>
      <c r="BU9" s="0" t="s">
        <v>442</v>
      </c>
      <c r="BV9" s="0" t="s">
        <v>443</v>
      </c>
      <c r="BW9" s="0" t="s">
        <v>429</v>
      </c>
      <c r="BX9" s="0" t="s">
        <v>166</v>
      </c>
      <c r="BY9" s="0" t="s">
        <v>444</v>
      </c>
      <c r="BZ9" s="0" t="s">
        <v>445</v>
      </c>
      <c r="CA9" s="0" t="s">
        <v>446</v>
      </c>
      <c r="CC9" s="0" t="s">
        <v>179</v>
      </c>
      <c r="CE9" s="0" t="s">
        <v>162</v>
      </c>
      <c r="CH9" s="0" t="s">
        <v>201</v>
      </c>
      <c r="CI9" s="0" t="s">
        <v>447</v>
      </c>
      <c r="CJ9" s="0" t="s">
        <v>163</v>
      </c>
      <c r="CK9" s="0" t="s">
        <v>162</v>
      </c>
      <c r="CL9" s="0" t="s">
        <v>448</v>
      </c>
      <c r="CM9" s="0" t="s">
        <v>429</v>
      </c>
      <c r="CN9" s="0" t="s">
        <v>174</v>
      </c>
      <c r="CO9" s="0" t="n">
        <v>123</v>
      </c>
      <c r="CQ9" s="0" t="s">
        <v>449</v>
      </c>
      <c r="CR9" s="0" t="s">
        <v>206</v>
      </c>
      <c r="CS9" s="0" t="n">
        <v>1</v>
      </c>
      <c r="CT9" s="0" t="n">
        <v>70</v>
      </c>
      <c r="CU9" s="0" t="n">
        <v>25</v>
      </c>
      <c r="CV9" s="0" t="n">
        <v>15</v>
      </c>
      <c r="CW9" s="0" t="n">
        <v>15</v>
      </c>
      <c r="CX9" s="0" t="n">
        <v>5</v>
      </c>
      <c r="CY9" s="0" t="n">
        <f aca="false">IF(AH9="exact",10,IF(AH9="adjacent",5,0))</f>
        <v>10</v>
      </c>
      <c r="CZ9" s="0" t="n">
        <f aca="false">IF(R9="Y",15,0)</f>
        <v>0</v>
      </c>
      <c r="DA9" s="0" t="s">
        <v>450</v>
      </c>
      <c r="DB9" s="0" t="s">
        <v>451</v>
      </c>
      <c r="DC9" s="0" t="s">
        <v>290</v>
      </c>
      <c r="DF9" s="0" t="s">
        <v>158</v>
      </c>
      <c r="DG9" s="0" t="s">
        <v>211</v>
      </c>
      <c r="DJ9" s="0" t="s">
        <v>452</v>
      </c>
      <c r="DK9" s="0" t="s">
        <v>453</v>
      </c>
      <c r="DM9" s="0" t="s">
        <v>454</v>
      </c>
      <c r="DN9" s="0" t="s">
        <v>455</v>
      </c>
      <c r="DO9" s="0" t="s">
        <v>456</v>
      </c>
      <c r="DQ9" s="0" t="s">
        <v>216</v>
      </c>
      <c r="DR9" s="0" t="s">
        <v>457</v>
      </c>
      <c r="DS9" s="0" t="s">
        <v>171</v>
      </c>
      <c r="DT9" s="0" t="s">
        <v>230</v>
      </c>
      <c r="DU9" s="0" t="s">
        <v>458</v>
      </c>
      <c r="DV9" s="0" t="s">
        <v>459</v>
      </c>
      <c r="DW9" s="0" t="s">
        <v>460</v>
      </c>
      <c r="DX9" s="0" t="s">
        <v>168</v>
      </c>
      <c r="DY9" s="0" t="s">
        <v>263</v>
      </c>
      <c r="ER9" s="0" t="str">
        <f aca="false">IF(ISNUMBER(MATCH(U9,{"queued","contacted","replied","call_booked","call_done","yes_in_principle","materials_sent"},0)),"Y","N")</f>
        <v>Y</v>
      </c>
      <c r="ES9" s="0" t="str">
        <f aca="false">IF(COUNTIFS($AP$2:$AP$1000,AP9,$ER$2:$ER$1000,"Y")+COUNTIFS($AP$2:$AP$1000,AP9,$T$2:$T$1000,"Y")&gt;0,"Y","N")</f>
        <v>Y</v>
      </c>
      <c r="ET9" s="0" t="str">
        <f aca="false">IF(AND(U9="new",T9="N",AT9="Y",AS9="",ES9="N"),"Y","N")</f>
        <v>N</v>
      </c>
      <c r="EU9" s="0" t="str">
        <f aca="false">IF(ET9&lt;&gt;"Y","N",IF(COUNTIFS($AP$2:$AP$1000,AP9,$ET$2:$ET$1000,"Y",$J$2:$J$1000,"&gt;"&amp;J9)+COUNTIFS($AP$2:$AP$1000,AP9,$ET$2:$ET$1000,"Y",$J$2:$J$1000,J9,$EW$2:$EW$1000,"&lt;"&amp;EW9)=0,"Y","N"))</f>
        <v>N</v>
      </c>
      <c r="EV9" s="0" t="str">
        <f aca="false">IF(Y9="","N",IF(Y9&lt;=10,"Y","N"))</f>
        <v>N</v>
      </c>
      <c r="EW9" s="0" t="n">
        <f aca="false">ROW()-1</f>
        <v>8</v>
      </c>
    </row>
    <row r="10" customFormat="false" ht="15" hidden="false" customHeight="false" outlineLevel="0" collapsed="false">
      <c r="A10" s="0" t="s">
        <v>461</v>
      </c>
      <c r="B10" s="0" t="s">
        <v>462</v>
      </c>
      <c r="C10" s="0" t="s">
        <v>463</v>
      </c>
      <c r="D10" s="0" t="s">
        <v>464</v>
      </c>
      <c r="E10" s="0" t="s">
        <v>465</v>
      </c>
      <c r="H10" s="5" t="s">
        <v>158</v>
      </c>
      <c r="I10" s="5" t="s">
        <v>159</v>
      </c>
      <c r="J10" s="0" t="n">
        <f aca="false">IF(AX10="pass",ROUND(CU10+CV10+CW10+CX10+CY10+CZ10,1),0)</f>
        <v>67.8</v>
      </c>
      <c r="K10" s="0" t="s">
        <v>466</v>
      </c>
      <c r="L10" s="0" t="s">
        <v>187</v>
      </c>
      <c r="R10" s="5" t="s">
        <v>162</v>
      </c>
      <c r="S10" s="0" t="s">
        <v>163</v>
      </c>
      <c r="T10" s="5" t="s">
        <v>162</v>
      </c>
      <c r="U10" s="5" t="s">
        <v>164</v>
      </c>
      <c r="V10" s="0" t="s">
        <v>467</v>
      </c>
      <c r="W10" s="0" t="s">
        <v>166</v>
      </c>
      <c r="X10" s="0" t="s">
        <v>167</v>
      </c>
      <c r="Y10" s="0" t="str">
        <f aca="false">IF(EU10&lt;&gt;"Y","",COUNTIFS($EU$2:$EU$1000,"Y",$J$2:$J$1000,"&gt;"&amp;J10)+COUNTIFS($EU$2:$EU$1000,"Y",$J$2:$J$1000,J10,$EW$2:$EW$1000,"&lt;"&amp;EW10)+1)</f>
        <v/>
      </c>
      <c r="Z10" s="0" t="n">
        <v>9</v>
      </c>
      <c r="AA10" s="0" t="s">
        <v>168</v>
      </c>
      <c r="AB10" s="0" t="s">
        <v>468</v>
      </c>
      <c r="AC10" s="0" t="s">
        <v>170</v>
      </c>
      <c r="AD10" s="0" t="s">
        <v>171</v>
      </c>
      <c r="AE10" s="0" t="s">
        <v>230</v>
      </c>
      <c r="AF10" s="0" t="s">
        <v>469</v>
      </c>
      <c r="AG10" s="0" t="s">
        <v>174</v>
      </c>
      <c r="AH10" s="5" t="s">
        <v>175</v>
      </c>
      <c r="AI10" s="0" t="s">
        <v>470</v>
      </c>
      <c r="AJ10" s="0" t="s">
        <v>471</v>
      </c>
      <c r="AK10" s="0" t="s">
        <v>178</v>
      </c>
      <c r="AL10" s="0" t="n">
        <v>94</v>
      </c>
      <c r="AM10" s="0" t="n">
        <v>305</v>
      </c>
      <c r="AN10" s="0" t="s">
        <v>179</v>
      </c>
      <c r="AO10" s="0" t="s">
        <v>369</v>
      </c>
      <c r="AP10" s="0" t="s">
        <v>461</v>
      </c>
      <c r="AQ10" s="5" t="s">
        <v>162</v>
      </c>
      <c r="AT10" s="0" t="str">
        <f aca="false">IF(AND(AX10="pass",AQ10&lt;&gt;"Y",C10&lt;&gt;"",OR(AW10&lt;&gt;"Y",AV10="Y")),"Y","N")</f>
        <v>Y</v>
      </c>
      <c r="AU10" s="0" t="str">
        <f aca="false">_xlfn.TEXTJOIN("; ",TRUE(),IF(AX10&lt;&gt;"pass","gated out",""),IF(AQ10="Y","on hold: "&amp;AR10,""),IF(C10="","no contact named on an opened page",""),IF(AND(AW10="Y",AV10&lt;&gt;"Y"),"Tuesday estimate band "&amp;L10&amp;": founder's call",""))</f>
        <v/>
      </c>
      <c r="AW10" s="0" t="s">
        <v>162</v>
      </c>
      <c r="AX10" s="0" t="s">
        <v>181</v>
      </c>
      <c r="AY10" s="0" t="s">
        <v>182</v>
      </c>
      <c r="AZ10" s="0" t="s">
        <v>1</v>
      </c>
      <c r="BA10" s="0" t="s">
        <v>472</v>
      </c>
      <c r="BB10" s="0" t="s">
        <v>473</v>
      </c>
      <c r="BC10" s="0" t="s">
        <v>474</v>
      </c>
      <c r="BD10" s="0" t="s">
        <v>475</v>
      </c>
      <c r="BE10" s="0" t="s">
        <v>476</v>
      </c>
      <c r="BF10" s="0" t="s">
        <v>239</v>
      </c>
      <c r="BG10" s="0" t="s">
        <v>188</v>
      </c>
      <c r="BH10" s="0" t="s">
        <v>240</v>
      </c>
      <c r="BI10" s="0" t="s">
        <v>477</v>
      </c>
      <c r="BJ10" s="0" t="s">
        <v>478</v>
      </c>
      <c r="BK10" s="0" t="s">
        <v>191</v>
      </c>
      <c r="BL10" s="0" t="s">
        <v>192</v>
      </c>
      <c r="BM10" s="0" t="s">
        <v>168</v>
      </c>
      <c r="BN10" s="0" t="s">
        <v>163</v>
      </c>
      <c r="BO10" s="0" t="s">
        <v>163</v>
      </c>
      <c r="BP10" s="0" t="s">
        <v>346</v>
      </c>
      <c r="BQ10" s="0" t="n">
        <v>40.739819</v>
      </c>
      <c r="BR10" s="0" t="n">
        <v>-73.986885</v>
      </c>
      <c r="BS10" s="0" t="s">
        <v>168</v>
      </c>
      <c r="BT10" s="0" t="n">
        <v>0</v>
      </c>
      <c r="BU10" s="0" t="s">
        <v>479</v>
      </c>
      <c r="BV10" s="0" t="s">
        <v>480</v>
      </c>
      <c r="BW10" s="0" t="s">
        <v>467</v>
      </c>
      <c r="BX10" s="0" t="s">
        <v>166</v>
      </c>
      <c r="BY10" s="0" t="s">
        <v>196</v>
      </c>
      <c r="BZ10" s="0" t="s">
        <v>481</v>
      </c>
      <c r="CA10" s="0" t="s">
        <v>482</v>
      </c>
      <c r="CC10" s="0" t="s">
        <v>200</v>
      </c>
      <c r="CE10" s="0" t="s">
        <v>162</v>
      </c>
      <c r="CH10" s="0" t="s">
        <v>201</v>
      </c>
      <c r="CI10" s="0" t="s">
        <v>483</v>
      </c>
      <c r="CJ10" s="0" t="s">
        <v>163</v>
      </c>
      <c r="CK10" s="0" t="s">
        <v>162</v>
      </c>
      <c r="CL10" s="0" t="s">
        <v>484</v>
      </c>
      <c r="CM10" s="0" t="s">
        <v>477</v>
      </c>
      <c r="CN10" s="0" t="s">
        <v>174</v>
      </c>
      <c r="CO10" s="0" t="n">
        <v>169</v>
      </c>
      <c r="CP10" s="0" t="s">
        <v>250</v>
      </c>
      <c r="CQ10" s="0" t="s">
        <v>485</v>
      </c>
      <c r="CR10" s="0" t="s">
        <v>206</v>
      </c>
      <c r="CS10" s="0" t="n">
        <v>0.83</v>
      </c>
      <c r="CT10" s="0" t="n">
        <v>67.8</v>
      </c>
      <c r="CU10" s="0" t="n">
        <v>20.8</v>
      </c>
      <c r="CV10" s="0" t="n">
        <v>15</v>
      </c>
      <c r="CW10" s="0" t="n">
        <v>7</v>
      </c>
      <c r="CX10" s="0" t="n">
        <v>15</v>
      </c>
      <c r="CY10" s="0" t="n">
        <f aca="false">IF(AH10="exact",10,IF(AH10="adjacent",5,0))</f>
        <v>10</v>
      </c>
      <c r="CZ10" s="0" t="n">
        <f aca="false">IF(R10="Y",15,0)</f>
        <v>0</v>
      </c>
      <c r="DA10" s="0" t="s">
        <v>486</v>
      </c>
      <c r="DB10" s="0" t="s">
        <v>487</v>
      </c>
      <c r="DC10" s="0" t="s">
        <v>488</v>
      </c>
      <c r="DF10" s="0" t="s">
        <v>158</v>
      </c>
      <c r="DG10" s="0" t="s">
        <v>211</v>
      </c>
      <c r="DJ10" s="0" t="s">
        <v>489</v>
      </c>
      <c r="DK10" s="0" t="s">
        <v>490</v>
      </c>
      <c r="DM10" s="0" t="s">
        <v>491</v>
      </c>
      <c r="DN10" s="0" t="s">
        <v>492</v>
      </c>
      <c r="DO10" s="0" t="s">
        <v>493</v>
      </c>
      <c r="DQ10" s="0" t="s">
        <v>216</v>
      </c>
      <c r="DR10" s="0" t="s">
        <v>494</v>
      </c>
      <c r="DS10" s="0" t="s">
        <v>171</v>
      </c>
      <c r="DT10" s="0" t="s">
        <v>230</v>
      </c>
      <c r="DU10" s="0" t="s">
        <v>495</v>
      </c>
      <c r="DV10" s="0" t="s">
        <v>496</v>
      </c>
      <c r="DW10" s="0" t="s">
        <v>497</v>
      </c>
      <c r="DX10" s="0" t="s">
        <v>168</v>
      </c>
      <c r="DY10" s="0" t="s">
        <v>221</v>
      </c>
      <c r="ER10" s="0" t="str">
        <f aca="false">IF(ISNUMBER(MATCH(U10,{"queued","contacted","replied","call_booked","call_done","yes_in_principle","materials_sent"},0)),"Y","N")</f>
        <v>Y</v>
      </c>
      <c r="ES10" s="0" t="str">
        <f aca="false">IF(COUNTIFS($AP$2:$AP$1000,AP10,$ER$2:$ER$1000,"Y")+COUNTIFS($AP$2:$AP$1000,AP10,$T$2:$T$1000,"Y")&gt;0,"Y","N")</f>
        <v>Y</v>
      </c>
      <c r="ET10" s="0" t="str">
        <f aca="false">IF(AND(U10="new",T10="N",AT10="Y",AS10="",ES10="N"),"Y","N")</f>
        <v>N</v>
      </c>
      <c r="EU10" s="0" t="str">
        <f aca="false">IF(ET10&lt;&gt;"Y","N",IF(COUNTIFS($AP$2:$AP$1000,AP10,$ET$2:$ET$1000,"Y",$J$2:$J$1000,"&gt;"&amp;J10)+COUNTIFS($AP$2:$AP$1000,AP10,$ET$2:$ET$1000,"Y",$J$2:$J$1000,J10,$EW$2:$EW$1000,"&lt;"&amp;EW10)=0,"Y","N"))</f>
        <v>N</v>
      </c>
      <c r="EV10" s="0" t="str">
        <f aca="false">IF(Y10="","N",IF(Y10&lt;=10,"Y","N"))</f>
        <v>N</v>
      </c>
      <c r="EW10" s="0" t="n">
        <f aca="false">ROW()-1</f>
        <v>9</v>
      </c>
    </row>
    <row r="11" customFormat="false" ht="15" hidden="false" customHeight="false" outlineLevel="0" collapsed="false">
      <c r="A11" s="0" t="s">
        <v>498</v>
      </c>
      <c r="B11" s="0" t="s">
        <v>499</v>
      </c>
      <c r="C11" s="0" t="s">
        <v>500</v>
      </c>
      <c r="D11" s="0" t="s">
        <v>501</v>
      </c>
      <c r="E11" s="0" t="s">
        <v>502</v>
      </c>
      <c r="H11" s="5" t="s">
        <v>158</v>
      </c>
      <c r="I11" s="5" t="s">
        <v>159</v>
      </c>
      <c r="J11" s="0" t="n">
        <f aca="false">IF(AX11="pass",ROUND(CU11+CV11+CW11+CX11+CY11+CZ11,1),0)</f>
        <v>67</v>
      </c>
      <c r="K11" s="0" t="s">
        <v>503</v>
      </c>
      <c r="L11" s="0" t="s">
        <v>394</v>
      </c>
      <c r="O11" s="0" t="s">
        <v>504</v>
      </c>
      <c r="P11" s="0" t="s">
        <v>505</v>
      </c>
      <c r="Q11" s="0" t="s">
        <v>506</v>
      </c>
      <c r="R11" s="5" t="s">
        <v>162</v>
      </c>
      <c r="S11" s="0" t="s">
        <v>163</v>
      </c>
      <c r="T11" s="5" t="s">
        <v>162</v>
      </c>
      <c r="U11" s="5" t="s">
        <v>164</v>
      </c>
      <c r="V11" s="0" t="s">
        <v>505</v>
      </c>
      <c r="W11" s="0" t="s">
        <v>166</v>
      </c>
      <c r="X11" s="0" t="s">
        <v>167</v>
      </c>
      <c r="Y11" s="0" t="str">
        <f aca="false">IF(EU11&lt;&gt;"Y","",COUNTIFS($EU$2:$EU$1000,"Y",$J$2:$J$1000,"&gt;"&amp;J11)+COUNTIFS($EU$2:$EU$1000,"Y",$J$2:$J$1000,J11,$EW$2:$EW$1000,"&lt;"&amp;EW11)+1)</f>
        <v/>
      </c>
      <c r="Z11" s="0" t="n">
        <v>10</v>
      </c>
      <c r="AA11" s="0" t="s">
        <v>168</v>
      </c>
      <c r="AB11" s="0" t="s">
        <v>507</v>
      </c>
      <c r="AC11" s="0" t="s">
        <v>170</v>
      </c>
      <c r="AD11" s="0" t="s">
        <v>171</v>
      </c>
      <c r="AE11" s="0" t="s">
        <v>230</v>
      </c>
      <c r="AF11" s="0" t="s">
        <v>508</v>
      </c>
      <c r="AG11" s="0" t="s">
        <v>174</v>
      </c>
      <c r="AH11" s="5" t="s">
        <v>309</v>
      </c>
      <c r="AI11" s="0" t="s">
        <v>509</v>
      </c>
      <c r="AJ11" s="0" t="s">
        <v>510</v>
      </c>
      <c r="AK11" s="0" t="s">
        <v>178</v>
      </c>
      <c r="AL11" s="0" t="n">
        <v>50</v>
      </c>
      <c r="AM11" s="0" t="n">
        <v>100</v>
      </c>
      <c r="AN11" s="0" t="s">
        <v>179</v>
      </c>
      <c r="AO11" s="0" t="s">
        <v>369</v>
      </c>
      <c r="AP11" s="0" t="s">
        <v>498</v>
      </c>
      <c r="AQ11" s="5" t="s">
        <v>162</v>
      </c>
      <c r="AT11" s="0" t="str">
        <f aca="false">IF(AND(AX11="pass",AQ11&lt;&gt;"Y",C11&lt;&gt;"",OR(AW11&lt;&gt;"Y",AV11="Y")),"Y","N")</f>
        <v>Y</v>
      </c>
      <c r="AU11" s="0" t="str">
        <f aca="false">_xlfn.TEXTJOIN("; ",TRUE(),IF(AX11&lt;&gt;"pass","gated out",""),IF(AQ11="Y","on hold: "&amp;AR11,""),IF(C11="","no contact named on an opened page",""),IF(AND(AW11="Y",AV11&lt;&gt;"Y"),"Tuesday estimate band "&amp;L11&amp;": founder's call",""))</f>
        <v/>
      </c>
      <c r="AW11" s="0" t="s">
        <v>162</v>
      </c>
      <c r="AX11" s="0" t="s">
        <v>181</v>
      </c>
      <c r="AY11" s="0" t="s">
        <v>182</v>
      </c>
      <c r="AZ11" s="0" t="s">
        <v>1</v>
      </c>
      <c r="BA11" s="0" t="s">
        <v>511</v>
      </c>
      <c r="BB11" s="0" t="s">
        <v>512</v>
      </c>
      <c r="BC11" s="0" t="s">
        <v>513</v>
      </c>
      <c r="BD11" s="0" t="s">
        <v>277</v>
      </c>
      <c r="BF11" s="0" t="s">
        <v>161</v>
      </c>
      <c r="BG11" s="0" t="s">
        <v>188</v>
      </c>
      <c r="BH11" s="0" t="s">
        <v>189</v>
      </c>
      <c r="BI11" s="0" t="s">
        <v>514</v>
      </c>
      <c r="BK11" s="0" t="s">
        <v>191</v>
      </c>
      <c r="BL11" s="0" t="s">
        <v>192</v>
      </c>
      <c r="BM11" s="0" t="s">
        <v>168</v>
      </c>
      <c r="BN11" s="0" t="s">
        <v>163</v>
      </c>
      <c r="BO11" s="0" t="s">
        <v>163</v>
      </c>
      <c r="BP11" s="0" t="s">
        <v>346</v>
      </c>
      <c r="BQ11" s="0" t="n">
        <v>40.742771</v>
      </c>
      <c r="BR11" s="0" t="n">
        <v>-73.991782</v>
      </c>
      <c r="BS11" s="0" t="s">
        <v>168</v>
      </c>
      <c r="BT11" s="0" t="n">
        <v>0</v>
      </c>
      <c r="BU11" s="0" t="s">
        <v>515</v>
      </c>
      <c r="BV11" s="0" t="s">
        <v>516</v>
      </c>
      <c r="BW11" s="0" t="s">
        <v>505</v>
      </c>
      <c r="BX11" s="0" t="s">
        <v>506</v>
      </c>
      <c r="BY11" s="0" t="s">
        <v>247</v>
      </c>
      <c r="BZ11" s="0" t="s">
        <v>514</v>
      </c>
      <c r="CA11" s="0" t="s">
        <v>166</v>
      </c>
      <c r="CC11" s="0" t="s">
        <v>200</v>
      </c>
      <c r="CE11" s="0" t="s">
        <v>162</v>
      </c>
      <c r="CH11" s="0" t="s">
        <v>163</v>
      </c>
      <c r="CJ11" s="0" t="s">
        <v>163</v>
      </c>
      <c r="CK11" s="0" t="s">
        <v>162</v>
      </c>
      <c r="CL11" s="0" t="s">
        <v>517</v>
      </c>
      <c r="CM11" s="0" t="s">
        <v>514</v>
      </c>
      <c r="CN11" s="0" t="s">
        <v>174</v>
      </c>
      <c r="CO11" s="0" t="n">
        <v>71</v>
      </c>
      <c r="CQ11" s="0" t="s">
        <v>518</v>
      </c>
      <c r="CR11" s="0" t="s">
        <v>206</v>
      </c>
      <c r="CS11" s="0" t="n">
        <v>1</v>
      </c>
      <c r="CT11" s="0" t="n">
        <v>67</v>
      </c>
      <c r="CU11" s="0" t="n">
        <v>25</v>
      </c>
      <c r="CV11" s="0" t="n">
        <v>15</v>
      </c>
      <c r="CW11" s="0" t="n">
        <v>7</v>
      </c>
      <c r="CX11" s="0" t="n">
        <v>15</v>
      </c>
      <c r="CY11" s="0" t="n">
        <f aca="false">IF(AH11="exact",10,IF(AH11="adjacent",5,0))</f>
        <v>5</v>
      </c>
      <c r="CZ11" s="0" t="n">
        <f aca="false">IF(R11="Y",15,0)</f>
        <v>0</v>
      </c>
      <c r="DF11" s="0" t="s">
        <v>158</v>
      </c>
      <c r="DG11" s="0" t="s">
        <v>211</v>
      </c>
      <c r="DJ11" s="0" t="s">
        <v>519</v>
      </c>
      <c r="DK11" s="0" t="s">
        <v>520</v>
      </c>
      <c r="DM11" s="0" t="s">
        <v>521</v>
      </c>
      <c r="DN11" s="0" t="s">
        <v>522</v>
      </c>
      <c r="DO11" s="0" t="s">
        <v>523</v>
      </c>
      <c r="DS11" s="0" t="s">
        <v>158</v>
      </c>
      <c r="DX11" s="0" t="s">
        <v>168</v>
      </c>
      <c r="DY11" s="0" t="s">
        <v>263</v>
      </c>
      <c r="ER11" s="0" t="str">
        <f aca="false">IF(ISNUMBER(MATCH(U11,{"queued","contacted","replied","call_booked","call_done","yes_in_principle","materials_sent"},0)),"Y","N")</f>
        <v>Y</v>
      </c>
      <c r="ES11" s="0" t="str">
        <f aca="false">IF(COUNTIFS($AP$2:$AP$1000,AP11,$ER$2:$ER$1000,"Y")+COUNTIFS($AP$2:$AP$1000,AP11,$T$2:$T$1000,"Y")&gt;0,"Y","N")</f>
        <v>Y</v>
      </c>
      <c r="ET11" s="0" t="str">
        <f aca="false">IF(AND(U11="new",T11="N",AT11="Y",AS11="",ES11="N"),"Y","N")</f>
        <v>N</v>
      </c>
      <c r="EU11" s="0" t="str">
        <f aca="false">IF(ET11&lt;&gt;"Y","N",IF(COUNTIFS($AP$2:$AP$1000,AP11,$ET$2:$ET$1000,"Y",$J$2:$J$1000,"&gt;"&amp;J11)+COUNTIFS($AP$2:$AP$1000,AP11,$ET$2:$ET$1000,"Y",$J$2:$J$1000,J11,$EW$2:$EW$1000,"&lt;"&amp;EW11)=0,"Y","N"))</f>
        <v>N</v>
      </c>
      <c r="EV11" s="0" t="str">
        <f aca="false">IF(Y11="","N",IF(Y11&lt;=10,"Y","N"))</f>
        <v>N</v>
      </c>
      <c r="EW11" s="0" t="n">
        <f aca="false">ROW()-1</f>
        <v>10</v>
      </c>
    </row>
    <row r="12" customFormat="false" ht="15" hidden="false" customHeight="false" outlineLevel="0" collapsed="false">
      <c r="A12" s="0" t="s">
        <v>524</v>
      </c>
      <c r="B12" s="0" t="s">
        <v>525</v>
      </c>
      <c r="C12" s="0" t="s">
        <v>526</v>
      </c>
      <c r="D12" s="0" t="s">
        <v>527</v>
      </c>
      <c r="E12" s="0" t="s">
        <v>528</v>
      </c>
      <c r="H12" s="5" t="s">
        <v>158</v>
      </c>
      <c r="I12" s="5" t="s">
        <v>159</v>
      </c>
      <c r="J12" s="0" t="n">
        <f aca="false">IF(AX12="pass",ROUND(CU12+CV12+CW12+CX12+CY12+CZ12,1),0)</f>
        <v>67</v>
      </c>
      <c r="K12" s="0" t="s">
        <v>529</v>
      </c>
      <c r="L12" s="0" t="s">
        <v>161</v>
      </c>
      <c r="R12" s="5" t="s">
        <v>162</v>
      </c>
      <c r="S12" s="0" t="s">
        <v>163</v>
      </c>
      <c r="T12" s="5" t="s">
        <v>162</v>
      </c>
      <c r="U12" s="5" t="s">
        <v>164</v>
      </c>
      <c r="V12" s="0" t="s">
        <v>197</v>
      </c>
      <c r="W12" s="0" t="s">
        <v>166</v>
      </c>
      <c r="X12" s="0" t="s">
        <v>167</v>
      </c>
      <c r="Y12" s="0" t="str">
        <f aca="false">IF(EU12&lt;&gt;"Y","",COUNTIFS($EU$2:$EU$1000,"Y",$J$2:$J$1000,"&gt;"&amp;J12)+COUNTIFS($EU$2:$EU$1000,"Y",$J$2:$J$1000,J12,$EW$2:$EW$1000,"&lt;"&amp;EW12)+1)</f>
        <v/>
      </c>
      <c r="Z12" s="0" t="n">
        <v>11</v>
      </c>
      <c r="AA12" s="0" t="s">
        <v>168</v>
      </c>
      <c r="AB12" s="0" t="s">
        <v>530</v>
      </c>
      <c r="AC12" s="0" t="s">
        <v>170</v>
      </c>
      <c r="AD12" s="0" t="s">
        <v>171</v>
      </c>
      <c r="AE12" s="0" t="s">
        <v>230</v>
      </c>
      <c r="AF12" s="0" t="s">
        <v>531</v>
      </c>
      <c r="AG12" s="0" t="s">
        <v>174</v>
      </c>
      <c r="AH12" s="5" t="s">
        <v>309</v>
      </c>
      <c r="AI12" s="0" t="s">
        <v>176</v>
      </c>
      <c r="AJ12" s="0" t="s">
        <v>163</v>
      </c>
      <c r="AK12" s="0" t="s">
        <v>178</v>
      </c>
      <c r="AL12" s="0" t="n">
        <v>55</v>
      </c>
      <c r="AM12" s="0" t="n">
        <v>126</v>
      </c>
      <c r="AN12" s="0" t="s">
        <v>179</v>
      </c>
      <c r="AO12" s="0" t="s">
        <v>369</v>
      </c>
      <c r="AP12" s="0" t="s">
        <v>524</v>
      </c>
      <c r="AQ12" s="5" t="s">
        <v>162</v>
      </c>
      <c r="AT12" s="0" t="str">
        <f aca="false">IF(AND(AX12="pass",AQ12&lt;&gt;"Y",C12&lt;&gt;"",OR(AW12&lt;&gt;"Y",AV12="Y")),"Y","N")</f>
        <v>Y</v>
      </c>
      <c r="AU12" s="0" t="str">
        <f aca="false">_xlfn.TEXTJOIN("; ",TRUE(),IF(AX12&lt;&gt;"pass","gated out",""),IF(AQ12="Y","on hold: "&amp;AR12,""),IF(C12="","no contact named on an opened page",""),IF(AND(AW12="Y",AV12&lt;&gt;"Y"),"Tuesday estimate band "&amp;L12&amp;": founder's call",""))</f>
        <v/>
      </c>
      <c r="AW12" s="0" t="s">
        <v>162</v>
      </c>
      <c r="AX12" s="0" t="s">
        <v>181</v>
      </c>
      <c r="AY12" s="0" t="s">
        <v>182</v>
      </c>
      <c r="AZ12" s="0" t="s">
        <v>1</v>
      </c>
      <c r="BA12" s="0" t="s">
        <v>532</v>
      </c>
      <c r="BB12" s="0" t="s">
        <v>533</v>
      </c>
      <c r="BC12" s="0" t="s">
        <v>534</v>
      </c>
      <c r="BD12" s="0" t="s">
        <v>535</v>
      </c>
      <c r="BE12" s="0" t="s">
        <v>536</v>
      </c>
      <c r="BF12" s="0" t="s">
        <v>187</v>
      </c>
      <c r="BG12" s="0" t="s">
        <v>188</v>
      </c>
      <c r="BH12" s="0" t="s">
        <v>240</v>
      </c>
      <c r="BI12" s="0" t="s">
        <v>537</v>
      </c>
      <c r="BJ12" s="0" t="s">
        <v>538</v>
      </c>
      <c r="BK12" s="0" t="s">
        <v>191</v>
      </c>
      <c r="BL12" s="0" t="s">
        <v>192</v>
      </c>
      <c r="BM12" s="0" t="s">
        <v>168</v>
      </c>
      <c r="BN12" s="0" t="s">
        <v>163</v>
      </c>
      <c r="BO12" s="0" t="s">
        <v>163</v>
      </c>
      <c r="BP12" s="0" t="s">
        <v>193</v>
      </c>
      <c r="BQ12" s="0" t="n">
        <v>40.73686</v>
      </c>
      <c r="BR12" s="0" t="n">
        <v>-73.988546</v>
      </c>
      <c r="BS12" s="0" t="s">
        <v>168</v>
      </c>
      <c r="BT12" s="0" t="n">
        <v>0</v>
      </c>
      <c r="BU12" s="0" t="s">
        <v>194</v>
      </c>
      <c r="BV12" s="0" t="s">
        <v>195</v>
      </c>
      <c r="BW12" s="0" t="s">
        <v>197</v>
      </c>
      <c r="BX12" s="0" t="s">
        <v>198</v>
      </c>
      <c r="BY12" s="0" t="s">
        <v>282</v>
      </c>
      <c r="BZ12" s="0" t="s">
        <v>283</v>
      </c>
      <c r="CA12" s="0" t="s">
        <v>284</v>
      </c>
      <c r="CB12" s="0" t="s">
        <v>199</v>
      </c>
      <c r="CC12" s="0" t="s">
        <v>200</v>
      </c>
      <c r="CE12" s="0" t="s">
        <v>162</v>
      </c>
      <c r="CH12" s="0" t="s">
        <v>201</v>
      </c>
      <c r="CI12" s="0" t="s">
        <v>202</v>
      </c>
      <c r="CJ12" s="0" t="s">
        <v>163</v>
      </c>
      <c r="CK12" s="0" t="s">
        <v>162</v>
      </c>
      <c r="CL12" s="0" t="s">
        <v>539</v>
      </c>
      <c r="CM12" s="0" t="s">
        <v>540</v>
      </c>
      <c r="CN12" s="0" t="s">
        <v>174</v>
      </c>
      <c r="CO12" s="0" t="n">
        <v>83</v>
      </c>
      <c r="CQ12" s="0" t="s">
        <v>541</v>
      </c>
      <c r="CR12" s="0" t="s">
        <v>206</v>
      </c>
      <c r="CS12" s="0" t="n">
        <v>1</v>
      </c>
      <c r="CT12" s="0" t="n">
        <v>67</v>
      </c>
      <c r="CU12" s="0" t="n">
        <v>25</v>
      </c>
      <c r="CV12" s="0" t="n">
        <v>15</v>
      </c>
      <c r="CW12" s="0" t="n">
        <v>7</v>
      </c>
      <c r="CX12" s="0" t="n">
        <v>15</v>
      </c>
      <c r="CY12" s="0" t="n">
        <f aca="false">IF(AH12="exact",10,IF(AH12="adjacent",5,0))</f>
        <v>5</v>
      </c>
      <c r="CZ12" s="0" t="n">
        <f aca="false">IF(R12="Y",15,0)</f>
        <v>0</v>
      </c>
      <c r="DA12" s="0" t="s">
        <v>542</v>
      </c>
      <c r="DB12" s="0" t="s">
        <v>543</v>
      </c>
      <c r="DC12" s="0" t="s">
        <v>544</v>
      </c>
      <c r="DF12" s="0" t="s">
        <v>158</v>
      </c>
      <c r="DG12" s="0" t="s">
        <v>211</v>
      </c>
      <c r="DJ12" s="0" t="s">
        <v>545</v>
      </c>
      <c r="DK12" s="0" t="s">
        <v>546</v>
      </c>
      <c r="DM12" s="0" t="s">
        <v>547</v>
      </c>
      <c r="DN12" s="0" t="s">
        <v>548</v>
      </c>
      <c r="DO12" s="0" t="s">
        <v>549</v>
      </c>
      <c r="DQ12" s="0" t="s">
        <v>216</v>
      </c>
      <c r="DR12" s="0" t="s">
        <v>550</v>
      </c>
      <c r="DS12" s="0" t="s">
        <v>171</v>
      </c>
      <c r="DT12" s="0" t="s">
        <v>230</v>
      </c>
      <c r="DU12" s="0" t="s">
        <v>551</v>
      </c>
      <c r="DV12" s="0" t="s">
        <v>552</v>
      </c>
      <c r="DW12" s="0" t="s">
        <v>553</v>
      </c>
      <c r="DX12" s="0" t="s">
        <v>168</v>
      </c>
      <c r="DY12" s="0" t="s">
        <v>221</v>
      </c>
      <c r="ER12" s="0" t="str">
        <f aca="false">IF(ISNUMBER(MATCH(U12,{"queued","contacted","replied","call_booked","call_done","yes_in_principle","materials_sent"},0)),"Y","N")</f>
        <v>Y</v>
      </c>
      <c r="ES12" s="0" t="str">
        <f aca="false">IF(COUNTIFS($AP$2:$AP$1000,AP12,$ER$2:$ER$1000,"Y")+COUNTIFS($AP$2:$AP$1000,AP12,$T$2:$T$1000,"Y")&gt;0,"Y","N")</f>
        <v>Y</v>
      </c>
      <c r="ET12" s="0" t="str">
        <f aca="false">IF(AND(U12="new",T12="N",AT12="Y",AS12="",ES12="N"),"Y","N")</f>
        <v>N</v>
      </c>
      <c r="EU12" s="0" t="str">
        <f aca="false">IF(ET12&lt;&gt;"Y","N",IF(COUNTIFS($AP$2:$AP$1000,AP12,$ET$2:$ET$1000,"Y",$J$2:$J$1000,"&gt;"&amp;J12)+COUNTIFS($AP$2:$AP$1000,AP12,$ET$2:$ET$1000,"Y",$J$2:$J$1000,J12,$EW$2:$EW$1000,"&lt;"&amp;EW12)=0,"Y","N"))</f>
        <v>N</v>
      </c>
      <c r="EV12" s="0" t="str">
        <f aca="false">IF(Y12="","N",IF(Y12&lt;=10,"Y","N"))</f>
        <v>N</v>
      </c>
      <c r="EW12" s="0" t="n">
        <f aca="false">ROW()-1</f>
        <v>11</v>
      </c>
    </row>
    <row r="13" customFormat="false" ht="15" hidden="false" customHeight="false" outlineLevel="0" collapsed="false">
      <c r="A13" s="0" t="s">
        <v>554</v>
      </c>
      <c r="B13" s="0" t="s">
        <v>555</v>
      </c>
      <c r="C13" s="0" t="s">
        <v>556</v>
      </c>
      <c r="D13" s="0" t="s">
        <v>557</v>
      </c>
      <c r="E13" s="0" t="s">
        <v>558</v>
      </c>
      <c r="H13" s="5" t="s">
        <v>158</v>
      </c>
      <c r="I13" s="5" t="s">
        <v>159</v>
      </c>
      <c r="J13" s="0" t="n">
        <f aca="false">IF(AX13="pass",ROUND(CU13+CV13+CW13+CX13+CY13+CZ13,1),0)</f>
        <v>66.3</v>
      </c>
      <c r="K13" s="0" t="s">
        <v>559</v>
      </c>
      <c r="L13" s="0" t="s">
        <v>560</v>
      </c>
      <c r="R13" s="5" t="s">
        <v>162</v>
      </c>
      <c r="S13" s="0" t="s">
        <v>163</v>
      </c>
      <c r="T13" s="5" t="s">
        <v>162</v>
      </c>
      <c r="U13" s="5" t="s">
        <v>561</v>
      </c>
      <c r="V13" s="0" t="s">
        <v>562</v>
      </c>
      <c r="W13" s="0" t="s">
        <v>166</v>
      </c>
      <c r="X13" s="0" t="s">
        <v>167</v>
      </c>
      <c r="Y13" s="0" t="str">
        <f aca="false">IF(EU13&lt;&gt;"Y","",COUNTIFS($EU$2:$EU$1000,"Y",$J$2:$J$1000,"&gt;"&amp;J13)+COUNTIFS($EU$2:$EU$1000,"Y",$J$2:$J$1000,J13,$EW$2:$EW$1000,"&lt;"&amp;EW13)+1)</f>
        <v/>
      </c>
      <c r="Z13" s="0" t="n">
        <v>12</v>
      </c>
      <c r="AA13" s="0" t="s">
        <v>168</v>
      </c>
      <c r="AB13" s="0" t="s">
        <v>563</v>
      </c>
      <c r="AC13" s="0" t="s">
        <v>170</v>
      </c>
      <c r="AD13" s="0" t="s">
        <v>171</v>
      </c>
      <c r="AE13" s="0" t="s">
        <v>230</v>
      </c>
      <c r="AF13" s="0" t="s">
        <v>564</v>
      </c>
      <c r="AG13" s="0" t="s">
        <v>174</v>
      </c>
      <c r="AH13" s="5" t="s">
        <v>175</v>
      </c>
      <c r="AI13" s="0" t="s">
        <v>565</v>
      </c>
      <c r="AJ13" s="0" t="s">
        <v>566</v>
      </c>
      <c r="AK13" s="0" t="s">
        <v>178</v>
      </c>
      <c r="AL13" s="0" t="n">
        <v>8</v>
      </c>
      <c r="AM13" s="0" t="n">
        <v>151</v>
      </c>
      <c r="AN13" s="0" t="s">
        <v>179</v>
      </c>
      <c r="AO13" s="0" t="s">
        <v>180</v>
      </c>
      <c r="AP13" s="0" t="s">
        <v>554</v>
      </c>
      <c r="AQ13" s="5" t="s">
        <v>162</v>
      </c>
      <c r="AT13" s="0" t="str">
        <f aca="false">IF(AND(AX13="pass",AQ13&lt;&gt;"Y",C13&lt;&gt;"",OR(AW13&lt;&gt;"Y",AV13="Y")),"Y","N")</f>
        <v>N</v>
      </c>
      <c r="AU13" s="0" t="str">
        <f aca="false">_xlfn.TEXTJOIN("; ",TRUE(),IF(AX13&lt;&gt;"pass","gated out",""),IF(AQ13="Y","on hold: "&amp;AR13,""),IF(C13="","no contact named on an opened page",""),IF(AND(AW13="Y",AV13&lt;&gt;"Y"),"Tuesday estimate band "&amp;L13&amp;": founder's call",""))</f>
        <v>Tuesday estimate band under-40: founder's call</v>
      </c>
      <c r="AW13" s="0" t="s">
        <v>168</v>
      </c>
      <c r="AX13" s="0" t="s">
        <v>181</v>
      </c>
      <c r="AY13" s="0" t="s">
        <v>182</v>
      </c>
      <c r="AZ13" s="0" t="s">
        <v>1</v>
      </c>
      <c r="BA13" s="0" t="s">
        <v>567</v>
      </c>
      <c r="BB13" s="0" t="s">
        <v>568</v>
      </c>
      <c r="BC13" s="0" t="s">
        <v>569</v>
      </c>
      <c r="BD13" s="0" t="s">
        <v>570</v>
      </c>
      <c r="BF13" s="0" t="s">
        <v>187</v>
      </c>
      <c r="BG13" s="0" t="s">
        <v>188</v>
      </c>
      <c r="BH13" s="0" t="s">
        <v>189</v>
      </c>
      <c r="BI13" s="0" t="s">
        <v>571</v>
      </c>
      <c r="BK13" s="0" t="s">
        <v>191</v>
      </c>
      <c r="BL13" s="0" t="s">
        <v>572</v>
      </c>
      <c r="BM13" s="0" t="s">
        <v>162</v>
      </c>
      <c r="BN13" s="0" t="s">
        <v>163</v>
      </c>
      <c r="BO13" s="0" t="s">
        <v>163</v>
      </c>
      <c r="BP13" s="0" t="s">
        <v>243</v>
      </c>
      <c r="BQ13" s="0" t="n">
        <v>40.744442</v>
      </c>
      <c r="BR13" s="0" t="n">
        <v>-73.983525</v>
      </c>
      <c r="BS13" s="0" t="s">
        <v>168</v>
      </c>
      <c r="BT13" s="0" t="n">
        <v>0</v>
      </c>
      <c r="BU13" s="0" t="s">
        <v>573</v>
      </c>
      <c r="BV13" s="0" t="s">
        <v>574</v>
      </c>
      <c r="BW13" s="0" t="s">
        <v>562</v>
      </c>
      <c r="BX13" s="0" t="s">
        <v>174</v>
      </c>
      <c r="BY13" s="0" t="s">
        <v>196</v>
      </c>
      <c r="BZ13" s="0" t="s">
        <v>575</v>
      </c>
      <c r="CA13" s="0" t="s">
        <v>576</v>
      </c>
      <c r="CC13" s="0" t="s">
        <v>200</v>
      </c>
      <c r="CE13" s="0" t="s">
        <v>162</v>
      </c>
      <c r="CH13" s="0" t="s">
        <v>163</v>
      </c>
      <c r="CJ13" s="0" t="s">
        <v>163</v>
      </c>
      <c r="CK13" s="0" t="s">
        <v>162</v>
      </c>
      <c r="CL13" s="0" t="s">
        <v>577</v>
      </c>
      <c r="CM13" s="0" t="s">
        <v>571</v>
      </c>
      <c r="CN13" s="0" t="s">
        <v>174</v>
      </c>
      <c r="CO13" s="0" t="n">
        <v>35</v>
      </c>
      <c r="CP13" s="0" t="s">
        <v>578</v>
      </c>
      <c r="CQ13" s="0" t="s">
        <v>579</v>
      </c>
      <c r="CR13" s="0" t="s">
        <v>206</v>
      </c>
      <c r="CS13" s="0" t="n">
        <v>0.45</v>
      </c>
      <c r="CT13" s="0" t="n">
        <v>66.3</v>
      </c>
      <c r="CU13" s="0" t="n">
        <v>11.3</v>
      </c>
      <c r="CV13" s="0" t="n">
        <v>15</v>
      </c>
      <c r="CW13" s="0" t="n">
        <v>15</v>
      </c>
      <c r="CX13" s="0" t="n">
        <v>15</v>
      </c>
      <c r="CY13" s="0" t="n">
        <f aca="false">IF(AH13="exact",10,IF(AH13="adjacent",5,0))</f>
        <v>10</v>
      </c>
      <c r="CZ13" s="0" t="n">
        <f aca="false">IF(R13="Y",15,0)</f>
        <v>0</v>
      </c>
      <c r="DA13" s="0" t="s">
        <v>580</v>
      </c>
      <c r="DB13" s="0" t="s">
        <v>581</v>
      </c>
      <c r="DC13" s="0" t="s">
        <v>582</v>
      </c>
      <c r="DF13" s="0" t="s">
        <v>158</v>
      </c>
      <c r="DG13" s="0" t="s">
        <v>211</v>
      </c>
      <c r="DJ13" s="0" t="s">
        <v>583</v>
      </c>
      <c r="DK13" s="0" t="s">
        <v>584</v>
      </c>
      <c r="DM13" s="0" t="s">
        <v>585</v>
      </c>
      <c r="DN13" s="0" t="s">
        <v>586</v>
      </c>
      <c r="DO13" s="0" t="s">
        <v>587</v>
      </c>
      <c r="DQ13" s="0" t="s">
        <v>216</v>
      </c>
      <c r="DR13" s="0" t="s">
        <v>588</v>
      </c>
      <c r="DS13" s="0" t="s">
        <v>171</v>
      </c>
      <c r="DT13" s="0" t="s">
        <v>230</v>
      </c>
      <c r="DU13" s="0" t="s">
        <v>589</v>
      </c>
      <c r="DV13" s="0" t="s">
        <v>590</v>
      </c>
      <c r="DW13" s="0" t="s">
        <v>591</v>
      </c>
      <c r="DX13" s="0" t="s">
        <v>168</v>
      </c>
      <c r="DY13" s="0" t="s">
        <v>221</v>
      </c>
      <c r="ER13" s="0" t="str">
        <f aca="false">IF(ISNUMBER(MATCH(U13,{"queued","contacted","replied","call_booked","call_done","yes_in_principle","materials_sent"},0)),"Y","N")</f>
        <v>N</v>
      </c>
      <c r="ES13" s="0" t="str">
        <f aca="false">IF(COUNTIFS($AP$2:$AP$1000,AP13,$ER$2:$ER$1000,"Y")+COUNTIFS($AP$2:$AP$1000,AP13,$T$2:$T$1000,"Y")&gt;0,"Y","N")</f>
        <v>N</v>
      </c>
      <c r="ET13" s="0" t="str">
        <f aca="false">IF(AND(U13="new",T13="N",AT13="Y",AS13="",ES13="N"),"Y","N")</f>
        <v>N</v>
      </c>
      <c r="EU13" s="0" t="str">
        <f aca="false">IF(ET13&lt;&gt;"Y","N",IF(COUNTIFS($AP$2:$AP$1000,AP13,$ET$2:$ET$1000,"Y",$J$2:$J$1000,"&gt;"&amp;J13)+COUNTIFS($AP$2:$AP$1000,AP13,$ET$2:$ET$1000,"Y",$J$2:$J$1000,J13,$EW$2:$EW$1000,"&lt;"&amp;EW13)=0,"Y","N"))</f>
        <v>N</v>
      </c>
      <c r="EV13" s="0" t="str">
        <f aca="false">IF(Y13="","N",IF(Y13&lt;=10,"Y","N"))</f>
        <v>N</v>
      </c>
      <c r="EW13" s="0" t="n">
        <f aca="false">ROW()-1</f>
        <v>12</v>
      </c>
    </row>
    <row r="14" customFormat="false" ht="15" hidden="false" customHeight="false" outlineLevel="0" collapsed="false">
      <c r="A14" s="0" t="s">
        <v>592</v>
      </c>
      <c r="B14" s="0" t="s">
        <v>593</v>
      </c>
      <c r="H14" s="5" t="s">
        <v>158</v>
      </c>
      <c r="I14" s="5" t="s">
        <v>594</v>
      </c>
      <c r="J14" s="0" t="n">
        <f aca="false">IF(AX14="pass",ROUND(CU14+CV14+CW14+CX14+CY14+CZ14,1),0)</f>
        <v>66</v>
      </c>
      <c r="K14" s="0" t="s">
        <v>595</v>
      </c>
      <c r="L14" s="0" t="s">
        <v>187</v>
      </c>
      <c r="R14" s="5" t="s">
        <v>162</v>
      </c>
      <c r="S14" s="0" t="s">
        <v>163</v>
      </c>
      <c r="T14" s="5" t="s">
        <v>162</v>
      </c>
      <c r="U14" s="5" t="s">
        <v>561</v>
      </c>
      <c r="V14" s="0" t="s">
        <v>596</v>
      </c>
      <c r="W14" s="0" t="s">
        <v>166</v>
      </c>
      <c r="X14" s="0" t="s">
        <v>167</v>
      </c>
      <c r="Y14" s="0" t="str">
        <f aca="false">IF(EU14&lt;&gt;"Y","",COUNTIFS($EU$2:$EU$1000,"Y",$J$2:$J$1000,"&gt;"&amp;J14)+COUNTIFS($EU$2:$EU$1000,"Y",$J$2:$J$1000,J14,$EW$2:$EW$1000,"&lt;"&amp;EW14)+1)</f>
        <v/>
      </c>
      <c r="Z14" s="0" t="n">
        <v>13</v>
      </c>
      <c r="AA14" s="0" t="s">
        <v>168</v>
      </c>
      <c r="AB14" s="0" t="s">
        <v>597</v>
      </c>
      <c r="AC14" s="0" t="s">
        <v>170</v>
      </c>
      <c r="AD14" s="0" t="s">
        <v>598</v>
      </c>
      <c r="AE14" s="0" t="s">
        <v>599</v>
      </c>
      <c r="AF14" s="0" t="s">
        <v>600</v>
      </c>
      <c r="AG14" s="0" t="s">
        <v>174</v>
      </c>
      <c r="AH14" s="5" t="s">
        <v>309</v>
      </c>
      <c r="AI14" s="0" t="s">
        <v>601</v>
      </c>
      <c r="AJ14" s="0" t="s">
        <v>433</v>
      </c>
      <c r="AK14" s="0" t="s">
        <v>178</v>
      </c>
      <c r="AL14" s="0" t="n">
        <v>113</v>
      </c>
      <c r="AM14" s="0" t="n">
        <v>247</v>
      </c>
      <c r="AN14" s="0" t="s">
        <v>179</v>
      </c>
      <c r="AO14" s="0" t="s">
        <v>163</v>
      </c>
      <c r="AP14" s="0" t="s">
        <v>592</v>
      </c>
      <c r="AQ14" s="5" t="s">
        <v>162</v>
      </c>
      <c r="AT14" s="0" t="str">
        <f aca="false">IF(AND(AX14="pass",AQ14&lt;&gt;"Y",C14&lt;&gt;"",OR(AW14&lt;&gt;"Y",AV14="Y")),"Y","N")</f>
        <v>N</v>
      </c>
      <c r="AU14" s="0" t="str">
        <f aca="false">_xlfn.TEXTJOIN("; ",TRUE(),IF(AX14&lt;&gt;"pass","gated out",""),IF(AQ14="Y","on hold: "&amp;AR14,""),IF(C14="","no contact named on an opened page",""),IF(AND(AW14="Y",AV14&lt;&gt;"Y"),"Tuesday estimate band "&amp;L14&amp;": founder's call",""))</f>
        <v>no contact named on an opened page</v>
      </c>
      <c r="AW14" s="0" t="s">
        <v>162</v>
      </c>
      <c r="AX14" s="0" t="s">
        <v>181</v>
      </c>
      <c r="AY14" s="0" t="s">
        <v>182</v>
      </c>
      <c r="AZ14" s="0" t="s">
        <v>1</v>
      </c>
      <c r="BA14" s="0" t="s">
        <v>602</v>
      </c>
      <c r="BB14" s="0" t="s">
        <v>603</v>
      </c>
      <c r="BC14" s="0" t="s">
        <v>604</v>
      </c>
      <c r="BD14" s="0" t="s">
        <v>605</v>
      </c>
      <c r="BE14" s="0" t="s">
        <v>606</v>
      </c>
      <c r="BF14" s="0" t="s">
        <v>239</v>
      </c>
      <c r="BG14" s="0" t="s">
        <v>188</v>
      </c>
      <c r="BH14" s="0" t="s">
        <v>240</v>
      </c>
      <c r="BI14" s="0" t="s">
        <v>596</v>
      </c>
      <c r="BJ14" s="0" t="s">
        <v>607</v>
      </c>
      <c r="BK14" s="0" t="s">
        <v>191</v>
      </c>
      <c r="BL14" s="0" t="s">
        <v>192</v>
      </c>
      <c r="BM14" s="0" t="s">
        <v>168</v>
      </c>
      <c r="BN14" s="0" t="s">
        <v>163</v>
      </c>
      <c r="BO14" s="0" t="s">
        <v>163</v>
      </c>
      <c r="BP14" s="0" t="s">
        <v>193</v>
      </c>
      <c r="BQ14" s="0" t="n">
        <v>40.73865</v>
      </c>
      <c r="BR14" s="0" t="n">
        <v>-73.991471</v>
      </c>
      <c r="BS14" s="0" t="s">
        <v>168</v>
      </c>
      <c r="BT14" s="0" t="n">
        <v>0</v>
      </c>
      <c r="BU14" s="0" t="s">
        <v>608</v>
      </c>
      <c r="BV14" s="0" t="s">
        <v>609</v>
      </c>
      <c r="BW14" s="0" t="s">
        <v>596</v>
      </c>
      <c r="BX14" s="0" t="s">
        <v>610</v>
      </c>
      <c r="BY14" s="0" t="s">
        <v>282</v>
      </c>
      <c r="BZ14" s="0" t="s">
        <v>611</v>
      </c>
      <c r="CA14" s="0" t="s">
        <v>612</v>
      </c>
      <c r="CB14" s="0" t="s">
        <v>199</v>
      </c>
      <c r="CC14" s="0" t="s">
        <v>200</v>
      </c>
      <c r="CE14" s="0" t="s">
        <v>162</v>
      </c>
      <c r="CH14" s="0" t="s">
        <v>163</v>
      </c>
      <c r="CJ14" s="0" t="s">
        <v>163</v>
      </c>
      <c r="CK14" s="0" t="s">
        <v>162</v>
      </c>
      <c r="CL14" s="0" t="s">
        <v>163</v>
      </c>
      <c r="CO14" s="0" t="n">
        <v>167</v>
      </c>
      <c r="CQ14" s="0" t="s">
        <v>613</v>
      </c>
      <c r="CR14" s="0" t="s">
        <v>206</v>
      </c>
      <c r="CS14" s="0" t="n">
        <v>1</v>
      </c>
      <c r="CT14" s="0" t="n">
        <v>66</v>
      </c>
      <c r="CU14" s="0" t="n">
        <v>25</v>
      </c>
      <c r="CV14" s="0" t="n">
        <v>15</v>
      </c>
      <c r="CW14" s="0" t="n">
        <v>6</v>
      </c>
      <c r="CX14" s="0" t="n">
        <v>15</v>
      </c>
      <c r="CY14" s="0" t="n">
        <f aca="false">IF(AH14="exact",10,IF(AH14="adjacent",5,0))</f>
        <v>5</v>
      </c>
      <c r="CZ14" s="0" t="n">
        <f aca="false">IF(R14="Y",15,0)</f>
        <v>0</v>
      </c>
      <c r="DF14" s="0" t="s">
        <v>158</v>
      </c>
      <c r="DG14" s="0" t="s">
        <v>211</v>
      </c>
      <c r="DJ14" s="0" t="s">
        <v>614</v>
      </c>
      <c r="DK14" s="0" t="s">
        <v>615</v>
      </c>
      <c r="DM14" s="0" t="s">
        <v>616</v>
      </c>
      <c r="DO14" s="0" t="s">
        <v>617</v>
      </c>
      <c r="DS14" s="0" t="s">
        <v>158</v>
      </c>
      <c r="DX14" s="0" t="s">
        <v>168</v>
      </c>
      <c r="DY14" s="0" t="s">
        <v>618</v>
      </c>
      <c r="ER14" s="0" t="str">
        <f aca="false">IF(ISNUMBER(MATCH(U14,{"queued","contacted","replied","call_booked","call_done","yes_in_principle","materials_sent"},0)),"Y","N")</f>
        <v>N</v>
      </c>
      <c r="ES14" s="0" t="str">
        <f aca="false">IF(COUNTIFS($AP$2:$AP$1000,AP14,$ER$2:$ER$1000,"Y")+COUNTIFS($AP$2:$AP$1000,AP14,$T$2:$T$1000,"Y")&gt;0,"Y","N")</f>
        <v>N</v>
      </c>
      <c r="ET14" s="0" t="str">
        <f aca="false">IF(AND(U14="new",T14="N",AT14="Y",AS14="",ES14="N"),"Y","N")</f>
        <v>N</v>
      </c>
      <c r="EU14" s="0" t="str">
        <f aca="false">IF(ET14&lt;&gt;"Y","N",IF(COUNTIFS($AP$2:$AP$1000,AP14,$ET$2:$ET$1000,"Y",$J$2:$J$1000,"&gt;"&amp;J14)+COUNTIFS($AP$2:$AP$1000,AP14,$ET$2:$ET$1000,"Y",$J$2:$J$1000,J14,$EW$2:$EW$1000,"&lt;"&amp;EW14)=0,"Y","N"))</f>
        <v>N</v>
      </c>
      <c r="EV14" s="0" t="str">
        <f aca="false">IF(Y14="","N",IF(Y14&lt;=10,"Y","N"))</f>
        <v>N</v>
      </c>
      <c r="EW14" s="0" t="n">
        <f aca="false">ROW()-1</f>
        <v>13</v>
      </c>
    </row>
    <row r="15" customFormat="false" ht="15" hidden="false" customHeight="false" outlineLevel="0" collapsed="false">
      <c r="A15" s="0" t="s">
        <v>619</v>
      </c>
      <c r="B15" s="0" t="s">
        <v>620</v>
      </c>
      <c r="H15" s="5" t="s">
        <v>158</v>
      </c>
      <c r="I15" s="5" t="s">
        <v>594</v>
      </c>
      <c r="J15" s="0" t="n">
        <f aca="false">IF(AX15="pass",ROUND(CU15+CV15+CW15+CX15+CY15+CZ15,1),0)</f>
        <v>65.9</v>
      </c>
      <c r="K15" s="0" t="s">
        <v>621</v>
      </c>
      <c r="L15" s="0" t="s">
        <v>187</v>
      </c>
      <c r="R15" s="5" t="s">
        <v>162</v>
      </c>
      <c r="S15" s="0" t="s">
        <v>163</v>
      </c>
      <c r="T15" s="5" t="s">
        <v>162</v>
      </c>
      <c r="U15" s="5" t="s">
        <v>561</v>
      </c>
      <c r="V15" s="0" t="s">
        <v>622</v>
      </c>
      <c r="W15" s="0" t="s">
        <v>166</v>
      </c>
      <c r="X15" s="0" t="s">
        <v>167</v>
      </c>
      <c r="Y15" s="0" t="str">
        <f aca="false">IF(EU15&lt;&gt;"Y","",COUNTIFS($EU$2:$EU$1000,"Y",$J$2:$J$1000,"&gt;"&amp;J15)+COUNTIFS($EU$2:$EU$1000,"Y",$J$2:$J$1000,J15,$EW$2:$EW$1000,"&lt;"&amp;EW15)+1)</f>
        <v/>
      </c>
      <c r="Z15" s="0" t="n">
        <v>14</v>
      </c>
      <c r="AA15" s="0" t="s">
        <v>168</v>
      </c>
      <c r="AB15" s="0" t="s">
        <v>597</v>
      </c>
      <c r="AD15" s="0" t="s">
        <v>158</v>
      </c>
      <c r="AH15" s="5" t="s">
        <v>158</v>
      </c>
      <c r="AI15" s="0" t="s">
        <v>623</v>
      </c>
      <c r="AJ15" s="0" t="s">
        <v>624</v>
      </c>
      <c r="AK15" s="0" t="s">
        <v>178</v>
      </c>
      <c r="AL15" s="0" t="n">
        <v>137</v>
      </c>
      <c r="AM15" s="0" t="n">
        <v>281</v>
      </c>
      <c r="AN15" s="0" t="s">
        <v>179</v>
      </c>
      <c r="AO15" s="0" t="s">
        <v>180</v>
      </c>
      <c r="AP15" s="0" t="s">
        <v>619</v>
      </c>
      <c r="AQ15" s="5" t="s">
        <v>162</v>
      </c>
      <c r="AT15" s="0" t="str">
        <f aca="false">IF(AND(AX15="pass",AQ15&lt;&gt;"Y",C15&lt;&gt;"",OR(AW15&lt;&gt;"Y",AV15="Y")),"Y","N")</f>
        <v>N</v>
      </c>
      <c r="AU15" s="0" t="str">
        <f aca="false">_xlfn.TEXTJOIN("; ",TRUE(),IF(AX15&lt;&gt;"pass","gated out",""),IF(AQ15="Y","on hold: "&amp;AR15,""),IF(C15="","no contact named on an opened page",""),IF(AND(AW15="Y",AV15&lt;&gt;"Y"),"Tuesday estimate band "&amp;L15&amp;": founder's call",""))</f>
        <v>no contact named on an opened page</v>
      </c>
      <c r="AW15" s="0" t="s">
        <v>162</v>
      </c>
      <c r="AX15" s="0" t="s">
        <v>181</v>
      </c>
      <c r="AY15" s="0" t="s">
        <v>182</v>
      </c>
      <c r="AZ15" s="0" t="s">
        <v>1</v>
      </c>
      <c r="BA15" s="0" t="s">
        <v>625</v>
      </c>
      <c r="BB15" s="0" t="s">
        <v>626</v>
      </c>
      <c r="BC15" s="0" t="s">
        <v>627</v>
      </c>
      <c r="BD15" s="0" t="s">
        <v>628</v>
      </c>
      <c r="BE15" s="0" t="s">
        <v>629</v>
      </c>
      <c r="BF15" s="0" t="s">
        <v>239</v>
      </c>
      <c r="BG15" s="0" t="s">
        <v>188</v>
      </c>
      <c r="BH15" s="0" t="s">
        <v>240</v>
      </c>
      <c r="BI15" s="0" t="s">
        <v>630</v>
      </c>
      <c r="BJ15" s="0" t="s">
        <v>631</v>
      </c>
      <c r="BK15" s="0" t="s">
        <v>191</v>
      </c>
      <c r="BL15" s="0" t="s">
        <v>192</v>
      </c>
      <c r="BM15" s="0" t="s">
        <v>168</v>
      </c>
      <c r="BN15" s="0" t="s">
        <v>163</v>
      </c>
      <c r="BO15" s="0" t="s">
        <v>163</v>
      </c>
      <c r="BP15" s="0" t="s">
        <v>377</v>
      </c>
      <c r="BQ15" s="0" t="n">
        <v>40.74024</v>
      </c>
      <c r="BR15" s="0" t="n">
        <v>-73.994996</v>
      </c>
      <c r="BS15" s="0" t="s">
        <v>168</v>
      </c>
      <c r="BT15" s="0" t="n">
        <v>0</v>
      </c>
      <c r="BU15" s="0" t="s">
        <v>632</v>
      </c>
      <c r="BV15" s="0" t="s">
        <v>633</v>
      </c>
      <c r="BW15" s="0" t="s">
        <v>622</v>
      </c>
      <c r="BX15" s="0" t="s">
        <v>634</v>
      </c>
      <c r="BY15" s="0" t="s">
        <v>247</v>
      </c>
      <c r="BZ15" s="0" t="s">
        <v>635</v>
      </c>
      <c r="CA15" s="0" t="s">
        <v>174</v>
      </c>
      <c r="CC15" s="0" t="s">
        <v>200</v>
      </c>
      <c r="CE15" s="0" t="s">
        <v>162</v>
      </c>
      <c r="CH15" s="0" t="s">
        <v>163</v>
      </c>
      <c r="CJ15" s="0" t="s">
        <v>163</v>
      </c>
      <c r="CK15" s="0" t="s">
        <v>162</v>
      </c>
      <c r="CL15" s="0" t="s">
        <v>577</v>
      </c>
      <c r="CM15" s="0" t="s">
        <v>636</v>
      </c>
      <c r="CN15" s="0" t="s">
        <v>174</v>
      </c>
      <c r="CO15" s="0" t="n">
        <v>196</v>
      </c>
      <c r="CP15" s="0" t="s">
        <v>250</v>
      </c>
      <c r="CQ15" s="0" t="s">
        <v>637</v>
      </c>
      <c r="CR15" s="0" t="s">
        <v>206</v>
      </c>
      <c r="CS15" s="0" t="n">
        <v>0.84</v>
      </c>
      <c r="CT15" s="0" t="n">
        <v>65.9</v>
      </c>
      <c r="CU15" s="0" t="n">
        <v>20.9</v>
      </c>
      <c r="CV15" s="0" t="n">
        <v>15</v>
      </c>
      <c r="CW15" s="0" t="n">
        <v>15</v>
      </c>
      <c r="CX15" s="0" t="n">
        <v>15</v>
      </c>
      <c r="CY15" s="0" t="n">
        <f aca="false">IF(AH15="exact",10,IF(AH15="adjacent",5,0))</f>
        <v>0</v>
      </c>
      <c r="CZ15" s="0" t="n">
        <f aca="false">IF(R15="Y",15,0)</f>
        <v>0</v>
      </c>
      <c r="DF15" s="0" t="s">
        <v>158</v>
      </c>
      <c r="DG15" s="0" t="s">
        <v>211</v>
      </c>
      <c r="DJ15" s="0" t="s">
        <v>638</v>
      </c>
      <c r="DK15" s="0" t="s">
        <v>639</v>
      </c>
      <c r="DS15" s="0" t="s">
        <v>158</v>
      </c>
      <c r="DX15" s="0" t="s">
        <v>168</v>
      </c>
      <c r="ER15" s="0" t="str">
        <f aca="false">IF(ISNUMBER(MATCH(U15,{"queued","contacted","replied","call_booked","call_done","yes_in_principle","materials_sent"},0)),"Y","N")</f>
        <v>N</v>
      </c>
      <c r="ES15" s="0" t="str">
        <f aca="false">IF(COUNTIFS($AP$2:$AP$1000,AP15,$ER$2:$ER$1000,"Y")+COUNTIFS($AP$2:$AP$1000,AP15,$T$2:$T$1000,"Y")&gt;0,"Y","N")</f>
        <v>N</v>
      </c>
      <c r="ET15" s="0" t="str">
        <f aca="false">IF(AND(U15="new",T15="N",AT15="Y",AS15="",ES15="N"),"Y","N")</f>
        <v>N</v>
      </c>
      <c r="EU15" s="0" t="str">
        <f aca="false">IF(ET15&lt;&gt;"Y","N",IF(COUNTIFS($AP$2:$AP$1000,AP15,$ET$2:$ET$1000,"Y",$J$2:$J$1000,"&gt;"&amp;J15)+COUNTIFS($AP$2:$AP$1000,AP15,$ET$2:$ET$1000,"Y",$J$2:$J$1000,J15,$EW$2:$EW$1000,"&lt;"&amp;EW15)=0,"Y","N"))</f>
        <v>N</v>
      </c>
      <c r="EV15" s="0" t="str">
        <f aca="false">IF(Y15="","N",IF(Y15&lt;=10,"Y","N"))</f>
        <v>N</v>
      </c>
      <c r="EW15" s="0" t="n">
        <f aca="false">ROW()-1</f>
        <v>14</v>
      </c>
    </row>
    <row r="16" customFormat="false" ht="15" hidden="false" customHeight="false" outlineLevel="0" collapsed="false">
      <c r="A16" s="0" t="s">
        <v>640</v>
      </c>
      <c r="B16" s="0" t="s">
        <v>641</v>
      </c>
      <c r="C16" s="0" t="s">
        <v>642</v>
      </c>
      <c r="D16" s="0" t="s">
        <v>643</v>
      </c>
      <c r="E16" s="0" t="s">
        <v>644</v>
      </c>
      <c r="H16" s="5" t="s">
        <v>158</v>
      </c>
      <c r="I16" s="5" t="s">
        <v>159</v>
      </c>
      <c r="J16" s="0" t="n">
        <f aca="false">IF(AX16="pass",ROUND(CU16+CV16+CW16+CX16+CY16+CZ16,1),0)</f>
        <v>65.3</v>
      </c>
      <c r="K16" s="0" t="s">
        <v>645</v>
      </c>
      <c r="L16" s="0" t="s">
        <v>560</v>
      </c>
      <c r="R16" s="5" t="s">
        <v>162</v>
      </c>
      <c r="S16" s="0" t="s">
        <v>163</v>
      </c>
      <c r="T16" s="5" t="s">
        <v>162</v>
      </c>
      <c r="U16" s="5" t="s">
        <v>561</v>
      </c>
      <c r="V16" s="0" t="s">
        <v>646</v>
      </c>
      <c r="W16" s="0" t="s">
        <v>166</v>
      </c>
      <c r="X16" s="0" t="s">
        <v>167</v>
      </c>
      <c r="Y16" s="0" t="str">
        <f aca="false">IF(EU16&lt;&gt;"Y","",COUNTIFS($EU$2:$EU$1000,"Y",$J$2:$J$1000,"&gt;"&amp;J16)+COUNTIFS($EU$2:$EU$1000,"Y",$J$2:$J$1000,J16,$EW$2:$EW$1000,"&lt;"&amp;EW16)+1)</f>
        <v/>
      </c>
      <c r="Z16" s="0" t="n">
        <v>15</v>
      </c>
      <c r="AA16" s="0" t="s">
        <v>168</v>
      </c>
      <c r="AB16" s="0" t="s">
        <v>647</v>
      </c>
      <c r="AC16" s="0" t="s">
        <v>170</v>
      </c>
      <c r="AD16" s="0" t="s">
        <v>171</v>
      </c>
      <c r="AE16" s="0" t="s">
        <v>172</v>
      </c>
      <c r="AF16" s="0" t="s">
        <v>648</v>
      </c>
      <c r="AG16" s="0" t="s">
        <v>174</v>
      </c>
      <c r="AH16" s="5" t="s">
        <v>175</v>
      </c>
      <c r="AI16" s="0" t="s">
        <v>649</v>
      </c>
      <c r="AJ16" s="0" t="s">
        <v>650</v>
      </c>
      <c r="AK16" s="0" t="s">
        <v>178</v>
      </c>
      <c r="AL16" s="0" t="n">
        <v>7</v>
      </c>
      <c r="AM16" s="0" t="n">
        <v>136</v>
      </c>
      <c r="AN16" s="0" t="s">
        <v>179</v>
      </c>
      <c r="AO16" s="0" t="s">
        <v>180</v>
      </c>
      <c r="AP16" s="0" t="s">
        <v>640</v>
      </c>
      <c r="AQ16" s="5" t="s">
        <v>162</v>
      </c>
      <c r="AT16" s="0" t="str">
        <f aca="false">IF(AND(AX16="pass",AQ16&lt;&gt;"Y",C16&lt;&gt;"",OR(AW16&lt;&gt;"Y",AV16="Y")),"Y","N")</f>
        <v>N</v>
      </c>
      <c r="AU16" s="0" t="str">
        <f aca="false">_xlfn.TEXTJOIN("; ",TRUE(),IF(AX16&lt;&gt;"pass","gated out",""),IF(AQ16="Y","on hold: "&amp;AR16,""),IF(C16="","no contact named on an opened page",""),IF(AND(AW16="Y",AV16&lt;&gt;"Y"),"Tuesday estimate band "&amp;L16&amp;": founder's call",""))</f>
        <v>Tuesday estimate band under-40: founder's call</v>
      </c>
      <c r="AW16" s="0" t="s">
        <v>168</v>
      </c>
      <c r="AX16" s="0" t="s">
        <v>181</v>
      </c>
      <c r="AY16" s="0" t="s">
        <v>182</v>
      </c>
      <c r="AZ16" s="0" t="s">
        <v>1</v>
      </c>
      <c r="BA16" s="0" t="s">
        <v>651</v>
      </c>
      <c r="BB16" s="0" t="s">
        <v>652</v>
      </c>
      <c r="BC16" s="0" t="s">
        <v>653</v>
      </c>
      <c r="BD16" s="0" t="s">
        <v>654</v>
      </c>
      <c r="BF16" s="0" t="s">
        <v>187</v>
      </c>
      <c r="BG16" s="0" t="s">
        <v>188</v>
      </c>
      <c r="BH16" s="0" t="s">
        <v>189</v>
      </c>
      <c r="BI16" s="0" t="s">
        <v>655</v>
      </c>
      <c r="BK16" s="0" t="s">
        <v>191</v>
      </c>
      <c r="BL16" s="0" t="s">
        <v>656</v>
      </c>
      <c r="BM16" s="0" t="s">
        <v>162</v>
      </c>
      <c r="BN16" s="0" t="s">
        <v>163</v>
      </c>
      <c r="BO16" s="0" t="s">
        <v>163</v>
      </c>
      <c r="BP16" s="0" t="s">
        <v>193</v>
      </c>
      <c r="BQ16" s="0" t="n">
        <v>40.733674</v>
      </c>
      <c r="BR16" s="0" t="n">
        <v>-73.988766</v>
      </c>
      <c r="BS16" s="0" t="s">
        <v>168</v>
      </c>
      <c r="BT16" s="0" t="n">
        <v>0</v>
      </c>
      <c r="BU16" s="0" t="s">
        <v>657</v>
      </c>
      <c r="BV16" s="0" t="s">
        <v>658</v>
      </c>
      <c r="BW16" s="0" t="s">
        <v>646</v>
      </c>
      <c r="BX16" s="0" t="s">
        <v>174</v>
      </c>
      <c r="BY16" s="0" t="s">
        <v>196</v>
      </c>
      <c r="BZ16" s="0" t="s">
        <v>659</v>
      </c>
      <c r="CA16" s="0" t="s">
        <v>660</v>
      </c>
      <c r="CC16" s="0" t="s">
        <v>200</v>
      </c>
      <c r="CE16" s="0" t="s">
        <v>162</v>
      </c>
      <c r="CH16" s="0" t="s">
        <v>163</v>
      </c>
      <c r="CJ16" s="0" t="s">
        <v>163</v>
      </c>
      <c r="CK16" s="0" t="s">
        <v>162</v>
      </c>
      <c r="CL16" s="0" t="s">
        <v>577</v>
      </c>
      <c r="CM16" s="0" t="s">
        <v>661</v>
      </c>
      <c r="CN16" s="0" t="s">
        <v>174</v>
      </c>
      <c r="CO16" s="0" t="n">
        <v>31</v>
      </c>
      <c r="CP16" s="0" t="s">
        <v>578</v>
      </c>
      <c r="CQ16" s="0" t="s">
        <v>662</v>
      </c>
      <c r="CR16" s="0" t="s">
        <v>206</v>
      </c>
      <c r="CS16" s="0" t="n">
        <v>0.41</v>
      </c>
      <c r="CT16" s="0" t="n">
        <v>65.3</v>
      </c>
      <c r="CU16" s="0" t="n">
        <v>10.3</v>
      </c>
      <c r="CV16" s="0" t="n">
        <v>15</v>
      </c>
      <c r="CW16" s="0" t="n">
        <v>15</v>
      </c>
      <c r="CX16" s="0" t="n">
        <v>15</v>
      </c>
      <c r="CY16" s="0" t="n">
        <f aca="false">IF(AH16="exact",10,IF(AH16="adjacent",5,0))</f>
        <v>10</v>
      </c>
      <c r="CZ16" s="0" t="n">
        <f aca="false">IF(R16="Y",15,0)</f>
        <v>0</v>
      </c>
      <c r="DA16" s="0" t="s">
        <v>663</v>
      </c>
      <c r="DB16" s="0" t="s">
        <v>664</v>
      </c>
      <c r="DC16" s="0" t="s">
        <v>665</v>
      </c>
      <c r="DF16" s="0" t="s">
        <v>158</v>
      </c>
      <c r="DG16" s="0" t="s">
        <v>211</v>
      </c>
      <c r="DJ16" s="0" t="s">
        <v>666</v>
      </c>
      <c r="DK16" s="0" t="s">
        <v>667</v>
      </c>
      <c r="DM16" s="0" t="s">
        <v>668</v>
      </c>
      <c r="DN16" s="0" t="s">
        <v>669</v>
      </c>
      <c r="DO16" s="0" t="s">
        <v>670</v>
      </c>
      <c r="DQ16" s="0" t="s">
        <v>216</v>
      </c>
      <c r="DR16" s="0" t="s">
        <v>671</v>
      </c>
      <c r="DS16" s="0" t="s">
        <v>171</v>
      </c>
      <c r="DT16" s="0" t="s">
        <v>172</v>
      </c>
      <c r="DU16" s="0" t="s">
        <v>648</v>
      </c>
      <c r="DV16" s="0" t="s">
        <v>672</v>
      </c>
      <c r="DW16" s="0" t="s">
        <v>673</v>
      </c>
      <c r="DX16" s="0" t="s">
        <v>168</v>
      </c>
      <c r="DY16" s="0" t="s">
        <v>221</v>
      </c>
      <c r="ER16" s="0" t="str">
        <f aca="false">IF(ISNUMBER(MATCH(U16,{"queued","contacted","replied","call_booked","call_done","yes_in_principle","materials_sent"},0)),"Y","N")</f>
        <v>N</v>
      </c>
      <c r="ES16" s="0" t="str">
        <f aca="false">IF(COUNTIFS($AP$2:$AP$1000,AP16,$ER$2:$ER$1000,"Y")+COUNTIFS($AP$2:$AP$1000,AP16,$T$2:$T$1000,"Y")&gt;0,"Y","N")</f>
        <v>N</v>
      </c>
      <c r="ET16" s="0" t="str">
        <f aca="false">IF(AND(U16="new",T16="N",AT16="Y",AS16="",ES16="N"),"Y","N")</f>
        <v>N</v>
      </c>
      <c r="EU16" s="0" t="str">
        <f aca="false">IF(ET16&lt;&gt;"Y","N",IF(COUNTIFS($AP$2:$AP$1000,AP16,$ET$2:$ET$1000,"Y",$J$2:$J$1000,"&gt;"&amp;J16)+COUNTIFS($AP$2:$AP$1000,AP16,$ET$2:$ET$1000,"Y",$J$2:$J$1000,J16,$EW$2:$EW$1000,"&lt;"&amp;EW16)=0,"Y","N"))</f>
        <v>N</v>
      </c>
      <c r="EV16" s="0" t="str">
        <f aca="false">IF(Y16="","N",IF(Y16&lt;=10,"Y","N"))</f>
        <v>N</v>
      </c>
      <c r="EW16" s="0" t="n">
        <f aca="false">ROW()-1</f>
        <v>15</v>
      </c>
    </row>
    <row r="17" customFormat="false" ht="15" hidden="false" customHeight="false" outlineLevel="0" collapsed="false">
      <c r="A17" s="0" t="s">
        <v>674</v>
      </c>
      <c r="B17" s="0" t="s">
        <v>675</v>
      </c>
      <c r="H17" s="5" t="s">
        <v>158</v>
      </c>
      <c r="I17" s="5" t="s">
        <v>594</v>
      </c>
      <c r="J17" s="0" t="n">
        <f aca="false">IF(AX17="pass",ROUND(CU17+CV17+CW17+CX17+CY17+CZ17,1),0)</f>
        <v>63.4</v>
      </c>
      <c r="K17" s="0" t="s">
        <v>676</v>
      </c>
      <c r="L17" s="0" t="s">
        <v>394</v>
      </c>
      <c r="R17" s="5" t="s">
        <v>162</v>
      </c>
      <c r="S17" s="0" t="s">
        <v>163</v>
      </c>
      <c r="T17" s="5" t="s">
        <v>162</v>
      </c>
      <c r="U17" s="5" t="s">
        <v>561</v>
      </c>
      <c r="V17" s="0" t="s">
        <v>677</v>
      </c>
      <c r="W17" s="0" t="s">
        <v>166</v>
      </c>
      <c r="X17" s="0" t="s">
        <v>167</v>
      </c>
      <c r="Y17" s="0" t="str">
        <f aca="false">IF(EU17&lt;&gt;"Y","",COUNTIFS($EU$2:$EU$1000,"Y",$J$2:$J$1000,"&gt;"&amp;J17)+COUNTIFS($EU$2:$EU$1000,"Y",$J$2:$J$1000,J17,$EW$2:$EW$1000,"&lt;"&amp;EW17)+1)</f>
        <v/>
      </c>
      <c r="Z17" s="0" t="n">
        <v>16</v>
      </c>
      <c r="AA17" s="0" t="s">
        <v>168</v>
      </c>
      <c r="AB17" s="0" t="s">
        <v>597</v>
      </c>
      <c r="AD17" s="0" t="s">
        <v>158</v>
      </c>
      <c r="AH17" s="5" t="s">
        <v>158</v>
      </c>
      <c r="AI17" s="0" t="s">
        <v>678</v>
      </c>
      <c r="AJ17" s="0" t="s">
        <v>163</v>
      </c>
      <c r="AK17" s="0" t="s">
        <v>178</v>
      </c>
      <c r="AL17" s="0" t="n">
        <v>31</v>
      </c>
      <c r="AM17" s="0" t="n">
        <v>82</v>
      </c>
      <c r="AN17" s="0" t="s">
        <v>179</v>
      </c>
      <c r="AO17" s="0" t="s">
        <v>180</v>
      </c>
      <c r="AP17" s="0" t="s">
        <v>674</v>
      </c>
      <c r="AQ17" s="5" t="s">
        <v>162</v>
      </c>
      <c r="AT17" s="0" t="str">
        <f aca="false">IF(AND(AX17="pass",AQ17&lt;&gt;"Y",C17&lt;&gt;"",OR(AW17&lt;&gt;"Y",AV17="Y")),"Y","N")</f>
        <v>N</v>
      </c>
      <c r="AU17" s="0" t="str">
        <f aca="false">_xlfn.TEXTJOIN("; ",TRUE(),IF(AX17&lt;&gt;"pass","gated out",""),IF(AQ17="Y","on hold: "&amp;AR17,""),IF(C17="","no contact named on an opened page",""),IF(AND(AW17="Y",AV17&lt;&gt;"Y"),"Tuesday estimate band "&amp;L17&amp;": founder's call",""))</f>
        <v>no contact named on an opened page</v>
      </c>
      <c r="AW17" s="0" t="s">
        <v>162</v>
      </c>
      <c r="AX17" s="0" t="s">
        <v>181</v>
      </c>
      <c r="AY17" s="0" t="s">
        <v>182</v>
      </c>
      <c r="AZ17" s="0" t="s">
        <v>1</v>
      </c>
      <c r="BA17" s="0" t="s">
        <v>679</v>
      </c>
      <c r="BB17" s="0" t="s">
        <v>680</v>
      </c>
      <c r="BC17" s="0" t="s">
        <v>681</v>
      </c>
      <c r="BD17" s="0" t="s">
        <v>682</v>
      </c>
      <c r="BE17" s="0" t="s">
        <v>683</v>
      </c>
      <c r="BF17" s="0" t="s">
        <v>161</v>
      </c>
      <c r="BG17" s="0" t="s">
        <v>188</v>
      </c>
      <c r="BH17" s="0" t="s">
        <v>240</v>
      </c>
      <c r="BI17" s="0" t="s">
        <v>684</v>
      </c>
      <c r="BJ17" s="0" t="s">
        <v>685</v>
      </c>
      <c r="BK17" s="0" t="s">
        <v>191</v>
      </c>
      <c r="BL17" s="0" t="s">
        <v>192</v>
      </c>
      <c r="BM17" s="0" t="s">
        <v>168</v>
      </c>
      <c r="BN17" s="0" t="s">
        <v>163</v>
      </c>
      <c r="BO17" s="0" t="s">
        <v>163</v>
      </c>
      <c r="BP17" s="0" t="s">
        <v>193</v>
      </c>
      <c r="BQ17" s="0" t="n">
        <v>40.737722</v>
      </c>
      <c r="BR17" s="0" t="n">
        <v>-73.989367</v>
      </c>
      <c r="BS17" s="0" t="s">
        <v>168</v>
      </c>
      <c r="BT17" s="0" t="n">
        <v>0</v>
      </c>
      <c r="BU17" s="0" t="s">
        <v>686</v>
      </c>
      <c r="BV17" s="0" t="s">
        <v>687</v>
      </c>
      <c r="BW17" s="0" t="s">
        <v>677</v>
      </c>
      <c r="BX17" s="0" t="s">
        <v>166</v>
      </c>
      <c r="BY17" s="0" t="s">
        <v>444</v>
      </c>
      <c r="BZ17" s="0" t="s">
        <v>688</v>
      </c>
      <c r="CA17" s="0" t="s">
        <v>689</v>
      </c>
      <c r="CC17" s="0" t="s">
        <v>200</v>
      </c>
      <c r="CE17" s="0" t="s">
        <v>162</v>
      </c>
      <c r="CH17" s="0" t="s">
        <v>163</v>
      </c>
      <c r="CJ17" s="0" t="s">
        <v>163</v>
      </c>
      <c r="CK17" s="0" t="s">
        <v>162</v>
      </c>
      <c r="CL17" s="0" t="s">
        <v>577</v>
      </c>
      <c r="CM17" s="0" t="s">
        <v>677</v>
      </c>
      <c r="CN17" s="0" t="s">
        <v>174</v>
      </c>
      <c r="CO17" s="0" t="n">
        <v>50</v>
      </c>
      <c r="CQ17" s="0" t="s">
        <v>690</v>
      </c>
      <c r="CR17" s="0" t="s">
        <v>206</v>
      </c>
      <c r="CS17" s="0" t="n">
        <v>0.74</v>
      </c>
      <c r="CT17" s="0" t="n">
        <v>63.4</v>
      </c>
      <c r="CU17" s="0" t="n">
        <v>18.4</v>
      </c>
      <c r="CV17" s="0" t="n">
        <v>15</v>
      </c>
      <c r="CW17" s="0" t="n">
        <v>15</v>
      </c>
      <c r="CX17" s="0" t="n">
        <v>15</v>
      </c>
      <c r="CY17" s="0" t="n">
        <f aca="false">IF(AH17="exact",10,IF(AH17="adjacent",5,0))</f>
        <v>0</v>
      </c>
      <c r="CZ17" s="0" t="n">
        <f aca="false">IF(R17="Y",15,0)</f>
        <v>0</v>
      </c>
      <c r="DF17" s="0" t="s">
        <v>158</v>
      </c>
      <c r="DG17" s="0" t="s">
        <v>211</v>
      </c>
      <c r="DK17" s="0" t="s">
        <v>691</v>
      </c>
      <c r="DS17" s="0" t="s">
        <v>158</v>
      </c>
      <c r="DX17" s="0" t="s">
        <v>168</v>
      </c>
      <c r="ER17" s="0" t="str">
        <f aca="false">IF(ISNUMBER(MATCH(U17,{"queued","contacted","replied","call_booked","call_done","yes_in_principle","materials_sent"},0)),"Y","N")</f>
        <v>N</v>
      </c>
      <c r="ES17" s="0" t="str">
        <f aca="false">IF(COUNTIFS($AP$2:$AP$1000,AP17,$ER$2:$ER$1000,"Y")+COUNTIFS($AP$2:$AP$1000,AP17,$T$2:$T$1000,"Y")&gt;0,"Y","N")</f>
        <v>N</v>
      </c>
      <c r="ET17" s="0" t="str">
        <f aca="false">IF(AND(U17="new",T17="N",AT17="Y",AS17="",ES17="N"),"Y","N")</f>
        <v>N</v>
      </c>
      <c r="EU17" s="0" t="str">
        <f aca="false">IF(ET17&lt;&gt;"Y","N",IF(COUNTIFS($AP$2:$AP$1000,AP17,$ET$2:$ET$1000,"Y",$J$2:$J$1000,"&gt;"&amp;J17)+COUNTIFS($AP$2:$AP$1000,AP17,$ET$2:$ET$1000,"Y",$J$2:$J$1000,J17,$EW$2:$EW$1000,"&lt;"&amp;EW17)=0,"Y","N"))</f>
        <v>N</v>
      </c>
      <c r="EV17" s="0" t="str">
        <f aca="false">IF(Y17="","N",IF(Y17&lt;=10,"Y","N"))</f>
        <v>N</v>
      </c>
      <c r="EW17" s="0" t="n">
        <f aca="false">ROW()-1</f>
        <v>16</v>
      </c>
    </row>
    <row r="18" customFormat="false" ht="15" hidden="false" customHeight="false" outlineLevel="0" collapsed="false">
      <c r="A18" s="0" t="s">
        <v>692</v>
      </c>
      <c r="B18" s="0" t="s">
        <v>693</v>
      </c>
      <c r="C18" s="0" t="s">
        <v>694</v>
      </c>
      <c r="D18" s="0" t="s">
        <v>695</v>
      </c>
      <c r="E18" s="0" t="s">
        <v>696</v>
      </c>
      <c r="H18" s="5" t="s">
        <v>158</v>
      </c>
      <c r="I18" s="5" t="s">
        <v>159</v>
      </c>
      <c r="J18" s="0" t="n">
        <f aca="false">IF(AX18="pass",ROUND(CU18+CV18+CW18+CX18+CY18+CZ18,1),0)</f>
        <v>63</v>
      </c>
      <c r="K18" s="0" t="s">
        <v>697</v>
      </c>
      <c r="L18" s="0" t="s">
        <v>161</v>
      </c>
      <c r="R18" s="5" t="s">
        <v>162</v>
      </c>
      <c r="S18" s="0" t="s">
        <v>163</v>
      </c>
      <c r="T18" s="5" t="s">
        <v>162</v>
      </c>
      <c r="U18" s="5" t="s">
        <v>164</v>
      </c>
      <c r="V18" s="0" t="s">
        <v>698</v>
      </c>
      <c r="W18" s="0" t="s">
        <v>166</v>
      </c>
      <c r="X18" s="0" t="s">
        <v>167</v>
      </c>
      <c r="Y18" s="0" t="str">
        <f aca="false">IF(EU18&lt;&gt;"Y","",COUNTIFS($EU$2:$EU$1000,"Y",$J$2:$J$1000,"&gt;"&amp;J18)+COUNTIFS($EU$2:$EU$1000,"Y",$J$2:$J$1000,J18,$EW$2:$EW$1000,"&lt;"&amp;EW18)+1)</f>
        <v/>
      </c>
      <c r="Z18" s="0" t="n">
        <v>17</v>
      </c>
      <c r="AA18" s="0" t="s">
        <v>168</v>
      </c>
      <c r="AB18" s="0" t="s">
        <v>699</v>
      </c>
      <c r="AC18" s="0" t="s">
        <v>170</v>
      </c>
      <c r="AD18" s="0" t="s">
        <v>171</v>
      </c>
      <c r="AE18" s="0" t="s">
        <v>172</v>
      </c>
      <c r="AF18" s="0" t="s">
        <v>700</v>
      </c>
      <c r="AG18" s="0" t="s">
        <v>174</v>
      </c>
      <c r="AH18" s="5" t="s">
        <v>309</v>
      </c>
      <c r="AI18" s="0" t="s">
        <v>701</v>
      </c>
      <c r="AJ18" s="0" t="s">
        <v>433</v>
      </c>
      <c r="AK18" s="0" t="s">
        <v>178</v>
      </c>
      <c r="AL18" s="0" t="n">
        <v>49</v>
      </c>
      <c r="AM18" s="0" t="n">
        <v>121</v>
      </c>
      <c r="AN18" s="0" t="s">
        <v>179</v>
      </c>
      <c r="AO18" s="0" t="s">
        <v>369</v>
      </c>
      <c r="AP18" s="0" t="s">
        <v>702</v>
      </c>
      <c r="AQ18" s="5" t="s">
        <v>162</v>
      </c>
      <c r="AT18" s="0" t="str">
        <f aca="false">IF(AND(AX18="pass",AQ18&lt;&gt;"Y",C18&lt;&gt;"",OR(AW18&lt;&gt;"Y",AV18="Y")),"Y","N")</f>
        <v>Y</v>
      </c>
      <c r="AU18" s="0" t="str">
        <f aca="false">_xlfn.TEXTJOIN("; ",TRUE(),IF(AX18&lt;&gt;"pass","gated out",""),IF(AQ18="Y","on hold: "&amp;AR18,""),IF(C18="","no contact named on an opened page",""),IF(AND(AW18="Y",AV18&lt;&gt;"Y"),"Tuesday estimate band "&amp;L18&amp;": founder's call",""))</f>
        <v/>
      </c>
      <c r="AW18" s="0" t="s">
        <v>162</v>
      </c>
      <c r="AX18" s="0" t="s">
        <v>181</v>
      </c>
      <c r="AY18" s="0" t="s">
        <v>182</v>
      </c>
      <c r="AZ18" s="0" t="s">
        <v>1</v>
      </c>
      <c r="BA18" s="0" t="s">
        <v>703</v>
      </c>
      <c r="BB18" s="0" t="s">
        <v>704</v>
      </c>
      <c r="BC18" s="0" t="s">
        <v>705</v>
      </c>
      <c r="BD18" s="0" t="s">
        <v>706</v>
      </c>
      <c r="BE18" s="0" t="s">
        <v>707</v>
      </c>
      <c r="BF18" s="0" t="s">
        <v>163</v>
      </c>
      <c r="BG18" s="0" t="s">
        <v>163</v>
      </c>
      <c r="BH18" s="0" t="s">
        <v>279</v>
      </c>
      <c r="BI18" s="0" t="s">
        <v>708</v>
      </c>
      <c r="BJ18" s="0" t="s">
        <v>709</v>
      </c>
      <c r="BK18" s="0" t="s">
        <v>191</v>
      </c>
      <c r="BL18" s="0" t="s">
        <v>192</v>
      </c>
      <c r="BM18" s="0" t="s">
        <v>168</v>
      </c>
      <c r="BN18" s="0" t="s">
        <v>710</v>
      </c>
      <c r="BO18" s="0" t="s">
        <v>163</v>
      </c>
      <c r="BP18" s="0" t="s">
        <v>711</v>
      </c>
      <c r="BQ18" s="0" t="n">
        <v>40.745243</v>
      </c>
      <c r="BR18" s="0" t="n">
        <v>-73.989968</v>
      </c>
      <c r="BS18" s="0" t="s">
        <v>168</v>
      </c>
      <c r="BT18" s="0" t="n">
        <v>0</v>
      </c>
      <c r="BU18" s="0" t="s">
        <v>712</v>
      </c>
      <c r="BV18" s="0" t="s">
        <v>701</v>
      </c>
      <c r="BW18" s="0" t="s">
        <v>698</v>
      </c>
      <c r="BX18" s="0" t="s">
        <v>166</v>
      </c>
      <c r="BY18" s="0" t="s">
        <v>196</v>
      </c>
      <c r="BZ18" s="0" t="s">
        <v>713</v>
      </c>
      <c r="CA18" s="0" t="s">
        <v>714</v>
      </c>
      <c r="CC18" s="0" t="s">
        <v>200</v>
      </c>
      <c r="CE18" s="0" t="s">
        <v>162</v>
      </c>
      <c r="CH18" s="0" t="s">
        <v>163</v>
      </c>
      <c r="CJ18" s="0" t="s">
        <v>163</v>
      </c>
      <c r="CK18" s="0" t="s">
        <v>162</v>
      </c>
      <c r="CL18" s="0" t="s">
        <v>715</v>
      </c>
      <c r="CM18" s="0" t="s">
        <v>708</v>
      </c>
      <c r="CN18" s="0" t="s">
        <v>174</v>
      </c>
      <c r="CO18" s="0" t="n">
        <v>77</v>
      </c>
      <c r="CQ18" s="0" t="s">
        <v>716</v>
      </c>
      <c r="CR18" s="0" t="s">
        <v>206</v>
      </c>
      <c r="CS18" s="0" t="n">
        <v>1</v>
      </c>
      <c r="CT18" s="0" t="n">
        <v>63</v>
      </c>
      <c r="CU18" s="0" t="n">
        <v>25</v>
      </c>
      <c r="CV18" s="0" t="n">
        <v>11</v>
      </c>
      <c r="CW18" s="0" t="n">
        <v>7</v>
      </c>
      <c r="CX18" s="0" t="n">
        <v>15</v>
      </c>
      <c r="CY18" s="0" t="n">
        <f aca="false">IF(AH18="exact",10,IF(AH18="adjacent",5,0))</f>
        <v>5</v>
      </c>
      <c r="CZ18" s="0" t="n">
        <f aca="false">IF(R18="Y",15,0)</f>
        <v>0</v>
      </c>
      <c r="DF18" s="0" t="s">
        <v>158</v>
      </c>
      <c r="DG18" s="0" t="s">
        <v>211</v>
      </c>
      <c r="DJ18" s="0" t="s">
        <v>717</v>
      </c>
      <c r="DK18" s="0" t="s">
        <v>718</v>
      </c>
      <c r="DL18" s="0" t="s">
        <v>719</v>
      </c>
      <c r="DM18" s="0" t="s">
        <v>720</v>
      </c>
      <c r="DO18" s="0" t="s">
        <v>721</v>
      </c>
      <c r="DS18" s="0" t="s">
        <v>158</v>
      </c>
      <c r="DX18" s="0" t="s">
        <v>168</v>
      </c>
      <c r="DY18" s="0" t="s">
        <v>618</v>
      </c>
      <c r="DZ18" s="0" t="s">
        <v>722</v>
      </c>
      <c r="ER18" s="0" t="str">
        <f aca="false">IF(ISNUMBER(MATCH(U18,{"queued","contacted","replied","call_booked","call_done","yes_in_principle","materials_sent"},0)),"Y","N")</f>
        <v>Y</v>
      </c>
      <c r="ES18" s="0" t="str">
        <f aca="false">IF(COUNTIFS($AP$2:$AP$1000,AP18,$ER$2:$ER$1000,"Y")+COUNTIFS($AP$2:$AP$1000,AP18,$T$2:$T$1000,"Y")&gt;0,"Y","N")</f>
        <v>Y</v>
      </c>
      <c r="ET18" s="0" t="str">
        <f aca="false">IF(AND(U18="new",T18="N",AT18="Y",AS18="",ES18="N"),"Y","N")</f>
        <v>N</v>
      </c>
      <c r="EU18" s="0" t="str">
        <f aca="false">IF(ET18&lt;&gt;"Y","N",IF(COUNTIFS($AP$2:$AP$1000,AP18,$ET$2:$ET$1000,"Y",$J$2:$J$1000,"&gt;"&amp;J18)+COUNTIFS($AP$2:$AP$1000,AP18,$ET$2:$ET$1000,"Y",$J$2:$J$1000,J18,$EW$2:$EW$1000,"&lt;"&amp;EW18)=0,"Y","N"))</f>
        <v>N</v>
      </c>
      <c r="EV18" s="0" t="str">
        <f aca="false">IF(Y18="","N",IF(Y18&lt;=10,"Y","N"))</f>
        <v>N</v>
      </c>
      <c r="EW18" s="0" t="n">
        <f aca="false">ROW()-1</f>
        <v>17</v>
      </c>
    </row>
    <row r="19" customFormat="false" ht="15" hidden="false" customHeight="false" outlineLevel="0" collapsed="false">
      <c r="A19" s="0" t="s">
        <v>723</v>
      </c>
      <c r="B19" s="0" t="s">
        <v>724</v>
      </c>
      <c r="H19" s="5" t="s">
        <v>158</v>
      </c>
      <c r="I19" s="5" t="s">
        <v>594</v>
      </c>
      <c r="J19" s="0" t="n">
        <f aca="false">IF(AX19="pass",ROUND(CU19+CV19+CW19+CX19+CY19+CZ19,1),0)</f>
        <v>63</v>
      </c>
      <c r="K19" s="0" t="s">
        <v>725</v>
      </c>
      <c r="L19" s="0" t="s">
        <v>187</v>
      </c>
      <c r="R19" s="5" t="s">
        <v>162</v>
      </c>
      <c r="S19" s="0" t="s">
        <v>163</v>
      </c>
      <c r="T19" s="5" t="s">
        <v>162</v>
      </c>
      <c r="U19" s="5" t="s">
        <v>561</v>
      </c>
      <c r="V19" s="0" t="s">
        <v>726</v>
      </c>
      <c r="W19" s="0" t="s">
        <v>166</v>
      </c>
      <c r="X19" s="0" t="s">
        <v>167</v>
      </c>
      <c r="Y19" s="0" t="str">
        <f aca="false">IF(EU19&lt;&gt;"Y","",COUNTIFS($EU$2:$EU$1000,"Y",$J$2:$J$1000,"&gt;"&amp;J19)+COUNTIFS($EU$2:$EU$1000,"Y",$J$2:$J$1000,J19,$EW$2:$EW$1000,"&lt;"&amp;EW19)+1)</f>
        <v/>
      </c>
      <c r="Z19" s="0" t="n">
        <v>18</v>
      </c>
      <c r="AA19" s="0" t="s">
        <v>168</v>
      </c>
      <c r="AB19" s="0" t="s">
        <v>597</v>
      </c>
      <c r="AD19" s="0" t="s">
        <v>158</v>
      </c>
      <c r="AH19" s="5" t="s">
        <v>158</v>
      </c>
      <c r="AI19" s="0" t="s">
        <v>727</v>
      </c>
      <c r="AJ19" s="0" t="s">
        <v>728</v>
      </c>
      <c r="AK19" s="0" t="s">
        <v>434</v>
      </c>
      <c r="AL19" s="0" t="n">
        <v>113</v>
      </c>
      <c r="AM19" s="0" t="n">
        <v>249</v>
      </c>
      <c r="AN19" s="0" t="s">
        <v>179</v>
      </c>
      <c r="AO19" s="0" t="s">
        <v>180</v>
      </c>
      <c r="AP19" s="0" t="s">
        <v>723</v>
      </c>
      <c r="AQ19" s="5" t="s">
        <v>162</v>
      </c>
      <c r="AT19" s="0" t="str">
        <f aca="false">IF(AND(AX19="pass",AQ19&lt;&gt;"Y",C19&lt;&gt;"",OR(AW19&lt;&gt;"Y",AV19="Y")),"Y","N")</f>
        <v>N</v>
      </c>
      <c r="AU19" s="0" t="str">
        <f aca="false">_xlfn.TEXTJOIN("; ",TRUE(),IF(AX19&lt;&gt;"pass","gated out",""),IF(AQ19="Y","on hold: "&amp;AR19,""),IF(C19="","no contact named on an opened page",""),IF(AND(AW19="Y",AV19&lt;&gt;"Y"),"Tuesday estimate band "&amp;L19&amp;": founder's call",""))</f>
        <v>no contact named on an opened page</v>
      </c>
      <c r="AW19" s="0" t="s">
        <v>162</v>
      </c>
      <c r="AX19" s="0" t="s">
        <v>181</v>
      </c>
      <c r="AY19" s="0" t="s">
        <v>182</v>
      </c>
      <c r="AZ19" s="0" t="s">
        <v>1</v>
      </c>
      <c r="BA19" s="0" t="s">
        <v>729</v>
      </c>
      <c r="BB19" s="0" t="s">
        <v>730</v>
      </c>
      <c r="BC19" s="0" t="s">
        <v>731</v>
      </c>
      <c r="BD19" s="0" t="s">
        <v>732</v>
      </c>
      <c r="BE19" s="0" t="s">
        <v>605</v>
      </c>
      <c r="BF19" s="0" t="s">
        <v>239</v>
      </c>
      <c r="BG19" s="0" t="s">
        <v>188</v>
      </c>
      <c r="BH19" s="0" t="s">
        <v>240</v>
      </c>
      <c r="BI19" s="0" t="s">
        <v>733</v>
      </c>
      <c r="BJ19" s="0" t="s">
        <v>734</v>
      </c>
      <c r="BK19" s="0" t="s">
        <v>191</v>
      </c>
      <c r="BL19" s="0" t="s">
        <v>192</v>
      </c>
      <c r="BM19" s="0" t="s">
        <v>168</v>
      </c>
      <c r="BN19" s="0" t="s">
        <v>163</v>
      </c>
      <c r="BO19" s="0" t="s">
        <v>163</v>
      </c>
      <c r="BP19" s="0" t="s">
        <v>193</v>
      </c>
      <c r="BQ19" s="0" t="n">
        <v>40.734626</v>
      </c>
      <c r="BR19" s="0" t="n">
        <v>-73.9911</v>
      </c>
      <c r="BS19" s="0" t="s">
        <v>168</v>
      </c>
      <c r="BT19" s="0" t="n">
        <v>0</v>
      </c>
      <c r="BU19" s="0" t="s">
        <v>735</v>
      </c>
      <c r="BV19" s="0" t="s">
        <v>736</v>
      </c>
      <c r="BW19" s="0" t="s">
        <v>726</v>
      </c>
      <c r="BX19" s="0" t="s">
        <v>737</v>
      </c>
      <c r="BY19" s="0" t="s">
        <v>247</v>
      </c>
      <c r="CC19" s="0" t="s">
        <v>738</v>
      </c>
      <c r="CE19" s="0" t="s">
        <v>162</v>
      </c>
      <c r="CH19" s="0" t="s">
        <v>201</v>
      </c>
      <c r="CI19" s="0" t="s">
        <v>739</v>
      </c>
      <c r="CJ19" s="0" t="s">
        <v>163</v>
      </c>
      <c r="CK19" s="0" t="s">
        <v>162</v>
      </c>
      <c r="CL19" s="0" t="s">
        <v>577</v>
      </c>
      <c r="CM19" s="0" t="s">
        <v>740</v>
      </c>
      <c r="CN19" s="0" t="s">
        <v>174</v>
      </c>
      <c r="CO19" s="0" t="n">
        <v>168</v>
      </c>
      <c r="CQ19" s="0" t="s">
        <v>741</v>
      </c>
      <c r="CR19" s="0" t="s">
        <v>206</v>
      </c>
      <c r="CS19" s="0" t="n">
        <v>1</v>
      </c>
      <c r="CT19" s="0" t="n">
        <v>63</v>
      </c>
      <c r="CU19" s="0" t="n">
        <v>25</v>
      </c>
      <c r="CV19" s="0" t="n">
        <v>15</v>
      </c>
      <c r="CW19" s="0" t="n">
        <v>15</v>
      </c>
      <c r="CX19" s="0" t="n">
        <v>8</v>
      </c>
      <c r="CY19" s="0" t="n">
        <f aca="false">IF(AH19="exact",10,IF(AH19="adjacent",5,0))</f>
        <v>0</v>
      </c>
      <c r="CZ19" s="0" t="n">
        <f aca="false">IF(R19="Y",15,0)</f>
        <v>0</v>
      </c>
      <c r="DF19" s="0" t="s">
        <v>158</v>
      </c>
      <c r="DG19" s="0" t="s">
        <v>211</v>
      </c>
      <c r="DJ19" s="0" t="s">
        <v>742</v>
      </c>
      <c r="DK19" s="0" t="s">
        <v>743</v>
      </c>
      <c r="DS19" s="0" t="s">
        <v>158</v>
      </c>
      <c r="DX19" s="0" t="s">
        <v>168</v>
      </c>
      <c r="ER19" s="0" t="str">
        <f aca="false">IF(ISNUMBER(MATCH(U19,{"queued","contacted","replied","call_booked","call_done","yes_in_principle","materials_sent"},0)),"Y","N")</f>
        <v>N</v>
      </c>
      <c r="ES19" s="0" t="str">
        <f aca="false">IF(COUNTIFS($AP$2:$AP$1000,AP19,$ER$2:$ER$1000,"Y")+COUNTIFS($AP$2:$AP$1000,AP19,$T$2:$T$1000,"Y")&gt;0,"Y","N")</f>
        <v>N</v>
      </c>
      <c r="ET19" s="0" t="str">
        <f aca="false">IF(AND(U19="new",T19="N",AT19="Y",AS19="",ES19="N"),"Y","N")</f>
        <v>N</v>
      </c>
      <c r="EU19" s="0" t="str">
        <f aca="false">IF(ET19&lt;&gt;"Y","N",IF(COUNTIFS($AP$2:$AP$1000,AP19,$ET$2:$ET$1000,"Y",$J$2:$J$1000,"&gt;"&amp;J19)+COUNTIFS($AP$2:$AP$1000,AP19,$ET$2:$ET$1000,"Y",$J$2:$J$1000,J19,$EW$2:$EW$1000,"&lt;"&amp;EW19)=0,"Y","N"))</f>
        <v>N</v>
      </c>
      <c r="EV19" s="0" t="str">
        <f aca="false">IF(Y19="","N",IF(Y19&lt;=10,"Y","N"))</f>
        <v>N</v>
      </c>
      <c r="EW19" s="0" t="n">
        <f aca="false">ROW()-1</f>
        <v>18</v>
      </c>
    </row>
    <row r="20" customFormat="false" ht="15" hidden="false" customHeight="false" outlineLevel="0" collapsed="false">
      <c r="A20" s="0" t="s">
        <v>744</v>
      </c>
      <c r="B20" s="0" t="s">
        <v>745</v>
      </c>
      <c r="C20" s="0" t="s">
        <v>746</v>
      </c>
      <c r="D20" s="0" t="s">
        <v>747</v>
      </c>
      <c r="E20" s="0" t="s">
        <v>748</v>
      </c>
      <c r="H20" s="5" t="s">
        <v>158</v>
      </c>
      <c r="I20" s="5" t="s">
        <v>159</v>
      </c>
      <c r="J20" s="0" t="n">
        <f aca="false">IF(AX20="pass",ROUND(CU20+CV20+CW20+CX20+CY20+CZ20,1),0)</f>
        <v>62.7</v>
      </c>
      <c r="K20" s="0" t="s">
        <v>749</v>
      </c>
      <c r="L20" s="0" t="s">
        <v>394</v>
      </c>
      <c r="R20" s="5" t="s">
        <v>162</v>
      </c>
      <c r="S20" s="0" t="s">
        <v>163</v>
      </c>
      <c r="T20" s="5" t="s">
        <v>162</v>
      </c>
      <c r="U20" s="5" t="s">
        <v>164</v>
      </c>
      <c r="V20" s="0" t="s">
        <v>750</v>
      </c>
      <c r="W20" s="0" t="s">
        <v>166</v>
      </c>
      <c r="X20" s="0" t="s">
        <v>167</v>
      </c>
      <c r="Y20" s="0" t="str">
        <f aca="false">IF(EU20&lt;&gt;"Y","",COUNTIFS($EU$2:$EU$1000,"Y",$J$2:$J$1000,"&gt;"&amp;J20)+COUNTIFS($EU$2:$EU$1000,"Y",$J$2:$J$1000,J20,$EW$2:$EW$1000,"&lt;"&amp;EW20)+1)</f>
        <v/>
      </c>
      <c r="Z20" s="0" t="n">
        <v>19</v>
      </c>
      <c r="AA20" s="0" t="s">
        <v>168</v>
      </c>
      <c r="AB20" s="0" t="s">
        <v>751</v>
      </c>
      <c r="AC20" s="0" t="s">
        <v>170</v>
      </c>
      <c r="AD20" s="0" t="s">
        <v>171</v>
      </c>
      <c r="AE20" s="0" t="s">
        <v>230</v>
      </c>
      <c r="AF20" s="0" t="s">
        <v>752</v>
      </c>
      <c r="AG20" s="0" t="s">
        <v>174</v>
      </c>
      <c r="AH20" s="5" t="s">
        <v>309</v>
      </c>
      <c r="AI20" s="0" t="s">
        <v>753</v>
      </c>
      <c r="AJ20" s="0" t="s">
        <v>754</v>
      </c>
      <c r="AK20" s="0" t="s">
        <v>178</v>
      </c>
      <c r="AL20" s="0" t="n">
        <v>8</v>
      </c>
      <c r="AM20" s="0" t="n">
        <v>297</v>
      </c>
      <c r="AN20" s="0" t="s">
        <v>179</v>
      </c>
      <c r="AO20" s="0" t="s">
        <v>180</v>
      </c>
      <c r="AP20" s="0" t="s">
        <v>744</v>
      </c>
      <c r="AQ20" s="5" t="s">
        <v>162</v>
      </c>
      <c r="AT20" s="0" t="str">
        <f aca="false">IF(AND(AX20="pass",AQ20&lt;&gt;"Y",C20&lt;&gt;"",OR(AW20&lt;&gt;"Y",AV20="Y")),"Y","N")</f>
        <v>Y</v>
      </c>
      <c r="AU20" s="0" t="str">
        <f aca="false">_xlfn.TEXTJOIN("; ",TRUE(),IF(AX20&lt;&gt;"pass","gated out",""),IF(AQ20="Y","on hold: "&amp;AR20,""),IF(C20="","no contact named on an opened page",""),IF(AND(AW20="Y",AV20&lt;&gt;"Y"),"Tuesday estimate band "&amp;L20&amp;": founder's call",""))</f>
        <v/>
      </c>
      <c r="AW20" s="0" t="s">
        <v>162</v>
      </c>
      <c r="AX20" s="0" t="s">
        <v>181</v>
      </c>
      <c r="AY20" s="0" t="s">
        <v>182</v>
      </c>
      <c r="AZ20" s="0" t="s">
        <v>1</v>
      </c>
      <c r="BA20" s="0" t="s">
        <v>755</v>
      </c>
      <c r="BB20" s="0" t="s">
        <v>756</v>
      </c>
      <c r="BC20" s="0" t="s">
        <v>757</v>
      </c>
      <c r="BD20" s="0" t="s">
        <v>758</v>
      </c>
      <c r="BE20" s="0" t="s">
        <v>759</v>
      </c>
      <c r="BF20" s="0" t="s">
        <v>163</v>
      </c>
      <c r="BG20" s="0" t="s">
        <v>163</v>
      </c>
      <c r="BH20" s="0" t="s">
        <v>279</v>
      </c>
      <c r="BI20" s="0" t="s">
        <v>760</v>
      </c>
      <c r="BJ20" s="0" t="s">
        <v>761</v>
      </c>
      <c r="BK20" s="0" t="s">
        <v>191</v>
      </c>
      <c r="BL20" s="0" t="s">
        <v>762</v>
      </c>
      <c r="BM20" s="0" t="s">
        <v>162</v>
      </c>
      <c r="BN20" s="0" t="s">
        <v>163</v>
      </c>
      <c r="BO20" s="0" t="s">
        <v>163</v>
      </c>
      <c r="BP20" s="0" t="s">
        <v>346</v>
      </c>
      <c r="BQ20" s="0" t="n">
        <v>40.743309</v>
      </c>
      <c r="BR20" s="0" t="n">
        <v>-73.987329</v>
      </c>
      <c r="BS20" s="0" t="s">
        <v>168</v>
      </c>
      <c r="BT20" s="0" t="n">
        <v>0</v>
      </c>
      <c r="BU20" s="0" t="s">
        <v>763</v>
      </c>
      <c r="BV20" s="0" t="s">
        <v>764</v>
      </c>
      <c r="BW20" s="0" t="s">
        <v>750</v>
      </c>
      <c r="BX20" s="0" t="s">
        <v>765</v>
      </c>
      <c r="BY20" s="0" t="s">
        <v>247</v>
      </c>
      <c r="BZ20" s="0" t="s">
        <v>760</v>
      </c>
      <c r="CA20" s="0" t="s">
        <v>166</v>
      </c>
      <c r="CC20" s="0" t="s">
        <v>200</v>
      </c>
      <c r="CE20" s="0" t="s">
        <v>162</v>
      </c>
      <c r="CH20" s="0" t="s">
        <v>163</v>
      </c>
      <c r="CJ20" s="0" t="s">
        <v>163</v>
      </c>
      <c r="CK20" s="0" t="s">
        <v>162</v>
      </c>
      <c r="CL20" s="0" t="s">
        <v>766</v>
      </c>
      <c r="CM20" s="0" t="s">
        <v>760</v>
      </c>
      <c r="CN20" s="0" t="s">
        <v>166</v>
      </c>
      <c r="CO20" s="0" t="n">
        <v>49</v>
      </c>
      <c r="CP20" s="0" t="s">
        <v>767</v>
      </c>
      <c r="CQ20" s="0" t="s">
        <v>768</v>
      </c>
      <c r="CR20" s="0" t="s">
        <v>206</v>
      </c>
      <c r="CS20" s="0" t="n">
        <v>0.51</v>
      </c>
      <c r="CT20" s="0" t="n">
        <v>62.7</v>
      </c>
      <c r="CU20" s="0" t="n">
        <v>12.7</v>
      </c>
      <c r="CV20" s="0" t="n">
        <v>15</v>
      </c>
      <c r="CW20" s="0" t="n">
        <v>15</v>
      </c>
      <c r="CX20" s="0" t="n">
        <v>15</v>
      </c>
      <c r="CY20" s="0" t="n">
        <f aca="false">IF(AH20="exact",10,IF(AH20="adjacent",5,0))</f>
        <v>5</v>
      </c>
      <c r="CZ20" s="0" t="n">
        <f aca="false">IF(R20="Y",15,0)</f>
        <v>0</v>
      </c>
      <c r="DF20" s="0" t="s">
        <v>158</v>
      </c>
      <c r="DG20" s="0" t="s">
        <v>211</v>
      </c>
      <c r="DK20" s="0" t="s">
        <v>769</v>
      </c>
      <c r="DM20" s="0" t="s">
        <v>770</v>
      </c>
      <c r="DN20" s="0" t="s">
        <v>771</v>
      </c>
      <c r="DO20" s="0" t="s">
        <v>772</v>
      </c>
      <c r="DS20" s="0" t="s">
        <v>158</v>
      </c>
      <c r="DX20" s="0" t="s">
        <v>168</v>
      </c>
      <c r="DY20" s="0" t="s">
        <v>263</v>
      </c>
      <c r="ER20" s="0" t="str">
        <f aca="false">IF(ISNUMBER(MATCH(U20,{"queued","contacted","replied","call_booked","call_done","yes_in_principle","materials_sent"},0)),"Y","N")</f>
        <v>Y</v>
      </c>
      <c r="ES20" s="0" t="str">
        <f aca="false">IF(COUNTIFS($AP$2:$AP$1000,AP20,$ER$2:$ER$1000,"Y")+COUNTIFS($AP$2:$AP$1000,AP20,$T$2:$T$1000,"Y")&gt;0,"Y","N")</f>
        <v>Y</v>
      </c>
      <c r="ET20" s="0" t="str">
        <f aca="false">IF(AND(U20="new",T20="N",AT20="Y",AS20="",ES20="N"),"Y","N")</f>
        <v>N</v>
      </c>
      <c r="EU20" s="0" t="str">
        <f aca="false">IF(ET20&lt;&gt;"Y","N",IF(COUNTIFS($AP$2:$AP$1000,AP20,$ET$2:$ET$1000,"Y",$J$2:$J$1000,"&gt;"&amp;J20)+COUNTIFS($AP$2:$AP$1000,AP20,$ET$2:$ET$1000,"Y",$J$2:$J$1000,J20,$EW$2:$EW$1000,"&lt;"&amp;EW20)=0,"Y","N"))</f>
        <v>N</v>
      </c>
      <c r="EV20" s="0" t="str">
        <f aca="false">IF(Y20="","N",IF(Y20&lt;=10,"Y","N"))</f>
        <v>N</v>
      </c>
      <c r="EW20" s="0" t="n">
        <f aca="false">ROW()-1</f>
        <v>19</v>
      </c>
    </row>
    <row r="21" customFormat="false" ht="15" hidden="false" customHeight="false" outlineLevel="0" collapsed="false">
      <c r="A21" s="0" t="s">
        <v>773</v>
      </c>
      <c r="B21" s="0" t="s">
        <v>774</v>
      </c>
      <c r="C21" s="0" t="s">
        <v>775</v>
      </c>
      <c r="D21" s="0" t="s">
        <v>776</v>
      </c>
      <c r="E21" s="0" t="s">
        <v>777</v>
      </c>
      <c r="H21" s="5" t="s">
        <v>158</v>
      </c>
      <c r="I21" s="5" t="s">
        <v>159</v>
      </c>
      <c r="J21" s="0" t="n">
        <f aca="false">IF(AX21="pass",ROUND(CU21+CV21+CW21+CX21+CY21+CZ21,1),0)</f>
        <v>61</v>
      </c>
      <c r="K21" s="0" t="s">
        <v>778</v>
      </c>
      <c r="L21" s="0" t="s">
        <v>161</v>
      </c>
      <c r="R21" s="5" t="s">
        <v>162</v>
      </c>
      <c r="S21" s="0" t="s">
        <v>163</v>
      </c>
      <c r="T21" s="5" t="s">
        <v>162</v>
      </c>
      <c r="U21" s="5" t="s">
        <v>164</v>
      </c>
      <c r="V21" s="0" t="s">
        <v>779</v>
      </c>
      <c r="W21" s="0" t="s">
        <v>166</v>
      </c>
      <c r="X21" s="0" t="s">
        <v>167</v>
      </c>
      <c r="Y21" s="0" t="str">
        <f aca="false">IF(EU21&lt;&gt;"Y","",COUNTIFS($EU$2:$EU$1000,"Y",$J$2:$J$1000,"&gt;"&amp;J21)+COUNTIFS($EU$2:$EU$1000,"Y",$J$2:$J$1000,J21,$EW$2:$EW$1000,"&lt;"&amp;EW21)+1)</f>
        <v/>
      </c>
      <c r="Z21" s="0" t="n">
        <v>20</v>
      </c>
      <c r="AA21" s="0" t="s">
        <v>168</v>
      </c>
      <c r="AB21" s="0" t="s">
        <v>780</v>
      </c>
      <c r="AC21" s="0" t="s">
        <v>170</v>
      </c>
      <c r="AD21" s="0" t="s">
        <v>171</v>
      </c>
      <c r="AE21" s="0" t="s">
        <v>230</v>
      </c>
      <c r="AF21" s="0" t="s">
        <v>781</v>
      </c>
      <c r="AG21" s="0" t="s">
        <v>174</v>
      </c>
      <c r="AH21" s="5" t="s">
        <v>309</v>
      </c>
      <c r="AI21" s="0" t="s">
        <v>782</v>
      </c>
      <c r="AJ21" s="0" t="s">
        <v>783</v>
      </c>
      <c r="AK21" s="0" t="s">
        <v>178</v>
      </c>
      <c r="AL21" s="0" t="n">
        <v>75</v>
      </c>
      <c r="AM21" s="0" t="n">
        <v>151</v>
      </c>
      <c r="AN21" s="0" t="s">
        <v>179</v>
      </c>
      <c r="AO21" s="0" t="s">
        <v>369</v>
      </c>
      <c r="AP21" s="0" t="s">
        <v>773</v>
      </c>
      <c r="AQ21" s="5" t="s">
        <v>162</v>
      </c>
      <c r="AT21" s="0" t="str">
        <f aca="false">IF(AND(AX21="pass",AQ21&lt;&gt;"Y",C21&lt;&gt;"",OR(AW21&lt;&gt;"Y",AV21="Y")),"Y","N")</f>
        <v>Y</v>
      </c>
      <c r="AU21" s="0" t="str">
        <f aca="false">_xlfn.TEXTJOIN("; ",TRUE(),IF(AX21&lt;&gt;"pass","gated out",""),IF(AQ21="Y","on hold: "&amp;AR21,""),IF(C21="","no contact named on an opened page",""),IF(AND(AW21="Y",AV21&lt;&gt;"Y"),"Tuesday estimate band "&amp;L21&amp;": founder's call",""))</f>
        <v/>
      </c>
      <c r="AW21" s="0" t="s">
        <v>162</v>
      </c>
      <c r="AX21" s="0" t="s">
        <v>181</v>
      </c>
      <c r="AY21" s="0" t="s">
        <v>182</v>
      </c>
      <c r="AZ21" s="0" t="s">
        <v>1</v>
      </c>
      <c r="BA21" s="0" t="s">
        <v>784</v>
      </c>
      <c r="BB21" s="0" t="s">
        <v>785</v>
      </c>
      <c r="BC21" s="0" t="s">
        <v>786</v>
      </c>
      <c r="BD21" s="0" t="s">
        <v>787</v>
      </c>
      <c r="BF21" s="0" t="s">
        <v>187</v>
      </c>
      <c r="BG21" s="0" t="s">
        <v>188</v>
      </c>
      <c r="BH21" s="0" t="s">
        <v>189</v>
      </c>
      <c r="BI21" s="0" t="s">
        <v>788</v>
      </c>
      <c r="BK21" s="0" t="s">
        <v>191</v>
      </c>
      <c r="BL21" s="0" t="s">
        <v>192</v>
      </c>
      <c r="BM21" s="0" t="s">
        <v>168</v>
      </c>
      <c r="BN21" s="0" t="s">
        <v>789</v>
      </c>
      <c r="BO21" s="0" t="s">
        <v>163</v>
      </c>
      <c r="BP21" s="0" t="s">
        <v>346</v>
      </c>
      <c r="BQ21" s="0" t="n">
        <v>40.743043</v>
      </c>
      <c r="BR21" s="0" t="n">
        <v>-73.99233</v>
      </c>
      <c r="BS21" s="0" t="s">
        <v>168</v>
      </c>
      <c r="BT21" s="0" t="n">
        <v>0</v>
      </c>
      <c r="BU21" s="0" t="s">
        <v>790</v>
      </c>
      <c r="BV21" s="0" t="s">
        <v>782</v>
      </c>
      <c r="BW21" s="0" t="s">
        <v>779</v>
      </c>
      <c r="BX21" s="0" t="s">
        <v>174</v>
      </c>
      <c r="BY21" s="0" t="s">
        <v>196</v>
      </c>
      <c r="BZ21" s="0" t="s">
        <v>788</v>
      </c>
      <c r="CA21" s="0" t="s">
        <v>174</v>
      </c>
      <c r="CC21" s="0" t="s">
        <v>738</v>
      </c>
      <c r="CE21" s="0" t="s">
        <v>162</v>
      </c>
      <c r="CH21" s="0" t="s">
        <v>163</v>
      </c>
      <c r="CJ21" s="0" t="s">
        <v>163</v>
      </c>
      <c r="CK21" s="0" t="s">
        <v>162</v>
      </c>
      <c r="CL21" s="0" t="s">
        <v>715</v>
      </c>
      <c r="CM21" s="0" t="s">
        <v>788</v>
      </c>
      <c r="CN21" s="0" t="s">
        <v>174</v>
      </c>
      <c r="CO21" s="0" t="n">
        <v>106</v>
      </c>
      <c r="CQ21" s="0" t="s">
        <v>791</v>
      </c>
      <c r="CR21" s="0" t="s">
        <v>206</v>
      </c>
      <c r="CS21" s="0" t="n">
        <v>1</v>
      </c>
      <c r="CT21" s="0" t="n">
        <v>61</v>
      </c>
      <c r="CU21" s="0" t="n">
        <v>25</v>
      </c>
      <c r="CV21" s="0" t="n">
        <v>11</v>
      </c>
      <c r="CW21" s="0" t="n">
        <v>7</v>
      </c>
      <c r="CX21" s="0" t="n">
        <v>13</v>
      </c>
      <c r="CY21" s="0" t="n">
        <f aca="false">IF(AH21="exact",10,IF(AH21="adjacent",5,0))</f>
        <v>5</v>
      </c>
      <c r="CZ21" s="0" t="n">
        <f aca="false">IF(R21="Y",15,0)</f>
        <v>0</v>
      </c>
      <c r="DA21" s="0" t="s">
        <v>792</v>
      </c>
      <c r="DB21" s="0" t="s">
        <v>793</v>
      </c>
      <c r="DC21" s="0" t="s">
        <v>794</v>
      </c>
      <c r="DF21" s="0" t="s">
        <v>158</v>
      </c>
      <c r="DG21" s="0" t="s">
        <v>211</v>
      </c>
      <c r="DK21" s="0" t="s">
        <v>795</v>
      </c>
      <c r="DM21" s="0" t="s">
        <v>796</v>
      </c>
      <c r="DN21" s="0" t="s">
        <v>797</v>
      </c>
      <c r="DO21" s="0" t="s">
        <v>798</v>
      </c>
      <c r="DQ21" s="0" t="s">
        <v>216</v>
      </c>
      <c r="DR21" s="0" t="s">
        <v>799</v>
      </c>
      <c r="DS21" s="0" t="s">
        <v>171</v>
      </c>
      <c r="DT21" s="0" t="s">
        <v>230</v>
      </c>
      <c r="DU21" s="0" t="s">
        <v>800</v>
      </c>
      <c r="DV21" s="0" t="s">
        <v>801</v>
      </c>
      <c r="DW21" s="0" t="s">
        <v>802</v>
      </c>
      <c r="DX21" s="0" t="s">
        <v>168</v>
      </c>
      <c r="DY21" s="0" t="s">
        <v>618</v>
      </c>
      <c r="ER21" s="0" t="str">
        <f aca="false">IF(ISNUMBER(MATCH(U21,{"queued","contacted","replied","call_booked","call_done","yes_in_principle","materials_sent"},0)),"Y","N")</f>
        <v>Y</v>
      </c>
      <c r="ES21" s="0" t="str">
        <f aca="false">IF(COUNTIFS($AP$2:$AP$1000,AP21,$ER$2:$ER$1000,"Y")+COUNTIFS($AP$2:$AP$1000,AP21,$T$2:$T$1000,"Y")&gt;0,"Y","N")</f>
        <v>Y</v>
      </c>
      <c r="ET21" s="0" t="str">
        <f aca="false">IF(AND(U21="new",T21="N",AT21="Y",AS21="",ES21="N"),"Y","N")</f>
        <v>N</v>
      </c>
      <c r="EU21" s="0" t="str">
        <f aca="false">IF(ET21&lt;&gt;"Y","N",IF(COUNTIFS($AP$2:$AP$1000,AP21,$ET$2:$ET$1000,"Y",$J$2:$J$1000,"&gt;"&amp;J21)+COUNTIFS($AP$2:$AP$1000,AP21,$ET$2:$ET$1000,"Y",$J$2:$J$1000,J21,$EW$2:$EW$1000,"&lt;"&amp;EW21)=0,"Y","N"))</f>
        <v>N</v>
      </c>
      <c r="EV21" s="0" t="str">
        <f aca="false">IF(Y21="","N",IF(Y21&lt;=10,"Y","N"))</f>
        <v>N</v>
      </c>
      <c r="EW21" s="0" t="n">
        <f aca="false">ROW()-1</f>
        <v>20</v>
      </c>
    </row>
    <row r="22" customFormat="false" ht="15" hidden="false" customHeight="false" outlineLevel="0" collapsed="false">
      <c r="A22" s="0" t="s">
        <v>803</v>
      </c>
      <c r="B22" s="0" t="s">
        <v>804</v>
      </c>
      <c r="C22" s="0" t="s">
        <v>805</v>
      </c>
      <c r="D22" s="0" t="s">
        <v>806</v>
      </c>
      <c r="E22" s="0" t="s">
        <v>807</v>
      </c>
      <c r="H22" s="5" t="s">
        <v>158</v>
      </c>
      <c r="I22" s="5" t="s">
        <v>159</v>
      </c>
      <c r="J22" s="0" t="n">
        <f aca="false">IF(AX22="pass",ROUND(CU22+CV22+CW22+CX22+CY22+CZ22,1),0)</f>
        <v>61</v>
      </c>
      <c r="K22" s="0" t="s">
        <v>808</v>
      </c>
      <c r="L22" s="0" t="s">
        <v>161</v>
      </c>
      <c r="R22" s="5" t="s">
        <v>162</v>
      </c>
      <c r="S22" s="0" t="s">
        <v>163</v>
      </c>
      <c r="T22" s="5" t="s">
        <v>162</v>
      </c>
      <c r="U22" s="5" t="s">
        <v>164</v>
      </c>
      <c r="V22" s="0" t="s">
        <v>809</v>
      </c>
      <c r="W22" s="0" t="s">
        <v>166</v>
      </c>
      <c r="X22" s="0" t="s">
        <v>167</v>
      </c>
      <c r="Y22" s="0" t="str">
        <f aca="false">IF(EU22&lt;&gt;"Y","",COUNTIFS($EU$2:$EU$1000,"Y",$J$2:$J$1000,"&gt;"&amp;J22)+COUNTIFS($EU$2:$EU$1000,"Y",$J$2:$J$1000,J22,$EW$2:$EW$1000,"&lt;"&amp;EW22)+1)</f>
        <v/>
      </c>
      <c r="Z22" s="0" t="n">
        <v>21</v>
      </c>
      <c r="AA22" s="0" t="s">
        <v>168</v>
      </c>
      <c r="AB22" s="0" t="s">
        <v>810</v>
      </c>
      <c r="AC22" s="0" t="s">
        <v>170</v>
      </c>
      <c r="AD22" s="0" t="s">
        <v>171</v>
      </c>
      <c r="AE22" s="0" t="s">
        <v>230</v>
      </c>
      <c r="AF22" s="0" t="s">
        <v>811</v>
      </c>
      <c r="AG22" s="0" t="s">
        <v>174</v>
      </c>
      <c r="AH22" s="5" t="s">
        <v>309</v>
      </c>
      <c r="AI22" s="0" t="s">
        <v>812</v>
      </c>
      <c r="AJ22" s="0" t="s">
        <v>163</v>
      </c>
      <c r="AK22" s="0" t="s">
        <v>434</v>
      </c>
      <c r="AL22" s="0" t="n">
        <v>89</v>
      </c>
      <c r="AM22" s="0" t="n">
        <v>179</v>
      </c>
      <c r="AN22" s="0" t="s">
        <v>179</v>
      </c>
      <c r="AO22" s="0" t="s">
        <v>180</v>
      </c>
      <c r="AP22" s="0" t="s">
        <v>803</v>
      </c>
      <c r="AQ22" s="5" t="s">
        <v>162</v>
      </c>
      <c r="AT22" s="0" t="str">
        <f aca="false">IF(AND(AX22="pass",AQ22&lt;&gt;"Y",C22&lt;&gt;"",OR(AW22&lt;&gt;"Y",AV22="Y")),"Y","N")</f>
        <v>Y</v>
      </c>
      <c r="AU22" s="0" t="str">
        <f aca="false">_xlfn.TEXTJOIN("; ",TRUE(),IF(AX22&lt;&gt;"pass","gated out",""),IF(AQ22="Y","on hold: "&amp;AR22,""),IF(C22="","no contact named on an opened page",""),IF(AND(AW22="Y",AV22&lt;&gt;"Y"),"Tuesday estimate band "&amp;L22&amp;": founder's call",""))</f>
        <v/>
      </c>
      <c r="AW22" s="0" t="s">
        <v>162</v>
      </c>
      <c r="AX22" s="0" t="s">
        <v>181</v>
      </c>
      <c r="AY22" s="0" t="s">
        <v>182</v>
      </c>
      <c r="AZ22" s="0" t="s">
        <v>1</v>
      </c>
      <c r="BA22" s="0" t="s">
        <v>813</v>
      </c>
      <c r="BB22" s="0" t="s">
        <v>814</v>
      </c>
      <c r="BC22" s="0" t="s">
        <v>815</v>
      </c>
      <c r="BD22" s="0" t="s">
        <v>816</v>
      </c>
      <c r="BF22" s="0" t="s">
        <v>239</v>
      </c>
      <c r="BG22" s="0" t="s">
        <v>188</v>
      </c>
      <c r="BH22" s="0" t="s">
        <v>189</v>
      </c>
      <c r="BI22" s="0" t="s">
        <v>817</v>
      </c>
      <c r="BK22" s="0" t="s">
        <v>191</v>
      </c>
      <c r="BL22" s="0" t="s">
        <v>192</v>
      </c>
      <c r="BM22" s="0" t="s">
        <v>168</v>
      </c>
      <c r="BN22" s="0" t="s">
        <v>818</v>
      </c>
      <c r="BO22" s="0" t="s">
        <v>163</v>
      </c>
      <c r="BP22" s="0" t="s">
        <v>377</v>
      </c>
      <c r="BQ22" s="0" t="n">
        <v>40.740813</v>
      </c>
      <c r="BR22" s="0" t="n">
        <v>-73.993107</v>
      </c>
      <c r="BS22" s="0" t="s">
        <v>168</v>
      </c>
      <c r="BT22" s="0" t="n">
        <v>0</v>
      </c>
      <c r="BU22" s="0" t="s">
        <v>819</v>
      </c>
      <c r="BV22" s="0" t="s">
        <v>812</v>
      </c>
      <c r="BW22" s="0" t="s">
        <v>809</v>
      </c>
      <c r="BX22" s="0" t="s">
        <v>166</v>
      </c>
      <c r="BY22" s="0" t="s">
        <v>444</v>
      </c>
      <c r="CC22" s="0" t="s">
        <v>179</v>
      </c>
      <c r="CE22" s="0" t="s">
        <v>162</v>
      </c>
      <c r="CH22" s="0" t="s">
        <v>201</v>
      </c>
      <c r="CI22" s="0" t="s">
        <v>820</v>
      </c>
      <c r="CJ22" s="0" t="s">
        <v>163</v>
      </c>
      <c r="CK22" s="0" t="s">
        <v>162</v>
      </c>
      <c r="CL22" s="0" t="s">
        <v>821</v>
      </c>
      <c r="CM22" s="0" t="s">
        <v>817</v>
      </c>
      <c r="CN22" s="0" t="s">
        <v>166</v>
      </c>
      <c r="CO22" s="0" t="n">
        <v>126</v>
      </c>
      <c r="CQ22" s="0" t="s">
        <v>822</v>
      </c>
      <c r="CR22" s="0" t="s">
        <v>206</v>
      </c>
      <c r="CS22" s="0" t="n">
        <v>1</v>
      </c>
      <c r="CT22" s="0" t="n">
        <v>61</v>
      </c>
      <c r="CU22" s="0" t="n">
        <v>25</v>
      </c>
      <c r="CV22" s="0" t="n">
        <v>11</v>
      </c>
      <c r="CW22" s="0" t="n">
        <v>15</v>
      </c>
      <c r="CX22" s="0" t="n">
        <v>5</v>
      </c>
      <c r="CY22" s="0" t="n">
        <f aca="false">IF(AH22="exact",10,IF(AH22="adjacent",5,0))</f>
        <v>5</v>
      </c>
      <c r="CZ22" s="0" t="n">
        <f aca="false">IF(R22="Y",15,0)</f>
        <v>0</v>
      </c>
      <c r="DF22" s="0" t="s">
        <v>158</v>
      </c>
      <c r="DG22" s="0" t="s">
        <v>211</v>
      </c>
      <c r="DK22" s="0" t="s">
        <v>823</v>
      </c>
      <c r="DM22" s="0" t="s">
        <v>824</v>
      </c>
      <c r="DN22" s="0" t="s">
        <v>825</v>
      </c>
      <c r="DO22" s="0" t="s">
        <v>826</v>
      </c>
      <c r="DS22" s="0" t="s">
        <v>158</v>
      </c>
      <c r="DX22" s="0" t="s">
        <v>168</v>
      </c>
      <c r="DY22" s="0" t="s">
        <v>618</v>
      </c>
      <c r="ER22" s="0" t="str">
        <f aca="false">IF(ISNUMBER(MATCH(U22,{"queued","contacted","replied","call_booked","call_done","yes_in_principle","materials_sent"},0)),"Y","N")</f>
        <v>Y</v>
      </c>
      <c r="ES22" s="0" t="str">
        <f aca="false">IF(COUNTIFS($AP$2:$AP$1000,AP22,$ER$2:$ER$1000,"Y")+COUNTIFS($AP$2:$AP$1000,AP22,$T$2:$T$1000,"Y")&gt;0,"Y","N")</f>
        <v>Y</v>
      </c>
      <c r="ET22" s="0" t="str">
        <f aca="false">IF(AND(U22="new",T22="N",AT22="Y",AS22="",ES22="N"),"Y","N")</f>
        <v>N</v>
      </c>
      <c r="EU22" s="0" t="str">
        <f aca="false">IF(ET22&lt;&gt;"Y","N",IF(COUNTIFS($AP$2:$AP$1000,AP22,$ET$2:$ET$1000,"Y",$J$2:$J$1000,"&gt;"&amp;J22)+COUNTIFS($AP$2:$AP$1000,AP22,$ET$2:$ET$1000,"Y",$J$2:$J$1000,J22,$EW$2:$EW$1000,"&lt;"&amp;EW22)=0,"Y","N"))</f>
        <v>N</v>
      </c>
      <c r="EV22" s="0" t="str">
        <f aca="false">IF(Y22="","N",IF(Y22&lt;=10,"Y","N"))</f>
        <v>N</v>
      </c>
      <c r="EW22" s="0" t="n">
        <f aca="false">ROW()-1</f>
        <v>21</v>
      </c>
    </row>
    <row r="23" customFormat="false" ht="15" hidden="false" customHeight="false" outlineLevel="0" collapsed="false">
      <c r="A23" s="0" t="s">
        <v>827</v>
      </c>
      <c r="B23" s="0" t="s">
        <v>828</v>
      </c>
      <c r="C23" s="0" t="s">
        <v>829</v>
      </c>
      <c r="D23" s="0" t="s">
        <v>830</v>
      </c>
      <c r="E23" s="0" t="s">
        <v>831</v>
      </c>
      <c r="H23" s="5" t="s">
        <v>158</v>
      </c>
      <c r="I23" s="5" t="s">
        <v>159</v>
      </c>
      <c r="J23" s="0" t="n">
        <f aca="false">IF(AX23="pass",ROUND(CU23+CV23+CW23+CX23+CY23+CZ23,1),0)</f>
        <v>61</v>
      </c>
      <c r="K23" s="0" t="s">
        <v>832</v>
      </c>
      <c r="L23" s="0" t="s">
        <v>187</v>
      </c>
      <c r="R23" s="5" t="s">
        <v>162</v>
      </c>
      <c r="S23" s="0" t="s">
        <v>163</v>
      </c>
      <c r="T23" s="5" t="s">
        <v>162</v>
      </c>
      <c r="U23" s="5" t="s">
        <v>164</v>
      </c>
      <c r="V23" s="0" t="s">
        <v>833</v>
      </c>
      <c r="W23" s="0" t="s">
        <v>166</v>
      </c>
      <c r="X23" s="0" t="s">
        <v>167</v>
      </c>
      <c r="Y23" s="0" t="str">
        <f aca="false">IF(EU23&lt;&gt;"Y","",COUNTIFS($EU$2:$EU$1000,"Y",$J$2:$J$1000,"&gt;"&amp;J23)+COUNTIFS($EU$2:$EU$1000,"Y",$J$2:$J$1000,J23,$EW$2:$EW$1000,"&lt;"&amp;EW23)+1)</f>
        <v/>
      </c>
      <c r="Z23" s="0" t="n">
        <v>22</v>
      </c>
      <c r="AA23" s="0" t="s">
        <v>168</v>
      </c>
      <c r="AB23" s="0" t="s">
        <v>834</v>
      </c>
      <c r="AC23" s="0" t="s">
        <v>170</v>
      </c>
      <c r="AD23" s="0" t="s">
        <v>171</v>
      </c>
      <c r="AE23" s="0" t="s">
        <v>230</v>
      </c>
      <c r="AF23" s="0" t="s">
        <v>835</v>
      </c>
      <c r="AG23" s="0" t="s">
        <v>174</v>
      </c>
      <c r="AH23" s="5" t="s">
        <v>309</v>
      </c>
      <c r="AI23" s="0" t="s">
        <v>836</v>
      </c>
      <c r="AJ23" s="0" t="s">
        <v>163</v>
      </c>
      <c r="AK23" s="0" t="s">
        <v>434</v>
      </c>
      <c r="AL23" s="0" t="n">
        <v>113</v>
      </c>
      <c r="AM23" s="0" t="n">
        <v>225</v>
      </c>
      <c r="AN23" s="0" t="s">
        <v>179</v>
      </c>
      <c r="AO23" s="0" t="s">
        <v>180</v>
      </c>
      <c r="AP23" s="0" t="s">
        <v>827</v>
      </c>
      <c r="AQ23" s="5" t="s">
        <v>162</v>
      </c>
      <c r="AT23" s="0" t="str">
        <f aca="false">IF(AND(AX23="pass",AQ23&lt;&gt;"Y",C23&lt;&gt;"",OR(AW23&lt;&gt;"Y",AV23="Y")),"Y","N")</f>
        <v>Y</v>
      </c>
      <c r="AU23" s="0" t="str">
        <f aca="false">_xlfn.TEXTJOIN("; ",TRUE(),IF(AX23&lt;&gt;"pass","gated out",""),IF(AQ23="Y","on hold: "&amp;AR23,""),IF(C23="","no contact named on an opened page",""),IF(AND(AW23="Y",AV23&lt;&gt;"Y"),"Tuesday estimate band "&amp;L23&amp;": founder's call",""))</f>
        <v/>
      </c>
      <c r="AW23" s="0" t="s">
        <v>162</v>
      </c>
      <c r="AX23" s="0" t="s">
        <v>181</v>
      </c>
      <c r="AY23" s="0" t="s">
        <v>182</v>
      </c>
      <c r="AZ23" s="0" t="s">
        <v>1</v>
      </c>
      <c r="BA23" s="0" t="s">
        <v>837</v>
      </c>
      <c r="BB23" s="0" t="s">
        <v>838</v>
      </c>
      <c r="BC23" s="0" t="s">
        <v>839</v>
      </c>
      <c r="BD23" s="0" t="s">
        <v>605</v>
      </c>
      <c r="BF23" s="0" t="s">
        <v>239</v>
      </c>
      <c r="BG23" s="0" t="s">
        <v>188</v>
      </c>
      <c r="BH23" s="0" t="s">
        <v>189</v>
      </c>
      <c r="BI23" s="0" t="s">
        <v>840</v>
      </c>
      <c r="BK23" s="0" t="s">
        <v>191</v>
      </c>
      <c r="BL23" s="0" t="s">
        <v>192</v>
      </c>
      <c r="BM23" s="0" t="s">
        <v>168</v>
      </c>
      <c r="BN23" s="0" t="s">
        <v>841</v>
      </c>
      <c r="BO23" s="0" t="s">
        <v>163</v>
      </c>
      <c r="BP23" s="0" t="s">
        <v>346</v>
      </c>
      <c r="BQ23" s="0" t="n">
        <v>40.743006</v>
      </c>
      <c r="BR23" s="0" t="n">
        <v>-73.98947</v>
      </c>
      <c r="BS23" s="0" t="s">
        <v>168</v>
      </c>
      <c r="BT23" s="0" t="n">
        <v>0</v>
      </c>
      <c r="BU23" s="0" t="s">
        <v>842</v>
      </c>
      <c r="BV23" s="0" t="s">
        <v>843</v>
      </c>
      <c r="BW23" s="0" t="s">
        <v>833</v>
      </c>
      <c r="BX23" s="0" t="s">
        <v>844</v>
      </c>
      <c r="BY23" s="0" t="s">
        <v>247</v>
      </c>
      <c r="BZ23" s="0" t="s">
        <v>840</v>
      </c>
      <c r="CA23" s="0" t="s">
        <v>166</v>
      </c>
      <c r="CC23" s="0" t="s">
        <v>179</v>
      </c>
      <c r="CE23" s="0" t="s">
        <v>162</v>
      </c>
      <c r="CH23" s="0" t="s">
        <v>201</v>
      </c>
      <c r="CI23" s="0" t="s">
        <v>845</v>
      </c>
      <c r="CJ23" s="0" t="s">
        <v>163</v>
      </c>
      <c r="CK23" s="0" t="s">
        <v>162</v>
      </c>
      <c r="CL23" s="0" t="s">
        <v>846</v>
      </c>
      <c r="CM23" s="0" t="s">
        <v>840</v>
      </c>
      <c r="CN23" s="0" t="s">
        <v>174</v>
      </c>
      <c r="CO23" s="0" t="n">
        <v>159</v>
      </c>
      <c r="CQ23" s="0" t="s">
        <v>847</v>
      </c>
      <c r="CR23" s="0" t="s">
        <v>206</v>
      </c>
      <c r="CS23" s="0" t="n">
        <v>1</v>
      </c>
      <c r="CT23" s="0" t="n">
        <v>61</v>
      </c>
      <c r="CU23" s="0" t="n">
        <v>25</v>
      </c>
      <c r="CV23" s="0" t="n">
        <v>11</v>
      </c>
      <c r="CW23" s="0" t="n">
        <v>15</v>
      </c>
      <c r="CX23" s="0" t="n">
        <v>5</v>
      </c>
      <c r="CY23" s="0" t="n">
        <f aca="false">IF(AH23="exact",10,IF(AH23="adjacent",5,0))</f>
        <v>5</v>
      </c>
      <c r="CZ23" s="0" t="n">
        <f aca="false">IF(R23="Y",15,0)</f>
        <v>0</v>
      </c>
      <c r="DF23" s="0" t="s">
        <v>158</v>
      </c>
      <c r="DG23" s="0" t="s">
        <v>211</v>
      </c>
      <c r="DJ23" s="0" t="s">
        <v>848</v>
      </c>
      <c r="DK23" s="0" t="s">
        <v>849</v>
      </c>
      <c r="DM23" s="0" t="s">
        <v>850</v>
      </c>
      <c r="DN23" s="0" t="s">
        <v>417</v>
      </c>
      <c r="DO23" s="0" t="s">
        <v>851</v>
      </c>
      <c r="DS23" s="0" t="s">
        <v>158</v>
      </c>
      <c r="DX23" s="0" t="s">
        <v>168</v>
      </c>
      <c r="DY23" s="0" t="s">
        <v>618</v>
      </c>
      <c r="ER23" s="0" t="str">
        <f aca="false">IF(ISNUMBER(MATCH(U23,{"queued","contacted","replied","call_booked","call_done","yes_in_principle","materials_sent"},0)),"Y","N")</f>
        <v>Y</v>
      </c>
      <c r="ES23" s="0" t="str">
        <f aca="false">IF(COUNTIFS($AP$2:$AP$1000,AP23,$ER$2:$ER$1000,"Y")+COUNTIFS($AP$2:$AP$1000,AP23,$T$2:$T$1000,"Y")&gt;0,"Y","N")</f>
        <v>Y</v>
      </c>
      <c r="ET23" s="0" t="str">
        <f aca="false">IF(AND(U23="new",T23="N",AT23="Y",AS23="",ES23="N"),"Y","N")</f>
        <v>N</v>
      </c>
      <c r="EU23" s="0" t="str">
        <f aca="false">IF(ET23&lt;&gt;"Y","N",IF(COUNTIFS($AP$2:$AP$1000,AP23,$ET$2:$ET$1000,"Y",$J$2:$J$1000,"&gt;"&amp;J23)+COUNTIFS($AP$2:$AP$1000,AP23,$ET$2:$ET$1000,"Y",$J$2:$J$1000,J23,$EW$2:$EW$1000,"&lt;"&amp;EW23)=0,"Y","N"))</f>
        <v>N</v>
      </c>
      <c r="EV23" s="0" t="str">
        <f aca="false">IF(Y23="","N",IF(Y23&lt;=10,"Y","N"))</f>
        <v>N</v>
      </c>
      <c r="EW23" s="0" t="n">
        <f aca="false">ROW()-1</f>
        <v>22</v>
      </c>
    </row>
    <row r="24" customFormat="false" ht="15" hidden="false" customHeight="false" outlineLevel="0" collapsed="false">
      <c r="A24" s="0" t="s">
        <v>852</v>
      </c>
      <c r="B24" s="0" t="s">
        <v>853</v>
      </c>
      <c r="C24" s="0" t="s">
        <v>854</v>
      </c>
      <c r="D24" s="0" t="s">
        <v>855</v>
      </c>
      <c r="E24" s="0" t="s">
        <v>696</v>
      </c>
      <c r="H24" s="5" t="s">
        <v>158</v>
      </c>
      <c r="I24" s="5" t="s">
        <v>159</v>
      </c>
      <c r="J24" s="0" t="n">
        <f aca="false">IF(AX24="pass",ROUND(CU24+CV24+CW24+CX24+CY24+CZ24,1),0)</f>
        <v>60.1</v>
      </c>
      <c r="K24" s="0" t="s">
        <v>856</v>
      </c>
      <c r="L24" s="0" t="s">
        <v>187</v>
      </c>
      <c r="R24" s="5" t="s">
        <v>162</v>
      </c>
      <c r="S24" s="0" t="s">
        <v>163</v>
      </c>
      <c r="T24" s="5" t="s">
        <v>162</v>
      </c>
      <c r="U24" s="5" t="s">
        <v>164</v>
      </c>
      <c r="V24" s="0" t="s">
        <v>857</v>
      </c>
      <c r="W24" s="0" t="s">
        <v>166</v>
      </c>
      <c r="X24" s="0" t="s">
        <v>167</v>
      </c>
      <c r="Y24" s="0" t="str">
        <f aca="false">IF(EU24&lt;&gt;"Y","",COUNTIFS($EU$2:$EU$1000,"Y",$J$2:$J$1000,"&gt;"&amp;J24)+COUNTIFS($EU$2:$EU$1000,"Y",$J$2:$J$1000,J24,$EW$2:$EW$1000,"&lt;"&amp;EW24)+1)</f>
        <v/>
      </c>
      <c r="Z24" s="0" t="n">
        <v>23</v>
      </c>
      <c r="AA24" s="0" t="s">
        <v>168</v>
      </c>
      <c r="AB24" s="0" t="s">
        <v>858</v>
      </c>
      <c r="AC24" s="0" t="s">
        <v>170</v>
      </c>
      <c r="AD24" s="0" t="s">
        <v>171</v>
      </c>
      <c r="AE24" s="0" t="s">
        <v>172</v>
      </c>
      <c r="AF24" s="0" t="s">
        <v>859</v>
      </c>
      <c r="AG24" s="0" t="s">
        <v>174</v>
      </c>
      <c r="AH24" s="5" t="s">
        <v>309</v>
      </c>
      <c r="AI24" s="0" t="s">
        <v>860</v>
      </c>
      <c r="AJ24" s="0" t="s">
        <v>650</v>
      </c>
      <c r="AK24" s="0" t="s">
        <v>178</v>
      </c>
      <c r="AL24" s="0" t="n">
        <v>112</v>
      </c>
      <c r="AM24" s="0" t="n">
        <v>278</v>
      </c>
      <c r="AN24" s="0" t="s">
        <v>179</v>
      </c>
      <c r="AO24" s="0" t="s">
        <v>861</v>
      </c>
      <c r="AP24" s="0" t="s">
        <v>852</v>
      </c>
      <c r="AQ24" s="5" t="s">
        <v>162</v>
      </c>
      <c r="AT24" s="0" t="str">
        <f aca="false">IF(AND(AX24="pass",AQ24&lt;&gt;"Y",C24&lt;&gt;"",OR(AW24&lt;&gt;"Y",AV24="Y")),"Y","N")</f>
        <v>Y</v>
      </c>
      <c r="AU24" s="0" t="str">
        <f aca="false">_xlfn.TEXTJOIN("; ",TRUE(),IF(AX24&lt;&gt;"pass","gated out",""),IF(AQ24="Y","on hold: "&amp;AR24,""),IF(C24="","no contact named on an opened page",""),IF(AND(AW24="Y",AV24&lt;&gt;"Y"),"Tuesday estimate band "&amp;L24&amp;": founder's call",""))</f>
        <v/>
      </c>
      <c r="AW24" s="0" t="s">
        <v>162</v>
      </c>
      <c r="AX24" s="0" t="s">
        <v>181</v>
      </c>
      <c r="AY24" s="0" t="s">
        <v>182</v>
      </c>
      <c r="AZ24" s="0" t="s">
        <v>1</v>
      </c>
      <c r="BA24" s="0" t="s">
        <v>862</v>
      </c>
      <c r="BB24" s="0" t="s">
        <v>863</v>
      </c>
      <c r="BC24" s="0" t="s">
        <v>864</v>
      </c>
      <c r="BD24" s="0" t="s">
        <v>865</v>
      </c>
      <c r="BE24" s="0" t="s">
        <v>866</v>
      </c>
      <c r="BF24" s="0" t="s">
        <v>239</v>
      </c>
      <c r="BG24" s="0" t="s">
        <v>188</v>
      </c>
      <c r="BH24" s="0" t="s">
        <v>240</v>
      </c>
      <c r="BI24" s="0" t="s">
        <v>867</v>
      </c>
      <c r="BJ24" s="0" t="s">
        <v>868</v>
      </c>
      <c r="BK24" s="0" t="s">
        <v>191</v>
      </c>
      <c r="BL24" s="0" t="s">
        <v>192</v>
      </c>
      <c r="BM24" s="0" t="s">
        <v>168</v>
      </c>
      <c r="BN24" s="0" t="s">
        <v>163</v>
      </c>
      <c r="BO24" s="0" t="s">
        <v>163</v>
      </c>
      <c r="BP24" s="0" t="s">
        <v>346</v>
      </c>
      <c r="BQ24" s="0" t="n">
        <v>40.742654</v>
      </c>
      <c r="BR24" s="0" t="n">
        <v>-73.991559</v>
      </c>
      <c r="BS24" s="0" t="s">
        <v>168</v>
      </c>
      <c r="BT24" s="0" t="n">
        <v>0</v>
      </c>
      <c r="BU24" s="0" t="s">
        <v>869</v>
      </c>
      <c r="BV24" s="0" t="s">
        <v>870</v>
      </c>
      <c r="BW24" s="0" t="s">
        <v>857</v>
      </c>
      <c r="BX24" s="0" t="s">
        <v>174</v>
      </c>
      <c r="BY24" s="0" t="s">
        <v>196</v>
      </c>
      <c r="BZ24" s="0" t="s">
        <v>867</v>
      </c>
      <c r="CA24" s="0" t="s">
        <v>166</v>
      </c>
      <c r="CC24" s="0" t="s">
        <v>738</v>
      </c>
      <c r="CE24" s="0" t="s">
        <v>162</v>
      </c>
      <c r="CH24" s="0" t="s">
        <v>201</v>
      </c>
      <c r="CI24" s="0" t="s">
        <v>871</v>
      </c>
      <c r="CJ24" s="0" t="s">
        <v>163</v>
      </c>
      <c r="CK24" s="0" t="s">
        <v>162</v>
      </c>
      <c r="CL24" s="0" t="s">
        <v>872</v>
      </c>
      <c r="CM24" s="0" t="s">
        <v>867</v>
      </c>
      <c r="CN24" s="0" t="s">
        <v>174</v>
      </c>
      <c r="CO24" s="0" t="n">
        <v>176</v>
      </c>
      <c r="CP24" s="0" t="s">
        <v>250</v>
      </c>
      <c r="CQ24" s="0" t="s">
        <v>873</v>
      </c>
      <c r="CR24" s="0" t="s">
        <v>206</v>
      </c>
      <c r="CS24" s="0" t="n">
        <v>0.88</v>
      </c>
      <c r="CT24" s="0" t="n">
        <v>60.1</v>
      </c>
      <c r="CU24" s="0" t="n">
        <v>22.1</v>
      </c>
      <c r="CV24" s="0" t="n">
        <v>15</v>
      </c>
      <c r="CW24" s="0" t="n">
        <v>5</v>
      </c>
      <c r="CX24" s="0" t="n">
        <v>13</v>
      </c>
      <c r="CY24" s="0" t="n">
        <f aca="false">IF(AH24="exact",10,IF(AH24="adjacent",5,0))</f>
        <v>5</v>
      </c>
      <c r="CZ24" s="0" t="n">
        <f aca="false">IF(R24="Y",15,0)</f>
        <v>0</v>
      </c>
      <c r="DF24" s="0" t="s">
        <v>158</v>
      </c>
      <c r="DG24" s="0" t="s">
        <v>211</v>
      </c>
      <c r="DK24" s="0" t="s">
        <v>874</v>
      </c>
      <c r="DM24" s="0" t="s">
        <v>875</v>
      </c>
      <c r="DO24" s="0" t="s">
        <v>876</v>
      </c>
      <c r="DS24" s="0" t="s">
        <v>158</v>
      </c>
      <c r="DX24" s="0" t="s">
        <v>168</v>
      </c>
      <c r="DY24" s="0" t="s">
        <v>221</v>
      </c>
      <c r="ER24" s="0" t="str">
        <f aca="false">IF(ISNUMBER(MATCH(U24,{"queued","contacted","replied","call_booked","call_done","yes_in_principle","materials_sent"},0)),"Y","N")</f>
        <v>Y</v>
      </c>
      <c r="ES24" s="0" t="str">
        <f aca="false">IF(COUNTIFS($AP$2:$AP$1000,AP24,$ER$2:$ER$1000,"Y")+COUNTIFS($AP$2:$AP$1000,AP24,$T$2:$T$1000,"Y")&gt;0,"Y","N")</f>
        <v>Y</v>
      </c>
      <c r="ET24" s="0" t="str">
        <f aca="false">IF(AND(U24="new",T24="N",AT24="Y",AS24="",ES24="N"),"Y","N")</f>
        <v>N</v>
      </c>
      <c r="EU24" s="0" t="str">
        <f aca="false">IF(ET24&lt;&gt;"Y","N",IF(COUNTIFS($AP$2:$AP$1000,AP24,$ET$2:$ET$1000,"Y",$J$2:$J$1000,"&gt;"&amp;J24)+COUNTIFS($AP$2:$AP$1000,AP24,$ET$2:$ET$1000,"Y",$J$2:$J$1000,J24,$EW$2:$EW$1000,"&lt;"&amp;EW24)=0,"Y","N"))</f>
        <v>N</v>
      </c>
      <c r="EV24" s="0" t="str">
        <f aca="false">IF(Y24="","N",IF(Y24&lt;=10,"Y","N"))</f>
        <v>N</v>
      </c>
      <c r="EW24" s="0" t="n">
        <f aca="false">ROW()-1</f>
        <v>23</v>
      </c>
    </row>
    <row r="25" customFormat="false" ht="15" hidden="false" customHeight="false" outlineLevel="0" collapsed="false">
      <c r="A25" s="0" t="s">
        <v>877</v>
      </c>
      <c r="B25" s="0" t="s">
        <v>878</v>
      </c>
      <c r="C25" s="0" t="s">
        <v>879</v>
      </c>
      <c r="D25" s="0" t="s">
        <v>880</v>
      </c>
      <c r="E25" s="0" t="s">
        <v>807</v>
      </c>
      <c r="H25" s="5" t="s">
        <v>158</v>
      </c>
      <c r="I25" s="5" t="s">
        <v>159</v>
      </c>
      <c r="J25" s="0" t="n">
        <f aca="false">IF(AX25="pass",ROUND(CU25+CV25+CW25+CX25+CY25+CZ25,1),0)</f>
        <v>60.1</v>
      </c>
      <c r="K25" s="0" t="s">
        <v>881</v>
      </c>
      <c r="L25" s="0" t="s">
        <v>394</v>
      </c>
      <c r="O25" s="0" t="s">
        <v>882</v>
      </c>
      <c r="P25" s="0" t="s">
        <v>883</v>
      </c>
      <c r="Q25" s="0" t="s">
        <v>884</v>
      </c>
      <c r="R25" s="5" t="s">
        <v>162</v>
      </c>
      <c r="S25" s="0" t="s">
        <v>163</v>
      </c>
      <c r="T25" s="5" t="s">
        <v>162</v>
      </c>
      <c r="U25" s="5" t="s">
        <v>561</v>
      </c>
      <c r="V25" s="0" t="s">
        <v>883</v>
      </c>
      <c r="W25" s="0" t="s">
        <v>166</v>
      </c>
      <c r="X25" s="0" t="s">
        <v>167</v>
      </c>
      <c r="Y25" s="0" t="str">
        <f aca="false">IF(EU25&lt;&gt;"Y","",COUNTIFS($EU$2:$EU$1000,"Y",$J$2:$J$1000,"&gt;"&amp;J25)+COUNTIFS($EU$2:$EU$1000,"Y",$J$2:$J$1000,J25,$EW$2:$EW$1000,"&lt;"&amp;EW25)+1)</f>
        <v/>
      </c>
      <c r="Z25" s="0" t="n">
        <v>24</v>
      </c>
      <c r="AA25" s="0" t="s">
        <v>168</v>
      </c>
      <c r="AB25" s="0" t="s">
        <v>885</v>
      </c>
      <c r="AC25" s="0" t="s">
        <v>170</v>
      </c>
      <c r="AD25" s="0" t="s">
        <v>171</v>
      </c>
      <c r="AE25" s="0" t="s">
        <v>230</v>
      </c>
      <c r="AF25" s="0" t="s">
        <v>886</v>
      </c>
      <c r="AG25" s="0" t="s">
        <v>174</v>
      </c>
      <c r="AH25" s="5" t="s">
        <v>309</v>
      </c>
      <c r="AI25" s="0" t="s">
        <v>887</v>
      </c>
      <c r="AJ25" s="0" t="s">
        <v>888</v>
      </c>
      <c r="AK25" s="0" t="s">
        <v>889</v>
      </c>
      <c r="AL25" s="0" t="n">
        <v>32</v>
      </c>
      <c r="AM25" s="0" t="n">
        <v>100</v>
      </c>
      <c r="AN25" s="0" t="s">
        <v>179</v>
      </c>
      <c r="AO25" s="0" t="s">
        <v>180</v>
      </c>
      <c r="AP25" s="0" t="s">
        <v>877</v>
      </c>
      <c r="AQ25" s="5" t="s">
        <v>168</v>
      </c>
      <c r="AR25" s="0" t="s">
        <v>890</v>
      </c>
      <c r="AT25" s="0" t="str">
        <f aca="false">IF(AND(AX25="pass",AQ25&lt;&gt;"Y",C25&lt;&gt;"",OR(AW25&lt;&gt;"Y",AV25="Y")),"Y","N")</f>
        <v>N</v>
      </c>
      <c r="AU25" s="0" t="str">
        <f aca="false">_xlfn.TEXTJOIN("; ",TRUE(),IF(AX25&lt;&gt;"pass","gated out",""),IF(AQ25="Y","on hold: "&amp;AR25,""),IF(C25="","no contact named on an opened page",""),IF(AND(AW25="Y",AV25&lt;&gt;"Y"),"Tuesday estimate band "&amp;L25&amp;": founder's call",""))</f>
        <v>on hold: lease signed, move not confirmed: check the lobby directory before outreach (B)</v>
      </c>
      <c r="AW25" s="0" t="s">
        <v>162</v>
      </c>
      <c r="AX25" s="0" t="s">
        <v>181</v>
      </c>
      <c r="AY25" s="0" t="s">
        <v>182</v>
      </c>
      <c r="AZ25" s="0" t="s">
        <v>1</v>
      </c>
      <c r="BA25" s="0" t="s">
        <v>891</v>
      </c>
      <c r="BB25" s="0" t="s">
        <v>892</v>
      </c>
      <c r="BC25" s="0" t="s">
        <v>893</v>
      </c>
      <c r="BD25" s="0" t="s">
        <v>894</v>
      </c>
      <c r="BE25" s="0" t="s">
        <v>895</v>
      </c>
      <c r="BF25" s="0" t="s">
        <v>163</v>
      </c>
      <c r="BG25" s="0" t="s">
        <v>163</v>
      </c>
      <c r="BH25" s="0" t="s">
        <v>279</v>
      </c>
      <c r="BI25" s="0" t="s">
        <v>896</v>
      </c>
      <c r="BJ25" s="0" t="s">
        <v>897</v>
      </c>
      <c r="BK25" s="0" t="s">
        <v>191</v>
      </c>
      <c r="BL25" s="0" t="s">
        <v>192</v>
      </c>
      <c r="BM25" s="0" t="s">
        <v>168</v>
      </c>
      <c r="BN25" s="0" t="s">
        <v>163</v>
      </c>
      <c r="BO25" s="0" t="s">
        <v>163</v>
      </c>
      <c r="BP25" s="0" t="s">
        <v>346</v>
      </c>
      <c r="BQ25" s="0" t="n">
        <v>40.743613</v>
      </c>
      <c r="BR25" s="0" t="n">
        <v>-73.991062</v>
      </c>
      <c r="BS25" s="0" t="s">
        <v>168</v>
      </c>
      <c r="BT25" s="0" t="n">
        <v>0</v>
      </c>
      <c r="BU25" s="0" t="s">
        <v>898</v>
      </c>
      <c r="BV25" s="0" t="s">
        <v>899</v>
      </c>
      <c r="BW25" s="0" t="s">
        <v>883</v>
      </c>
      <c r="BX25" s="0" t="s">
        <v>884</v>
      </c>
      <c r="BY25" s="0" t="s">
        <v>247</v>
      </c>
      <c r="CC25" s="0" t="s">
        <v>738</v>
      </c>
      <c r="CD25" s="0" t="s">
        <v>163</v>
      </c>
      <c r="CE25" s="0" t="s">
        <v>162</v>
      </c>
      <c r="CH25" s="0" t="s">
        <v>163</v>
      </c>
      <c r="CJ25" s="0" t="s">
        <v>163</v>
      </c>
      <c r="CK25" s="0" t="s">
        <v>162</v>
      </c>
      <c r="CL25" s="0" t="s">
        <v>900</v>
      </c>
      <c r="CM25" s="0" t="s">
        <v>901</v>
      </c>
      <c r="CN25" s="0" t="s">
        <v>174</v>
      </c>
      <c r="CO25" s="0" t="n">
        <v>57</v>
      </c>
      <c r="CQ25" s="0" t="s">
        <v>902</v>
      </c>
      <c r="CR25" s="0" t="s">
        <v>206</v>
      </c>
      <c r="CS25" s="0" t="n">
        <v>0.8</v>
      </c>
      <c r="CT25" s="0" t="n">
        <v>60.1</v>
      </c>
      <c r="CU25" s="0" t="n">
        <v>20.1</v>
      </c>
      <c r="CV25" s="0" t="n">
        <v>15</v>
      </c>
      <c r="CW25" s="0" t="n">
        <v>15</v>
      </c>
      <c r="CX25" s="0" t="n">
        <v>5</v>
      </c>
      <c r="CY25" s="0" t="n">
        <f aca="false">IF(AH25="exact",10,IF(AH25="adjacent",5,0))</f>
        <v>5</v>
      </c>
      <c r="CZ25" s="0" t="n">
        <f aca="false">IF(R25="Y",15,0)</f>
        <v>0</v>
      </c>
      <c r="DF25" s="0" t="s">
        <v>158</v>
      </c>
      <c r="DG25" s="0" t="s">
        <v>211</v>
      </c>
      <c r="DJ25" s="0" t="s">
        <v>903</v>
      </c>
      <c r="DK25" s="0" t="s">
        <v>904</v>
      </c>
      <c r="DM25" s="0" t="s">
        <v>905</v>
      </c>
      <c r="DO25" s="0" t="s">
        <v>906</v>
      </c>
      <c r="DS25" s="0" t="s">
        <v>158</v>
      </c>
      <c r="DX25" s="0" t="s">
        <v>168</v>
      </c>
      <c r="DY25" s="0" t="s">
        <v>618</v>
      </c>
      <c r="ER25" s="0" t="str">
        <f aca="false">IF(ISNUMBER(MATCH(U25,{"queued","contacted","replied","call_booked","call_done","yes_in_principle","materials_sent"},0)),"Y","N")</f>
        <v>N</v>
      </c>
      <c r="ES25" s="0" t="str">
        <f aca="false">IF(COUNTIFS($AP$2:$AP$1000,AP25,$ER$2:$ER$1000,"Y")+COUNTIFS($AP$2:$AP$1000,AP25,$T$2:$T$1000,"Y")&gt;0,"Y","N")</f>
        <v>N</v>
      </c>
      <c r="ET25" s="0" t="str">
        <f aca="false">IF(AND(U25="new",T25="N",AT25="Y",AS25="",ES25="N"),"Y","N")</f>
        <v>N</v>
      </c>
      <c r="EU25" s="0" t="str">
        <f aca="false">IF(ET25&lt;&gt;"Y","N",IF(COUNTIFS($AP$2:$AP$1000,AP25,$ET$2:$ET$1000,"Y",$J$2:$J$1000,"&gt;"&amp;J25)+COUNTIFS($AP$2:$AP$1000,AP25,$ET$2:$ET$1000,"Y",$J$2:$J$1000,J25,$EW$2:$EW$1000,"&lt;"&amp;EW25)=0,"Y","N"))</f>
        <v>N</v>
      </c>
      <c r="EV25" s="0" t="str">
        <f aca="false">IF(Y25="","N",IF(Y25&lt;=10,"Y","N"))</f>
        <v>N</v>
      </c>
      <c r="EW25" s="0" t="n">
        <f aca="false">ROW()-1</f>
        <v>24</v>
      </c>
    </row>
    <row r="26" customFormat="false" ht="15" hidden="false" customHeight="false" outlineLevel="0" collapsed="false">
      <c r="A26" s="0" t="s">
        <v>907</v>
      </c>
      <c r="B26" s="0" t="s">
        <v>908</v>
      </c>
      <c r="H26" s="5" t="s">
        <v>158</v>
      </c>
      <c r="I26" s="5" t="s">
        <v>594</v>
      </c>
      <c r="J26" s="0" t="n">
        <f aca="false">IF(AX26="pass",ROUND(CU26+CV26+CW26+CX26+CY26+CZ26,1),0)</f>
        <v>60</v>
      </c>
      <c r="K26" s="0" t="s">
        <v>909</v>
      </c>
      <c r="L26" s="0" t="s">
        <v>161</v>
      </c>
      <c r="O26" s="0" t="s">
        <v>910</v>
      </c>
      <c r="P26" s="0" t="s">
        <v>911</v>
      </c>
      <c r="Q26" s="0" t="s">
        <v>912</v>
      </c>
      <c r="R26" s="5" t="s">
        <v>162</v>
      </c>
      <c r="S26" s="0" t="s">
        <v>163</v>
      </c>
      <c r="T26" s="5" t="s">
        <v>162</v>
      </c>
      <c r="U26" s="5" t="s">
        <v>561</v>
      </c>
      <c r="V26" s="0" t="s">
        <v>911</v>
      </c>
      <c r="W26" s="0" t="s">
        <v>166</v>
      </c>
      <c r="X26" s="0" t="s">
        <v>167</v>
      </c>
      <c r="Y26" s="0" t="str">
        <f aca="false">IF(EU26&lt;&gt;"Y","",COUNTIFS($EU$2:$EU$1000,"Y",$J$2:$J$1000,"&gt;"&amp;J26)+COUNTIFS($EU$2:$EU$1000,"Y",$J$2:$J$1000,J26,$EW$2:$EW$1000,"&lt;"&amp;EW26)+1)</f>
        <v/>
      </c>
      <c r="Z26" s="0" t="n">
        <v>25</v>
      </c>
      <c r="AA26" s="0" t="s">
        <v>168</v>
      </c>
      <c r="AB26" s="0" t="s">
        <v>597</v>
      </c>
      <c r="AD26" s="0" t="s">
        <v>158</v>
      </c>
      <c r="AH26" s="5" t="s">
        <v>158</v>
      </c>
      <c r="AI26" s="0" t="s">
        <v>398</v>
      </c>
      <c r="AJ26" s="0" t="s">
        <v>624</v>
      </c>
      <c r="AK26" s="0" t="s">
        <v>889</v>
      </c>
      <c r="AL26" s="0" t="n">
        <v>44</v>
      </c>
      <c r="AM26" s="0" t="n">
        <v>172</v>
      </c>
      <c r="AN26" s="0" t="s">
        <v>179</v>
      </c>
      <c r="AO26" s="0" t="s">
        <v>180</v>
      </c>
      <c r="AP26" s="0" t="s">
        <v>907</v>
      </c>
      <c r="AQ26" s="5" t="s">
        <v>168</v>
      </c>
      <c r="AR26" s="0" t="s">
        <v>890</v>
      </c>
      <c r="AT26" s="0" t="str">
        <f aca="false">IF(AND(AX26="pass",AQ26&lt;&gt;"Y",C26&lt;&gt;"",OR(AW26&lt;&gt;"Y",AV26="Y")),"Y","N")</f>
        <v>N</v>
      </c>
      <c r="AU26" s="0" t="str">
        <f aca="false">_xlfn.TEXTJOIN("; ",TRUE(),IF(AX26&lt;&gt;"pass","gated out",""),IF(AQ26="Y","on hold: "&amp;AR26,""),IF(C26="","no contact named on an opened page",""),IF(AND(AW26="Y",AV26&lt;&gt;"Y"),"Tuesday estimate band "&amp;L26&amp;": founder's call",""))</f>
        <v>on hold: lease signed, move not confirmed: check the lobby directory before outreach (B); no contact named on an opened page</v>
      </c>
      <c r="AW26" s="0" t="s">
        <v>162</v>
      </c>
      <c r="AX26" s="0" t="s">
        <v>181</v>
      </c>
      <c r="AY26" s="0" t="s">
        <v>182</v>
      </c>
      <c r="AZ26" s="0" t="s">
        <v>1</v>
      </c>
      <c r="BA26" s="0" t="s">
        <v>913</v>
      </c>
      <c r="BB26" s="0" t="s">
        <v>914</v>
      </c>
      <c r="BC26" s="0" t="s">
        <v>915</v>
      </c>
      <c r="BD26" s="0" t="s">
        <v>916</v>
      </c>
      <c r="BE26" s="0" t="s">
        <v>917</v>
      </c>
      <c r="BF26" s="0" t="s">
        <v>163</v>
      </c>
      <c r="BG26" s="0" t="s">
        <v>163</v>
      </c>
      <c r="BH26" s="0" t="s">
        <v>279</v>
      </c>
      <c r="BI26" s="0" t="s">
        <v>918</v>
      </c>
      <c r="BJ26" s="0" t="s">
        <v>919</v>
      </c>
      <c r="BK26" s="0" t="s">
        <v>191</v>
      </c>
      <c r="BL26" s="0" t="s">
        <v>192</v>
      </c>
      <c r="BM26" s="0" t="s">
        <v>168</v>
      </c>
      <c r="BN26" s="0" t="s">
        <v>163</v>
      </c>
      <c r="BO26" s="0" t="s">
        <v>163</v>
      </c>
      <c r="BP26" s="0" t="s">
        <v>346</v>
      </c>
      <c r="BQ26" s="0" t="n">
        <v>40.742014</v>
      </c>
      <c r="BR26" s="0" t="n">
        <v>-73.993705</v>
      </c>
      <c r="BS26" s="0" t="s">
        <v>168</v>
      </c>
      <c r="BT26" s="0" t="n">
        <v>0</v>
      </c>
      <c r="BU26" s="0" t="s">
        <v>405</v>
      </c>
      <c r="BV26" s="0" t="s">
        <v>406</v>
      </c>
      <c r="BW26" s="0" t="s">
        <v>911</v>
      </c>
      <c r="BX26" s="0" t="s">
        <v>912</v>
      </c>
      <c r="BY26" s="0" t="s">
        <v>247</v>
      </c>
      <c r="BZ26" s="0" t="s">
        <v>920</v>
      </c>
      <c r="CA26" s="0" t="s">
        <v>921</v>
      </c>
      <c r="CC26" s="0" t="s">
        <v>738</v>
      </c>
      <c r="CD26" s="0" t="s">
        <v>163</v>
      </c>
      <c r="CE26" s="0" t="s">
        <v>162</v>
      </c>
      <c r="CH26" s="0" t="s">
        <v>163</v>
      </c>
      <c r="CJ26" s="0" t="s">
        <v>163</v>
      </c>
      <c r="CK26" s="0" t="s">
        <v>162</v>
      </c>
      <c r="CL26" s="0" t="s">
        <v>922</v>
      </c>
      <c r="CM26" s="0" t="s">
        <v>918</v>
      </c>
      <c r="CN26" s="0" t="s">
        <v>166</v>
      </c>
      <c r="CO26" s="0" t="n">
        <v>87</v>
      </c>
      <c r="CQ26" s="0" t="s">
        <v>923</v>
      </c>
      <c r="CR26" s="0" t="s">
        <v>206</v>
      </c>
      <c r="CS26" s="0" t="n">
        <v>1</v>
      </c>
      <c r="CT26" s="0" t="n">
        <v>60</v>
      </c>
      <c r="CU26" s="0" t="n">
        <v>25</v>
      </c>
      <c r="CV26" s="0" t="n">
        <v>15</v>
      </c>
      <c r="CW26" s="0" t="n">
        <v>15</v>
      </c>
      <c r="CX26" s="0" t="n">
        <v>5</v>
      </c>
      <c r="CY26" s="0" t="n">
        <f aca="false">IF(AH26="exact",10,IF(AH26="adjacent",5,0))</f>
        <v>0</v>
      </c>
      <c r="CZ26" s="0" t="n">
        <f aca="false">IF(R26="Y",15,0)</f>
        <v>0</v>
      </c>
      <c r="DF26" s="0" t="s">
        <v>158</v>
      </c>
      <c r="DG26" s="0" t="s">
        <v>211</v>
      </c>
      <c r="DJ26" s="0" t="s">
        <v>924</v>
      </c>
      <c r="DK26" s="0" t="s">
        <v>925</v>
      </c>
      <c r="DS26" s="0" t="s">
        <v>158</v>
      </c>
      <c r="DX26" s="0" t="s">
        <v>168</v>
      </c>
      <c r="ER26" s="0" t="str">
        <f aca="false">IF(ISNUMBER(MATCH(U26,{"queued","contacted","replied","call_booked","call_done","yes_in_principle","materials_sent"},0)),"Y","N")</f>
        <v>N</v>
      </c>
      <c r="ES26" s="0" t="str">
        <f aca="false">IF(COUNTIFS($AP$2:$AP$1000,AP26,$ER$2:$ER$1000,"Y")+COUNTIFS($AP$2:$AP$1000,AP26,$T$2:$T$1000,"Y")&gt;0,"Y","N")</f>
        <v>N</v>
      </c>
      <c r="ET26" s="0" t="str">
        <f aca="false">IF(AND(U26="new",T26="N",AT26="Y",AS26="",ES26="N"),"Y","N")</f>
        <v>N</v>
      </c>
      <c r="EU26" s="0" t="str">
        <f aca="false">IF(ET26&lt;&gt;"Y","N",IF(COUNTIFS($AP$2:$AP$1000,AP26,$ET$2:$ET$1000,"Y",$J$2:$J$1000,"&gt;"&amp;J26)+COUNTIFS($AP$2:$AP$1000,AP26,$ET$2:$ET$1000,"Y",$J$2:$J$1000,J26,$EW$2:$EW$1000,"&lt;"&amp;EW26)=0,"Y","N"))</f>
        <v>N</v>
      </c>
      <c r="EV26" s="0" t="str">
        <f aca="false">IF(Y26="","N",IF(Y26&lt;=10,"Y","N"))</f>
        <v>N</v>
      </c>
      <c r="EW26" s="0" t="n">
        <f aca="false">ROW()-1</f>
        <v>25</v>
      </c>
    </row>
    <row r="27" customFormat="false" ht="15" hidden="false" customHeight="false" outlineLevel="0" collapsed="false">
      <c r="A27" s="0" t="s">
        <v>926</v>
      </c>
      <c r="B27" s="0" t="s">
        <v>927</v>
      </c>
      <c r="H27" s="5" t="s">
        <v>158</v>
      </c>
      <c r="I27" s="5" t="s">
        <v>594</v>
      </c>
      <c r="J27" s="0" t="n">
        <f aca="false">IF(AX27="pass",ROUND(CU27+CV27+CW27+CX27+CY27+CZ27,1),0)</f>
        <v>60</v>
      </c>
      <c r="K27" s="0" t="s">
        <v>928</v>
      </c>
      <c r="L27" s="0" t="s">
        <v>161</v>
      </c>
      <c r="R27" s="5" t="s">
        <v>162</v>
      </c>
      <c r="S27" s="0" t="s">
        <v>163</v>
      </c>
      <c r="T27" s="5" t="s">
        <v>162</v>
      </c>
      <c r="U27" s="5" t="s">
        <v>561</v>
      </c>
      <c r="V27" s="0" t="s">
        <v>929</v>
      </c>
      <c r="W27" s="0" t="s">
        <v>166</v>
      </c>
      <c r="X27" s="0" t="s">
        <v>167</v>
      </c>
      <c r="Y27" s="0" t="str">
        <f aca="false">IF(EU27&lt;&gt;"Y","",COUNTIFS($EU$2:$EU$1000,"Y",$J$2:$J$1000,"&gt;"&amp;J27)+COUNTIFS($EU$2:$EU$1000,"Y",$J$2:$J$1000,J27,$EW$2:$EW$1000,"&lt;"&amp;EW27)+1)</f>
        <v/>
      </c>
      <c r="Z27" s="0" t="n">
        <v>26</v>
      </c>
      <c r="AA27" s="0" t="s">
        <v>168</v>
      </c>
      <c r="AB27" s="0" t="s">
        <v>597</v>
      </c>
      <c r="AD27" s="0" t="s">
        <v>158</v>
      </c>
      <c r="AH27" s="5" t="s">
        <v>158</v>
      </c>
      <c r="AI27" s="0" t="s">
        <v>930</v>
      </c>
      <c r="AJ27" s="0" t="s">
        <v>163</v>
      </c>
      <c r="AK27" s="0" t="s">
        <v>434</v>
      </c>
      <c r="AL27" s="0" t="n">
        <v>70</v>
      </c>
      <c r="AM27" s="0" t="n">
        <v>180</v>
      </c>
      <c r="AN27" s="0" t="s">
        <v>179</v>
      </c>
      <c r="AO27" s="0" t="s">
        <v>180</v>
      </c>
      <c r="AP27" s="0" t="s">
        <v>926</v>
      </c>
      <c r="AQ27" s="5" t="s">
        <v>162</v>
      </c>
      <c r="AT27" s="0" t="str">
        <f aca="false">IF(AND(AX27="pass",AQ27&lt;&gt;"Y",C27&lt;&gt;"",OR(AW27&lt;&gt;"Y",AV27="Y")),"Y","N")</f>
        <v>N</v>
      </c>
      <c r="AU27" s="0" t="str">
        <f aca="false">_xlfn.TEXTJOIN("; ",TRUE(),IF(AX27&lt;&gt;"pass","gated out",""),IF(AQ27="Y","on hold: "&amp;AR27,""),IF(C27="","no contact named on an opened page",""),IF(AND(AW27="Y",AV27&lt;&gt;"Y"),"Tuesday estimate band "&amp;L27&amp;": founder's call",""))</f>
        <v>no contact named on an opened page</v>
      </c>
      <c r="AW27" s="0" t="s">
        <v>162</v>
      </c>
      <c r="AX27" s="0" t="s">
        <v>181</v>
      </c>
      <c r="AY27" s="0" t="s">
        <v>182</v>
      </c>
      <c r="AZ27" s="0" t="s">
        <v>1</v>
      </c>
      <c r="BA27" s="0" t="s">
        <v>931</v>
      </c>
      <c r="BB27" s="0" t="s">
        <v>932</v>
      </c>
      <c r="BC27" s="0" t="s">
        <v>933</v>
      </c>
      <c r="BD27" s="0" t="s">
        <v>934</v>
      </c>
      <c r="BE27" s="0" t="s">
        <v>935</v>
      </c>
      <c r="BF27" s="0" t="s">
        <v>163</v>
      </c>
      <c r="BG27" s="0" t="s">
        <v>163</v>
      </c>
      <c r="BH27" s="0" t="s">
        <v>279</v>
      </c>
      <c r="BI27" s="0" t="s">
        <v>929</v>
      </c>
      <c r="BJ27" s="0" t="s">
        <v>936</v>
      </c>
      <c r="BK27" s="0" t="s">
        <v>191</v>
      </c>
      <c r="BL27" s="0" t="s">
        <v>192</v>
      </c>
      <c r="BM27" s="0" t="s">
        <v>168</v>
      </c>
      <c r="BN27" s="0" t="s">
        <v>163</v>
      </c>
      <c r="BO27" s="0" t="s">
        <v>163</v>
      </c>
      <c r="BP27" s="0" t="s">
        <v>711</v>
      </c>
      <c r="BQ27" s="0" t="n">
        <v>40.743939</v>
      </c>
      <c r="BR27" s="0" t="n">
        <v>-73.988677</v>
      </c>
      <c r="BS27" s="0" t="s">
        <v>168</v>
      </c>
      <c r="BT27" s="0" t="n">
        <v>0</v>
      </c>
      <c r="BU27" s="0" t="s">
        <v>937</v>
      </c>
      <c r="BV27" s="0" t="s">
        <v>938</v>
      </c>
      <c r="BW27" s="0" t="s">
        <v>929</v>
      </c>
      <c r="BX27" s="0" t="s">
        <v>166</v>
      </c>
      <c r="BY27" s="0" t="s">
        <v>444</v>
      </c>
      <c r="BZ27" s="0" t="s">
        <v>939</v>
      </c>
      <c r="CA27" s="0" t="s">
        <v>940</v>
      </c>
      <c r="CC27" s="0" t="s">
        <v>179</v>
      </c>
      <c r="CE27" s="0" t="s">
        <v>162</v>
      </c>
      <c r="CH27" s="0" t="s">
        <v>201</v>
      </c>
      <c r="CI27" s="0" t="s">
        <v>941</v>
      </c>
      <c r="CJ27" s="0" t="s">
        <v>163</v>
      </c>
      <c r="CK27" s="0" t="s">
        <v>162</v>
      </c>
      <c r="CL27" s="0" t="s">
        <v>577</v>
      </c>
      <c r="CM27" s="0" t="s">
        <v>929</v>
      </c>
      <c r="CN27" s="0" t="s">
        <v>174</v>
      </c>
      <c r="CO27" s="0" t="n">
        <v>112</v>
      </c>
      <c r="CQ27" s="0" t="s">
        <v>942</v>
      </c>
      <c r="CR27" s="0" t="s">
        <v>206</v>
      </c>
      <c r="CS27" s="0" t="n">
        <v>1</v>
      </c>
      <c r="CT27" s="0" t="n">
        <v>60</v>
      </c>
      <c r="CU27" s="0" t="n">
        <v>25</v>
      </c>
      <c r="CV27" s="0" t="n">
        <v>15</v>
      </c>
      <c r="CW27" s="0" t="n">
        <v>15</v>
      </c>
      <c r="CX27" s="0" t="n">
        <v>5</v>
      </c>
      <c r="CY27" s="0" t="n">
        <f aca="false">IF(AH27="exact",10,IF(AH27="adjacent",5,0))</f>
        <v>0</v>
      </c>
      <c r="CZ27" s="0" t="n">
        <f aca="false">IF(R27="Y",15,0)</f>
        <v>0</v>
      </c>
      <c r="DF27" s="0" t="s">
        <v>158</v>
      </c>
      <c r="DG27" s="0" t="s">
        <v>211</v>
      </c>
      <c r="DJ27" s="0" t="s">
        <v>943</v>
      </c>
      <c r="DK27" s="0" t="s">
        <v>944</v>
      </c>
      <c r="DS27" s="0" t="s">
        <v>158</v>
      </c>
      <c r="DX27" s="0" t="s">
        <v>168</v>
      </c>
      <c r="ER27" s="0" t="str">
        <f aca="false">IF(ISNUMBER(MATCH(U27,{"queued","contacted","replied","call_booked","call_done","yes_in_principle","materials_sent"},0)),"Y","N")</f>
        <v>N</v>
      </c>
      <c r="ES27" s="0" t="str">
        <f aca="false">IF(COUNTIFS($AP$2:$AP$1000,AP27,$ER$2:$ER$1000,"Y")+COUNTIFS($AP$2:$AP$1000,AP27,$T$2:$T$1000,"Y")&gt;0,"Y","N")</f>
        <v>N</v>
      </c>
      <c r="ET27" s="0" t="str">
        <f aca="false">IF(AND(U27="new",T27="N",AT27="Y",AS27="",ES27="N"),"Y","N")</f>
        <v>N</v>
      </c>
      <c r="EU27" s="0" t="str">
        <f aca="false">IF(ET27&lt;&gt;"Y","N",IF(COUNTIFS($AP$2:$AP$1000,AP27,$ET$2:$ET$1000,"Y",$J$2:$J$1000,"&gt;"&amp;J27)+COUNTIFS($AP$2:$AP$1000,AP27,$ET$2:$ET$1000,"Y",$J$2:$J$1000,J27,$EW$2:$EW$1000,"&lt;"&amp;EW27)=0,"Y","N"))</f>
        <v>N</v>
      </c>
      <c r="EV27" s="0" t="str">
        <f aca="false">IF(Y27="","N",IF(Y27&lt;=10,"Y","N"))</f>
        <v>N</v>
      </c>
      <c r="EW27" s="0" t="n">
        <f aca="false">ROW()-1</f>
        <v>26</v>
      </c>
    </row>
    <row r="28" customFormat="false" ht="15" hidden="false" customHeight="false" outlineLevel="0" collapsed="false">
      <c r="A28" s="0" t="s">
        <v>945</v>
      </c>
      <c r="B28" s="0" t="s">
        <v>946</v>
      </c>
      <c r="C28" s="0" t="s">
        <v>947</v>
      </c>
      <c r="D28" s="0" t="s">
        <v>948</v>
      </c>
      <c r="E28" s="0" t="s">
        <v>949</v>
      </c>
      <c r="H28" s="5" t="s">
        <v>158</v>
      </c>
      <c r="I28" s="5" t="s">
        <v>159</v>
      </c>
      <c r="J28" s="0" t="n">
        <f aca="false">IF(AX28="pass",ROUND(CU28+CV28+CW28+CX28+CY28+CZ28,1),0)</f>
        <v>58.8</v>
      </c>
      <c r="K28" s="0" t="s">
        <v>950</v>
      </c>
      <c r="L28" s="0" t="s">
        <v>394</v>
      </c>
      <c r="O28" s="0" t="s">
        <v>951</v>
      </c>
      <c r="P28" s="0" t="s">
        <v>952</v>
      </c>
      <c r="Q28" s="0" t="s">
        <v>953</v>
      </c>
      <c r="R28" s="5" t="s">
        <v>162</v>
      </c>
      <c r="S28" s="0" t="s">
        <v>163</v>
      </c>
      <c r="T28" s="5" t="s">
        <v>162</v>
      </c>
      <c r="U28" s="5" t="s">
        <v>164</v>
      </c>
      <c r="V28" s="0" t="s">
        <v>952</v>
      </c>
      <c r="W28" s="0" t="s">
        <v>166</v>
      </c>
      <c r="X28" s="0" t="s">
        <v>167</v>
      </c>
      <c r="Y28" s="0" t="str">
        <f aca="false">IF(EU28&lt;&gt;"Y","",COUNTIFS($EU$2:$EU$1000,"Y",$J$2:$J$1000,"&gt;"&amp;J28)+COUNTIFS($EU$2:$EU$1000,"Y",$J$2:$J$1000,J28,$EW$2:$EW$1000,"&lt;"&amp;EW28)+1)</f>
        <v/>
      </c>
      <c r="Z28" s="0" t="n">
        <v>27</v>
      </c>
      <c r="AA28" s="0" t="s">
        <v>168</v>
      </c>
      <c r="AB28" s="0" t="s">
        <v>954</v>
      </c>
      <c r="AC28" s="0" t="s">
        <v>170</v>
      </c>
      <c r="AD28" s="0" t="s">
        <v>171</v>
      </c>
      <c r="AE28" s="0" t="s">
        <v>172</v>
      </c>
      <c r="AF28" s="0" t="s">
        <v>955</v>
      </c>
      <c r="AG28" s="0" t="s">
        <v>174</v>
      </c>
      <c r="AH28" s="5" t="s">
        <v>175</v>
      </c>
      <c r="AI28" s="0" t="s">
        <v>956</v>
      </c>
      <c r="AJ28" s="0" t="s">
        <v>957</v>
      </c>
      <c r="AK28" s="0" t="s">
        <v>178</v>
      </c>
      <c r="AL28" s="0" t="n">
        <v>13</v>
      </c>
      <c r="AM28" s="0" t="n">
        <v>204</v>
      </c>
      <c r="AN28" s="0" t="s">
        <v>179</v>
      </c>
      <c r="AO28" s="0" t="s">
        <v>163</v>
      </c>
      <c r="AP28" s="0" t="s">
        <v>945</v>
      </c>
      <c r="AQ28" s="5" t="s">
        <v>162</v>
      </c>
      <c r="AT28" s="0" t="str">
        <f aca="false">IF(AND(AX28="pass",AQ28&lt;&gt;"Y",C28&lt;&gt;"",OR(AW28&lt;&gt;"Y",AV28="Y")),"Y","N")</f>
        <v>Y</v>
      </c>
      <c r="AU28" s="0" t="str">
        <f aca="false">_xlfn.TEXTJOIN("; ",TRUE(),IF(AX28&lt;&gt;"pass","gated out",""),IF(AQ28="Y","on hold: "&amp;AR28,""),IF(C28="","no contact named on an opened page",""),IF(AND(AW28="Y",AV28&lt;&gt;"Y"),"Tuesday estimate band "&amp;L28&amp;": founder's call",""))</f>
        <v/>
      </c>
      <c r="AW28" s="0" t="s">
        <v>162</v>
      </c>
      <c r="AX28" s="0" t="s">
        <v>181</v>
      </c>
      <c r="AY28" s="0" t="s">
        <v>182</v>
      </c>
      <c r="AZ28" s="0" t="s">
        <v>1</v>
      </c>
      <c r="BA28" s="0" t="s">
        <v>958</v>
      </c>
      <c r="BB28" s="0" t="s">
        <v>959</v>
      </c>
      <c r="BC28" s="0" t="s">
        <v>960</v>
      </c>
      <c r="BD28" s="0" t="s">
        <v>961</v>
      </c>
      <c r="BE28" s="0" t="s">
        <v>962</v>
      </c>
      <c r="BF28" s="0" t="s">
        <v>163</v>
      </c>
      <c r="BG28" s="0" t="s">
        <v>163</v>
      </c>
      <c r="BH28" s="0" t="s">
        <v>279</v>
      </c>
      <c r="BI28" s="0" t="s">
        <v>963</v>
      </c>
      <c r="BJ28" s="0" t="s">
        <v>964</v>
      </c>
      <c r="BK28" s="0" t="s">
        <v>191</v>
      </c>
      <c r="BL28" s="0" t="s">
        <v>192</v>
      </c>
      <c r="BM28" s="0" t="s">
        <v>168</v>
      </c>
      <c r="BN28" s="0" t="s">
        <v>163</v>
      </c>
      <c r="BO28" s="0" t="s">
        <v>163</v>
      </c>
      <c r="BP28" s="0" t="s">
        <v>243</v>
      </c>
      <c r="BQ28" s="0" t="n">
        <v>40.74291</v>
      </c>
      <c r="BR28" s="0" t="n">
        <v>-73.984627</v>
      </c>
      <c r="BS28" s="0" t="s">
        <v>168</v>
      </c>
      <c r="BT28" s="0" t="n">
        <v>0</v>
      </c>
      <c r="BU28" s="0" t="s">
        <v>965</v>
      </c>
      <c r="BV28" s="0" t="s">
        <v>966</v>
      </c>
      <c r="BW28" s="0" t="s">
        <v>952</v>
      </c>
      <c r="BX28" s="0" t="s">
        <v>953</v>
      </c>
      <c r="BY28" s="0" t="s">
        <v>247</v>
      </c>
      <c r="BZ28" s="0" t="s">
        <v>963</v>
      </c>
      <c r="CA28" s="0" t="s">
        <v>967</v>
      </c>
      <c r="CC28" s="0" t="s">
        <v>738</v>
      </c>
      <c r="CE28" s="0" t="s">
        <v>162</v>
      </c>
      <c r="CH28" s="0" t="s">
        <v>163</v>
      </c>
      <c r="CJ28" s="0" t="s">
        <v>163</v>
      </c>
      <c r="CK28" s="0" t="s">
        <v>162</v>
      </c>
      <c r="CL28" s="0" t="s">
        <v>163</v>
      </c>
      <c r="CO28" s="0" t="n">
        <v>51</v>
      </c>
      <c r="CP28" s="0" t="s">
        <v>968</v>
      </c>
      <c r="CQ28" s="0" t="s">
        <v>969</v>
      </c>
      <c r="CR28" s="0" t="s">
        <v>206</v>
      </c>
      <c r="CS28" s="0" t="n">
        <v>0.59</v>
      </c>
      <c r="CT28" s="0" t="n">
        <v>58.8</v>
      </c>
      <c r="CU28" s="0" t="n">
        <v>14.8</v>
      </c>
      <c r="CV28" s="0" t="n">
        <v>15</v>
      </c>
      <c r="CW28" s="0" t="n">
        <v>6</v>
      </c>
      <c r="CX28" s="0" t="n">
        <v>13</v>
      </c>
      <c r="CY28" s="0" t="n">
        <f aca="false">IF(AH28="exact",10,IF(AH28="adjacent",5,0))</f>
        <v>10</v>
      </c>
      <c r="CZ28" s="0" t="n">
        <f aca="false">IF(R28="Y",15,0)</f>
        <v>0</v>
      </c>
      <c r="DA28" s="0" t="s">
        <v>970</v>
      </c>
      <c r="DB28" s="0" t="s">
        <v>971</v>
      </c>
      <c r="DC28" s="0" t="s">
        <v>972</v>
      </c>
      <c r="DF28" s="0" t="s">
        <v>158</v>
      </c>
      <c r="DG28" s="0" t="s">
        <v>211</v>
      </c>
      <c r="DJ28" s="0" t="s">
        <v>973</v>
      </c>
      <c r="DK28" s="0" t="s">
        <v>974</v>
      </c>
      <c r="DM28" s="0" t="s">
        <v>975</v>
      </c>
      <c r="DO28" s="0" t="s">
        <v>976</v>
      </c>
      <c r="DQ28" s="0" t="s">
        <v>216</v>
      </c>
      <c r="DR28" s="0" t="s">
        <v>977</v>
      </c>
      <c r="DS28" s="0" t="s">
        <v>171</v>
      </c>
      <c r="DT28" s="0" t="s">
        <v>172</v>
      </c>
      <c r="DU28" s="0" t="s">
        <v>955</v>
      </c>
      <c r="DW28" s="0" t="s">
        <v>978</v>
      </c>
      <c r="DX28" s="0" t="s">
        <v>168</v>
      </c>
      <c r="DY28" s="0" t="s">
        <v>263</v>
      </c>
      <c r="ER28" s="0" t="str">
        <f aca="false">IF(ISNUMBER(MATCH(U28,{"queued","contacted","replied","call_booked","call_done","yes_in_principle","materials_sent"},0)),"Y","N")</f>
        <v>Y</v>
      </c>
      <c r="ES28" s="0" t="str">
        <f aca="false">IF(COUNTIFS($AP$2:$AP$1000,AP28,$ER$2:$ER$1000,"Y")+COUNTIFS($AP$2:$AP$1000,AP28,$T$2:$T$1000,"Y")&gt;0,"Y","N")</f>
        <v>Y</v>
      </c>
      <c r="ET28" s="0" t="str">
        <f aca="false">IF(AND(U28="new",T28="N",AT28="Y",AS28="",ES28="N"),"Y","N")</f>
        <v>N</v>
      </c>
      <c r="EU28" s="0" t="str">
        <f aca="false">IF(ET28&lt;&gt;"Y","N",IF(COUNTIFS($AP$2:$AP$1000,AP28,$ET$2:$ET$1000,"Y",$J$2:$J$1000,"&gt;"&amp;J28)+COUNTIFS($AP$2:$AP$1000,AP28,$ET$2:$ET$1000,"Y",$J$2:$J$1000,J28,$EW$2:$EW$1000,"&lt;"&amp;EW28)=0,"Y","N"))</f>
        <v>N</v>
      </c>
      <c r="EV28" s="0" t="str">
        <f aca="false">IF(Y28="","N",IF(Y28&lt;=10,"Y","N"))</f>
        <v>N</v>
      </c>
      <c r="EW28" s="0" t="n">
        <f aca="false">ROW()-1</f>
        <v>27</v>
      </c>
    </row>
    <row r="29" customFormat="false" ht="15" hidden="false" customHeight="false" outlineLevel="0" collapsed="false">
      <c r="A29" s="0" t="s">
        <v>979</v>
      </c>
      <c r="B29" s="0" t="s">
        <v>980</v>
      </c>
      <c r="C29" s="0" t="s">
        <v>981</v>
      </c>
      <c r="D29" s="0" t="s">
        <v>982</v>
      </c>
      <c r="E29" s="0" t="s">
        <v>807</v>
      </c>
      <c r="H29" s="5" t="s">
        <v>158</v>
      </c>
      <c r="I29" s="5" t="s">
        <v>159</v>
      </c>
      <c r="J29" s="0" t="n">
        <f aca="false">IF(AX29="pass",ROUND(CU29+CV29+CW29+CX29+CY29+CZ29,1),0)</f>
        <v>58.5</v>
      </c>
      <c r="K29" s="0" t="s">
        <v>983</v>
      </c>
      <c r="L29" s="0" t="s">
        <v>560</v>
      </c>
      <c r="R29" s="5" t="s">
        <v>162</v>
      </c>
      <c r="S29" s="0" t="s">
        <v>163</v>
      </c>
      <c r="T29" s="5" t="s">
        <v>162</v>
      </c>
      <c r="U29" s="5" t="s">
        <v>561</v>
      </c>
      <c r="V29" s="0" t="s">
        <v>750</v>
      </c>
      <c r="W29" s="0" t="s">
        <v>166</v>
      </c>
      <c r="X29" s="0" t="s">
        <v>167</v>
      </c>
      <c r="Y29" s="0" t="str">
        <f aca="false">IF(EU29&lt;&gt;"Y","",COUNTIFS($EU$2:$EU$1000,"Y",$J$2:$J$1000,"&gt;"&amp;J29)+COUNTIFS($EU$2:$EU$1000,"Y",$J$2:$J$1000,J29,$EW$2:$EW$1000,"&lt;"&amp;EW29)+1)</f>
        <v/>
      </c>
      <c r="Z29" s="0" t="n">
        <v>28</v>
      </c>
      <c r="AA29" s="0" t="s">
        <v>168</v>
      </c>
      <c r="AB29" s="0" t="s">
        <v>984</v>
      </c>
      <c r="AC29" s="0" t="s">
        <v>170</v>
      </c>
      <c r="AD29" s="0" t="s">
        <v>171</v>
      </c>
      <c r="AE29" s="0" t="s">
        <v>230</v>
      </c>
      <c r="AF29" s="0" t="s">
        <v>985</v>
      </c>
      <c r="AG29" s="0" t="s">
        <v>174</v>
      </c>
      <c r="AH29" s="5" t="s">
        <v>309</v>
      </c>
      <c r="AI29" s="0" t="s">
        <v>753</v>
      </c>
      <c r="AJ29" s="0" t="s">
        <v>986</v>
      </c>
      <c r="AK29" s="0" t="s">
        <v>178</v>
      </c>
      <c r="AL29" s="0" t="n">
        <v>25</v>
      </c>
      <c r="AM29" s="0" t="n">
        <v>51</v>
      </c>
      <c r="AN29" s="0" t="s">
        <v>179</v>
      </c>
      <c r="AO29" s="0" t="s">
        <v>180</v>
      </c>
      <c r="AP29" s="0" t="s">
        <v>979</v>
      </c>
      <c r="AQ29" s="5" t="s">
        <v>162</v>
      </c>
      <c r="AT29" s="0" t="str">
        <f aca="false">IF(AND(AX29="pass",AQ29&lt;&gt;"Y",C29&lt;&gt;"",OR(AW29&lt;&gt;"Y",AV29="Y")),"Y","N")</f>
        <v>N</v>
      </c>
      <c r="AU29" s="0" t="str">
        <f aca="false">_xlfn.TEXTJOIN("; ",TRUE(),IF(AX29&lt;&gt;"pass","gated out",""),IF(AQ29="Y","on hold: "&amp;AR29,""),IF(C29="","no contact named on an opened page",""),IF(AND(AW29="Y",AV29&lt;&gt;"Y"),"Tuesday estimate band "&amp;L29&amp;": founder's call",""))</f>
        <v>Tuesday estimate band under-40: founder's call</v>
      </c>
      <c r="AW29" s="0" t="s">
        <v>168</v>
      </c>
      <c r="AX29" s="0" t="s">
        <v>181</v>
      </c>
      <c r="AY29" s="0" t="s">
        <v>182</v>
      </c>
      <c r="AZ29" s="0" t="s">
        <v>1</v>
      </c>
      <c r="BA29" s="0" t="s">
        <v>987</v>
      </c>
      <c r="BB29" s="0" t="s">
        <v>988</v>
      </c>
      <c r="BC29" s="0" t="s">
        <v>989</v>
      </c>
      <c r="BD29" s="0" t="s">
        <v>990</v>
      </c>
      <c r="BF29" s="0" t="s">
        <v>161</v>
      </c>
      <c r="BG29" s="0" t="s">
        <v>188</v>
      </c>
      <c r="BH29" s="0" t="s">
        <v>189</v>
      </c>
      <c r="BI29" s="0" t="s">
        <v>991</v>
      </c>
      <c r="BK29" s="0" t="s">
        <v>191</v>
      </c>
      <c r="BL29" s="0" t="s">
        <v>192</v>
      </c>
      <c r="BM29" s="0" t="s">
        <v>168</v>
      </c>
      <c r="BN29" s="0" t="s">
        <v>163</v>
      </c>
      <c r="BO29" s="0" t="s">
        <v>163</v>
      </c>
      <c r="BP29" s="0" t="s">
        <v>346</v>
      </c>
      <c r="BQ29" s="0" t="n">
        <v>40.743309</v>
      </c>
      <c r="BR29" s="0" t="n">
        <v>-73.987329</v>
      </c>
      <c r="BS29" s="0" t="s">
        <v>168</v>
      </c>
      <c r="BT29" s="0" t="n">
        <v>0</v>
      </c>
      <c r="BU29" s="0" t="s">
        <v>763</v>
      </c>
      <c r="BV29" s="0" t="s">
        <v>764</v>
      </c>
      <c r="BW29" s="0" t="s">
        <v>750</v>
      </c>
      <c r="BX29" s="0" t="s">
        <v>765</v>
      </c>
      <c r="BY29" s="0" t="s">
        <v>247</v>
      </c>
      <c r="BZ29" s="0" t="s">
        <v>991</v>
      </c>
      <c r="CA29" s="0" t="s">
        <v>166</v>
      </c>
      <c r="CC29" s="0" t="s">
        <v>200</v>
      </c>
      <c r="CE29" s="0" t="s">
        <v>162</v>
      </c>
      <c r="CH29" s="0" t="s">
        <v>163</v>
      </c>
      <c r="CJ29" s="0" t="s">
        <v>163</v>
      </c>
      <c r="CK29" s="0" t="s">
        <v>162</v>
      </c>
      <c r="CL29" s="0" t="s">
        <v>992</v>
      </c>
      <c r="CM29" s="0" t="s">
        <v>991</v>
      </c>
      <c r="CN29" s="0" t="s">
        <v>166</v>
      </c>
      <c r="CO29" s="0" t="n">
        <v>36</v>
      </c>
      <c r="CP29" s="0" t="s">
        <v>578</v>
      </c>
      <c r="CQ29" s="0" t="s">
        <v>993</v>
      </c>
      <c r="CR29" s="0" t="s">
        <v>206</v>
      </c>
      <c r="CS29" s="0" t="n">
        <v>0.34</v>
      </c>
      <c r="CT29" s="0" t="n">
        <v>58.5</v>
      </c>
      <c r="CU29" s="0" t="n">
        <v>8.5</v>
      </c>
      <c r="CV29" s="0" t="n">
        <v>15</v>
      </c>
      <c r="CW29" s="0" t="n">
        <v>15</v>
      </c>
      <c r="CX29" s="0" t="n">
        <v>15</v>
      </c>
      <c r="CY29" s="0" t="n">
        <f aca="false">IF(AH29="exact",10,IF(AH29="adjacent",5,0))</f>
        <v>5</v>
      </c>
      <c r="CZ29" s="0" t="n">
        <f aca="false">IF(R29="Y",15,0)</f>
        <v>0</v>
      </c>
      <c r="DA29" s="0" t="s">
        <v>994</v>
      </c>
      <c r="DB29" s="0" t="s">
        <v>995</v>
      </c>
      <c r="DC29" s="0" t="s">
        <v>996</v>
      </c>
      <c r="DF29" s="0" t="s">
        <v>158</v>
      </c>
      <c r="DG29" s="0" t="s">
        <v>211</v>
      </c>
      <c r="DJ29" s="0" t="s">
        <v>997</v>
      </c>
      <c r="DK29" s="0" t="s">
        <v>998</v>
      </c>
      <c r="DM29" s="0" t="s">
        <v>999</v>
      </c>
      <c r="DO29" s="0" t="s">
        <v>1000</v>
      </c>
      <c r="DQ29" s="0" t="s">
        <v>216</v>
      </c>
      <c r="DR29" s="0" t="s">
        <v>1001</v>
      </c>
      <c r="DS29" s="0" t="s">
        <v>171</v>
      </c>
      <c r="DT29" s="0" t="s">
        <v>230</v>
      </c>
      <c r="DU29" s="0" t="s">
        <v>1002</v>
      </c>
      <c r="DW29" s="0" t="s">
        <v>1003</v>
      </c>
      <c r="DX29" s="0" t="s">
        <v>168</v>
      </c>
      <c r="DY29" s="0" t="s">
        <v>221</v>
      </c>
      <c r="ER29" s="0" t="str">
        <f aca="false">IF(ISNUMBER(MATCH(U29,{"queued","contacted","replied","call_booked","call_done","yes_in_principle","materials_sent"},0)),"Y","N")</f>
        <v>N</v>
      </c>
      <c r="ES29" s="0" t="str">
        <f aca="false">IF(COUNTIFS($AP$2:$AP$1000,AP29,$ER$2:$ER$1000,"Y")+COUNTIFS($AP$2:$AP$1000,AP29,$T$2:$T$1000,"Y")&gt;0,"Y","N")</f>
        <v>N</v>
      </c>
      <c r="ET29" s="0" t="str">
        <f aca="false">IF(AND(U29="new",T29="N",AT29="Y",AS29="",ES29="N"),"Y","N")</f>
        <v>N</v>
      </c>
      <c r="EU29" s="0" t="str">
        <f aca="false">IF(ET29&lt;&gt;"Y","N",IF(COUNTIFS($AP$2:$AP$1000,AP29,$ET$2:$ET$1000,"Y",$J$2:$J$1000,"&gt;"&amp;J29)+COUNTIFS($AP$2:$AP$1000,AP29,$ET$2:$ET$1000,"Y",$J$2:$J$1000,J29,$EW$2:$EW$1000,"&lt;"&amp;EW29)=0,"Y","N"))</f>
        <v>N</v>
      </c>
      <c r="EV29" s="0" t="str">
        <f aca="false">IF(Y29="","N",IF(Y29&lt;=10,"Y","N"))</f>
        <v>N</v>
      </c>
      <c r="EW29" s="0" t="n">
        <f aca="false">ROW()-1</f>
        <v>28</v>
      </c>
    </row>
    <row r="30" customFormat="false" ht="15" hidden="false" customHeight="false" outlineLevel="0" collapsed="false">
      <c r="A30" s="0" t="s">
        <v>1004</v>
      </c>
      <c r="B30" s="0" t="s">
        <v>1005</v>
      </c>
      <c r="H30" s="5" t="s">
        <v>158</v>
      </c>
      <c r="I30" s="5" t="s">
        <v>594</v>
      </c>
      <c r="J30" s="0" t="n">
        <f aca="false">IF(AX30="pass",ROUND(CU30+CV30+CW30+CX30+CY30+CZ30,1),0)</f>
        <v>58</v>
      </c>
      <c r="K30" s="0" t="s">
        <v>1006</v>
      </c>
      <c r="L30" s="0" t="s">
        <v>394</v>
      </c>
      <c r="R30" s="5" t="s">
        <v>162</v>
      </c>
      <c r="S30" s="0" t="s">
        <v>163</v>
      </c>
      <c r="T30" s="5" t="s">
        <v>162</v>
      </c>
      <c r="U30" s="5" t="s">
        <v>561</v>
      </c>
      <c r="V30" s="0" t="s">
        <v>1007</v>
      </c>
      <c r="W30" s="0" t="s">
        <v>166</v>
      </c>
      <c r="X30" s="0" t="s">
        <v>167</v>
      </c>
      <c r="Y30" s="0" t="str">
        <f aca="false">IF(EU30&lt;&gt;"Y","",COUNTIFS($EU$2:$EU$1000,"Y",$J$2:$J$1000,"&gt;"&amp;J30)+COUNTIFS($EU$2:$EU$1000,"Y",$J$2:$J$1000,J30,$EW$2:$EW$1000,"&lt;"&amp;EW30)+1)</f>
        <v/>
      </c>
      <c r="Z30" s="0" t="n">
        <v>29</v>
      </c>
      <c r="AA30" s="0" t="s">
        <v>168</v>
      </c>
      <c r="AB30" s="0" t="s">
        <v>597</v>
      </c>
      <c r="AD30" s="0" t="s">
        <v>158</v>
      </c>
      <c r="AH30" s="5" t="s">
        <v>158</v>
      </c>
      <c r="AI30" s="0" t="s">
        <v>1008</v>
      </c>
      <c r="AJ30" s="0" t="s">
        <v>233</v>
      </c>
      <c r="AK30" s="0" t="s">
        <v>178</v>
      </c>
      <c r="AL30" s="0" t="n">
        <v>32</v>
      </c>
      <c r="AM30" s="0" t="n">
        <v>64</v>
      </c>
      <c r="AN30" s="0" t="s">
        <v>179</v>
      </c>
      <c r="AO30" s="0" t="s">
        <v>180</v>
      </c>
      <c r="AP30" s="0" t="s">
        <v>1004</v>
      </c>
      <c r="AQ30" s="5" t="s">
        <v>162</v>
      </c>
      <c r="AT30" s="0" t="str">
        <f aca="false">IF(AND(AX30="pass",AQ30&lt;&gt;"Y",C30&lt;&gt;"",OR(AW30&lt;&gt;"Y",AV30="Y")),"Y","N")</f>
        <v>N</v>
      </c>
      <c r="AU30" s="0" t="str">
        <f aca="false">_xlfn.TEXTJOIN("; ",TRUE(),IF(AX30&lt;&gt;"pass","gated out",""),IF(AQ30="Y","on hold: "&amp;AR30,""),IF(C30="","no contact named on an opened page",""),IF(AND(AW30="Y",AV30&lt;&gt;"Y"),"Tuesday estimate band "&amp;L30&amp;": founder's call",""))</f>
        <v>no contact named on an opened page</v>
      </c>
      <c r="AW30" s="0" t="s">
        <v>162</v>
      </c>
      <c r="AX30" s="0" t="s">
        <v>181</v>
      </c>
      <c r="AY30" s="0" t="s">
        <v>182</v>
      </c>
      <c r="AZ30" s="0" t="s">
        <v>1</v>
      </c>
      <c r="BA30" s="0" t="s">
        <v>1009</v>
      </c>
      <c r="BB30" s="0" t="s">
        <v>1010</v>
      </c>
      <c r="BC30" s="0" t="s">
        <v>1011</v>
      </c>
      <c r="BD30" s="0" t="s">
        <v>1012</v>
      </c>
      <c r="BF30" s="0" t="s">
        <v>161</v>
      </c>
      <c r="BG30" s="0" t="s">
        <v>188</v>
      </c>
      <c r="BH30" s="0" t="s">
        <v>189</v>
      </c>
      <c r="BI30" s="0" t="s">
        <v>1013</v>
      </c>
      <c r="BK30" s="0" t="s">
        <v>191</v>
      </c>
      <c r="BL30" s="0" t="s">
        <v>192</v>
      </c>
      <c r="BM30" s="0" t="s">
        <v>168</v>
      </c>
      <c r="BN30" s="0" t="s">
        <v>1014</v>
      </c>
      <c r="BO30" s="0" t="s">
        <v>163</v>
      </c>
      <c r="BP30" s="0" t="s">
        <v>243</v>
      </c>
      <c r="BQ30" s="0" t="n">
        <v>40.742242</v>
      </c>
      <c r="BR30" s="0" t="n">
        <v>-73.984606</v>
      </c>
      <c r="BS30" s="0" t="s">
        <v>168</v>
      </c>
      <c r="BT30" s="0" t="n">
        <v>0</v>
      </c>
      <c r="BU30" s="0" t="s">
        <v>1015</v>
      </c>
      <c r="BV30" s="0" t="s">
        <v>1016</v>
      </c>
      <c r="BW30" s="0" t="s">
        <v>1007</v>
      </c>
      <c r="BX30" s="0" t="s">
        <v>771</v>
      </c>
      <c r="BY30" s="0" t="s">
        <v>247</v>
      </c>
      <c r="BZ30" s="0" t="s">
        <v>1013</v>
      </c>
      <c r="CA30" s="0" t="s">
        <v>166</v>
      </c>
      <c r="CC30" s="0" t="s">
        <v>200</v>
      </c>
      <c r="CE30" s="0" t="s">
        <v>162</v>
      </c>
      <c r="CH30" s="0" t="s">
        <v>163</v>
      </c>
      <c r="CJ30" s="0" t="s">
        <v>163</v>
      </c>
      <c r="CK30" s="0" t="s">
        <v>162</v>
      </c>
      <c r="CL30" s="0" t="s">
        <v>577</v>
      </c>
      <c r="CM30" s="0" t="s">
        <v>1013</v>
      </c>
      <c r="CN30" s="0" t="s">
        <v>174</v>
      </c>
      <c r="CO30" s="0" t="n">
        <v>45</v>
      </c>
      <c r="CQ30" s="0" t="s">
        <v>1017</v>
      </c>
      <c r="CR30" s="0" t="s">
        <v>206</v>
      </c>
      <c r="CS30" s="0" t="n">
        <v>0.68</v>
      </c>
      <c r="CT30" s="0" t="n">
        <v>58</v>
      </c>
      <c r="CU30" s="0" t="n">
        <v>17</v>
      </c>
      <c r="CV30" s="0" t="n">
        <v>11</v>
      </c>
      <c r="CW30" s="0" t="n">
        <v>15</v>
      </c>
      <c r="CX30" s="0" t="n">
        <v>15</v>
      </c>
      <c r="CY30" s="0" t="n">
        <f aca="false">IF(AH30="exact",10,IF(AH30="adjacent",5,0))</f>
        <v>0</v>
      </c>
      <c r="CZ30" s="0" t="n">
        <f aca="false">IF(R30="Y",15,0)</f>
        <v>0</v>
      </c>
      <c r="DF30" s="0" t="s">
        <v>158</v>
      </c>
      <c r="DG30" s="0" t="s">
        <v>211</v>
      </c>
      <c r="DJ30" s="0" t="s">
        <v>1018</v>
      </c>
      <c r="DK30" s="0" t="s">
        <v>1019</v>
      </c>
      <c r="DL30" s="0" t="s">
        <v>1020</v>
      </c>
      <c r="DS30" s="0" t="s">
        <v>158</v>
      </c>
      <c r="DX30" s="0" t="s">
        <v>168</v>
      </c>
      <c r="ER30" s="0" t="str">
        <f aca="false">IF(ISNUMBER(MATCH(U30,{"queued","contacted","replied","call_booked","call_done","yes_in_principle","materials_sent"},0)),"Y","N")</f>
        <v>N</v>
      </c>
      <c r="ES30" s="0" t="str">
        <f aca="false">IF(COUNTIFS($AP$2:$AP$1000,AP30,$ER$2:$ER$1000,"Y")+COUNTIFS($AP$2:$AP$1000,AP30,$T$2:$T$1000,"Y")&gt;0,"Y","N")</f>
        <v>N</v>
      </c>
      <c r="ET30" s="0" t="str">
        <f aca="false">IF(AND(U30="new",T30="N",AT30="Y",AS30="",ES30="N"),"Y","N")</f>
        <v>N</v>
      </c>
      <c r="EU30" s="0" t="str">
        <f aca="false">IF(ET30&lt;&gt;"Y","N",IF(COUNTIFS($AP$2:$AP$1000,AP30,$ET$2:$ET$1000,"Y",$J$2:$J$1000,"&gt;"&amp;J30)+COUNTIFS($AP$2:$AP$1000,AP30,$ET$2:$ET$1000,"Y",$J$2:$J$1000,J30,$EW$2:$EW$1000,"&lt;"&amp;EW30)=0,"Y","N"))</f>
        <v>N</v>
      </c>
      <c r="EV30" s="0" t="str">
        <f aca="false">IF(Y30="","N",IF(Y30&lt;=10,"Y","N"))</f>
        <v>N</v>
      </c>
      <c r="EW30" s="0" t="n">
        <f aca="false">ROW()-1</f>
        <v>29</v>
      </c>
    </row>
    <row r="31" customFormat="false" ht="15" hidden="false" customHeight="false" outlineLevel="0" collapsed="false">
      <c r="A31" s="0" t="s">
        <v>1021</v>
      </c>
      <c r="B31" s="0" t="s">
        <v>1022</v>
      </c>
      <c r="C31" s="0" t="s">
        <v>1023</v>
      </c>
      <c r="D31" s="0" t="s">
        <v>1024</v>
      </c>
      <c r="E31" s="0" t="s">
        <v>1025</v>
      </c>
      <c r="H31" s="5" t="s">
        <v>158</v>
      </c>
      <c r="I31" s="5" t="s">
        <v>159</v>
      </c>
      <c r="J31" s="0" t="n">
        <f aca="false">IF(AX31="pass",ROUND(CU31+CV31+CW31+CX31+CY31+CZ31,1),0)</f>
        <v>57.8</v>
      </c>
      <c r="K31" s="0" t="s">
        <v>1026</v>
      </c>
      <c r="L31" s="0" t="s">
        <v>394</v>
      </c>
      <c r="R31" s="5" t="s">
        <v>162</v>
      </c>
      <c r="S31" s="0" t="s">
        <v>163</v>
      </c>
      <c r="T31" s="5" t="s">
        <v>162</v>
      </c>
      <c r="U31" s="5" t="s">
        <v>164</v>
      </c>
      <c r="V31" s="0" t="s">
        <v>1027</v>
      </c>
      <c r="W31" s="0" t="s">
        <v>166</v>
      </c>
      <c r="X31" s="0" t="s">
        <v>167</v>
      </c>
      <c r="Y31" s="0" t="str">
        <f aca="false">IF(EU31&lt;&gt;"Y","",COUNTIFS($EU$2:$EU$1000,"Y",$J$2:$J$1000,"&gt;"&amp;J31)+COUNTIFS($EU$2:$EU$1000,"Y",$J$2:$J$1000,J31,$EW$2:$EW$1000,"&lt;"&amp;EW31)+1)</f>
        <v/>
      </c>
      <c r="Z31" s="0" t="n">
        <v>30</v>
      </c>
      <c r="AA31" s="0" t="s">
        <v>168</v>
      </c>
      <c r="AB31" s="0" t="s">
        <v>1028</v>
      </c>
      <c r="AC31" s="0" t="s">
        <v>170</v>
      </c>
      <c r="AD31" s="0" t="s">
        <v>171</v>
      </c>
      <c r="AE31" s="0" t="s">
        <v>172</v>
      </c>
      <c r="AF31" s="0" t="s">
        <v>1029</v>
      </c>
      <c r="AG31" s="0" t="s">
        <v>174</v>
      </c>
      <c r="AH31" s="5" t="s">
        <v>175</v>
      </c>
      <c r="AI31" s="0" t="s">
        <v>1030</v>
      </c>
      <c r="AJ31" s="0" t="s">
        <v>1031</v>
      </c>
      <c r="AK31" s="0" t="s">
        <v>178</v>
      </c>
      <c r="AL31" s="0" t="n">
        <v>37</v>
      </c>
      <c r="AM31" s="0" t="n">
        <v>90</v>
      </c>
      <c r="AN31" s="0" t="s">
        <v>179</v>
      </c>
      <c r="AO31" s="0" t="s">
        <v>1032</v>
      </c>
      <c r="AP31" s="0" t="s">
        <v>1021</v>
      </c>
      <c r="AQ31" s="5" t="s">
        <v>162</v>
      </c>
      <c r="AT31" s="0" t="str">
        <f aca="false">IF(AND(AX31="pass",AQ31&lt;&gt;"Y",C31&lt;&gt;"",OR(AW31&lt;&gt;"Y",AV31="Y")),"Y","N")</f>
        <v>Y</v>
      </c>
      <c r="AU31" s="0" t="str">
        <f aca="false">_xlfn.TEXTJOIN("; ",TRUE(),IF(AX31&lt;&gt;"pass","gated out",""),IF(AQ31="Y","on hold: "&amp;AR31,""),IF(C31="","no contact named on an opened page",""),IF(AND(AW31="Y",AV31&lt;&gt;"Y"),"Tuesday estimate band "&amp;L31&amp;": founder's call",""))</f>
        <v/>
      </c>
      <c r="AW31" s="0" t="s">
        <v>162</v>
      </c>
      <c r="AX31" s="0" t="s">
        <v>181</v>
      </c>
      <c r="AY31" s="0" t="s">
        <v>182</v>
      </c>
      <c r="AZ31" s="0" t="s">
        <v>1</v>
      </c>
      <c r="BA31" s="0" t="s">
        <v>1033</v>
      </c>
      <c r="BB31" s="0" t="s">
        <v>1034</v>
      </c>
      <c r="BC31" s="0" t="s">
        <v>1035</v>
      </c>
      <c r="BD31" s="0" t="s">
        <v>1036</v>
      </c>
      <c r="BE31" s="0" t="s">
        <v>1037</v>
      </c>
      <c r="BF31" s="0" t="s">
        <v>161</v>
      </c>
      <c r="BG31" s="0" t="s">
        <v>188</v>
      </c>
      <c r="BH31" s="0" t="s">
        <v>240</v>
      </c>
      <c r="BI31" s="0" t="s">
        <v>1038</v>
      </c>
      <c r="BJ31" s="0" t="s">
        <v>1039</v>
      </c>
      <c r="BK31" s="0" t="s">
        <v>191</v>
      </c>
      <c r="BL31" s="0" t="s">
        <v>192</v>
      </c>
      <c r="BM31" s="0" t="s">
        <v>168</v>
      </c>
      <c r="BN31" s="0" t="s">
        <v>163</v>
      </c>
      <c r="BO31" s="0" t="s">
        <v>163</v>
      </c>
      <c r="BP31" s="0" t="s">
        <v>711</v>
      </c>
      <c r="BQ31" s="0" t="n">
        <v>40.744899</v>
      </c>
      <c r="BR31" s="0" t="n">
        <v>-73.989082</v>
      </c>
      <c r="BS31" s="0" t="s">
        <v>168</v>
      </c>
      <c r="BT31" s="0" t="n">
        <v>0</v>
      </c>
      <c r="BU31" s="0" t="s">
        <v>1040</v>
      </c>
      <c r="BV31" s="0" t="s">
        <v>1041</v>
      </c>
      <c r="BW31" s="0" t="s">
        <v>1027</v>
      </c>
      <c r="BX31" s="0" t="s">
        <v>1042</v>
      </c>
      <c r="BY31" s="0" t="s">
        <v>247</v>
      </c>
      <c r="BZ31" s="0" t="s">
        <v>1043</v>
      </c>
      <c r="CA31" s="0" t="s">
        <v>166</v>
      </c>
      <c r="CC31" s="0" t="s">
        <v>200</v>
      </c>
      <c r="CE31" s="0" t="s">
        <v>162</v>
      </c>
      <c r="CH31" s="0" t="s">
        <v>163</v>
      </c>
      <c r="CJ31" s="0" t="s">
        <v>163</v>
      </c>
      <c r="CK31" s="0" t="s">
        <v>162</v>
      </c>
      <c r="CL31" s="0" t="s">
        <v>1044</v>
      </c>
      <c r="CM31" s="0" t="s">
        <v>1038</v>
      </c>
      <c r="CN31" s="0" t="s">
        <v>174</v>
      </c>
      <c r="CO31" s="0" t="n">
        <v>58</v>
      </c>
      <c r="CQ31" s="0" t="s">
        <v>1045</v>
      </c>
      <c r="CR31" s="0" t="s">
        <v>206</v>
      </c>
      <c r="CS31" s="0" t="n">
        <v>0.91</v>
      </c>
      <c r="CT31" s="0" t="n">
        <v>57.8</v>
      </c>
      <c r="CU31" s="0" t="n">
        <v>22.8</v>
      </c>
      <c r="CV31" s="0" t="n">
        <v>15</v>
      </c>
      <c r="CW31" s="0" t="n">
        <v>-5</v>
      </c>
      <c r="CX31" s="0" t="n">
        <v>15</v>
      </c>
      <c r="CY31" s="0" t="n">
        <f aca="false">IF(AH31="exact",10,IF(AH31="adjacent",5,0))</f>
        <v>10</v>
      </c>
      <c r="CZ31" s="0" t="n">
        <f aca="false">IF(R31="Y",15,0)</f>
        <v>0</v>
      </c>
      <c r="DA31" s="0" t="s">
        <v>1046</v>
      </c>
      <c r="DB31" s="0" t="s">
        <v>1047</v>
      </c>
      <c r="DC31" s="0" t="s">
        <v>1048</v>
      </c>
      <c r="DF31" s="0" t="s">
        <v>158</v>
      </c>
      <c r="DG31" s="0" t="s">
        <v>211</v>
      </c>
      <c r="DJ31" s="0" t="s">
        <v>1049</v>
      </c>
      <c r="DK31" s="0" t="s">
        <v>1050</v>
      </c>
      <c r="DM31" s="0" t="s">
        <v>1051</v>
      </c>
      <c r="DO31" s="0" t="s">
        <v>1052</v>
      </c>
      <c r="DQ31" s="0" t="s">
        <v>216</v>
      </c>
      <c r="DR31" s="0" t="s">
        <v>1053</v>
      </c>
      <c r="DS31" s="0" t="s">
        <v>171</v>
      </c>
      <c r="DT31" s="0" t="s">
        <v>172</v>
      </c>
      <c r="DU31" s="0" t="s">
        <v>1029</v>
      </c>
      <c r="DW31" s="0" t="s">
        <v>1054</v>
      </c>
      <c r="DX31" s="0" t="s">
        <v>168</v>
      </c>
      <c r="DY31" s="0" t="s">
        <v>221</v>
      </c>
      <c r="ER31" s="0" t="str">
        <f aca="false">IF(ISNUMBER(MATCH(U31,{"queued","contacted","replied","call_booked","call_done","yes_in_principle","materials_sent"},0)),"Y","N")</f>
        <v>Y</v>
      </c>
      <c r="ES31" s="0" t="str">
        <f aca="false">IF(COUNTIFS($AP$2:$AP$1000,AP31,$ER$2:$ER$1000,"Y")+COUNTIFS($AP$2:$AP$1000,AP31,$T$2:$T$1000,"Y")&gt;0,"Y","N")</f>
        <v>Y</v>
      </c>
      <c r="ET31" s="0" t="str">
        <f aca="false">IF(AND(U31="new",T31="N",AT31="Y",AS31="",ES31="N"),"Y","N")</f>
        <v>N</v>
      </c>
      <c r="EU31" s="0" t="str">
        <f aca="false">IF(ET31&lt;&gt;"Y","N",IF(COUNTIFS($AP$2:$AP$1000,AP31,$ET$2:$ET$1000,"Y",$J$2:$J$1000,"&gt;"&amp;J31)+COUNTIFS($AP$2:$AP$1000,AP31,$ET$2:$ET$1000,"Y",$J$2:$J$1000,J31,$EW$2:$EW$1000,"&lt;"&amp;EW31)=0,"Y","N"))</f>
        <v>N</v>
      </c>
      <c r="EV31" s="0" t="str">
        <f aca="false">IF(Y31="","N",IF(Y31&lt;=10,"Y","N"))</f>
        <v>N</v>
      </c>
      <c r="EW31" s="0" t="n">
        <f aca="false">ROW()-1</f>
        <v>30</v>
      </c>
    </row>
    <row r="32" customFormat="false" ht="15" hidden="false" customHeight="false" outlineLevel="0" collapsed="false">
      <c r="A32" s="0" t="s">
        <v>1055</v>
      </c>
      <c r="B32" s="0" t="s">
        <v>1056</v>
      </c>
      <c r="C32" s="0" t="s">
        <v>1057</v>
      </c>
      <c r="D32" s="0" t="s">
        <v>1058</v>
      </c>
      <c r="E32" s="0" t="s">
        <v>1059</v>
      </c>
      <c r="H32" s="5" t="s">
        <v>158</v>
      </c>
      <c r="I32" s="5" t="s">
        <v>159</v>
      </c>
      <c r="J32" s="0" t="n">
        <f aca="false">IF(AX32="pass",ROUND(CU32+CV32+CW32+CX32+CY32+CZ32,1),0)</f>
        <v>57.4</v>
      </c>
      <c r="K32" s="0" t="s">
        <v>1060</v>
      </c>
      <c r="L32" s="0" t="s">
        <v>394</v>
      </c>
      <c r="R32" s="5" t="s">
        <v>162</v>
      </c>
      <c r="S32" s="0" t="s">
        <v>163</v>
      </c>
      <c r="T32" s="5" t="s">
        <v>162</v>
      </c>
      <c r="U32" s="5" t="s">
        <v>164</v>
      </c>
      <c r="V32" s="0" t="s">
        <v>1061</v>
      </c>
      <c r="W32" s="0" t="s">
        <v>166</v>
      </c>
      <c r="X32" s="0" t="s">
        <v>167</v>
      </c>
      <c r="Y32" s="0" t="str">
        <f aca="false">IF(EU32&lt;&gt;"Y","",COUNTIFS($EU$2:$EU$1000,"Y",$J$2:$J$1000,"&gt;"&amp;J32)+COUNTIFS($EU$2:$EU$1000,"Y",$J$2:$J$1000,J32,$EW$2:$EW$1000,"&lt;"&amp;EW32)+1)</f>
        <v/>
      </c>
      <c r="Z32" s="0" t="n">
        <v>31</v>
      </c>
      <c r="AA32" s="0" t="s">
        <v>168</v>
      </c>
      <c r="AB32" s="0" t="s">
        <v>1062</v>
      </c>
      <c r="AC32" s="0" t="s">
        <v>170</v>
      </c>
      <c r="AD32" s="0" t="s">
        <v>171</v>
      </c>
      <c r="AE32" s="0" t="s">
        <v>230</v>
      </c>
      <c r="AF32" s="0" t="s">
        <v>1063</v>
      </c>
      <c r="AG32" s="0" t="s">
        <v>174</v>
      </c>
      <c r="AH32" s="5" t="s">
        <v>175</v>
      </c>
      <c r="AI32" s="0" t="s">
        <v>1064</v>
      </c>
      <c r="AJ32" s="0" t="s">
        <v>163</v>
      </c>
      <c r="AK32" s="0" t="s">
        <v>178</v>
      </c>
      <c r="AL32" s="0" t="n">
        <v>12</v>
      </c>
      <c r="AM32" s="0" t="n">
        <v>288</v>
      </c>
      <c r="AN32" s="0" t="s">
        <v>179</v>
      </c>
      <c r="AO32" s="0" t="s">
        <v>369</v>
      </c>
      <c r="AP32" s="0" t="s">
        <v>1055</v>
      </c>
      <c r="AQ32" s="5" t="s">
        <v>162</v>
      </c>
      <c r="AT32" s="0" t="str">
        <f aca="false">IF(AND(AX32="pass",AQ32&lt;&gt;"Y",C32&lt;&gt;"",OR(AW32&lt;&gt;"Y",AV32="Y")),"Y","N")</f>
        <v>Y</v>
      </c>
      <c r="AU32" s="0" t="str">
        <f aca="false">_xlfn.TEXTJOIN("; ",TRUE(),IF(AX32&lt;&gt;"pass","gated out",""),IF(AQ32="Y","on hold: "&amp;AR32,""),IF(C32="","no contact named on an opened page",""),IF(AND(AW32="Y",AV32&lt;&gt;"Y"),"Tuesday estimate band "&amp;L32&amp;": founder's call",""))</f>
        <v/>
      </c>
      <c r="AW32" s="0" t="s">
        <v>162</v>
      </c>
      <c r="AX32" s="0" t="s">
        <v>181</v>
      </c>
      <c r="AY32" s="0" t="s">
        <v>182</v>
      </c>
      <c r="AZ32" s="0" t="s">
        <v>1</v>
      </c>
      <c r="BA32" s="0" t="s">
        <v>1065</v>
      </c>
      <c r="BB32" s="0" t="s">
        <v>1066</v>
      </c>
      <c r="BC32" s="0" t="s">
        <v>1067</v>
      </c>
      <c r="BD32" s="0" t="s">
        <v>1068</v>
      </c>
      <c r="BE32" s="0" t="s">
        <v>1069</v>
      </c>
      <c r="BF32" s="0" t="s">
        <v>239</v>
      </c>
      <c r="BG32" s="0" t="s">
        <v>188</v>
      </c>
      <c r="BH32" s="0" t="s">
        <v>240</v>
      </c>
      <c r="BI32" s="0" t="s">
        <v>1061</v>
      </c>
      <c r="BJ32" s="0" t="s">
        <v>1070</v>
      </c>
      <c r="BK32" s="0" t="s">
        <v>191</v>
      </c>
      <c r="BL32" s="0" t="s">
        <v>163</v>
      </c>
      <c r="BM32" s="0" t="s">
        <v>163</v>
      </c>
      <c r="BN32" s="0" t="s">
        <v>1071</v>
      </c>
      <c r="BO32" s="0" t="s">
        <v>163</v>
      </c>
      <c r="BP32" s="0" t="s">
        <v>346</v>
      </c>
      <c r="BQ32" s="0" t="n">
        <v>40.742199</v>
      </c>
      <c r="BR32" s="0" t="n">
        <v>-73.99172</v>
      </c>
      <c r="BS32" s="0" t="s">
        <v>168</v>
      </c>
      <c r="BT32" s="0" t="n">
        <v>0</v>
      </c>
      <c r="BU32" s="0" t="s">
        <v>1072</v>
      </c>
      <c r="BV32" s="0" t="s">
        <v>1073</v>
      </c>
      <c r="BW32" s="0" t="s">
        <v>1061</v>
      </c>
      <c r="BX32" s="0" t="s">
        <v>166</v>
      </c>
      <c r="BY32" s="0" t="s">
        <v>444</v>
      </c>
      <c r="BZ32" s="0" t="s">
        <v>1074</v>
      </c>
      <c r="CA32" s="0" t="s">
        <v>1075</v>
      </c>
      <c r="CC32" s="0" t="s">
        <v>200</v>
      </c>
      <c r="CE32" s="0" t="s">
        <v>162</v>
      </c>
      <c r="CH32" s="0" t="s">
        <v>201</v>
      </c>
      <c r="CI32" s="0" t="s">
        <v>1074</v>
      </c>
      <c r="CJ32" s="0" t="s">
        <v>163</v>
      </c>
      <c r="CK32" s="0" t="s">
        <v>162</v>
      </c>
      <c r="CL32" s="0" t="s">
        <v>715</v>
      </c>
      <c r="CM32" s="0" t="s">
        <v>1061</v>
      </c>
      <c r="CN32" s="0" t="s">
        <v>174</v>
      </c>
      <c r="CO32" s="0" t="n">
        <v>59</v>
      </c>
      <c r="CP32" s="0" t="s">
        <v>767</v>
      </c>
      <c r="CQ32" s="0" t="s">
        <v>1076</v>
      </c>
      <c r="CR32" s="0" t="s">
        <v>206</v>
      </c>
      <c r="CS32" s="0" t="n">
        <v>0.58</v>
      </c>
      <c r="CT32" s="0" t="n">
        <v>57.4</v>
      </c>
      <c r="CU32" s="0" t="n">
        <v>14.4</v>
      </c>
      <c r="CV32" s="0" t="n">
        <v>11</v>
      </c>
      <c r="CW32" s="0" t="n">
        <v>7</v>
      </c>
      <c r="CX32" s="0" t="n">
        <v>15</v>
      </c>
      <c r="CY32" s="0" t="n">
        <f aca="false">IF(AH32="exact",10,IF(AH32="adjacent",5,0))</f>
        <v>10</v>
      </c>
      <c r="CZ32" s="0" t="n">
        <f aca="false">IF(R32="Y",15,0)</f>
        <v>0</v>
      </c>
      <c r="DA32" s="0" t="s">
        <v>1077</v>
      </c>
      <c r="DB32" s="0" t="s">
        <v>1078</v>
      </c>
      <c r="DC32" s="0" t="s">
        <v>807</v>
      </c>
      <c r="DF32" s="0" t="s">
        <v>158</v>
      </c>
      <c r="DG32" s="0" t="s">
        <v>211</v>
      </c>
      <c r="DK32" s="0" t="s">
        <v>1079</v>
      </c>
      <c r="DM32" s="0" t="s">
        <v>1080</v>
      </c>
      <c r="DO32" s="0" t="s">
        <v>1081</v>
      </c>
      <c r="DQ32" s="0" t="s">
        <v>216</v>
      </c>
      <c r="DR32" s="0" t="s">
        <v>1082</v>
      </c>
      <c r="DS32" s="0" t="s">
        <v>171</v>
      </c>
      <c r="DT32" s="0" t="s">
        <v>230</v>
      </c>
      <c r="DU32" s="0" t="s">
        <v>1083</v>
      </c>
      <c r="DW32" s="0" t="s">
        <v>1084</v>
      </c>
      <c r="DX32" s="0" t="s">
        <v>168</v>
      </c>
      <c r="DY32" s="0" t="s">
        <v>221</v>
      </c>
      <c r="ER32" s="0" t="str">
        <f aca="false">IF(ISNUMBER(MATCH(U32,{"queued","contacted","replied","call_booked","call_done","yes_in_principle","materials_sent"},0)),"Y","N")</f>
        <v>Y</v>
      </c>
      <c r="ES32" s="0" t="str">
        <f aca="false">IF(COUNTIFS($AP$2:$AP$1000,AP32,$ER$2:$ER$1000,"Y")+COUNTIFS($AP$2:$AP$1000,AP32,$T$2:$T$1000,"Y")&gt;0,"Y","N")</f>
        <v>Y</v>
      </c>
      <c r="ET32" s="0" t="str">
        <f aca="false">IF(AND(U32="new",T32="N",AT32="Y",AS32="",ES32="N"),"Y","N")</f>
        <v>N</v>
      </c>
      <c r="EU32" s="0" t="str">
        <f aca="false">IF(ET32&lt;&gt;"Y","N",IF(COUNTIFS($AP$2:$AP$1000,AP32,$ET$2:$ET$1000,"Y",$J$2:$J$1000,"&gt;"&amp;J32)+COUNTIFS($AP$2:$AP$1000,AP32,$ET$2:$ET$1000,"Y",$J$2:$J$1000,J32,$EW$2:$EW$1000,"&lt;"&amp;EW32)=0,"Y","N"))</f>
        <v>N</v>
      </c>
      <c r="EV32" s="0" t="str">
        <f aca="false">IF(Y32="","N",IF(Y32&lt;=10,"Y","N"))</f>
        <v>N</v>
      </c>
      <c r="EW32" s="0" t="n">
        <f aca="false">ROW()-1</f>
        <v>31</v>
      </c>
    </row>
    <row r="33" customFormat="false" ht="15" hidden="false" customHeight="false" outlineLevel="0" collapsed="false">
      <c r="A33" s="0" t="s">
        <v>1085</v>
      </c>
      <c r="B33" s="0" t="s">
        <v>1086</v>
      </c>
      <c r="C33" s="0" t="s">
        <v>1087</v>
      </c>
      <c r="D33" s="0" t="s">
        <v>1088</v>
      </c>
      <c r="E33" s="0" t="s">
        <v>1089</v>
      </c>
      <c r="H33" s="5" t="s">
        <v>158</v>
      </c>
      <c r="I33" s="5" t="s">
        <v>159</v>
      </c>
      <c r="J33" s="0" t="n">
        <f aca="false">IF(AX33="pass",ROUND(CU33+CV33+CW33+CX33+CY33+CZ33,1),0)</f>
        <v>57</v>
      </c>
      <c r="K33" s="0" t="s">
        <v>1090</v>
      </c>
      <c r="L33" s="0" t="s">
        <v>161</v>
      </c>
      <c r="O33" s="0" t="s">
        <v>1091</v>
      </c>
      <c r="P33" s="0" t="s">
        <v>1092</v>
      </c>
      <c r="Q33" s="0" t="s">
        <v>1093</v>
      </c>
      <c r="R33" s="5" t="s">
        <v>162</v>
      </c>
      <c r="S33" s="0" t="s">
        <v>163</v>
      </c>
      <c r="T33" s="5" t="s">
        <v>162</v>
      </c>
      <c r="U33" s="5" t="s">
        <v>561</v>
      </c>
      <c r="V33" s="0" t="s">
        <v>1092</v>
      </c>
      <c r="W33" s="0" t="s">
        <v>166</v>
      </c>
      <c r="X33" s="0" t="s">
        <v>167</v>
      </c>
      <c r="Y33" s="0" t="str">
        <f aca="false">IF(EU33&lt;&gt;"Y","",COUNTIFS($EU$2:$EU$1000,"Y",$J$2:$J$1000,"&gt;"&amp;J33)+COUNTIFS($EU$2:$EU$1000,"Y",$J$2:$J$1000,J33,$EW$2:$EW$1000,"&lt;"&amp;EW33)+1)</f>
        <v/>
      </c>
      <c r="Z33" s="0" t="n">
        <v>32</v>
      </c>
      <c r="AA33" s="0" t="s">
        <v>168</v>
      </c>
      <c r="AB33" s="0" t="s">
        <v>1094</v>
      </c>
      <c r="AC33" s="0" t="s">
        <v>170</v>
      </c>
      <c r="AD33" s="0" t="s">
        <v>171</v>
      </c>
      <c r="AE33" s="0" t="s">
        <v>230</v>
      </c>
      <c r="AF33" s="0" t="s">
        <v>1095</v>
      </c>
      <c r="AG33" s="0" t="s">
        <v>174</v>
      </c>
      <c r="AH33" s="5" t="s">
        <v>309</v>
      </c>
      <c r="AI33" s="0" t="s">
        <v>753</v>
      </c>
      <c r="AJ33" s="0" t="s">
        <v>163</v>
      </c>
      <c r="AK33" s="0" t="s">
        <v>889</v>
      </c>
      <c r="AL33" s="0" t="n">
        <v>55</v>
      </c>
      <c r="AM33" s="0" t="n">
        <v>111</v>
      </c>
      <c r="AN33" s="0" t="s">
        <v>179</v>
      </c>
      <c r="AO33" s="0" t="s">
        <v>369</v>
      </c>
      <c r="AP33" s="0" t="s">
        <v>1085</v>
      </c>
      <c r="AQ33" s="5" t="s">
        <v>168</v>
      </c>
      <c r="AR33" s="0" t="s">
        <v>890</v>
      </c>
      <c r="AT33" s="0" t="str">
        <f aca="false">IF(AND(AX33="pass",AQ33&lt;&gt;"Y",C33&lt;&gt;"",OR(AW33&lt;&gt;"Y",AV33="Y")),"Y","N")</f>
        <v>N</v>
      </c>
      <c r="AU33" s="0" t="str">
        <f aca="false">_xlfn.TEXTJOIN("; ",TRUE(),IF(AX33&lt;&gt;"pass","gated out",""),IF(AQ33="Y","on hold: "&amp;AR33,""),IF(C33="","no contact named on an opened page",""),IF(AND(AW33="Y",AV33&lt;&gt;"Y"),"Tuesday estimate band "&amp;L33&amp;": founder's call",""))</f>
        <v>on hold: lease signed, move not confirmed: check the lobby directory before outreach (B)</v>
      </c>
      <c r="AW33" s="0" t="s">
        <v>162</v>
      </c>
      <c r="AX33" s="0" t="s">
        <v>181</v>
      </c>
      <c r="AY33" s="0" t="s">
        <v>182</v>
      </c>
      <c r="AZ33" s="0" t="s">
        <v>1</v>
      </c>
      <c r="BA33" s="0" t="s">
        <v>1096</v>
      </c>
      <c r="BB33" s="0" t="s">
        <v>1097</v>
      </c>
      <c r="BC33" s="0" t="s">
        <v>1098</v>
      </c>
      <c r="BD33" s="0" t="s">
        <v>535</v>
      </c>
      <c r="BF33" s="0" t="s">
        <v>187</v>
      </c>
      <c r="BG33" s="0" t="s">
        <v>188</v>
      </c>
      <c r="BH33" s="0" t="s">
        <v>189</v>
      </c>
      <c r="BI33" s="0" t="s">
        <v>1099</v>
      </c>
      <c r="BK33" s="0" t="s">
        <v>191</v>
      </c>
      <c r="BL33" s="0" t="s">
        <v>192</v>
      </c>
      <c r="BM33" s="0" t="s">
        <v>168</v>
      </c>
      <c r="BN33" s="0" t="s">
        <v>163</v>
      </c>
      <c r="BO33" s="0" t="s">
        <v>163</v>
      </c>
      <c r="BP33" s="0" t="s">
        <v>346</v>
      </c>
      <c r="BQ33" s="0" t="n">
        <v>40.743309</v>
      </c>
      <c r="BR33" s="0" t="n">
        <v>-73.987329</v>
      </c>
      <c r="BS33" s="0" t="s">
        <v>168</v>
      </c>
      <c r="BT33" s="0" t="n">
        <v>0</v>
      </c>
      <c r="BU33" s="0" t="s">
        <v>763</v>
      </c>
      <c r="BV33" s="0" t="s">
        <v>764</v>
      </c>
      <c r="BW33" s="0" t="s">
        <v>1092</v>
      </c>
      <c r="BX33" s="0" t="s">
        <v>1093</v>
      </c>
      <c r="BY33" s="0" t="s">
        <v>247</v>
      </c>
      <c r="CC33" s="0" t="s">
        <v>738</v>
      </c>
      <c r="CD33" s="0" t="s">
        <v>163</v>
      </c>
      <c r="CE33" s="0" t="s">
        <v>162</v>
      </c>
      <c r="CH33" s="0" t="s">
        <v>163</v>
      </c>
      <c r="CJ33" s="0" t="s">
        <v>163</v>
      </c>
      <c r="CK33" s="0" t="s">
        <v>162</v>
      </c>
      <c r="CL33" s="0" t="s">
        <v>381</v>
      </c>
      <c r="CM33" s="0" t="s">
        <v>1099</v>
      </c>
      <c r="CN33" s="0" t="s">
        <v>174</v>
      </c>
      <c r="CO33" s="0" t="n">
        <v>78</v>
      </c>
      <c r="CQ33" s="0" t="s">
        <v>1100</v>
      </c>
      <c r="CR33" s="0" t="s">
        <v>206</v>
      </c>
      <c r="CS33" s="0" t="n">
        <v>1</v>
      </c>
      <c r="CT33" s="0" t="n">
        <v>57</v>
      </c>
      <c r="CU33" s="0" t="n">
        <v>25</v>
      </c>
      <c r="CV33" s="0" t="n">
        <v>15</v>
      </c>
      <c r="CW33" s="0" t="n">
        <v>7</v>
      </c>
      <c r="CX33" s="0" t="n">
        <v>5</v>
      </c>
      <c r="CY33" s="0" t="n">
        <f aca="false">IF(AH33="exact",10,IF(AH33="adjacent",5,0))</f>
        <v>5</v>
      </c>
      <c r="CZ33" s="0" t="n">
        <f aca="false">IF(R33="Y",15,0)</f>
        <v>0</v>
      </c>
      <c r="DA33" s="0" t="s">
        <v>1101</v>
      </c>
      <c r="DB33" s="0" t="s">
        <v>1102</v>
      </c>
      <c r="DC33" s="0" t="s">
        <v>807</v>
      </c>
      <c r="DF33" s="0" t="s">
        <v>158</v>
      </c>
      <c r="DG33" s="0" t="s">
        <v>211</v>
      </c>
      <c r="DJ33" s="0" t="s">
        <v>1103</v>
      </c>
      <c r="DK33" s="0" t="s">
        <v>1104</v>
      </c>
      <c r="DM33" s="0" t="s">
        <v>1105</v>
      </c>
      <c r="DO33" s="0" t="s">
        <v>1106</v>
      </c>
      <c r="DQ33" s="0" t="s">
        <v>216</v>
      </c>
      <c r="DR33" s="0" t="s">
        <v>1107</v>
      </c>
      <c r="DS33" s="0" t="s">
        <v>171</v>
      </c>
      <c r="DT33" s="0" t="s">
        <v>230</v>
      </c>
      <c r="DU33" s="0" t="s">
        <v>1108</v>
      </c>
      <c r="DW33" s="0" t="s">
        <v>1109</v>
      </c>
      <c r="DX33" s="0" t="s">
        <v>168</v>
      </c>
      <c r="DY33" s="0" t="s">
        <v>221</v>
      </c>
      <c r="ER33" s="0" t="str">
        <f aca="false">IF(ISNUMBER(MATCH(U33,{"queued","contacted","replied","call_booked","call_done","yes_in_principle","materials_sent"},0)),"Y","N")</f>
        <v>N</v>
      </c>
      <c r="ES33" s="0" t="str">
        <f aca="false">IF(COUNTIFS($AP$2:$AP$1000,AP33,$ER$2:$ER$1000,"Y")+COUNTIFS($AP$2:$AP$1000,AP33,$T$2:$T$1000,"Y")&gt;0,"Y","N")</f>
        <v>N</v>
      </c>
      <c r="ET33" s="0" t="str">
        <f aca="false">IF(AND(U33="new",T33="N",AT33="Y",AS33="",ES33="N"),"Y","N")</f>
        <v>N</v>
      </c>
      <c r="EU33" s="0" t="str">
        <f aca="false">IF(ET33&lt;&gt;"Y","N",IF(COUNTIFS($AP$2:$AP$1000,AP33,$ET$2:$ET$1000,"Y",$J$2:$J$1000,"&gt;"&amp;J33)+COUNTIFS($AP$2:$AP$1000,AP33,$ET$2:$ET$1000,"Y",$J$2:$J$1000,J33,$EW$2:$EW$1000,"&lt;"&amp;EW33)=0,"Y","N"))</f>
        <v>N</v>
      </c>
      <c r="EV33" s="0" t="str">
        <f aca="false">IF(Y33="","N",IF(Y33&lt;=10,"Y","N"))</f>
        <v>N</v>
      </c>
      <c r="EW33" s="0" t="n">
        <f aca="false">ROW()-1</f>
        <v>32</v>
      </c>
    </row>
    <row r="34" customFormat="false" ht="15" hidden="false" customHeight="false" outlineLevel="0" collapsed="false">
      <c r="A34" s="0" t="s">
        <v>1110</v>
      </c>
      <c r="B34" s="0" t="s">
        <v>1111</v>
      </c>
      <c r="H34" s="5" t="s">
        <v>158</v>
      </c>
      <c r="I34" s="5" t="s">
        <v>594</v>
      </c>
      <c r="J34" s="0" t="n">
        <f aca="false">IF(AX34="pass",ROUND(CU34+CV34+CW34+CX34+CY34+CZ34,1),0)</f>
        <v>56</v>
      </c>
      <c r="K34" s="0" t="s">
        <v>1112</v>
      </c>
      <c r="L34" s="0" t="s">
        <v>161</v>
      </c>
      <c r="R34" s="5" t="s">
        <v>162</v>
      </c>
      <c r="S34" s="0" t="s">
        <v>163</v>
      </c>
      <c r="T34" s="5" t="s">
        <v>162</v>
      </c>
      <c r="U34" s="5" t="s">
        <v>561</v>
      </c>
      <c r="V34" s="0" t="s">
        <v>1113</v>
      </c>
      <c r="W34" s="0" t="s">
        <v>166</v>
      </c>
      <c r="X34" s="0" t="s">
        <v>167</v>
      </c>
      <c r="Y34" s="0" t="str">
        <f aca="false">IF(EU34&lt;&gt;"Y","",COUNTIFS($EU$2:$EU$1000,"Y",$J$2:$J$1000,"&gt;"&amp;J34)+COUNTIFS($EU$2:$EU$1000,"Y",$J$2:$J$1000,J34,$EW$2:$EW$1000,"&lt;"&amp;EW34)+1)</f>
        <v/>
      </c>
      <c r="Z34" s="0" t="n">
        <v>33</v>
      </c>
      <c r="AA34" s="0" t="s">
        <v>168</v>
      </c>
      <c r="AB34" s="0" t="s">
        <v>597</v>
      </c>
      <c r="AD34" s="0" t="s">
        <v>158</v>
      </c>
      <c r="AH34" s="5" t="s">
        <v>158</v>
      </c>
      <c r="AI34" s="0" t="s">
        <v>1114</v>
      </c>
      <c r="AJ34" s="0" t="s">
        <v>1115</v>
      </c>
      <c r="AK34" s="0" t="s">
        <v>434</v>
      </c>
      <c r="AL34" s="0" t="n">
        <v>96</v>
      </c>
      <c r="AM34" s="0" t="n">
        <v>231</v>
      </c>
      <c r="AN34" s="0" t="s">
        <v>179</v>
      </c>
      <c r="AO34" s="0" t="s">
        <v>180</v>
      </c>
      <c r="AP34" s="0" t="s">
        <v>1110</v>
      </c>
      <c r="AQ34" s="5" t="s">
        <v>162</v>
      </c>
      <c r="AT34" s="0" t="str">
        <f aca="false">IF(AND(AX34="pass",AQ34&lt;&gt;"Y",C34&lt;&gt;"",OR(AW34&lt;&gt;"Y",AV34="Y")),"Y","N")</f>
        <v>N</v>
      </c>
      <c r="AU34" s="0" t="str">
        <f aca="false">_xlfn.TEXTJOIN("; ",TRUE(),IF(AX34&lt;&gt;"pass","gated out",""),IF(AQ34="Y","on hold: "&amp;AR34,""),IF(C34="","no contact named on an opened page",""),IF(AND(AW34="Y",AV34&lt;&gt;"Y"),"Tuesday estimate band "&amp;L34&amp;": founder's call",""))</f>
        <v>no contact named on an opened page</v>
      </c>
      <c r="AW34" s="0" t="s">
        <v>162</v>
      </c>
      <c r="AX34" s="0" t="s">
        <v>181</v>
      </c>
      <c r="AY34" s="0" t="s">
        <v>182</v>
      </c>
      <c r="AZ34" s="0" t="s">
        <v>1</v>
      </c>
      <c r="BA34" s="0" t="s">
        <v>1116</v>
      </c>
      <c r="BB34" s="0" t="s">
        <v>1117</v>
      </c>
      <c r="BC34" s="0" t="s">
        <v>1118</v>
      </c>
      <c r="BD34" s="0" t="s">
        <v>1119</v>
      </c>
      <c r="BE34" s="0" t="s">
        <v>1120</v>
      </c>
      <c r="BF34" s="0" t="s">
        <v>239</v>
      </c>
      <c r="BG34" s="0" t="s">
        <v>188</v>
      </c>
      <c r="BH34" s="0" t="s">
        <v>240</v>
      </c>
      <c r="BI34" s="0" t="s">
        <v>1121</v>
      </c>
      <c r="BJ34" s="0" t="s">
        <v>1122</v>
      </c>
      <c r="BK34" s="0" t="s">
        <v>191</v>
      </c>
      <c r="BL34" s="0" t="s">
        <v>192</v>
      </c>
      <c r="BM34" s="0" t="s">
        <v>168</v>
      </c>
      <c r="BN34" s="0" t="s">
        <v>1123</v>
      </c>
      <c r="BO34" s="0" t="s">
        <v>163</v>
      </c>
      <c r="BP34" s="0" t="s">
        <v>377</v>
      </c>
      <c r="BQ34" s="0" t="n">
        <v>40.739487</v>
      </c>
      <c r="BR34" s="0" t="n">
        <v>-73.99283</v>
      </c>
      <c r="BS34" s="0" t="s">
        <v>168</v>
      </c>
      <c r="BT34" s="0" t="n">
        <v>0</v>
      </c>
      <c r="BU34" s="0" t="s">
        <v>1124</v>
      </c>
      <c r="BV34" s="0" t="s">
        <v>1125</v>
      </c>
      <c r="BW34" s="0" t="s">
        <v>1113</v>
      </c>
      <c r="BX34" s="0" t="s">
        <v>166</v>
      </c>
      <c r="BY34" s="0" t="s">
        <v>444</v>
      </c>
      <c r="BZ34" s="0" t="s">
        <v>1126</v>
      </c>
      <c r="CA34" s="0" t="s">
        <v>1127</v>
      </c>
      <c r="CC34" s="0" t="s">
        <v>179</v>
      </c>
      <c r="CE34" s="0" t="s">
        <v>162</v>
      </c>
      <c r="CH34" s="0" t="s">
        <v>163</v>
      </c>
      <c r="CJ34" s="0" t="s">
        <v>163</v>
      </c>
      <c r="CK34" s="0" t="s">
        <v>162</v>
      </c>
      <c r="CL34" s="0" t="s">
        <v>1128</v>
      </c>
      <c r="CM34" s="0" t="s">
        <v>1113</v>
      </c>
      <c r="CN34" s="0" t="s">
        <v>174</v>
      </c>
      <c r="CO34" s="0" t="n">
        <v>149</v>
      </c>
      <c r="CQ34" s="0" t="s">
        <v>1129</v>
      </c>
      <c r="CR34" s="0" t="s">
        <v>206</v>
      </c>
      <c r="CS34" s="0" t="n">
        <v>1</v>
      </c>
      <c r="CT34" s="0" t="n">
        <v>56</v>
      </c>
      <c r="CU34" s="0" t="n">
        <v>25</v>
      </c>
      <c r="CV34" s="0" t="n">
        <v>11</v>
      </c>
      <c r="CW34" s="0" t="n">
        <v>15</v>
      </c>
      <c r="CX34" s="0" t="n">
        <v>5</v>
      </c>
      <c r="CY34" s="0" t="n">
        <f aca="false">IF(AH34="exact",10,IF(AH34="adjacent",5,0))</f>
        <v>0</v>
      </c>
      <c r="CZ34" s="0" t="n">
        <f aca="false">IF(R34="Y",15,0)</f>
        <v>0</v>
      </c>
      <c r="DF34" s="0" t="s">
        <v>158</v>
      </c>
      <c r="DG34" s="0" t="s">
        <v>211</v>
      </c>
      <c r="DJ34" s="0" t="s">
        <v>1130</v>
      </c>
      <c r="DK34" s="0" t="s">
        <v>1131</v>
      </c>
      <c r="DS34" s="0" t="s">
        <v>158</v>
      </c>
      <c r="DX34" s="0" t="s">
        <v>168</v>
      </c>
      <c r="ER34" s="0" t="str">
        <f aca="false">IF(ISNUMBER(MATCH(U34,{"queued","contacted","replied","call_booked","call_done","yes_in_principle","materials_sent"},0)),"Y","N")</f>
        <v>N</v>
      </c>
      <c r="ES34" s="0" t="str">
        <f aca="false">IF(COUNTIFS($AP$2:$AP$1000,AP34,$ER$2:$ER$1000,"Y")+COUNTIFS($AP$2:$AP$1000,AP34,$T$2:$T$1000,"Y")&gt;0,"Y","N")</f>
        <v>N</v>
      </c>
      <c r="ET34" s="0" t="str">
        <f aca="false">IF(AND(U34="new",T34="N",AT34="Y",AS34="",ES34="N"),"Y","N")</f>
        <v>N</v>
      </c>
      <c r="EU34" s="0" t="str">
        <f aca="false">IF(ET34&lt;&gt;"Y","N",IF(COUNTIFS($AP$2:$AP$1000,AP34,$ET$2:$ET$1000,"Y",$J$2:$J$1000,"&gt;"&amp;J34)+COUNTIFS($AP$2:$AP$1000,AP34,$ET$2:$ET$1000,"Y",$J$2:$J$1000,J34,$EW$2:$EW$1000,"&lt;"&amp;EW34)=0,"Y","N"))</f>
        <v>N</v>
      </c>
      <c r="EV34" s="0" t="str">
        <f aca="false">IF(Y34="","N",IF(Y34&lt;=10,"Y","N"))</f>
        <v>N</v>
      </c>
      <c r="EW34" s="0" t="n">
        <f aca="false">ROW()-1</f>
        <v>33</v>
      </c>
    </row>
    <row r="35" customFormat="false" ht="15" hidden="false" customHeight="false" outlineLevel="0" collapsed="false">
      <c r="A35" s="0" t="s">
        <v>1132</v>
      </c>
      <c r="B35" s="0" t="s">
        <v>1133</v>
      </c>
      <c r="C35" s="0" t="s">
        <v>1134</v>
      </c>
      <c r="D35" s="0" t="s">
        <v>362</v>
      </c>
      <c r="E35" s="0" t="s">
        <v>807</v>
      </c>
      <c r="H35" s="5" t="s">
        <v>158</v>
      </c>
      <c r="I35" s="5" t="s">
        <v>159</v>
      </c>
      <c r="J35" s="0" t="n">
        <f aca="false">IF(AX35="pass",ROUND(CU35+CV35+CW35+CX35+CY35+CZ35,1),0)</f>
        <v>55.3</v>
      </c>
      <c r="K35" s="0" t="s">
        <v>1135</v>
      </c>
      <c r="L35" s="0" t="s">
        <v>394</v>
      </c>
      <c r="R35" s="5" t="s">
        <v>162</v>
      </c>
      <c r="S35" s="0" t="s">
        <v>163</v>
      </c>
      <c r="T35" s="5" t="s">
        <v>162</v>
      </c>
      <c r="U35" s="5" t="s">
        <v>164</v>
      </c>
      <c r="V35" s="0" t="s">
        <v>1136</v>
      </c>
      <c r="W35" s="0" t="s">
        <v>166</v>
      </c>
      <c r="X35" s="0" t="s">
        <v>167</v>
      </c>
      <c r="Y35" s="0" t="str">
        <f aca="false">IF(EU35&lt;&gt;"Y","",COUNTIFS($EU$2:$EU$1000,"Y",$J$2:$J$1000,"&gt;"&amp;J35)+COUNTIFS($EU$2:$EU$1000,"Y",$J$2:$J$1000,J35,$EW$2:$EW$1000,"&lt;"&amp;EW35)+1)</f>
        <v/>
      </c>
      <c r="Z35" s="0" t="n">
        <v>34</v>
      </c>
      <c r="AA35" s="0" t="s">
        <v>168</v>
      </c>
      <c r="AB35" s="0" t="s">
        <v>1137</v>
      </c>
      <c r="AC35" s="0" t="s">
        <v>170</v>
      </c>
      <c r="AD35" s="0" t="s">
        <v>171</v>
      </c>
      <c r="AE35" s="0" t="s">
        <v>230</v>
      </c>
      <c r="AF35" s="0" t="s">
        <v>1138</v>
      </c>
      <c r="AG35" s="0" t="s">
        <v>174</v>
      </c>
      <c r="AH35" s="5" t="s">
        <v>309</v>
      </c>
      <c r="AI35" s="0" t="s">
        <v>1139</v>
      </c>
      <c r="AJ35" s="0" t="s">
        <v>1140</v>
      </c>
      <c r="AK35" s="0" t="s">
        <v>434</v>
      </c>
      <c r="AL35" s="0" t="n">
        <v>26</v>
      </c>
      <c r="AM35" s="0" t="n">
        <v>90</v>
      </c>
      <c r="AN35" s="0" t="s">
        <v>179</v>
      </c>
      <c r="AO35" s="0" t="s">
        <v>180</v>
      </c>
      <c r="AP35" s="0" t="s">
        <v>702</v>
      </c>
      <c r="AQ35" s="5" t="s">
        <v>162</v>
      </c>
      <c r="AT35" s="0" t="str">
        <f aca="false">IF(AND(AX35="pass",AQ35&lt;&gt;"Y",C35&lt;&gt;"",OR(AW35&lt;&gt;"Y",AV35="Y")),"Y","N")</f>
        <v>Y</v>
      </c>
      <c r="AU35" s="0" t="str">
        <f aca="false">_xlfn.TEXTJOIN("; ",TRUE(),IF(AX35&lt;&gt;"pass","gated out",""),IF(AQ35="Y","on hold: "&amp;AR35,""),IF(C35="","no contact named on an opened page",""),IF(AND(AW35="Y",AV35&lt;&gt;"Y"),"Tuesday estimate band "&amp;L35&amp;": founder's call",""))</f>
        <v/>
      </c>
      <c r="AW35" s="0" t="s">
        <v>162</v>
      </c>
      <c r="AX35" s="0" t="s">
        <v>181</v>
      </c>
      <c r="AY35" s="0" t="s">
        <v>182</v>
      </c>
      <c r="AZ35" s="0" t="s">
        <v>1</v>
      </c>
      <c r="BA35" s="0" t="s">
        <v>1141</v>
      </c>
      <c r="BB35" s="0" t="s">
        <v>1142</v>
      </c>
      <c r="BC35" s="0" t="s">
        <v>1143</v>
      </c>
      <c r="BD35" s="0" t="s">
        <v>1144</v>
      </c>
      <c r="BE35" s="0" t="s">
        <v>1145</v>
      </c>
      <c r="BF35" s="0" t="s">
        <v>161</v>
      </c>
      <c r="BG35" s="0" t="s">
        <v>188</v>
      </c>
      <c r="BH35" s="0" t="s">
        <v>240</v>
      </c>
      <c r="BI35" s="0" t="s">
        <v>1146</v>
      </c>
      <c r="BJ35" s="0" t="s">
        <v>1147</v>
      </c>
      <c r="BK35" s="0" t="s">
        <v>191</v>
      </c>
      <c r="BL35" s="0" t="s">
        <v>192</v>
      </c>
      <c r="BM35" s="0" t="s">
        <v>168</v>
      </c>
      <c r="BN35" s="0" t="s">
        <v>710</v>
      </c>
      <c r="BO35" s="0" t="s">
        <v>163</v>
      </c>
      <c r="BP35" s="0" t="s">
        <v>193</v>
      </c>
      <c r="BQ35" s="0" t="n">
        <v>40.738063</v>
      </c>
      <c r="BR35" s="0" t="n">
        <v>-73.991898</v>
      </c>
      <c r="BS35" s="0" t="s">
        <v>168</v>
      </c>
      <c r="BT35" s="0" t="n">
        <v>0</v>
      </c>
      <c r="BU35" s="0" t="s">
        <v>1148</v>
      </c>
      <c r="BV35" s="0" t="s">
        <v>1139</v>
      </c>
      <c r="BW35" s="0" t="s">
        <v>1136</v>
      </c>
      <c r="BX35" s="0" t="s">
        <v>1149</v>
      </c>
      <c r="BY35" s="0" t="s">
        <v>247</v>
      </c>
      <c r="CC35" s="0" t="s">
        <v>738</v>
      </c>
      <c r="CE35" s="0" t="s">
        <v>162</v>
      </c>
      <c r="CH35" s="0" t="s">
        <v>163</v>
      </c>
      <c r="CJ35" s="0" t="s">
        <v>163</v>
      </c>
      <c r="CK35" s="0" t="s">
        <v>162</v>
      </c>
      <c r="CL35" s="0" t="s">
        <v>577</v>
      </c>
      <c r="CM35" s="0" t="s">
        <v>1150</v>
      </c>
      <c r="CN35" s="0" t="s">
        <v>174</v>
      </c>
      <c r="CO35" s="0" t="n">
        <v>48</v>
      </c>
      <c r="CP35" s="0" t="s">
        <v>968</v>
      </c>
      <c r="CQ35" s="0" t="s">
        <v>1151</v>
      </c>
      <c r="CR35" s="0" t="s">
        <v>206</v>
      </c>
      <c r="CS35" s="0" t="n">
        <v>0.65</v>
      </c>
      <c r="CT35" s="0" t="n">
        <v>55.3</v>
      </c>
      <c r="CU35" s="0" t="n">
        <v>16.3</v>
      </c>
      <c r="CV35" s="0" t="n">
        <v>11</v>
      </c>
      <c r="CW35" s="0" t="n">
        <v>15</v>
      </c>
      <c r="CX35" s="0" t="n">
        <v>8</v>
      </c>
      <c r="CY35" s="0" t="n">
        <f aca="false">IF(AH35="exact",10,IF(AH35="adjacent",5,0))</f>
        <v>5</v>
      </c>
      <c r="CZ35" s="0" t="n">
        <f aca="false">IF(R35="Y",15,0)</f>
        <v>0</v>
      </c>
      <c r="DF35" s="0" t="s">
        <v>158</v>
      </c>
      <c r="DG35" s="0" t="s">
        <v>211</v>
      </c>
      <c r="DJ35" s="0" t="s">
        <v>1152</v>
      </c>
      <c r="DK35" s="0" t="s">
        <v>1153</v>
      </c>
      <c r="DL35" s="0" t="s">
        <v>1154</v>
      </c>
      <c r="DM35" s="0" t="s">
        <v>1155</v>
      </c>
      <c r="DN35" s="0" t="s">
        <v>1156</v>
      </c>
      <c r="DO35" s="0" t="s">
        <v>1157</v>
      </c>
      <c r="DS35" s="0" t="s">
        <v>158</v>
      </c>
      <c r="DX35" s="0" t="s">
        <v>168</v>
      </c>
      <c r="DY35" s="0" t="s">
        <v>221</v>
      </c>
      <c r="DZ35" s="0" t="s">
        <v>1158</v>
      </c>
      <c r="ER35" s="0" t="str">
        <f aca="false">IF(ISNUMBER(MATCH(U35,{"queued","contacted","replied","call_booked","call_done","yes_in_principle","materials_sent"},0)),"Y","N")</f>
        <v>Y</v>
      </c>
      <c r="ES35" s="0" t="str">
        <f aca="false">IF(COUNTIFS($AP$2:$AP$1000,AP35,$ER$2:$ER$1000,"Y")+COUNTIFS($AP$2:$AP$1000,AP35,$T$2:$T$1000,"Y")&gt;0,"Y","N")</f>
        <v>Y</v>
      </c>
      <c r="ET35" s="0" t="str">
        <f aca="false">IF(AND(U35="new",T35="N",AT35="Y",AS35="",ES35="N"),"Y","N")</f>
        <v>N</v>
      </c>
      <c r="EU35" s="0" t="str">
        <f aca="false">IF(ET35&lt;&gt;"Y","N",IF(COUNTIFS($AP$2:$AP$1000,AP35,$ET$2:$ET$1000,"Y",$J$2:$J$1000,"&gt;"&amp;J35)+COUNTIFS($AP$2:$AP$1000,AP35,$ET$2:$ET$1000,"Y",$J$2:$J$1000,J35,$EW$2:$EW$1000,"&lt;"&amp;EW35)=0,"Y","N"))</f>
        <v>N</v>
      </c>
      <c r="EV35" s="0" t="str">
        <f aca="false">IF(Y35="","N",IF(Y35&lt;=10,"Y","N"))</f>
        <v>N</v>
      </c>
      <c r="EW35" s="0" t="n">
        <f aca="false">ROW()-1</f>
        <v>34</v>
      </c>
    </row>
    <row r="36" customFormat="false" ht="15" hidden="false" customHeight="false" outlineLevel="0" collapsed="false">
      <c r="A36" s="0" t="s">
        <v>1159</v>
      </c>
      <c r="B36" s="0" t="s">
        <v>1160</v>
      </c>
      <c r="C36" s="0" t="s">
        <v>1161</v>
      </c>
      <c r="D36" s="0" t="s">
        <v>1162</v>
      </c>
      <c r="E36" s="0" t="s">
        <v>696</v>
      </c>
      <c r="H36" s="5" t="s">
        <v>158</v>
      </c>
      <c r="I36" s="5" t="s">
        <v>159</v>
      </c>
      <c r="J36" s="0" t="n">
        <f aca="false">IF(AX36="pass",ROUND(CU36+CV36+CW36+CX36+CY36+CZ36,1),0)</f>
        <v>55.2</v>
      </c>
      <c r="K36" s="0" t="s">
        <v>1163</v>
      </c>
      <c r="L36" s="0" t="s">
        <v>187</v>
      </c>
      <c r="R36" s="5" t="s">
        <v>162</v>
      </c>
      <c r="S36" s="0" t="s">
        <v>163</v>
      </c>
      <c r="T36" s="5" t="s">
        <v>162</v>
      </c>
      <c r="U36" s="5" t="s">
        <v>164</v>
      </c>
      <c r="V36" s="0" t="s">
        <v>1164</v>
      </c>
      <c r="W36" s="0" t="s">
        <v>166</v>
      </c>
      <c r="X36" s="0" t="s">
        <v>167</v>
      </c>
      <c r="Y36" s="0" t="str">
        <f aca="false">IF(EU36&lt;&gt;"Y","",COUNTIFS($EU$2:$EU$1000,"Y",$J$2:$J$1000,"&gt;"&amp;J36)+COUNTIFS($EU$2:$EU$1000,"Y",$J$2:$J$1000,J36,$EW$2:$EW$1000,"&lt;"&amp;EW36)+1)</f>
        <v/>
      </c>
      <c r="Z36" s="0" t="n">
        <v>35</v>
      </c>
      <c r="AA36" s="0" t="s">
        <v>168</v>
      </c>
      <c r="AB36" s="0" t="s">
        <v>1165</v>
      </c>
      <c r="AC36" s="0" t="s">
        <v>170</v>
      </c>
      <c r="AD36" s="0" t="s">
        <v>171</v>
      </c>
      <c r="AE36" s="0" t="s">
        <v>230</v>
      </c>
      <c r="AF36" s="0" t="s">
        <v>1166</v>
      </c>
      <c r="AG36" s="0" t="s">
        <v>174</v>
      </c>
      <c r="AH36" s="5" t="s">
        <v>309</v>
      </c>
      <c r="AI36" s="0" t="s">
        <v>1167</v>
      </c>
      <c r="AJ36" s="0" t="s">
        <v>433</v>
      </c>
      <c r="AK36" s="0" t="s">
        <v>434</v>
      </c>
      <c r="AL36" s="0" t="n">
        <v>132</v>
      </c>
      <c r="AM36" s="0" t="n">
        <v>263</v>
      </c>
      <c r="AN36" s="0" t="s">
        <v>179</v>
      </c>
      <c r="AO36" s="0" t="s">
        <v>369</v>
      </c>
      <c r="AP36" s="0" t="s">
        <v>1159</v>
      </c>
      <c r="AQ36" s="5" t="s">
        <v>162</v>
      </c>
      <c r="AT36" s="0" t="str">
        <f aca="false">IF(AND(AX36="pass",AQ36&lt;&gt;"Y",C36&lt;&gt;"",OR(AW36&lt;&gt;"Y",AV36="Y")),"Y","N")</f>
        <v>Y</v>
      </c>
      <c r="AU36" s="0" t="str">
        <f aca="false">_xlfn.TEXTJOIN("; ",TRUE(),IF(AX36&lt;&gt;"pass","gated out",""),IF(AQ36="Y","on hold: "&amp;AR36,""),IF(C36="","no contact named on an opened page",""),IF(AND(AW36="Y",AV36&lt;&gt;"Y"),"Tuesday estimate band "&amp;L36&amp;": founder's call",""))</f>
        <v/>
      </c>
      <c r="AW36" s="0" t="s">
        <v>162</v>
      </c>
      <c r="AX36" s="0" t="s">
        <v>181</v>
      </c>
      <c r="AY36" s="0" t="s">
        <v>182</v>
      </c>
      <c r="AZ36" s="0" t="s">
        <v>1</v>
      </c>
      <c r="BA36" s="0" t="s">
        <v>1168</v>
      </c>
      <c r="BB36" s="0" t="s">
        <v>1169</v>
      </c>
      <c r="BC36" s="0" t="s">
        <v>1170</v>
      </c>
      <c r="BD36" s="0" t="s">
        <v>1171</v>
      </c>
      <c r="BF36" s="0" t="s">
        <v>239</v>
      </c>
      <c r="BG36" s="0" t="s">
        <v>188</v>
      </c>
      <c r="BH36" s="0" t="s">
        <v>189</v>
      </c>
      <c r="BI36" s="0" t="s">
        <v>1172</v>
      </c>
      <c r="BK36" s="0" t="s">
        <v>191</v>
      </c>
      <c r="BL36" s="0" t="s">
        <v>192</v>
      </c>
      <c r="BM36" s="0" t="s">
        <v>168</v>
      </c>
      <c r="BN36" s="0" t="s">
        <v>163</v>
      </c>
      <c r="BO36" s="0" t="s">
        <v>163</v>
      </c>
      <c r="BP36" s="0" t="s">
        <v>193</v>
      </c>
      <c r="BQ36" s="0" t="n">
        <v>40.734305</v>
      </c>
      <c r="BR36" s="0" t="n">
        <v>-73.991059</v>
      </c>
      <c r="BS36" s="0" t="s">
        <v>168</v>
      </c>
      <c r="BT36" s="0" t="n">
        <v>0</v>
      </c>
      <c r="BU36" s="0" t="s">
        <v>735</v>
      </c>
      <c r="BV36" s="0" t="s">
        <v>736</v>
      </c>
      <c r="BW36" s="0" t="s">
        <v>1164</v>
      </c>
      <c r="BX36" s="0" t="s">
        <v>1173</v>
      </c>
      <c r="BY36" s="0" t="s">
        <v>247</v>
      </c>
      <c r="BZ36" s="0" t="s">
        <v>1174</v>
      </c>
      <c r="CA36" s="0" t="s">
        <v>1175</v>
      </c>
      <c r="CC36" s="0" t="s">
        <v>179</v>
      </c>
      <c r="CE36" s="0" t="s">
        <v>162</v>
      </c>
      <c r="CH36" s="0" t="s">
        <v>201</v>
      </c>
      <c r="CI36" s="0" t="s">
        <v>739</v>
      </c>
      <c r="CJ36" s="0" t="s">
        <v>163</v>
      </c>
      <c r="CK36" s="0" t="s">
        <v>162</v>
      </c>
      <c r="CL36" s="0" t="s">
        <v>539</v>
      </c>
      <c r="CM36" s="0" t="s">
        <v>1176</v>
      </c>
      <c r="CN36" s="0" t="s">
        <v>174</v>
      </c>
      <c r="CO36" s="0" t="n">
        <v>186</v>
      </c>
      <c r="CP36" s="0" t="s">
        <v>250</v>
      </c>
      <c r="CQ36" s="0" t="s">
        <v>1177</v>
      </c>
      <c r="CR36" s="0" t="s">
        <v>206</v>
      </c>
      <c r="CS36" s="0" t="n">
        <v>0.93</v>
      </c>
      <c r="CT36" s="0" t="n">
        <v>55.2</v>
      </c>
      <c r="CU36" s="0" t="n">
        <v>23.2</v>
      </c>
      <c r="CV36" s="0" t="n">
        <v>15</v>
      </c>
      <c r="CW36" s="0" t="n">
        <v>7</v>
      </c>
      <c r="CX36" s="0" t="n">
        <v>5</v>
      </c>
      <c r="CY36" s="0" t="n">
        <f aca="false">IF(AH36="exact",10,IF(AH36="adjacent",5,0))</f>
        <v>5</v>
      </c>
      <c r="CZ36" s="0" t="n">
        <f aca="false">IF(R36="Y",15,0)</f>
        <v>0</v>
      </c>
      <c r="DF36" s="0" t="s">
        <v>158</v>
      </c>
      <c r="DG36" s="0" t="s">
        <v>211</v>
      </c>
      <c r="DJ36" s="0" t="s">
        <v>1178</v>
      </c>
      <c r="DK36" s="0" t="s">
        <v>1179</v>
      </c>
      <c r="DM36" s="0" t="s">
        <v>1180</v>
      </c>
      <c r="DO36" s="0" t="s">
        <v>1181</v>
      </c>
      <c r="DS36" s="0" t="s">
        <v>158</v>
      </c>
      <c r="DX36" s="0" t="s">
        <v>168</v>
      </c>
      <c r="DY36" s="0" t="s">
        <v>221</v>
      </c>
      <c r="ER36" s="0" t="str">
        <f aca="false">IF(ISNUMBER(MATCH(U36,{"queued","contacted","replied","call_booked","call_done","yes_in_principle","materials_sent"},0)),"Y","N")</f>
        <v>Y</v>
      </c>
      <c r="ES36" s="0" t="str">
        <f aca="false">IF(COUNTIFS($AP$2:$AP$1000,AP36,$ER$2:$ER$1000,"Y")+COUNTIFS($AP$2:$AP$1000,AP36,$T$2:$T$1000,"Y")&gt;0,"Y","N")</f>
        <v>Y</v>
      </c>
      <c r="ET36" s="0" t="str">
        <f aca="false">IF(AND(U36="new",T36="N",AT36="Y",AS36="",ES36="N"),"Y","N")</f>
        <v>N</v>
      </c>
      <c r="EU36" s="0" t="str">
        <f aca="false">IF(ET36&lt;&gt;"Y","N",IF(COUNTIFS($AP$2:$AP$1000,AP36,$ET$2:$ET$1000,"Y",$J$2:$J$1000,"&gt;"&amp;J36)+COUNTIFS($AP$2:$AP$1000,AP36,$ET$2:$ET$1000,"Y",$J$2:$J$1000,J36,$EW$2:$EW$1000,"&lt;"&amp;EW36)=0,"Y","N"))</f>
        <v>N</v>
      </c>
      <c r="EV36" s="0" t="str">
        <f aca="false">IF(Y36="","N",IF(Y36&lt;=10,"Y","N"))</f>
        <v>N</v>
      </c>
      <c r="EW36" s="0" t="n">
        <f aca="false">ROW()-1</f>
        <v>35</v>
      </c>
    </row>
    <row r="37" customFormat="false" ht="15" hidden="false" customHeight="false" outlineLevel="0" collapsed="false">
      <c r="A37" s="0" t="s">
        <v>1182</v>
      </c>
      <c r="B37" s="0" t="s">
        <v>1183</v>
      </c>
      <c r="C37" s="0" t="s">
        <v>450</v>
      </c>
      <c r="D37" s="0" t="s">
        <v>1184</v>
      </c>
      <c r="E37" s="0" t="s">
        <v>1185</v>
      </c>
      <c r="H37" s="5" t="s">
        <v>158</v>
      </c>
      <c r="I37" s="5" t="s">
        <v>159</v>
      </c>
      <c r="J37" s="0" t="n">
        <f aca="false">IF(AX37="pass",ROUND(CU37+CV37+CW37+CX37+CY37+CZ37,1),0)</f>
        <v>54</v>
      </c>
      <c r="K37" s="0" t="s">
        <v>1186</v>
      </c>
      <c r="L37" s="0" t="s">
        <v>394</v>
      </c>
      <c r="R37" s="5" t="s">
        <v>162</v>
      </c>
      <c r="S37" s="0" t="s">
        <v>163</v>
      </c>
      <c r="T37" s="5" t="s">
        <v>162</v>
      </c>
      <c r="U37" s="5" t="s">
        <v>164</v>
      </c>
      <c r="V37" s="0" t="s">
        <v>1187</v>
      </c>
      <c r="W37" s="0" t="s">
        <v>166</v>
      </c>
      <c r="X37" s="0" t="s">
        <v>167</v>
      </c>
      <c r="Y37" s="0" t="str">
        <f aca="false">IF(EU37&lt;&gt;"Y","",COUNTIFS($EU$2:$EU$1000,"Y",$J$2:$J$1000,"&gt;"&amp;J37)+COUNTIFS($EU$2:$EU$1000,"Y",$J$2:$J$1000,J37,$EW$2:$EW$1000,"&lt;"&amp;EW37)+1)</f>
        <v/>
      </c>
      <c r="Z37" s="0" t="n">
        <v>36</v>
      </c>
      <c r="AA37" s="0" t="s">
        <v>168</v>
      </c>
      <c r="AB37" s="0" t="s">
        <v>1188</v>
      </c>
      <c r="AC37" s="0" t="s">
        <v>170</v>
      </c>
      <c r="AD37" s="0" t="s">
        <v>171</v>
      </c>
      <c r="AE37" s="0" t="s">
        <v>1189</v>
      </c>
      <c r="AF37" s="0" t="s">
        <v>1190</v>
      </c>
      <c r="AG37" s="0" t="s">
        <v>174</v>
      </c>
      <c r="AH37" s="5" t="s">
        <v>309</v>
      </c>
      <c r="AI37" s="0" t="s">
        <v>1191</v>
      </c>
      <c r="AJ37" s="0" t="s">
        <v>233</v>
      </c>
      <c r="AK37" s="0" t="s">
        <v>434</v>
      </c>
      <c r="AL37" s="0" t="n">
        <v>50</v>
      </c>
      <c r="AM37" s="0" t="n">
        <v>50</v>
      </c>
      <c r="AN37" s="0" t="s">
        <v>738</v>
      </c>
      <c r="AO37" s="0" t="s">
        <v>163</v>
      </c>
      <c r="AP37" s="0" t="s">
        <v>1182</v>
      </c>
      <c r="AQ37" s="5" t="s">
        <v>162</v>
      </c>
      <c r="AT37" s="0" t="str">
        <f aca="false">IF(AND(AX37="pass",AQ37&lt;&gt;"Y",C37&lt;&gt;"",OR(AW37&lt;&gt;"Y",AV37="Y")),"Y","N")</f>
        <v>Y</v>
      </c>
      <c r="AU37" s="0" t="str">
        <f aca="false">_xlfn.TEXTJOIN("; ",TRUE(),IF(AX37&lt;&gt;"pass","gated out",""),IF(AQ37="Y","on hold: "&amp;AR37,""),IF(C37="","no contact named on an opened page",""),IF(AND(AW37="Y",AV37&lt;&gt;"Y"),"Tuesday estimate band "&amp;L37&amp;": founder's call",""))</f>
        <v/>
      </c>
      <c r="AW37" s="0" t="s">
        <v>162</v>
      </c>
      <c r="AX37" s="0" t="s">
        <v>181</v>
      </c>
      <c r="AY37" s="0" t="s">
        <v>182</v>
      </c>
      <c r="AZ37" s="0" t="s">
        <v>1</v>
      </c>
      <c r="BA37" s="0" t="s">
        <v>1192</v>
      </c>
      <c r="BB37" s="0" t="s">
        <v>163</v>
      </c>
      <c r="BC37" s="0" t="s">
        <v>1193</v>
      </c>
      <c r="BD37" s="0" t="s">
        <v>1194</v>
      </c>
      <c r="BF37" s="0" t="s">
        <v>394</v>
      </c>
      <c r="BG37" s="0" t="s">
        <v>1195</v>
      </c>
      <c r="BH37" s="0" t="s">
        <v>189</v>
      </c>
      <c r="BI37" s="0" t="s">
        <v>1187</v>
      </c>
      <c r="BK37" s="0" t="s">
        <v>163</v>
      </c>
      <c r="BL37" s="0" t="s">
        <v>163</v>
      </c>
      <c r="BM37" s="0" t="s">
        <v>163</v>
      </c>
      <c r="BN37" s="0" t="s">
        <v>163</v>
      </c>
      <c r="BO37" s="0" t="s">
        <v>163</v>
      </c>
      <c r="BP37" s="0" t="s">
        <v>346</v>
      </c>
      <c r="BQ37" s="0" t="n">
        <v>40.739961</v>
      </c>
      <c r="BR37" s="0" t="n">
        <v>-73.990971</v>
      </c>
      <c r="BS37" s="0" t="s">
        <v>168</v>
      </c>
      <c r="BT37" s="0" t="n">
        <v>0</v>
      </c>
      <c r="BU37" s="0" t="s">
        <v>1196</v>
      </c>
      <c r="BV37" s="0" t="s">
        <v>1197</v>
      </c>
      <c r="BW37" s="0" t="s">
        <v>1187</v>
      </c>
      <c r="BX37" s="0" t="s">
        <v>1198</v>
      </c>
      <c r="BY37" s="0" t="s">
        <v>247</v>
      </c>
      <c r="CC37" s="0" t="s">
        <v>179</v>
      </c>
      <c r="CE37" s="0" t="s">
        <v>162</v>
      </c>
      <c r="CH37" s="0" t="s">
        <v>163</v>
      </c>
      <c r="CJ37" s="0" t="s">
        <v>163</v>
      </c>
      <c r="CK37" s="0" t="s">
        <v>162</v>
      </c>
      <c r="CL37" s="0" t="s">
        <v>163</v>
      </c>
      <c r="CO37" s="0" t="n">
        <v>50</v>
      </c>
      <c r="CQ37" s="0" t="s">
        <v>1199</v>
      </c>
      <c r="CR37" s="0" t="s">
        <v>206</v>
      </c>
      <c r="CS37" s="0" t="n">
        <v>1</v>
      </c>
      <c r="CT37" s="0" t="n">
        <v>54</v>
      </c>
      <c r="CU37" s="0" t="n">
        <v>30</v>
      </c>
      <c r="CV37" s="0" t="n">
        <v>8</v>
      </c>
      <c r="CW37" s="0" t="n">
        <v>6</v>
      </c>
      <c r="CX37" s="0" t="n">
        <v>5</v>
      </c>
      <c r="CY37" s="0" t="n">
        <f aca="false">IF(AH37="exact",10,IF(AH37="adjacent",5,0))</f>
        <v>5</v>
      </c>
      <c r="CZ37" s="0" t="n">
        <f aca="false">IF(R37="Y",15,0)</f>
        <v>0</v>
      </c>
      <c r="DA37" s="0" t="s">
        <v>1200</v>
      </c>
      <c r="DB37" s="0" t="s">
        <v>1201</v>
      </c>
      <c r="DC37" s="0" t="s">
        <v>1202</v>
      </c>
      <c r="DF37" s="0" t="s">
        <v>158</v>
      </c>
      <c r="DG37" s="0" t="s">
        <v>211</v>
      </c>
      <c r="DJ37" s="0" t="s">
        <v>1203</v>
      </c>
      <c r="DK37" s="0" t="s">
        <v>1204</v>
      </c>
      <c r="DM37" s="0" t="s">
        <v>1205</v>
      </c>
      <c r="DN37" s="0" t="s">
        <v>669</v>
      </c>
      <c r="DO37" s="0" t="s">
        <v>1206</v>
      </c>
      <c r="DQ37" s="0" t="s">
        <v>216</v>
      </c>
      <c r="DR37" s="0" t="s">
        <v>1207</v>
      </c>
      <c r="DS37" s="0" t="s">
        <v>171</v>
      </c>
      <c r="DT37" s="0" t="s">
        <v>1189</v>
      </c>
      <c r="DU37" s="0" t="s">
        <v>1187</v>
      </c>
      <c r="DV37" s="0" t="s">
        <v>1198</v>
      </c>
      <c r="DW37" s="0" t="s">
        <v>1208</v>
      </c>
      <c r="DX37" s="0" t="s">
        <v>168</v>
      </c>
      <c r="DY37" s="0" t="s">
        <v>221</v>
      </c>
      <c r="ER37" s="0" t="str">
        <f aca="false">IF(ISNUMBER(MATCH(U37,{"queued","contacted","replied","call_booked","call_done","yes_in_principle","materials_sent"},0)),"Y","N")</f>
        <v>Y</v>
      </c>
      <c r="ES37" s="0" t="str">
        <f aca="false">IF(COUNTIFS($AP$2:$AP$1000,AP37,$ER$2:$ER$1000,"Y")+COUNTIFS($AP$2:$AP$1000,AP37,$T$2:$T$1000,"Y")&gt;0,"Y","N")</f>
        <v>Y</v>
      </c>
      <c r="ET37" s="0" t="str">
        <f aca="false">IF(AND(U37="new",T37="N",AT37="Y",AS37="",ES37="N"),"Y","N")</f>
        <v>N</v>
      </c>
      <c r="EU37" s="0" t="str">
        <f aca="false">IF(ET37&lt;&gt;"Y","N",IF(COUNTIFS($AP$2:$AP$1000,AP37,$ET$2:$ET$1000,"Y",$J$2:$J$1000,"&gt;"&amp;J37)+COUNTIFS($AP$2:$AP$1000,AP37,$ET$2:$ET$1000,"Y",$J$2:$J$1000,J37,$EW$2:$EW$1000,"&lt;"&amp;EW37)=0,"Y","N"))</f>
        <v>N</v>
      </c>
      <c r="EV37" s="0" t="str">
        <f aca="false">IF(Y37="","N",IF(Y37&lt;=10,"Y","N"))</f>
        <v>N</v>
      </c>
      <c r="EW37" s="0" t="n">
        <f aca="false">ROW()-1</f>
        <v>36</v>
      </c>
    </row>
    <row r="38" customFormat="false" ht="15" hidden="false" customHeight="false" outlineLevel="0" collapsed="false">
      <c r="A38" s="0" t="s">
        <v>1209</v>
      </c>
      <c r="B38" s="0" t="s">
        <v>1210</v>
      </c>
      <c r="H38" s="5" t="s">
        <v>158</v>
      </c>
      <c r="I38" s="5" t="s">
        <v>594</v>
      </c>
      <c r="J38" s="0" t="n">
        <f aca="false">IF(AX38="pass",ROUND(CU38+CV38+CW38+CX38+CY38+CZ38,1),0)</f>
        <v>54</v>
      </c>
      <c r="K38" s="0" t="s">
        <v>1211</v>
      </c>
      <c r="L38" s="0" t="s">
        <v>560</v>
      </c>
      <c r="R38" s="5" t="s">
        <v>162</v>
      </c>
      <c r="S38" s="0" t="s">
        <v>163</v>
      </c>
      <c r="T38" s="5" t="s">
        <v>162</v>
      </c>
      <c r="U38" s="5" t="s">
        <v>561</v>
      </c>
      <c r="V38" s="0" t="s">
        <v>1212</v>
      </c>
      <c r="W38" s="0" t="s">
        <v>166</v>
      </c>
      <c r="X38" s="0" t="s">
        <v>167</v>
      </c>
      <c r="Y38" s="0" t="str">
        <f aca="false">IF(EU38&lt;&gt;"Y","",COUNTIFS($EU$2:$EU$1000,"Y",$J$2:$J$1000,"&gt;"&amp;J38)+COUNTIFS($EU$2:$EU$1000,"Y",$J$2:$J$1000,J38,$EW$2:$EW$1000,"&lt;"&amp;EW38)+1)</f>
        <v/>
      </c>
      <c r="Z38" s="0" t="n">
        <v>37</v>
      </c>
      <c r="AA38" s="0" t="s">
        <v>168</v>
      </c>
      <c r="AB38" s="0" t="s">
        <v>1213</v>
      </c>
      <c r="AD38" s="0" t="s">
        <v>158</v>
      </c>
      <c r="AH38" s="5" t="s">
        <v>158</v>
      </c>
      <c r="AI38" s="0" t="s">
        <v>1214</v>
      </c>
      <c r="AJ38" s="0" t="s">
        <v>1215</v>
      </c>
      <c r="AK38" s="0" t="s">
        <v>178</v>
      </c>
      <c r="AL38" s="0" t="n">
        <v>22</v>
      </c>
      <c r="AM38" s="0" t="n">
        <v>56</v>
      </c>
      <c r="AN38" s="0" t="s">
        <v>179</v>
      </c>
      <c r="AO38" s="0" t="s">
        <v>180</v>
      </c>
      <c r="AP38" s="0" t="s">
        <v>1209</v>
      </c>
      <c r="AQ38" s="5" t="s">
        <v>162</v>
      </c>
      <c r="AT38" s="0" t="str">
        <f aca="false">IF(AND(AX38="pass",AQ38&lt;&gt;"Y",C38&lt;&gt;"",OR(AW38&lt;&gt;"Y",AV38="Y")),"Y","N")</f>
        <v>N</v>
      </c>
      <c r="AU38" s="0" t="str">
        <f aca="false">_xlfn.TEXTJOIN("; ",TRUE(),IF(AX38&lt;&gt;"pass","gated out",""),IF(AQ38="Y","on hold: "&amp;AR38,""),IF(C38="","no contact named on an opened page",""),IF(AND(AW38="Y",AV38&lt;&gt;"Y"),"Tuesday estimate band "&amp;L38&amp;": founder's call",""))</f>
        <v>no contact named on an opened page; Tuesday estimate band under-40: founder's call</v>
      </c>
      <c r="AW38" s="0" t="s">
        <v>168</v>
      </c>
      <c r="AX38" s="0" t="s">
        <v>181</v>
      </c>
      <c r="AY38" s="0" t="s">
        <v>182</v>
      </c>
      <c r="AZ38" s="0" t="s">
        <v>1</v>
      </c>
      <c r="BA38" s="0" t="s">
        <v>1216</v>
      </c>
      <c r="BB38" s="0" t="s">
        <v>1217</v>
      </c>
      <c r="BC38" s="0" t="s">
        <v>1218</v>
      </c>
      <c r="BD38" s="0" t="s">
        <v>1219</v>
      </c>
      <c r="BE38" s="0" t="s">
        <v>1220</v>
      </c>
      <c r="BF38" s="0" t="s">
        <v>163</v>
      </c>
      <c r="BG38" s="0" t="s">
        <v>163</v>
      </c>
      <c r="BH38" s="0" t="s">
        <v>279</v>
      </c>
      <c r="BI38" s="0" t="s">
        <v>1221</v>
      </c>
      <c r="BJ38" s="0" t="s">
        <v>1222</v>
      </c>
      <c r="BK38" s="0" t="s">
        <v>191</v>
      </c>
      <c r="BL38" s="0" t="s">
        <v>192</v>
      </c>
      <c r="BM38" s="0" t="s">
        <v>168</v>
      </c>
      <c r="BN38" s="0" t="s">
        <v>163</v>
      </c>
      <c r="BO38" s="0" t="s">
        <v>163</v>
      </c>
      <c r="BP38" s="0" t="s">
        <v>346</v>
      </c>
      <c r="BQ38" s="0" t="n">
        <v>40.74082</v>
      </c>
      <c r="BR38" s="0" t="n">
        <v>-73.992366</v>
      </c>
      <c r="BS38" s="0" t="s">
        <v>168</v>
      </c>
      <c r="BT38" s="0" t="n">
        <v>0</v>
      </c>
      <c r="BU38" s="0" t="s">
        <v>1223</v>
      </c>
      <c r="BV38" s="0" t="s">
        <v>1224</v>
      </c>
      <c r="BW38" s="0" t="s">
        <v>1212</v>
      </c>
      <c r="BX38" s="0" t="s">
        <v>1225</v>
      </c>
      <c r="BY38" s="0" t="s">
        <v>247</v>
      </c>
      <c r="BZ38" s="0" t="s">
        <v>1226</v>
      </c>
      <c r="CA38" s="0" t="s">
        <v>166</v>
      </c>
      <c r="CC38" s="0" t="s">
        <v>200</v>
      </c>
      <c r="CE38" s="0" t="s">
        <v>162</v>
      </c>
      <c r="CH38" s="0" t="s">
        <v>163</v>
      </c>
      <c r="CJ38" s="0" t="s">
        <v>163</v>
      </c>
      <c r="CK38" s="0" t="s">
        <v>162</v>
      </c>
      <c r="CL38" s="0" t="s">
        <v>448</v>
      </c>
      <c r="CM38" s="0" t="s">
        <v>1227</v>
      </c>
      <c r="CN38" s="0" t="s">
        <v>174</v>
      </c>
      <c r="CO38" s="0" t="n">
        <v>35</v>
      </c>
      <c r="CP38" s="0" t="s">
        <v>578</v>
      </c>
      <c r="CQ38" s="0" t="s">
        <v>1228</v>
      </c>
      <c r="CR38" s="0" t="s">
        <v>206</v>
      </c>
      <c r="CS38" s="0" t="n">
        <v>0.36</v>
      </c>
      <c r="CT38" s="0" t="n">
        <v>54</v>
      </c>
      <c r="CU38" s="0" t="n">
        <v>9</v>
      </c>
      <c r="CV38" s="0" t="n">
        <v>15</v>
      </c>
      <c r="CW38" s="0" t="n">
        <v>15</v>
      </c>
      <c r="CX38" s="0" t="n">
        <v>15</v>
      </c>
      <c r="CY38" s="0" t="n">
        <f aca="false">IF(AH38="exact",10,IF(AH38="adjacent",5,0))</f>
        <v>0</v>
      </c>
      <c r="CZ38" s="0" t="n">
        <f aca="false">IF(R38="Y",15,0)</f>
        <v>0</v>
      </c>
      <c r="DF38" s="0" t="s">
        <v>158</v>
      </c>
      <c r="DG38" s="0" t="s">
        <v>211</v>
      </c>
      <c r="DJ38" s="0" t="s">
        <v>1229</v>
      </c>
      <c r="DK38" s="0" t="s">
        <v>1230</v>
      </c>
      <c r="DS38" s="0" t="s">
        <v>158</v>
      </c>
      <c r="DX38" s="0" t="s">
        <v>168</v>
      </c>
      <c r="ER38" s="0" t="str">
        <f aca="false">IF(ISNUMBER(MATCH(U38,{"queued","contacted","replied","call_booked","call_done","yes_in_principle","materials_sent"},0)),"Y","N")</f>
        <v>N</v>
      </c>
      <c r="ES38" s="0" t="str">
        <f aca="false">IF(COUNTIFS($AP$2:$AP$1000,AP38,$ER$2:$ER$1000,"Y")+COUNTIFS($AP$2:$AP$1000,AP38,$T$2:$T$1000,"Y")&gt;0,"Y","N")</f>
        <v>N</v>
      </c>
      <c r="ET38" s="0" t="str">
        <f aca="false">IF(AND(U38="new",T38="N",AT38="Y",AS38="",ES38="N"),"Y","N")</f>
        <v>N</v>
      </c>
      <c r="EU38" s="0" t="str">
        <f aca="false">IF(ET38&lt;&gt;"Y","N",IF(COUNTIFS($AP$2:$AP$1000,AP38,$ET$2:$ET$1000,"Y",$J$2:$J$1000,"&gt;"&amp;J38)+COUNTIFS($AP$2:$AP$1000,AP38,$ET$2:$ET$1000,"Y",$J$2:$J$1000,J38,$EW$2:$EW$1000,"&lt;"&amp;EW38)=0,"Y","N"))</f>
        <v>N</v>
      </c>
      <c r="EV38" s="0" t="str">
        <f aca="false">IF(Y38="","N",IF(Y38&lt;=10,"Y","N"))</f>
        <v>N</v>
      </c>
      <c r="EW38" s="0" t="n">
        <f aca="false">ROW()-1</f>
        <v>37</v>
      </c>
    </row>
    <row r="39" customFormat="false" ht="15" hidden="false" customHeight="false" outlineLevel="0" collapsed="false">
      <c r="A39" s="0" t="s">
        <v>1231</v>
      </c>
      <c r="B39" s="0" t="s">
        <v>1232</v>
      </c>
      <c r="H39" s="5" t="s">
        <v>158</v>
      </c>
      <c r="I39" s="5" t="s">
        <v>594</v>
      </c>
      <c r="J39" s="0" t="n">
        <f aca="false">IF(AX39="pass",ROUND(CU39+CV39+CW39+CX39+CY39+CZ39,1),0)</f>
        <v>52.4</v>
      </c>
      <c r="K39" s="0" t="s">
        <v>1233</v>
      </c>
      <c r="L39" s="0" t="s">
        <v>394</v>
      </c>
      <c r="R39" s="5" t="s">
        <v>162</v>
      </c>
      <c r="S39" s="0" t="s">
        <v>163</v>
      </c>
      <c r="T39" s="5" t="s">
        <v>162</v>
      </c>
      <c r="U39" s="5" t="s">
        <v>561</v>
      </c>
      <c r="V39" s="0" t="s">
        <v>1234</v>
      </c>
      <c r="W39" s="0" t="s">
        <v>166</v>
      </c>
      <c r="X39" s="0" t="s">
        <v>167</v>
      </c>
      <c r="Y39" s="0" t="str">
        <f aca="false">IF(EU39&lt;&gt;"Y","",COUNTIFS($EU$2:$EU$1000,"Y",$J$2:$J$1000,"&gt;"&amp;J39)+COUNTIFS($EU$2:$EU$1000,"Y",$J$2:$J$1000,J39,$EW$2:$EW$1000,"&lt;"&amp;EW39)+1)</f>
        <v/>
      </c>
      <c r="Z39" s="0" t="n">
        <v>38</v>
      </c>
      <c r="AA39" s="0" t="s">
        <v>168</v>
      </c>
      <c r="AB39" s="0" t="s">
        <v>597</v>
      </c>
      <c r="AD39" s="0" t="s">
        <v>158</v>
      </c>
      <c r="AH39" s="5" t="s">
        <v>158</v>
      </c>
      <c r="AI39" s="0" t="s">
        <v>836</v>
      </c>
      <c r="AJ39" s="0" t="s">
        <v>163</v>
      </c>
      <c r="AK39" s="0" t="s">
        <v>178</v>
      </c>
      <c r="AL39" s="0" t="n">
        <v>9</v>
      </c>
      <c r="AM39" s="0" t="n">
        <v>224</v>
      </c>
      <c r="AN39" s="0" t="s">
        <v>179</v>
      </c>
      <c r="AO39" s="0" t="s">
        <v>180</v>
      </c>
      <c r="AP39" s="0" t="s">
        <v>1231</v>
      </c>
      <c r="AQ39" s="5" t="s">
        <v>162</v>
      </c>
      <c r="AT39" s="0" t="str">
        <f aca="false">IF(AND(AX39="pass",AQ39&lt;&gt;"Y",C39&lt;&gt;"",OR(AW39&lt;&gt;"Y",AV39="Y")),"Y","N")</f>
        <v>N</v>
      </c>
      <c r="AU39" s="0" t="str">
        <f aca="false">_xlfn.TEXTJOIN("; ",TRUE(),IF(AX39&lt;&gt;"pass","gated out",""),IF(AQ39="Y","on hold: "&amp;AR39,""),IF(C39="","no contact named on an opened page",""),IF(AND(AW39="Y",AV39&lt;&gt;"Y"),"Tuesday estimate band "&amp;L39&amp;": founder's call",""))</f>
        <v>no contact named on an opened page</v>
      </c>
      <c r="AW39" s="0" t="s">
        <v>162</v>
      </c>
      <c r="AX39" s="0" t="s">
        <v>181</v>
      </c>
      <c r="AY39" s="0" t="s">
        <v>182</v>
      </c>
      <c r="AZ39" s="0" t="s">
        <v>1</v>
      </c>
      <c r="BA39" s="0" t="s">
        <v>1235</v>
      </c>
      <c r="BB39" s="0" t="s">
        <v>1236</v>
      </c>
      <c r="BC39" s="0" t="s">
        <v>1237</v>
      </c>
      <c r="BD39" s="0" t="s">
        <v>1238</v>
      </c>
      <c r="BE39" s="0" t="s">
        <v>1239</v>
      </c>
      <c r="BF39" s="0" t="s">
        <v>239</v>
      </c>
      <c r="BG39" s="0" t="s">
        <v>188</v>
      </c>
      <c r="BH39" s="0" t="s">
        <v>240</v>
      </c>
      <c r="BI39" s="0" t="s">
        <v>1240</v>
      </c>
      <c r="BJ39" s="0" t="s">
        <v>1241</v>
      </c>
      <c r="BK39" s="0" t="s">
        <v>191</v>
      </c>
      <c r="BL39" s="0" t="s">
        <v>1242</v>
      </c>
      <c r="BM39" s="0" t="s">
        <v>162</v>
      </c>
      <c r="BN39" s="0" t="s">
        <v>1243</v>
      </c>
      <c r="BO39" s="0" t="s">
        <v>163</v>
      </c>
      <c r="BP39" s="0" t="s">
        <v>346</v>
      </c>
      <c r="BQ39" s="0" t="n">
        <v>40.743006</v>
      </c>
      <c r="BR39" s="0" t="n">
        <v>-73.98947</v>
      </c>
      <c r="BS39" s="0" t="s">
        <v>168</v>
      </c>
      <c r="BT39" s="0" t="n">
        <v>0</v>
      </c>
      <c r="BU39" s="0" t="s">
        <v>842</v>
      </c>
      <c r="BV39" s="0" t="s">
        <v>843</v>
      </c>
      <c r="BW39" s="0" t="s">
        <v>1234</v>
      </c>
      <c r="BX39" s="0" t="s">
        <v>1244</v>
      </c>
      <c r="BY39" s="0" t="s">
        <v>247</v>
      </c>
      <c r="CC39" s="0" t="s">
        <v>738</v>
      </c>
      <c r="CE39" s="0" t="s">
        <v>162</v>
      </c>
      <c r="CH39" s="0" t="s">
        <v>201</v>
      </c>
      <c r="CI39" s="0" t="s">
        <v>845</v>
      </c>
      <c r="CJ39" s="0" t="s">
        <v>163</v>
      </c>
      <c r="CK39" s="0" t="s">
        <v>162</v>
      </c>
      <c r="CL39" s="0" t="s">
        <v>577</v>
      </c>
      <c r="CM39" s="0" t="s">
        <v>1240</v>
      </c>
      <c r="CN39" s="0" t="s">
        <v>174</v>
      </c>
      <c r="CO39" s="0" t="n">
        <v>45</v>
      </c>
      <c r="CP39" s="0" t="s">
        <v>968</v>
      </c>
      <c r="CQ39" s="0" t="s">
        <v>1245</v>
      </c>
      <c r="CR39" s="0" t="s">
        <v>206</v>
      </c>
      <c r="CS39" s="0" t="n">
        <v>0.54</v>
      </c>
      <c r="CT39" s="0" t="n">
        <v>52.4</v>
      </c>
      <c r="CU39" s="0" t="n">
        <v>13.4</v>
      </c>
      <c r="CV39" s="0" t="n">
        <v>11</v>
      </c>
      <c r="CW39" s="0" t="n">
        <v>15</v>
      </c>
      <c r="CX39" s="0" t="n">
        <v>13</v>
      </c>
      <c r="CY39" s="0" t="n">
        <f aca="false">IF(AH39="exact",10,IF(AH39="adjacent",5,0))</f>
        <v>0</v>
      </c>
      <c r="CZ39" s="0" t="n">
        <f aca="false">IF(R39="Y",15,0)</f>
        <v>0</v>
      </c>
      <c r="DF39" s="0" t="s">
        <v>158</v>
      </c>
      <c r="DG39" s="0" t="s">
        <v>211</v>
      </c>
      <c r="DK39" s="0" t="s">
        <v>1246</v>
      </c>
      <c r="DS39" s="0" t="s">
        <v>158</v>
      </c>
      <c r="DX39" s="0" t="s">
        <v>168</v>
      </c>
      <c r="ER39" s="0" t="str">
        <f aca="false">IF(ISNUMBER(MATCH(U39,{"queued","contacted","replied","call_booked","call_done","yes_in_principle","materials_sent"},0)),"Y","N")</f>
        <v>N</v>
      </c>
      <c r="ES39" s="0" t="str">
        <f aca="false">IF(COUNTIFS($AP$2:$AP$1000,AP39,$ER$2:$ER$1000,"Y")+COUNTIFS($AP$2:$AP$1000,AP39,$T$2:$T$1000,"Y")&gt;0,"Y","N")</f>
        <v>N</v>
      </c>
      <c r="ET39" s="0" t="str">
        <f aca="false">IF(AND(U39="new",T39="N",AT39="Y",AS39="",ES39="N"),"Y","N")</f>
        <v>N</v>
      </c>
      <c r="EU39" s="0" t="str">
        <f aca="false">IF(ET39&lt;&gt;"Y","N",IF(COUNTIFS($AP$2:$AP$1000,AP39,$ET$2:$ET$1000,"Y",$J$2:$J$1000,"&gt;"&amp;J39)+COUNTIFS($AP$2:$AP$1000,AP39,$ET$2:$ET$1000,"Y",$J$2:$J$1000,J39,$EW$2:$EW$1000,"&lt;"&amp;EW39)=0,"Y","N"))</f>
        <v>N</v>
      </c>
      <c r="EV39" s="0" t="str">
        <f aca="false">IF(Y39="","N",IF(Y39&lt;=10,"Y","N"))</f>
        <v>N</v>
      </c>
      <c r="EW39" s="0" t="n">
        <f aca="false">ROW()-1</f>
        <v>38</v>
      </c>
    </row>
    <row r="40" customFormat="false" ht="15" hidden="false" customHeight="false" outlineLevel="0" collapsed="false">
      <c r="A40" s="0" t="s">
        <v>1247</v>
      </c>
      <c r="B40" s="0" t="s">
        <v>1248</v>
      </c>
      <c r="C40" s="0" t="s">
        <v>1249</v>
      </c>
      <c r="D40" s="0" t="s">
        <v>1250</v>
      </c>
      <c r="E40" s="0" t="s">
        <v>1251</v>
      </c>
      <c r="H40" s="5" t="s">
        <v>158</v>
      </c>
      <c r="I40" s="5" t="s">
        <v>159</v>
      </c>
      <c r="J40" s="0" t="n">
        <f aca="false">IF(AX40="pass",ROUND(CU40+CV40+CW40+CX40+CY40+CZ40,1),0)</f>
        <v>52.3</v>
      </c>
      <c r="K40" s="0" t="s">
        <v>1252</v>
      </c>
      <c r="L40" s="0" t="s">
        <v>187</v>
      </c>
      <c r="R40" s="5" t="s">
        <v>162</v>
      </c>
      <c r="S40" s="0" t="s">
        <v>163</v>
      </c>
      <c r="T40" s="5" t="s">
        <v>162</v>
      </c>
      <c r="U40" s="5" t="s">
        <v>561</v>
      </c>
      <c r="V40" s="0" t="s">
        <v>1253</v>
      </c>
      <c r="W40" s="0" t="s">
        <v>166</v>
      </c>
      <c r="X40" s="0" t="s">
        <v>167</v>
      </c>
      <c r="Y40" s="0" t="n">
        <f aca="false">IF(EU40&lt;&gt;"Y","",COUNTIFS($EU$2:$EU$1000,"Y",$J$2:$J$1000,"&gt;"&amp;J40)+COUNTIFS($EU$2:$EU$1000,"Y",$J$2:$J$1000,J40,$EW$2:$EW$1000,"&lt;"&amp;EW40)+1)</f>
        <v>1</v>
      </c>
      <c r="Z40" s="0" t="n">
        <v>39</v>
      </c>
      <c r="AA40" s="0" t="s">
        <v>168</v>
      </c>
      <c r="AB40" s="0" t="s">
        <v>1254</v>
      </c>
      <c r="AC40" s="0" t="s">
        <v>170</v>
      </c>
      <c r="AD40" s="0" t="s">
        <v>171</v>
      </c>
      <c r="AE40" s="0" t="s">
        <v>172</v>
      </c>
      <c r="AF40" s="0" t="s">
        <v>1255</v>
      </c>
      <c r="AG40" s="0" t="s">
        <v>174</v>
      </c>
      <c r="AH40" s="5" t="s">
        <v>309</v>
      </c>
      <c r="AI40" s="0" t="s">
        <v>1256</v>
      </c>
      <c r="AJ40" s="0" t="s">
        <v>1257</v>
      </c>
      <c r="AK40" s="0" t="s">
        <v>178</v>
      </c>
      <c r="AL40" s="0" t="n">
        <v>100</v>
      </c>
      <c r="AM40" s="0" t="n">
        <v>309</v>
      </c>
      <c r="AN40" s="0" t="s">
        <v>179</v>
      </c>
      <c r="AO40" s="0" t="s">
        <v>163</v>
      </c>
      <c r="AP40" s="0" t="s">
        <v>1247</v>
      </c>
      <c r="AQ40" s="5" t="s">
        <v>162</v>
      </c>
      <c r="AT40" s="0" t="str">
        <f aca="false">IF(AND(AX40="pass",AQ40&lt;&gt;"Y",C40&lt;&gt;"",OR(AW40&lt;&gt;"Y",AV40="Y")),"Y","N")</f>
        <v>Y</v>
      </c>
      <c r="AU40" s="0" t="str">
        <f aca="false">_xlfn.TEXTJOIN("; ",TRUE(),IF(AX40&lt;&gt;"pass","gated out",""),IF(AQ40="Y","on hold: "&amp;AR40,""),IF(C40="","no contact named on an opened page",""),IF(AND(AW40="Y",AV40&lt;&gt;"Y"),"Tuesday estimate band "&amp;L40&amp;": founder's call",""))</f>
        <v/>
      </c>
      <c r="AW40" s="0" t="s">
        <v>162</v>
      </c>
      <c r="AX40" s="0" t="s">
        <v>181</v>
      </c>
      <c r="AY40" s="0" t="s">
        <v>182</v>
      </c>
      <c r="AZ40" s="0" t="s">
        <v>1</v>
      </c>
      <c r="BA40" s="0" t="s">
        <v>1258</v>
      </c>
      <c r="BB40" s="0" t="s">
        <v>1259</v>
      </c>
      <c r="BC40" s="0" t="s">
        <v>1260</v>
      </c>
      <c r="BD40" s="0" t="s">
        <v>1068</v>
      </c>
      <c r="BE40" s="0" t="s">
        <v>1261</v>
      </c>
      <c r="BF40" s="0" t="s">
        <v>163</v>
      </c>
      <c r="BG40" s="0" t="s">
        <v>163</v>
      </c>
      <c r="BH40" s="0" t="s">
        <v>279</v>
      </c>
      <c r="BI40" s="0" t="s">
        <v>1253</v>
      </c>
      <c r="BJ40" s="0" t="s">
        <v>1262</v>
      </c>
      <c r="BK40" s="0" t="s">
        <v>1263</v>
      </c>
      <c r="BL40" s="0" t="s">
        <v>192</v>
      </c>
      <c r="BM40" s="0" t="s">
        <v>168</v>
      </c>
      <c r="BN40" s="0" t="s">
        <v>163</v>
      </c>
      <c r="BO40" s="0" t="s">
        <v>163</v>
      </c>
      <c r="BP40" s="0" t="s">
        <v>193</v>
      </c>
      <c r="BQ40" s="0" t="n">
        <v>40.7357</v>
      </c>
      <c r="BR40" s="0" t="n">
        <v>-73.991754</v>
      </c>
      <c r="BS40" s="0" t="s">
        <v>168</v>
      </c>
      <c r="BT40" s="0" t="n">
        <v>0</v>
      </c>
      <c r="BU40" s="0" t="s">
        <v>1264</v>
      </c>
      <c r="BV40" s="0" t="s">
        <v>1265</v>
      </c>
      <c r="BW40" s="0" t="s">
        <v>1253</v>
      </c>
      <c r="BX40" s="0" t="s">
        <v>166</v>
      </c>
      <c r="BY40" s="0" t="s">
        <v>196</v>
      </c>
      <c r="BZ40" s="0" t="s">
        <v>1266</v>
      </c>
      <c r="CA40" s="0" t="s">
        <v>1267</v>
      </c>
      <c r="CC40" s="0" t="s">
        <v>200</v>
      </c>
      <c r="CE40" s="0" t="s">
        <v>162</v>
      </c>
      <c r="CH40" s="0" t="s">
        <v>163</v>
      </c>
      <c r="CJ40" s="0" t="s">
        <v>163</v>
      </c>
      <c r="CK40" s="0" t="s">
        <v>162</v>
      </c>
      <c r="CL40" s="0" t="s">
        <v>163</v>
      </c>
      <c r="CO40" s="0" t="n">
        <v>176</v>
      </c>
      <c r="CP40" s="0" t="s">
        <v>250</v>
      </c>
      <c r="CQ40" s="0" t="s">
        <v>1268</v>
      </c>
      <c r="CR40" s="0" t="s">
        <v>206</v>
      </c>
      <c r="CS40" s="0" t="n">
        <v>0.81</v>
      </c>
      <c r="CT40" s="0" t="n">
        <v>52.3</v>
      </c>
      <c r="CU40" s="0" t="n">
        <v>20.3</v>
      </c>
      <c r="CV40" s="0" t="n">
        <v>6</v>
      </c>
      <c r="CW40" s="0" t="n">
        <v>6</v>
      </c>
      <c r="CX40" s="0" t="n">
        <v>15</v>
      </c>
      <c r="CY40" s="0" t="n">
        <f aca="false">IF(AH40="exact",10,IF(AH40="adjacent",5,0))</f>
        <v>5</v>
      </c>
      <c r="CZ40" s="0" t="n">
        <f aca="false">IF(R40="Y",15,0)</f>
        <v>0</v>
      </c>
      <c r="DF40" s="0" t="s">
        <v>158</v>
      </c>
      <c r="DG40" s="0" t="s">
        <v>211</v>
      </c>
      <c r="DK40" s="0" t="s">
        <v>1269</v>
      </c>
      <c r="DM40" s="0" t="s">
        <v>1270</v>
      </c>
      <c r="DO40" s="0" t="s">
        <v>1271</v>
      </c>
      <c r="DS40" s="0" t="s">
        <v>158</v>
      </c>
      <c r="DX40" s="0" t="s">
        <v>168</v>
      </c>
      <c r="DY40" s="0" t="s">
        <v>263</v>
      </c>
      <c r="ER40" s="0" t="str">
        <f aca="false">IF(ISNUMBER(MATCH(U40,{"queued","contacted","replied","call_booked","call_done","yes_in_principle","materials_sent"},0)),"Y","N")</f>
        <v>N</v>
      </c>
      <c r="ES40" s="0" t="str">
        <f aca="false">IF(COUNTIFS($AP$2:$AP$1000,AP40,$ER$2:$ER$1000,"Y")+COUNTIFS($AP$2:$AP$1000,AP40,$T$2:$T$1000,"Y")&gt;0,"Y","N")</f>
        <v>N</v>
      </c>
      <c r="ET40" s="0" t="str">
        <f aca="false">IF(AND(U40="new",T40="N",AT40="Y",AS40="",ES40="N"),"Y","N")</f>
        <v>Y</v>
      </c>
      <c r="EU40" s="0" t="str">
        <f aca="false">IF(ET40&lt;&gt;"Y","N",IF(COUNTIFS($AP$2:$AP$1000,AP40,$ET$2:$ET$1000,"Y",$J$2:$J$1000,"&gt;"&amp;J40)+COUNTIFS($AP$2:$AP$1000,AP40,$ET$2:$ET$1000,"Y",$J$2:$J$1000,J40,$EW$2:$EW$1000,"&lt;"&amp;EW40)=0,"Y","N"))</f>
        <v>Y</v>
      </c>
      <c r="EV40" s="0" t="str">
        <f aca="false">IF(Y40="","N",IF(Y40&lt;=10,"Y","N"))</f>
        <v>Y</v>
      </c>
      <c r="EW40" s="0" t="n">
        <f aca="false">ROW()-1</f>
        <v>39</v>
      </c>
    </row>
    <row r="41" customFormat="false" ht="15" hidden="false" customHeight="false" outlineLevel="0" collapsed="false">
      <c r="A41" s="0" t="s">
        <v>1272</v>
      </c>
      <c r="B41" s="0" t="s">
        <v>1273</v>
      </c>
      <c r="H41" s="5" t="s">
        <v>158</v>
      </c>
      <c r="I41" s="5" t="s">
        <v>594</v>
      </c>
      <c r="J41" s="0" t="n">
        <f aca="false">IF(AX41="pass",ROUND(CU41+CV41+CW41+CX41+CY41+CZ41,1),0)</f>
        <v>52</v>
      </c>
      <c r="K41" s="0" t="s">
        <v>1274</v>
      </c>
      <c r="L41" s="0" t="s">
        <v>394</v>
      </c>
      <c r="R41" s="5" t="s">
        <v>162</v>
      </c>
      <c r="S41" s="0" t="s">
        <v>163</v>
      </c>
      <c r="T41" s="5" t="s">
        <v>162</v>
      </c>
      <c r="U41" s="5" t="s">
        <v>561</v>
      </c>
      <c r="V41" s="0" t="s">
        <v>197</v>
      </c>
      <c r="W41" s="0" t="s">
        <v>166</v>
      </c>
      <c r="X41" s="0" t="s">
        <v>167</v>
      </c>
      <c r="Y41" s="0" t="str">
        <f aca="false">IF(EU41&lt;&gt;"Y","",COUNTIFS($EU$2:$EU$1000,"Y",$J$2:$J$1000,"&gt;"&amp;J41)+COUNTIFS($EU$2:$EU$1000,"Y",$J$2:$J$1000,J41,$EW$2:$EW$1000,"&lt;"&amp;EW41)+1)</f>
        <v/>
      </c>
      <c r="Z41" s="0" t="n">
        <v>40</v>
      </c>
      <c r="AA41" s="0" t="s">
        <v>168</v>
      </c>
      <c r="AB41" s="0" t="s">
        <v>597</v>
      </c>
      <c r="AD41" s="0" t="s">
        <v>158</v>
      </c>
      <c r="AH41" s="5" t="s">
        <v>158</v>
      </c>
      <c r="AI41" s="0" t="s">
        <v>176</v>
      </c>
      <c r="AJ41" s="0" t="s">
        <v>1275</v>
      </c>
      <c r="AK41" s="0" t="s">
        <v>178</v>
      </c>
      <c r="AL41" s="0" t="n">
        <v>10</v>
      </c>
      <c r="AM41" s="0" t="n">
        <v>234</v>
      </c>
      <c r="AN41" s="0" t="s">
        <v>179</v>
      </c>
      <c r="AO41" s="0" t="s">
        <v>273</v>
      </c>
      <c r="AP41" s="0" t="s">
        <v>1272</v>
      </c>
      <c r="AQ41" s="5" t="s">
        <v>162</v>
      </c>
      <c r="AT41" s="0" t="str">
        <f aca="false">IF(AND(AX41="pass",AQ41&lt;&gt;"Y",C41&lt;&gt;"",OR(AW41&lt;&gt;"Y",AV41="Y")),"Y","N")</f>
        <v>N</v>
      </c>
      <c r="AU41" s="0" t="str">
        <f aca="false">_xlfn.TEXTJOIN("; ",TRUE(),IF(AX41&lt;&gt;"pass","gated out",""),IF(AQ41="Y","on hold: "&amp;AR41,""),IF(C41="","no contact named on an opened page",""),IF(AND(AW41="Y",AV41&lt;&gt;"Y"),"Tuesday estimate band "&amp;L41&amp;": founder's call",""))</f>
        <v>no contact named on an opened page</v>
      </c>
      <c r="AW41" s="0" t="s">
        <v>162</v>
      </c>
      <c r="AX41" s="0" t="s">
        <v>181</v>
      </c>
      <c r="AY41" s="0" t="s">
        <v>182</v>
      </c>
      <c r="AZ41" s="0" t="s">
        <v>1</v>
      </c>
      <c r="BA41" s="0" t="s">
        <v>1276</v>
      </c>
      <c r="BB41" s="0" t="s">
        <v>1277</v>
      </c>
      <c r="BC41" s="0" t="s">
        <v>1278</v>
      </c>
      <c r="BD41" s="0" t="s">
        <v>1068</v>
      </c>
      <c r="BE41" s="0" t="s">
        <v>1279</v>
      </c>
      <c r="BF41" s="0" t="s">
        <v>239</v>
      </c>
      <c r="BG41" s="0" t="s">
        <v>188</v>
      </c>
      <c r="BH41" s="0" t="s">
        <v>240</v>
      </c>
      <c r="BI41" s="0" t="s">
        <v>1280</v>
      </c>
      <c r="BJ41" s="0" t="s">
        <v>1281</v>
      </c>
      <c r="BK41" s="0" t="s">
        <v>191</v>
      </c>
      <c r="BL41" s="0" t="s">
        <v>656</v>
      </c>
      <c r="BM41" s="0" t="s">
        <v>162</v>
      </c>
      <c r="BN41" s="0" t="s">
        <v>163</v>
      </c>
      <c r="BO41" s="0" t="s">
        <v>163</v>
      </c>
      <c r="BP41" s="0" t="s">
        <v>193</v>
      </c>
      <c r="BQ41" s="0" t="n">
        <v>40.73686</v>
      </c>
      <c r="BR41" s="0" t="n">
        <v>-73.988546</v>
      </c>
      <c r="BS41" s="0" t="s">
        <v>168</v>
      </c>
      <c r="BT41" s="0" t="n">
        <v>0</v>
      </c>
      <c r="BU41" s="0" t="s">
        <v>194</v>
      </c>
      <c r="BV41" s="0" t="s">
        <v>195</v>
      </c>
      <c r="BW41" s="0" t="s">
        <v>197</v>
      </c>
      <c r="BX41" s="0" t="s">
        <v>198</v>
      </c>
      <c r="BY41" s="0" t="s">
        <v>282</v>
      </c>
      <c r="CB41" s="0" t="s">
        <v>199</v>
      </c>
      <c r="CC41" s="0" t="s">
        <v>738</v>
      </c>
      <c r="CE41" s="0" t="s">
        <v>162</v>
      </c>
      <c r="CH41" s="0" t="s">
        <v>201</v>
      </c>
      <c r="CI41" s="0" t="s">
        <v>202</v>
      </c>
      <c r="CJ41" s="0" t="s">
        <v>163</v>
      </c>
      <c r="CK41" s="0" t="s">
        <v>162</v>
      </c>
      <c r="CL41" s="0" t="s">
        <v>285</v>
      </c>
      <c r="CM41" s="0" t="s">
        <v>1282</v>
      </c>
      <c r="CN41" s="0" t="s">
        <v>174</v>
      </c>
      <c r="CO41" s="0" t="n">
        <v>48</v>
      </c>
      <c r="CP41" s="0" t="s">
        <v>968</v>
      </c>
      <c r="CQ41" s="0" t="s">
        <v>1283</v>
      </c>
      <c r="CR41" s="0" t="s">
        <v>206</v>
      </c>
      <c r="CS41" s="0" t="n">
        <v>0.56</v>
      </c>
      <c r="CT41" s="0" t="n">
        <v>52</v>
      </c>
      <c r="CU41" s="0" t="n">
        <v>14</v>
      </c>
      <c r="CV41" s="0" t="n">
        <v>15</v>
      </c>
      <c r="CW41" s="0" t="n">
        <v>10</v>
      </c>
      <c r="CX41" s="0" t="n">
        <v>13</v>
      </c>
      <c r="CY41" s="0" t="n">
        <f aca="false">IF(AH41="exact",10,IF(AH41="adjacent",5,0))</f>
        <v>0</v>
      </c>
      <c r="CZ41" s="0" t="n">
        <f aca="false">IF(R41="Y",15,0)</f>
        <v>0</v>
      </c>
      <c r="DF41" s="0" t="s">
        <v>158</v>
      </c>
      <c r="DG41" s="0" t="s">
        <v>211</v>
      </c>
      <c r="DJ41" s="0" t="s">
        <v>1284</v>
      </c>
      <c r="DK41" s="0" t="s">
        <v>1285</v>
      </c>
      <c r="DS41" s="0" t="s">
        <v>158</v>
      </c>
      <c r="DX41" s="0" t="s">
        <v>168</v>
      </c>
      <c r="ER41" s="0" t="str">
        <f aca="false">IF(ISNUMBER(MATCH(U41,{"queued","contacted","replied","call_booked","call_done","yes_in_principle","materials_sent"},0)),"Y","N")</f>
        <v>N</v>
      </c>
      <c r="ES41" s="0" t="str">
        <f aca="false">IF(COUNTIFS($AP$2:$AP$1000,AP41,$ER$2:$ER$1000,"Y")+COUNTIFS($AP$2:$AP$1000,AP41,$T$2:$T$1000,"Y")&gt;0,"Y","N")</f>
        <v>N</v>
      </c>
      <c r="ET41" s="0" t="str">
        <f aca="false">IF(AND(U41="new",T41="N",AT41="Y",AS41="",ES41="N"),"Y","N")</f>
        <v>N</v>
      </c>
      <c r="EU41" s="0" t="str">
        <f aca="false">IF(ET41&lt;&gt;"Y","N",IF(COUNTIFS($AP$2:$AP$1000,AP41,$ET$2:$ET$1000,"Y",$J$2:$J$1000,"&gt;"&amp;J41)+COUNTIFS($AP$2:$AP$1000,AP41,$ET$2:$ET$1000,"Y",$J$2:$J$1000,J41,$EW$2:$EW$1000,"&lt;"&amp;EW41)=0,"Y","N"))</f>
        <v>N</v>
      </c>
      <c r="EV41" s="0" t="str">
        <f aca="false">IF(Y41="","N",IF(Y41&lt;=10,"Y","N"))</f>
        <v>N</v>
      </c>
      <c r="EW41" s="0" t="n">
        <f aca="false">ROW()-1</f>
        <v>40</v>
      </c>
    </row>
    <row r="42" customFormat="false" ht="15" hidden="false" customHeight="false" outlineLevel="0" collapsed="false">
      <c r="A42" s="0" t="s">
        <v>1286</v>
      </c>
      <c r="B42" s="0" t="s">
        <v>1287</v>
      </c>
      <c r="H42" s="5" t="s">
        <v>158</v>
      </c>
      <c r="I42" s="5" t="s">
        <v>594</v>
      </c>
      <c r="J42" s="0" t="n">
        <f aca="false">IF(AX42="pass",ROUND(CU42+CV42+CW42+CX42+CY42+CZ42,1),0)</f>
        <v>51.7</v>
      </c>
      <c r="K42" s="0" t="s">
        <v>1288</v>
      </c>
      <c r="L42" s="0" t="s">
        <v>161</v>
      </c>
      <c r="O42" s="0" t="s">
        <v>1289</v>
      </c>
      <c r="P42" s="0" t="s">
        <v>1290</v>
      </c>
      <c r="Q42" s="0" t="s">
        <v>1291</v>
      </c>
      <c r="R42" s="5" t="s">
        <v>162</v>
      </c>
      <c r="S42" s="0" t="s">
        <v>163</v>
      </c>
      <c r="T42" s="5" t="s">
        <v>162</v>
      </c>
      <c r="U42" s="5" t="s">
        <v>561</v>
      </c>
      <c r="V42" s="0" t="s">
        <v>1290</v>
      </c>
      <c r="W42" s="0" t="s">
        <v>166</v>
      </c>
      <c r="X42" s="0" t="s">
        <v>167</v>
      </c>
      <c r="Y42" s="0" t="str">
        <f aca="false">IF(EU42&lt;&gt;"Y","",COUNTIFS($EU$2:$EU$1000,"Y",$J$2:$J$1000,"&gt;"&amp;J42)+COUNTIFS($EU$2:$EU$1000,"Y",$J$2:$J$1000,J42,$EW$2:$EW$1000,"&lt;"&amp;EW42)+1)</f>
        <v/>
      </c>
      <c r="Z42" s="0" t="n">
        <v>41</v>
      </c>
      <c r="AA42" s="0" t="s">
        <v>168</v>
      </c>
      <c r="AB42" s="0" t="s">
        <v>597</v>
      </c>
      <c r="AD42" s="0" t="s">
        <v>158</v>
      </c>
      <c r="AH42" s="5" t="s">
        <v>158</v>
      </c>
      <c r="AI42" s="0" t="s">
        <v>1292</v>
      </c>
      <c r="AJ42" s="0" t="s">
        <v>888</v>
      </c>
      <c r="AK42" s="0" t="s">
        <v>889</v>
      </c>
      <c r="AL42" s="0" t="n">
        <v>58</v>
      </c>
      <c r="AM42" s="0" t="n">
        <v>255</v>
      </c>
      <c r="AN42" s="0" t="s">
        <v>179</v>
      </c>
      <c r="AO42" s="0" t="s">
        <v>369</v>
      </c>
      <c r="AP42" s="0" t="s">
        <v>1286</v>
      </c>
      <c r="AQ42" s="5" t="s">
        <v>168</v>
      </c>
      <c r="AR42" s="0" t="s">
        <v>1293</v>
      </c>
      <c r="AT42" s="0" t="str">
        <f aca="false">IF(AND(AX42="pass",AQ42&lt;&gt;"Y",C42&lt;&gt;"",OR(AW42&lt;&gt;"Y",AV42="Y")),"Y","N")</f>
        <v>N</v>
      </c>
      <c r="AU42" s="0" t="str">
        <f aca="false">_xlfn.TEXTJOIN("; ",TRUE(),IF(AX42&lt;&gt;"pass","gated out",""),IF(AQ42="Y","on hold: "&amp;AR42,""),IF(C42="","no contact named on an opened page",""),IF(AND(AW42="Y",AV42&lt;&gt;"Y"),"Tuesday estimate band "&amp;L42&amp;": founder's call",""))</f>
        <v>on hold: lease signed, move not confirmed: check the lobby directory before outreach (B); still in a coworking space until the move; no contact named on an opened page</v>
      </c>
      <c r="AW42" s="0" t="s">
        <v>162</v>
      </c>
      <c r="AX42" s="0" t="s">
        <v>181</v>
      </c>
      <c r="AY42" s="0" t="s">
        <v>182</v>
      </c>
      <c r="AZ42" s="0" t="s">
        <v>1</v>
      </c>
      <c r="BA42" s="0" t="s">
        <v>1294</v>
      </c>
      <c r="BB42" s="0" t="s">
        <v>1295</v>
      </c>
      <c r="BC42" s="0" t="s">
        <v>1296</v>
      </c>
      <c r="BD42" s="0" t="s">
        <v>1297</v>
      </c>
      <c r="BE42" s="0" t="s">
        <v>1298</v>
      </c>
      <c r="BF42" s="0" t="s">
        <v>163</v>
      </c>
      <c r="BG42" s="0" t="s">
        <v>163</v>
      </c>
      <c r="BH42" s="0" t="s">
        <v>279</v>
      </c>
      <c r="BI42" s="0" t="s">
        <v>1299</v>
      </c>
      <c r="BJ42" s="0" t="s">
        <v>1300</v>
      </c>
      <c r="BK42" s="0" t="s">
        <v>191</v>
      </c>
      <c r="BL42" s="0" t="s">
        <v>192</v>
      </c>
      <c r="BM42" s="0" t="s">
        <v>168</v>
      </c>
      <c r="BN42" s="0" t="s">
        <v>163</v>
      </c>
      <c r="BO42" s="0" t="s">
        <v>163</v>
      </c>
      <c r="BP42" s="0" t="s">
        <v>377</v>
      </c>
      <c r="BQ42" s="0" t="n">
        <v>40.7409</v>
      </c>
      <c r="BR42" s="0" t="n">
        <v>-73.994512</v>
      </c>
      <c r="BS42" s="0" t="s">
        <v>168</v>
      </c>
      <c r="BT42" s="0" t="n">
        <v>0</v>
      </c>
      <c r="BU42" s="0" t="s">
        <v>1301</v>
      </c>
      <c r="BV42" s="0" t="s">
        <v>1302</v>
      </c>
      <c r="BW42" s="0" t="s">
        <v>1290</v>
      </c>
      <c r="BX42" s="0" t="s">
        <v>1291</v>
      </c>
      <c r="BY42" s="0" t="s">
        <v>247</v>
      </c>
      <c r="CC42" s="0" t="s">
        <v>738</v>
      </c>
      <c r="CD42" s="0" t="s">
        <v>163</v>
      </c>
      <c r="CE42" s="0" t="s">
        <v>162</v>
      </c>
      <c r="CH42" s="0" t="s">
        <v>163</v>
      </c>
      <c r="CJ42" s="0" t="s">
        <v>163</v>
      </c>
      <c r="CK42" s="0" t="s">
        <v>162</v>
      </c>
      <c r="CL42" s="0" t="s">
        <v>381</v>
      </c>
      <c r="CM42" s="0" t="s">
        <v>1303</v>
      </c>
      <c r="CN42" s="0" t="s">
        <v>174</v>
      </c>
      <c r="CO42" s="0" t="n">
        <v>122</v>
      </c>
      <c r="CP42" s="0" t="s">
        <v>250</v>
      </c>
      <c r="CQ42" s="0" t="s">
        <v>1304</v>
      </c>
      <c r="CR42" s="0" t="s">
        <v>206</v>
      </c>
      <c r="CS42" s="0" t="n">
        <v>0.99</v>
      </c>
      <c r="CT42" s="0" t="n">
        <v>51.7</v>
      </c>
      <c r="CU42" s="0" t="n">
        <v>24.7</v>
      </c>
      <c r="CV42" s="0" t="n">
        <v>15</v>
      </c>
      <c r="CW42" s="0" t="n">
        <v>7</v>
      </c>
      <c r="CX42" s="0" t="n">
        <v>5</v>
      </c>
      <c r="CY42" s="0" t="n">
        <f aca="false">IF(AH42="exact",10,IF(AH42="adjacent",5,0))</f>
        <v>0</v>
      </c>
      <c r="CZ42" s="0" t="n">
        <f aca="false">IF(R42="Y",15,0)</f>
        <v>0</v>
      </c>
      <c r="DF42" s="0" t="s">
        <v>158</v>
      </c>
      <c r="DG42" s="0" t="s">
        <v>211</v>
      </c>
      <c r="DJ42" s="0" t="s">
        <v>1305</v>
      </c>
      <c r="DK42" s="0" t="s">
        <v>1306</v>
      </c>
      <c r="DS42" s="0" t="s">
        <v>158</v>
      </c>
      <c r="DX42" s="0" t="s">
        <v>168</v>
      </c>
      <c r="ER42" s="0" t="str">
        <f aca="false">IF(ISNUMBER(MATCH(U42,{"queued","contacted","replied","call_booked","call_done","yes_in_principle","materials_sent"},0)),"Y","N")</f>
        <v>N</v>
      </c>
      <c r="ES42" s="0" t="str">
        <f aca="false">IF(COUNTIFS($AP$2:$AP$1000,AP42,$ER$2:$ER$1000,"Y")+COUNTIFS($AP$2:$AP$1000,AP42,$T$2:$T$1000,"Y")&gt;0,"Y","N")</f>
        <v>N</v>
      </c>
      <c r="ET42" s="0" t="str">
        <f aca="false">IF(AND(U42="new",T42="N",AT42="Y",AS42="",ES42="N"),"Y","N")</f>
        <v>N</v>
      </c>
      <c r="EU42" s="0" t="str">
        <f aca="false">IF(ET42&lt;&gt;"Y","N",IF(COUNTIFS($AP$2:$AP$1000,AP42,$ET$2:$ET$1000,"Y",$J$2:$J$1000,"&gt;"&amp;J42)+COUNTIFS($AP$2:$AP$1000,AP42,$ET$2:$ET$1000,"Y",$J$2:$J$1000,J42,$EW$2:$EW$1000,"&lt;"&amp;EW42)=0,"Y","N"))</f>
        <v>N</v>
      </c>
      <c r="EV42" s="0" t="str">
        <f aca="false">IF(Y42="","N",IF(Y42&lt;=10,"Y","N"))</f>
        <v>N</v>
      </c>
      <c r="EW42" s="0" t="n">
        <f aca="false">ROW()-1</f>
        <v>41</v>
      </c>
    </row>
    <row r="43" customFormat="false" ht="15" hidden="false" customHeight="false" outlineLevel="0" collapsed="false">
      <c r="A43" s="0" t="s">
        <v>1307</v>
      </c>
      <c r="B43" s="0" t="s">
        <v>1308</v>
      </c>
      <c r="C43" s="0" t="s">
        <v>1309</v>
      </c>
      <c r="D43" s="0" t="s">
        <v>1310</v>
      </c>
      <c r="E43" s="0" t="s">
        <v>1311</v>
      </c>
      <c r="H43" s="5" t="s">
        <v>158</v>
      </c>
      <c r="I43" s="5" t="s">
        <v>159</v>
      </c>
      <c r="J43" s="0" t="n">
        <f aca="false">IF(AX43="pass",ROUND(CU43+CV43+CW43+CX43+CY43+CZ43,1),0)</f>
        <v>51.7</v>
      </c>
      <c r="K43" s="0" t="s">
        <v>1312</v>
      </c>
      <c r="L43" s="0" t="s">
        <v>187</v>
      </c>
      <c r="R43" s="5" t="s">
        <v>162</v>
      </c>
      <c r="S43" s="0" t="s">
        <v>163</v>
      </c>
      <c r="T43" s="5" t="s">
        <v>162</v>
      </c>
      <c r="U43" s="5" t="s">
        <v>561</v>
      </c>
      <c r="V43" s="0" t="s">
        <v>1313</v>
      </c>
      <c r="W43" s="0" t="s">
        <v>166</v>
      </c>
      <c r="X43" s="0" t="s">
        <v>167</v>
      </c>
      <c r="Y43" s="0" t="n">
        <f aca="false">IF(EU43&lt;&gt;"Y","",COUNTIFS($EU$2:$EU$1000,"Y",$J$2:$J$1000,"&gt;"&amp;J43)+COUNTIFS($EU$2:$EU$1000,"Y",$J$2:$J$1000,J43,$EW$2:$EW$1000,"&lt;"&amp;EW43)+1)</f>
        <v>2</v>
      </c>
      <c r="Z43" s="0" t="n">
        <v>42</v>
      </c>
      <c r="AA43" s="0" t="s">
        <v>168</v>
      </c>
      <c r="AB43" s="0" t="s">
        <v>1314</v>
      </c>
      <c r="AC43" s="0" t="s">
        <v>170</v>
      </c>
      <c r="AD43" s="0" t="s">
        <v>171</v>
      </c>
      <c r="AE43" s="0" t="s">
        <v>172</v>
      </c>
      <c r="AF43" s="0" t="s">
        <v>1315</v>
      </c>
      <c r="AG43" s="0" t="s">
        <v>174</v>
      </c>
      <c r="AH43" s="5" t="s">
        <v>309</v>
      </c>
      <c r="AI43" s="0" t="s">
        <v>1316</v>
      </c>
      <c r="AJ43" s="0" t="s">
        <v>272</v>
      </c>
      <c r="AK43" s="0" t="s">
        <v>178</v>
      </c>
      <c r="AL43" s="0" t="n">
        <v>142</v>
      </c>
      <c r="AM43" s="0" t="n">
        <v>302</v>
      </c>
      <c r="AN43" s="0" t="s">
        <v>179</v>
      </c>
      <c r="AO43" s="0" t="s">
        <v>369</v>
      </c>
      <c r="AP43" s="0" t="s">
        <v>1307</v>
      </c>
      <c r="AQ43" s="5" t="s">
        <v>162</v>
      </c>
      <c r="AT43" s="0" t="str">
        <f aca="false">IF(AND(AX43="pass",AQ43&lt;&gt;"Y",C43&lt;&gt;"",OR(AW43&lt;&gt;"Y",AV43="Y")),"Y","N")</f>
        <v>Y</v>
      </c>
      <c r="AU43" s="0" t="str">
        <f aca="false">_xlfn.TEXTJOIN("; ",TRUE(),IF(AX43&lt;&gt;"pass","gated out",""),IF(AQ43="Y","on hold: "&amp;AR43,""),IF(C43="","no contact named on an opened page",""),IF(AND(AW43="Y",AV43&lt;&gt;"Y"),"Tuesday estimate band "&amp;L43&amp;": founder's call",""))</f>
        <v/>
      </c>
      <c r="AW43" s="0" t="s">
        <v>162</v>
      </c>
      <c r="AX43" s="0" t="s">
        <v>181</v>
      </c>
      <c r="AY43" s="0" t="s">
        <v>182</v>
      </c>
      <c r="AZ43" s="0" t="s">
        <v>1</v>
      </c>
      <c r="BA43" s="0" t="s">
        <v>1317</v>
      </c>
      <c r="BB43" s="0" t="s">
        <v>1318</v>
      </c>
      <c r="BC43" s="0" t="s">
        <v>1319</v>
      </c>
      <c r="BD43" s="0" t="s">
        <v>1320</v>
      </c>
      <c r="BE43" s="0" t="s">
        <v>1321</v>
      </c>
      <c r="BF43" s="0" t="s">
        <v>1322</v>
      </c>
      <c r="BG43" s="0" t="s">
        <v>188</v>
      </c>
      <c r="BH43" s="0" t="s">
        <v>1323</v>
      </c>
      <c r="BI43" s="0" t="s">
        <v>1324</v>
      </c>
      <c r="BJ43" s="0" t="s">
        <v>1325</v>
      </c>
      <c r="BK43" s="0" t="s">
        <v>1263</v>
      </c>
      <c r="BL43" s="0" t="s">
        <v>192</v>
      </c>
      <c r="BM43" s="0" t="s">
        <v>168</v>
      </c>
      <c r="BN43" s="0" t="s">
        <v>163</v>
      </c>
      <c r="BO43" s="0" t="s">
        <v>163</v>
      </c>
      <c r="BP43" s="0" t="s">
        <v>193</v>
      </c>
      <c r="BQ43" s="0" t="n">
        <v>40.73716</v>
      </c>
      <c r="BR43" s="0" t="n">
        <v>-73.990073</v>
      </c>
      <c r="BS43" s="0" t="s">
        <v>168</v>
      </c>
      <c r="BT43" s="0" t="n">
        <v>0</v>
      </c>
      <c r="BU43" s="0" t="s">
        <v>1326</v>
      </c>
      <c r="BV43" s="0" t="s">
        <v>1316</v>
      </c>
      <c r="BW43" s="0" t="s">
        <v>1313</v>
      </c>
      <c r="BX43" s="0" t="s">
        <v>1327</v>
      </c>
      <c r="BY43" s="0" t="s">
        <v>247</v>
      </c>
      <c r="BZ43" s="0" t="s">
        <v>1328</v>
      </c>
      <c r="CA43" s="0" t="s">
        <v>1329</v>
      </c>
      <c r="CC43" s="0" t="s">
        <v>200</v>
      </c>
      <c r="CE43" s="0" t="s">
        <v>162</v>
      </c>
      <c r="CH43" s="0" t="s">
        <v>163</v>
      </c>
      <c r="CJ43" s="0" t="s">
        <v>163</v>
      </c>
      <c r="CK43" s="0" t="s">
        <v>162</v>
      </c>
      <c r="CL43" s="0" t="s">
        <v>1330</v>
      </c>
      <c r="CM43" s="0" t="s">
        <v>1331</v>
      </c>
      <c r="CN43" s="0" t="s">
        <v>174</v>
      </c>
      <c r="CO43" s="0" t="n">
        <v>207</v>
      </c>
      <c r="CP43" s="0" t="s">
        <v>250</v>
      </c>
      <c r="CQ43" s="0" t="s">
        <v>1332</v>
      </c>
      <c r="CR43" s="0" t="s">
        <v>206</v>
      </c>
      <c r="CS43" s="0" t="n">
        <v>0.75</v>
      </c>
      <c r="CT43" s="0" t="n">
        <v>51.7</v>
      </c>
      <c r="CU43" s="0" t="n">
        <v>18.7</v>
      </c>
      <c r="CV43" s="0" t="n">
        <v>6</v>
      </c>
      <c r="CW43" s="0" t="n">
        <v>7</v>
      </c>
      <c r="CX43" s="0" t="n">
        <v>15</v>
      </c>
      <c r="CY43" s="0" t="n">
        <f aca="false">IF(AH43="exact",10,IF(AH43="adjacent",5,0))</f>
        <v>5</v>
      </c>
      <c r="CZ43" s="0" t="n">
        <f aca="false">IF(R43="Y",15,0)</f>
        <v>0</v>
      </c>
      <c r="DA43" s="0" t="s">
        <v>1333</v>
      </c>
      <c r="DB43" s="0" t="s">
        <v>1334</v>
      </c>
      <c r="DC43" s="0" t="s">
        <v>807</v>
      </c>
      <c r="DF43" s="0" t="s">
        <v>158</v>
      </c>
      <c r="DG43" s="0" t="s">
        <v>1335</v>
      </c>
      <c r="DH43" s="0" t="s">
        <v>1336</v>
      </c>
      <c r="DI43" s="0" t="s">
        <v>168</v>
      </c>
      <c r="DJ43" s="0" t="s">
        <v>1337</v>
      </c>
      <c r="DK43" s="0" t="s">
        <v>1338</v>
      </c>
      <c r="DM43" s="0" t="s">
        <v>1339</v>
      </c>
      <c r="DO43" s="0" t="s">
        <v>1340</v>
      </c>
      <c r="DQ43" s="0" t="s">
        <v>216</v>
      </c>
      <c r="DR43" s="0" t="s">
        <v>1341</v>
      </c>
      <c r="DS43" s="0" t="s">
        <v>171</v>
      </c>
      <c r="DT43" s="0" t="s">
        <v>172</v>
      </c>
      <c r="DU43" s="0" t="s">
        <v>1315</v>
      </c>
      <c r="DW43" s="0" t="s">
        <v>1342</v>
      </c>
      <c r="DX43" s="0" t="s">
        <v>168</v>
      </c>
      <c r="DY43" s="0" t="s">
        <v>263</v>
      </c>
      <c r="ER43" s="0" t="str">
        <f aca="false">IF(ISNUMBER(MATCH(U43,{"queued","contacted","replied","call_booked","call_done","yes_in_principle","materials_sent"},0)),"Y","N")</f>
        <v>N</v>
      </c>
      <c r="ES43" s="0" t="str">
        <f aca="false">IF(COUNTIFS($AP$2:$AP$1000,AP43,$ER$2:$ER$1000,"Y")+COUNTIFS($AP$2:$AP$1000,AP43,$T$2:$T$1000,"Y")&gt;0,"Y","N")</f>
        <v>N</v>
      </c>
      <c r="ET43" s="0" t="str">
        <f aca="false">IF(AND(U43="new",T43="N",AT43="Y",AS43="",ES43="N"),"Y","N")</f>
        <v>Y</v>
      </c>
      <c r="EU43" s="0" t="str">
        <f aca="false">IF(ET43&lt;&gt;"Y","N",IF(COUNTIFS($AP$2:$AP$1000,AP43,$ET$2:$ET$1000,"Y",$J$2:$J$1000,"&gt;"&amp;J43)+COUNTIFS($AP$2:$AP$1000,AP43,$ET$2:$ET$1000,"Y",$J$2:$J$1000,J43,$EW$2:$EW$1000,"&lt;"&amp;EW43)=0,"Y","N"))</f>
        <v>Y</v>
      </c>
      <c r="EV43" s="0" t="str">
        <f aca="false">IF(Y43="","N",IF(Y43&lt;=10,"Y","N"))</f>
        <v>Y</v>
      </c>
      <c r="EW43" s="0" t="n">
        <f aca="false">ROW()-1</f>
        <v>42</v>
      </c>
    </row>
    <row r="44" customFormat="false" ht="15" hidden="false" customHeight="false" outlineLevel="0" collapsed="false">
      <c r="A44" s="0" t="s">
        <v>1343</v>
      </c>
      <c r="B44" s="0" t="s">
        <v>1344</v>
      </c>
      <c r="H44" s="5" t="s">
        <v>158</v>
      </c>
      <c r="I44" s="5" t="s">
        <v>594</v>
      </c>
      <c r="J44" s="0" t="n">
        <f aca="false">IF(AX44="pass",ROUND(CU44+CV44+CW44+CX44+CY44+CZ44,1),0)</f>
        <v>51.3</v>
      </c>
      <c r="K44" s="0" t="s">
        <v>1345</v>
      </c>
      <c r="L44" s="0" t="s">
        <v>161</v>
      </c>
      <c r="R44" s="5" t="s">
        <v>162</v>
      </c>
      <c r="S44" s="0" t="s">
        <v>163</v>
      </c>
      <c r="T44" s="5" t="s">
        <v>162</v>
      </c>
      <c r="U44" s="5" t="s">
        <v>561</v>
      </c>
      <c r="V44" s="0" t="s">
        <v>197</v>
      </c>
      <c r="W44" s="0" t="s">
        <v>166</v>
      </c>
      <c r="X44" s="0" t="s">
        <v>167</v>
      </c>
      <c r="Y44" s="0" t="str">
        <f aca="false">IF(EU44&lt;&gt;"Y","",COUNTIFS($EU$2:$EU$1000,"Y",$J$2:$J$1000,"&gt;"&amp;J44)+COUNTIFS($EU$2:$EU$1000,"Y",$J$2:$J$1000,J44,$EW$2:$EW$1000,"&lt;"&amp;EW44)+1)</f>
        <v/>
      </c>
      <c r="Z44" s="0" t="n">
        <v>43</v>
      </c>
      <c r="AA44" s="0" t="s">
        <v>168</v>
      </c>
      <c r="AB44" s="0" t="s">
        <v>597</v>
      </c>
      <c r="AD44" s="0" t="s">
        <v>158</v>
      </c>
      <c r="AH44" s="5" t="s">
        <v>158</v>
      </c>
      <c r="AI44" s="0" t="s">
        <v>176</v>
      </c>
      <c r="AJ44" s="0" t="s">
        <v>163</v>
      </c>
      <c r="AK44" s="0" t="s">
        <v>178</v>
      </c>
      <c r="AL44" s="0" t="n">
        <v>28</v>
      </c>
      <c r="AM44" s="0" t="n">
        <v>559</v>
      </c>
      <c r="AN44" s="0" t="s">
        <v>179</v>
      </c>
      <c r="AO44" s="0" t="s">
        <v>180</v>
      </c>
      <c r="AP44" s="0" t="s">
        <v>1343</v>
      </c>
      <c r="AQ44" s="5" t="s">
        <v>162</v>
      </c>
      <c r="AT44" s="0" t="str">
        <f aca="false">IF(AND(AX44="pass",AQ44&lt;&gt;"Y",C44&lt;&gt;"",OR(AW44&lt;&gt;"Y",AV44="Y")),"Y","N")</f>
        <v>N</v>
      </c>
      <c r="AU44" s="0" t="str">
        <f aca="false">_xlfn.TEXTJOIN("; ",TRUE(),IF(AX44&lt;&gt;"pass","gated out",""),IF(AQ44="Y","on hold: "&amp;AR44,""),IF(C44="","no contact named on an opened page",""),IF(AND(AW44="Y",AV44&lt;&gt;"Y"),"Tuesday estimate band "&amp;L44&amp;": founder's call",""))</f>
        <v>no contact named on an opened page</v>
      </c>
      <c r="AW44" s="0" t="s">
        <v>162</v>
      </c>
      <c r="AX44" s="0" t="s">
        <v>181</v>
      </c>
      <c r="AY44" s="0" t="s">
        <v>182</v>
      </c>
      <c r="AZ44" s="0" t="s">
        <v>1</v>
      </c>
      <c r="BA44" s="0" t="s">
        <v>1346</v>
      </c>
      <c r="BB44" s="0" t="s">
        <v>163</v>
      </c>
      <c r="BC44" s="0" t="s">
        <v>1347</v>
      </c>
      <c r="BD44" s="0" t="s">
        <v>1348</v>
      </c>
      <c r="BF44" s="0" t="s">
        <v>1322</v>
      </c>
      <c r="BG44" s="0" t="s">
        <v>188</v>
      </c>
      <c r="BH44" s="0" t="s">
        <v>189</v>
      </c>
      <c r="BI44" s="0" t="s">
        <v>1349</v>
      </c>
      <c r="BK44" s="0" t="s">
        <v>1263</v>
      </c>
      <c r="BL44" s="0" t="s">
        <v>1350</v>
      </c>
      <c r="BM44" s="0" t="s">
        <v>162</v>
      </c>
      <c r="BN44" s="0" t="s">
        <v>163</v>
      </c>
      <c r="BO44" s="0" t="s">
        <v>163</v>
      </c>
      <c r="BP44" s="0" t="s">
        <v>193</v>
      </c>
      <c r="BQ44" s="0" t="n">
        <v>40.73686</v>
      </c>
      <c r="BR44" s="0" t="n">
        <v>-73.988546</v>
      </c>
      <c r="BS44" s="0" t="s">
        <v>168</v>
      </c>
      <c r="BT44" s="0" t="n">
        <v>0</v>
      </c>
      <c r="BU44" s="0" t="s">
        <v>194</v>
      </c>
      <c r="BV44" s="0" t="s">
        <v>195</v>
      </c>
      <c r="BW44" s="0" t="s">
        <v>197</v>
      </c>
      <c r="BX44" s="0" t="s">
        <v>198</v>
      </c>
      <c r="BY44" s="0" t="s">
        <v>282</v>
      </c>
      <c r="BZ44" s="0" t="s">
        <v>283</v>
      </c>
      <c r="CA44" s="0" t="s">
        <v>284</v>
      </c>
      <c r="CB44" s="0" t="s">
        <v>199</v>
      </c>
      <c r="CC44" s="0" t="s">
        <v>200</v>
      </c>
      <c r="CE44" s="0" t="s">
        <v>162</v>
      </c>
      <c r="CH44" s="0" t="s">
        <v>201</v>
      </c>
      <c r="CI44" s="0" t="s">
        <v>202</v>
      </c>
      <c r="CJ44" s="0" t="s">
        <v>163</v>
      </c>
      <c r="CK44" s="0" t="s">
        <v>162</v>
      </c>
      <c r="CL44" s="0" t="s">
        <v>577</v>
      </c>
      <c r="CM44" s="0" t="s">
        <v>1351</v>
      </c>
      <c r="CN44" s="0" t="s">
        <v>174</v>
      </c>
      <c r="CO44" s="0" t="n">
        <v>125</v>
      </c>
      <c r="CP44" s="0" t="s">
        <v>767</v>
      </c>
      <c r="CQ44" s="0" t="s">
        <v>1352</v>
      </c>
      <c r="CR44" s="0" t="s">
        <v>206</v>
      </c>
      <c r="CS44" s="0" t="n">
        <v>0.61</v>
      </c>
      <c r="CT44" s="0" t="n">
        <v>51.3</v>
      </c>
      <c r="CU44" s="0" t="n">
        <v>15.3</v>
      </c>
      <c r="CV44" s="0" t="n">
        <v>6</v>
      </c>
      <c r="CW44" s="0" t="n">
        <v>15</v>
      </c>
      <c r="CX44" s="0" t="n">
        <v>15</v>
      </c>
      <c r="CY44" s="0" t="n">
        <f aca="false">IF(AH44="exact",10,IF(AH44="adjacent",5,0))</f>
        <v>0</v>
      </c>
      <c r="CZ44" s="0" t="n">
        <f aca="false">IF(R44="Y",15,0)</f>
        <v>0</v>
      </c>
      <c r="DF44" s="0" t="s">
        <v>158</v>
      </c>
      <c r="DG44" s="0" t="s">
        <v>1335</v>
      </c>
      <c r="DH44" s="0" t="s">
        <v>1336</v>
      </c>
      <c r="DI44" s="0" t="s">
        <v>162</v>
      </c>
      <c r="DJ44" s="0" t="s">
        <v>1353</v>
      </c>
      <c r="DK44" s="0" t="s">
        <v>1354</v>
      </c>
      <c r="DS44" s="0" t="s">
        <v>158</v>
      </c>
      <c r="DX44" s="0" t="s">
        <v>168</v>
      </c>
      <c r="ER44" s="0" t="str">
        <f aca="false">IF(ISNUMBER(MATCH(U44,{"queued","contacted","replied","call_booked","call_done","yes_in_principle","materials_sent"},0)),"Y","N")</f>
        <v>N</v>
      </c>
      <c r="ES44" s="0" t="str">
        <f aca="false">IF(COUNTIFS($AP$2:$AP$1000,AP44,$ER$2:$ER$1000,"Y")+COUNTIFS($AP$2:$AP$1000,AP44,$T$2:$T$1000,"Y")&gt;0,"Y","N")</f>
        <v>N</v>
      </c>
      <c r="ET44" s="0" t="str">
        <f aca="false">IF(AND(U44="new",T44="N",AT44="Y",AS44="",ES44="N"),"Y","N")</f>
        <v>N</v>
      </c>
      <c r="EU44" s="0" t="str">
        <f aca="false">IF(ET44&lt;&gt;"Y","N",IF(COUNTIFS($AP$2:$AP$1000,AP44,$ET$2:$ET$1000,"Y",$J$2:$J$1000,"&gt;"&amp;J44)+COUNTIFS($AP$2:$AP$1000,AP44,$ET$2:$ET$1000,"Y",$J$2:$J$1000,J44,$EW$2:$EW$1000,"&lt;"&amp;EW44)=0,"Y","N"))</f>
        <v>N</v>
      </c>
      <c r="EV44" s="0" t="str">
        <f aca="false">IF(Y44="","N",IF(Y44&lt;=10,"Y","N"))</f>
        <v>N</v>
      </c>
      <c r="EW44" s="0" t="n">
        <f aca="false">ROW()-1</f>
        <v>43</v>
      </c>
    </row>
    <row r="45" customFormat="false" ht="15" hidden="false" customHeight="false" outlineLevel="0" collapsed="false">
      <c r="A45" s="0" t="s">
        <v>1355</v>
      </c>
      <c r="B45" s="0" t="s">
        <v>1356</v>
      </c>
      <c r="C45" s="0" t="s">
        <v>1357</v>
      </c>
      <c r="D45" s="0" t="s">
        <v>1358</v>
      </c>
      <c r="E45" s="0" t="s">
        <v>1359</v>
      </c>
      <c r="H45" s="5" t="s">
        <v>158</v>
      </c>
      <c r="I45" s="5" t="s">
        <v>159</v>
      </c>
      <c r="J45" s="0" t="n">
        <f aca="false">IF(AX45="pass",ROUND(CU45+CV45+CW45+CX45+CY45+CZ45,1),0)</f>
        <v>51.2</v>
      </c>
      <c r="K45" s="0" t="s">
        <v>1360</v>
      </c>
      <c r="L45" s="0" t="s">
        <v>161</v>
      </c>
      <c r="R45" s="5" t="s">
        <v>162</v>
      </c>
      <c r="S45" s="0" t="s">
        <v>163</v>
      </c>
      <c r="T45" s="5" t="s">
        <v>162</v>
      </c>
      <c r="U45" s="5" t="s">
        <v>561</v>
      </c>
      <c r="V45" s="0" t="s">
        <v>1361</v>
      </c>
      <c r="W45" s="0" t="s">
        <v>166</v>
      </c>
      <c r="X45" s="0" t="s">
        <v>167</v>
      </c>
      <c r="Y45" s="0" t="n">
        <f aca="false">IF(EU45&lt;&gt;"Y","",COUNTIFS($EU$2:$EU$1000,"Y",$J$2:$J$1000,"&gt;"&amp;J45)+COUNTIFS($EU$2:$EU$1000,"Y",$J$2:$J$1000,J45,$EW$2:$EW$1000,"&lt;"&amp;EW45)+1)</f>
        <v>3</v>
      </c>
      <c r="Z45" s="0" t="n">
        <v>44</v>
      </c>
      <c r="AA45" s="0" t="s">
        <v>168</v>
      </c>
      <c r="AB45" s="0" t="s">
        <v>1362</v>
      </c>
      <c r="AC45" s="0" t="s">
        <v>170</v>
      </c>
      <c r="AD45" s="0" t="s">
        <v>171</v>
      </c>
      <c r="AE45" s="0" t="s">
        <v>172</v>
      </c>
      <c r="AF45" s="0" t="s">
        <v>1363</v>
      </c>
      <c r="AG45" s="0" t="s">
        <v>174</v>
      </c>
      <c r="AH45" s="5" t="s">
        <v>309</v>
      </c>
      <c r="AI45" s="0" t="s">
        <v>232</v>
      </c>
      <c r="AJ45" s="0" t="s">
        <v>1364</v>
      </c>
      <c r="AK45" s="0" t="s">
        <v>178</v>
      </c>
      <c r="AL45" s="0" t="n">
        <v>28</v>
      </c>
      <c r="AM45" s="0" t="n">
        <v>570</v>
      </c>
      <c r="AN45" s="0" t="s">
        <v>179</v>
      </c>
      <c r="AO45" s="0" t="s">
        <v>273</v>
      </c>
      <c r="AP45" s="0" t="s">
        <v>1355</v>
      </c>
      <c r="AQ45" s="5" t="s">
        <v>162</v>
      </c>
      <c r="AT45" s="0" t="str">
        <f aca="false">IF(AND(AX45="pass",AQ45&lt;&gt;"Y",C45&lt;&gt;"",OR(AW45&lt;&gt;"Y",AV45="Y")),"Y","N")</f>
        <v>Y</v>
      </c>
      <c r="AU45" s="0" t="str">
        <f aca="false">_xlfn.TEXTJOIN("; ",TRUE(),IF(AX45&lt;&gt;"pass","gated out",""),IF(AQ45="Y","on hold: "&amp;AR45,""),IF(C45="","no contact named on an opened page",""),IF(AND(AW45="Y",AV45&lt;&gt;"Y"),"Tuesday estimate band "&amp;L45&amp;": founder's call",""))</f>
        <v/>
      </c>
      <c r="AW45" s="0" t="s">
        <v>162</v>
      </c>
      <c r="AX45" s="0" t="s">
        <v>181</v>
      </c>
      <c r="AY45" s="0" t="s">
        <v>182</v>
      </c>
      <c r="AZ45" s="0" t="s">
        <v>1</v>
      </c>
      <c r="BA45" s="0" t="s">
        <v>1365</v>
      </c>
      <c r="BB45" s="0" t="s">
        <v>1366</v>
      </c>
      <c r="BC45" s="0" t="s">
        <v>1367</v>
      </c>
      <c r="BD45" s="0" t="s">
        <v>1368</v>
      </c>
      <c r="BF45" s="0" t="s">
        <v>1322</v>
      </c>
      <c r="BG45" s="0" t="s">
        <v>188</v>
      </c>
      <c r="BH45" s="0" t="s">
        <v>189</v>
      </c>
      <c r="BI45" s="0" t="s">
        <v>1369</v>
      </c>
      <c r="BK45" s="0" t="s">
        <v>1263</v>
      </c>
      <c r="BL45" s="0" t="s">
        <v>1370</v>
      </c>
      <c r="BM45" s="0" t="s">
        <v>162</v>
      </c>
      <c r="BN45" s="0" t="s">
        <v>163</v>
      </c>
      <c r="BO45" s="0" t="s">
        <v>163</v>
      </c>
      <c r="BP45" s="0" t="s">
        <v>243</v>
      </c>
      <c r="BQ45" s="0" t="n">
        <v>40.742833</v>
      </c>
      <c r="BR45" s="0" t="n">
        <v>-73.984174</v>
      </c>
      <c r="BS45" s="0" t="s">
        <v>168</v>
      </c>
      <c r="BT45" s="0" t="n">
        <v>0</v>
      </c>
      <c r="BU45" s="0" t="s">
        <v>244</v>
      </c>
      <c r="BV45" s="0" t="s">
        <v>245</v>
      </c>
      <c r="BW45" s="0" t="s">
        <v>1361</v>
      </c>
      <c r="BX45" s="0" t="s">
        <v>417</v>
      </c>
      <c r="BY45" s="0" t="s">
        <v>247</v>
      </c>
      <c r="BZ45" s="0" t="s">
        <v>1369</v>
      </c>
      <c r="CA45" s="0" t="s">
        <v>166</v>
      </c>
      <c r="CC45" s="0" t="s">
        <v>200</v>
      </c>
      <c r="CE45" s="0" t="s">
        <v>162</v>
      </c>
      <c r="CH45" s="0" t="s">
        <v>163</v>
      </c>
      <c r="CJ45" s="0" t="s">
        <v>163</v>
      </c>
      <c r="CK45" s="0" t="s">
        <v>162</v>
      </c>
      <c r="CL45" s="0" t="s">
        <v>1371</v>
      </c>
      <c r="CM45" s="0" t="s">
        <v>1369</v>
      </c>
      <c r="CN45" s="0" t="s">
        <v>174</v>
      </c>
      <c r="CO45" s="0" t="n">
        <v>126</v>
      </c>
      <c r="CP45" s="0" t="s">
        <v>767</v>
      </c>
      <c r="CQ45" s="0" t="s">
        <v>1372</v>
      </c>
      <c r="CR45" s="0" t="s">
        <v>206</v>
      </c>
      <c r="CS45" s="0" t="n">
        <v>0.61</v>
      </c>
      <c r="CT45" s="0" t="n">
        <v>51.2</v>
      </c>
      <c r="CU45" s="0" t="n">
        <v>15.2</v>
      </c>
      <c r="CV45" s="0" t="n">
        <v>6</v>
      </c>
      <c r="CW45" s="0" t="n">
        <v>10</v>
      </c>
      <c r="CX45" s="0" t="n">
        <v>15</v>
      </c>
      <c r="CY45" s="0" t="n">
        <f aca="false">IF(AH45="exact",10,IF(AH45="adjacent",5,0))</f>
        <v>5</v>
      </c>
      <c r="CZ45" s="0" t="n">
        <f aca="false">IF(R45="Y",15,0)</f>
        <v>0</v>
      </c>
      <c r="DF45" s="0" t="s">
        <v>158</v>
      </c>
      <c r="DG45" s="0" t="s">
        <v>1335</v>
      </c>
      <c r="DH45" s="0" t="s">
        <v>1336</v>
      </c>
      <c r="DI45" s="0" t="s">
        <v>162</v>
      </c>
      <c r="DJ45" s="0" t="s">
        <v>1373</v>
      </c>
      <c r="DK45" s="0" t="s">
        <v>1374</v>
      </c>
      <c r="DM45" s="0" t="s">
        <v>1375</v>
      </c>
      <c r="DN45" s="0" t="s">
        <v>1376</v>
      </c>
      <c r="DO45" s="0" t="s">
        <v>1377</v>
      </c>
      <c r="DS45" s="0" t="s">
        <v>158</v>
      </c>
      <c r="DX45" s="0" t="s">
        <v>168</v>
      </c>
      <c r="DY45" s="0" t="s">
        <v>221</v>
      </c>
      <c r="ER45" s="0" t="str">
        <f aca="false">IF(ISNUMBER(MATCH(U45,{"queued","contacted","replied","call_booked","call_done","yes_in_principle","materials_sent"},0)),"Y","N")</f>
        <v>N</v>
      </c>
      <c r="ES45" s="0" t="str">
        <f aca="false">IF(COUNTIFS($AP$2:$AP$1000,AP45,$ER$2:$ER$1000,"Y")+COUNTIFS($AP$2:$AP$1000,AP45,$T$2:$T$1000,"Y")&gt;0,"Y","N")</f>
        <v>N</v>
      </c>
      <c r="ET45" s="0" t="str">
        <f aca="false">IF(AND(U45="new",T45="N",AT45="Y",AS45="",ES45="N"),"Y","N")</f>
        <v>Y</v>
      </c>
      <c r="EU45" s="0" t="str">
        <f aca="false">IF(ET45&lt;&gt;"Y","N",IF(COUNTIFS($AP$2:$AP$1000,AP45,$ET$2:$ET$1000,"Y",$J$2:$J$1000,"&gt;"&amp;J45)+COUNTIFS($AP$2:$AP$1000,AP45,$ET$2:$ET$1000,"Y",$J$2:$J$1000,J45,$EW$2:$EW$1000,"&lt;"&amp;EW45)=0,"Y","N"))</f>
        <v>Y</v>
      </c>
      <c r="EV45" s="0" t="str">
        <f aca="false">IF(Y45="","N",IF(Y45&lt;=10,"Y","N"))</f>
        <v>Y</v>
      </c>
      <c r="EW45" s="0" t="n">
        <f aca="false">ROW()-1</f>
        <v>44</v>
      </c>
    </row>
    <row r="46" customFormat="false" ht="15" hidden="false" customHeight="false" outlineLevel="0" collapsed="false">
      <c r="A46" s="0" t="s">
        <v>1378</v>
      </c>
      <c r="B46" s="0" t="s">
        <v>1379</v>
      </c>
      <c r="H46" s="5" t="s">
        <v>158</v>
      </c>
      <c r="I46" s="5" t="s">
        <v>594</v>
      </c>
      <c r="J46" s="0" t="n">
        <f aca="false">IF(AX46="pass",ROUND(CU46+CV46+CW46+CX46+CY46+CZ46,1),0)</f>
        <v>51.2</v>
      </c>
      <c r="K46" s="0" t="s">
        <v>1380</v>
      </c>
      <c r="L46" s="0" t="s">
        <v>161</v>
      </c>
      <c r="R46" s="5" t="s">
        <v>162</v>
      </c>
      <c r="S46" s="0" t="s">
        <v>163</v>
      </c>
      <c r="T46" s="5" t="s">
        <v>162</v>
      </c>
      <c r="U46" s="5" t="s">
        <v>561</v>
      </c>
      <c r="V46" s="0" t="s">
        <v>1381</v>
      </c>
      <c r="W46" s="0" t="s">
        <v>166</v>
      </c>
      <c r="X46" s="0" t="s">
        <v>167</v>
      </c>
      <c r="Y46" s="0" t="str">
        <f aca="false">IF(EU46&lt;&gt;"Y","",COUNTIFS($EU$2:$EU$1000,"Y",$J$2:$J$1000,"&gt;"&amp;J46)+COUNTIFS($EU$2:$EU$1000,"Y",$J$2:$J$1000,J46,$EW$2:$EW$1000,"&lt;"&amp;EW46)+1)</f>
        <v/>
      </c>
      <c r="Z46" s="0" t="n">
        <v>45</v>
      </c>
      <c r="AA46" s="0" t="s">
        <v>168</v>
      </c>
      <c r="AB46" s="0" t="s">
        <v>597</v>
      </c>
      <c r="AD46" s="0" t="s">
        <v>158</v>
      </c>
      <c r="AH46" s="5" t="s">
        <v>158</v>
      </c>
      <c r="AI46" s="0" t="s">
        <v>1214</v>
      </c>
      <c r="AJ46" s="0" t="s">
        <v>566</v>
      </c>
      <c r="AK46" s="0" t="s">
        <v>178</v>
      </c>
      <c r="AL46" s="0" t="n">
        <v>18</v>
      </c>
      <c r="AM46" s="0" t="n">
        <v>367</v>
      </c>
      <c r="AN46" s="0" t="s">
        <v>179</v>
      </c>
      <c r="AO46" s="0" t="s">
        <v>180</v>
      </c>
      <c r="AP46" s="0" t="s">
        <v>1378</v>
      </c>
      <c r="AQ46" s="5" t="s">
        <v>162</v>
      </c>
      <c r="AT46" s="0" t="str">
        <f aca="false">IF(AND(AX46="pass",AQ46&lt;&gt;"Y",C46&lt;&gt;"",OR(AW46&lt;&gt;"Y",AV46="Y")),"Y","N")</f>
        <v>N</v>
      </c>
      <c r="AU46" s="0" t="str">
        <f aca="false">_xlfn.TEXTJOIN("; ",TRUE(),IF(AX46&lt;&gt;"pass","gated out",""),IF(AQ46="Y","on hold: "&amp;AR46,""),IF(C46="","no contact named on an opened page",""),IF(AND(AW46="Y",AV46&lt;&gt;"Y"),"Tuesday estimate band "&amp;L46&amp;": founder's call",""))</f>
        <v>no contact named on an opened page</v>
      </c>
      <c r="AW46" s="0" t="s">
        <v>162</v>
      </c>
      <c r="AX46" s="0" t="s">
        <v>181</v>
      </c>
      <c r="AY46" s="0" t="s">
        <v>182</v>
      </c>
      <c r="AZ46" s="0" t="s">
        <v>1</v>
      </c>
      <c r="BA46" s="0" t="s">
        <v>1382</v>
      </c>
      <c r="BB46" s="0" t="s">
        <v>1383</v>
      </c>
      <c r="BC46" s="0" t="s">
        <v>1384</v>
      </c>
      <c r="BD46" s="0" t="s">
        <v>1385</v>
      </c>
      <c r="BF46" s="0" t="s">
        <v>1322</v>
      </c>
      <c r="BG46" s="0" t="s">
        <v>188</v>
      </c>
      <c r="BH46" s="0" t="s">
        <v>189</v>
      </c>
      <c r="BI46" s="0" t="s">
        <v>1386</v>
      </c>
      <c r="BK46" s="0" t="s">
        <v>1263</v>
      </c>
      <c r="BL46" s="0" t="s">
        <v>163</v>
      </c>
      <c r="BM46" s="0" t="s">
        <v>163</v>
      </c>
      <c r="BN46" s="0" t="s">
        <v>163</v>
      </c>
      <c r="BO46" s="0" t="s">
        <v>163</v>
      </c>
      <c r="BP46" s="0" t="s">
        <v>346</v>
      </c>
      <c r="BQ46" s="0" t="n">
        <v>40.74082</v>
      </c>
      <c r="BR46" s="0" t="n">
        <v>-73.992366</v>
      </c>
      <c r="BS46" s="0" t="s">
        <v>168</v>
      </c>
      <c r="BT46" s="0" t="n">
        <v>0</v>
      </c>
      <c r="BU46" s="0" t="s">
        <v>1223</v>
      </c>
      <c r="BV46" s="0" t="s">
        <v>1224</v>
      </c>
      <c r="BW46" s="0" t="s">
        <v>1381</v>
      </c>
      <c r="BX46" s="0" t="s">
        <v>166</v>
      </c>
      <c r="BY46" s="0" t="s">
        <v>444</v>
      </c>
      <c r="BZ46" s="0" t="s">
        <v>1212</v>
      </c>
      <c r="CA46" s="0" t="s">
        <v>1225</v>
      </c>
      <c r="CC46" s="0" t="s">
        <v>200</v>
      </c>
      <c r="CE46" s="0" t="s">
        <v>162</v>
      </c>
      <c r="CH46" s="0" t="s">
        <v>163</v>
      </c>
      <c r="CJ46" s="0" t="s">
        <v>163</v>
      </c>
      <c r="CK46" s="0" t="s">
        <v>162</v>
      </c>
      <c r="CL46" s="0" t="s">
        <v>577</v>
      </c>
      <c r="CM46" s="0" t="s">
        <v>1381</v>
      </c>
      <c r="CN46" s="0" t="s">
        <v>174</v>
      </c>
      <c r="CO46" s="0" t="n">
        <v>81</v>
      </c>
      <c r="CP46" s="0" t="s">
        <v>767</v>
      </c>
      <c r="CQ46" s="0" t="s">
        <v>1387</v>
      </c>
      <c r="CR46" s="0" t="s">
        <v>206</v>
      </c>
      <c r="CS46" s="0" t="n">
        <v>0.61</v>
      </c>
      <c r="CT46" s="0" t="n">
        <v>51.2</v>
      </c>
      <c r="CU46" s="0" t="n">
        <v>15.2</v>
      </c>
      <c r="CV46" s="0" t="n">
        <v>6</v>
      </c>
      <c r="CW46" s="0" t="n">
        <v>15</v>
      </c>
      <c r="CX46" s="0" t="n">
        <v>15</v>
      </c>
      <c r="CY46" s="0" t="n">
        <f aca="false">IF(AH46="exact",10,IF(AH46="adjacent",5,0))</f>
        <v>0</v>
      </c>
      <c r="CZ46" s="0" t="n">
        <f aca="false">IF(R46="Y",15,0)</f>
        <v>0</v>
      </c>
      <c r="DF46" s="0" t="s">
        <v>158</v>
      </c>
      <c r="DG46" s="0" t="s">
        <v>1335</v>
      </c>
      <c r="DH46" s="0" t="s">
        <v>1336</v>
      </c>
      <c r="DI46" s="0" t="s">
        <v>162</v>
      </c>
      <c r="DK46" s="0" t="s">
        <v>1388</v>
      </c>
      <c r="DS46" s="0" t="s">
        <v>158</v>
      </c>
      <c r="DX46" s="0" t="s">
        <v>168</v>
      </c>
      <c r="ER46" s="0" t="str">
        <f aca="false">IF(ISNUMBER(MATCH(U46,{"queued","contacted","replied","call_booked","call_done","yes_in_principle","materials_sent"},0)),"Y","N")</f>
        <v>N</v>
      </c>
      <c r="ES46" s="0" t="str">
        <f aca="false">IF(COUNTIFS($AP$2:$AP$1000,AP46,$ER$2:$ER$1000,"Y")+COUNTIFS($AP$2:$AP$1000,AP46,$T$2:$T$1000,"Y")&gt;0,"Y","N")</f>
        <v>N</v>
      </c>
      <c r="ET46" s="0" t="str">
        <f aca="false">IF(AND(U46="new",T46="N",AT46="Y",AS46="",ES46="N"),"Y","N")</f>
        <v>N</v>
      </c>
      <c r="EU46" s="0" t="str">
        <f aca="false">IF(ET46&lt;&gt;"Y","N",IF(COUNTIFS($AP$2:$AP$1000,AP46,$ET$2:$ET$1000,"Y",$J$2:$J$1000,"&gt;"&amp;J46)+COUNTIFS($AP$2:$AP$1000,AP46,$ET$2:$ET$1000,"Y",$J$2:$J$1000,J46,$EW$2:$EW$1000,"&lt;"&amp;EW46)=0,"Y","N"))</f>
        <v>N</v>
      </c>
      <c r="EV46" s="0" t="str">
        <f aca="false">IF(Y46="","N",IF(Y46&lt;=10,"Y","N"))</f>
        <v>N</v>
      </c>
      <c r="EW46" s="0" t="n">
        <f aca="false">ROW()-1</f>
        <v>45</v>
      </c>
    </row>
    <row r="47" customFormat="false" ht="15" hidden="false" customHeight="false" outlineLevel="0" collapsed="false">
      <c r="A47" s="0" t="s">
        <v>1389</v>
      </c>
      <c r="B47" s="0" t="s">
        <v>1390</v>
      </c>
      <c r="H47" s="5" t="s">
        <v>158</v>
      </c>
      <c r="I47" s="5" t="s">
        <v>594</v>
      </c>
      <c r="J47" s="0" t="n">
        <f aca="false">IF(AX47="pass",ROUND(CU47+CV47+CW47+CX47+CY47+CZ47,1),0)</f>
        <v>48.9</v>
      </c>
      <c r="K47" s="0" t="s">
        <v>1391</v>
      </c>
      <c r="L47" s="0" t="s">
        <v>560</v>
      </c>
      <c r="R47" s="5" t="s">
        <v>162</v>
      </c>
      <c r="S47" s="0" t="s">
        <v>163</v>
      </c>
      <c r="T47" s="5" t="s">
        <v>162</v>
      </c>
      <c r="U47" s="5" t="s">
        <v>561</v>
      </c>
      <c r="V47" s="0" t="s">
        <v>1392</v>
      </c>
      <c r="W47" s="0" t="s">
        <v>166</v>
      </c>
      <c r="X47" s="0" t="s">
        <v>167</v>
      </c>
      <c r="Y47" s="0" t="str">
        <f aca="false">IF(EU47&lt;&gt;"Y","",COUNTIFS($EU$2:$EU$1000,"Y",$J$2:$J$1000,"&gt;"&amp;J47)+COUNTIFS($EU$2:$EU$1000,"Y",$J$2:$J$1000,J47,$EW$2:$EW$1000,"&lt;"&amp;EW47)+1)</f>
        <v/>
      </c>
      <c r="Z47" s="0" t="n">
        <v>46</v>
      </c>
      <c r="AA47" s="0" t="s">
        <v>168</v>
      </c>
      <c r="AB47" s="0" t="s">
        <v>1213</v>
      </c>
      <c r="AD47" s="0" t="s">
        <v>158</v>
      </c>
      <c r="AH47" s="5" t="s">
        <v>158</v>
      </c>
      <c r="AI47" s="0" t="s">
        <v>601</v>
      </c>
      <c r="AJ47" s="0" t="s">
        <v>163</v>
      </c>
      <c r="AK47" s="0" t="s">
        <v>434</v>
      </c>
      <c r="AL47" s="0" t="n">
        <v>21</v>
      </c>
      <c r="AM47" s="0" t="n">
        <v>66</v>
      </c>
      <c r="AN47" s="0" t="s">
        <v>179</v>
      </c>
      <c r="AO47" s="0" t="s">
        <v>1393</v>
      </c>
      <c r="AP47" s="0" t="s">
        <v>1389</v>
      </c>
      <c r="AQ47" s="5" t="s">
        <v>162</v>
      </c>
      <c r="AT47" s="0" t="str">
        <f aca="false">IF(AND(AX47="pass",AQ47&lt;&gt;"Y",C47&lt;&gt;"",OR(AW47&lt;&gt;"Y",AV47="Y")),"Y","N")</f>
        <v>N</v>
      </c>
      <c r="AU47" s="0" t="str">
        <f aca="false">_xlfn.TEXTJOIN("; ",TRUE(),IF(AX47&lt;&gt;"pass","gated out",""),IF(AQ47="Y","on hold: "&amp;AR47,""),IF(C47="","no contact named on an opened page",""),IF(AND(AW47="Y",AV47&lt;&gt;"Y"),"Tuesday estimate band "&amp;L47&amp;": founder's call",""))</f>
        <v>no contact named on an opened page; Tuesday estimate band under-40: founder's call</v>
      </c>
      <c r="AW47" s="0" t="s">
        <v>168</v>
      </c>
      <c r="AX47" s="0" t="s">
        <v>181</v>
      </c>
      <c r="AY47" s="0" t="s">
        <v>182</v>
      </c>
      <c r="AZ47" s="0" t="s">
        <v>1</v>
      </c>
      <c r="BA47" s="0" t="s">
        <v>1394</v>
      </c>
      <c r="BB47" s="0" t="s">
        <v>1395</v>
      </c>
      <c r="BC47" s="0" t="s">
        <v>1396</v>
      </c>
      <c r="BD47" s="0" t="s">
        <v>1397</v>
      </c>
      <c r="BE47" s="0" t="s">
        <v>1398</v>
      </c>
      <c r="BF47" s="0" t="s">
        <v>163</v>
      </c>
      <c r="BG47" s="0" t="s">
        <v>163</v>
      </c>
      <c r="BH47" s="0" t="s">
        <v>279</v>
      </c>
      <c r="BI47" s="0" t="s">
        <v>1399</v>
      </c>
      <c r="BJ47" s="0" t="s">
        <v>1400</v>
      </c>
      <c r="BK47" s="0" t="s">
        <v>191</v>
      </c>
      <c r="BL47" s="0" t="s">
        <v>192</v>
      </c>
      <c r="BM47" s="0" t="s">
        <v>168</v>
      </c>
      <c r="BN47" s="0" t="s">
        <v>163</v>
      </c>
      <c r="BO47" s="0" t="s">
        <v>163</v>
      </c>
      <c r="BP47" s="0" t="s">
        <v>193</v>
      </c>
      <c r="BQ47" s="0" t="n">
        <v>40.73865</v>
      </c>
      <c r="BR47" s="0" t="n">
        <v>-73.991471</v>
      </c>
      <c r="BS47" s="0" t="s">
        <v>168</v>
      </c>
      <c r="BT47" s="0" t="n">
        <v>0</v>
      </c>
      <c r="BU47" s="0" t="s">
        <v>608</v>
      </c>
      <c r="BV47" s="0" t="s">
        <v>609</v>
      </c>
      <c r="BW47" s="0" t="s">
        <v>1392</v>
      </c>
      <c r="BX47" s="0" t="s">
        <v>1401</v>
      </c>
      <c r="BY47" s="0" t="s">
        <v>247</v>
      </c>
      <c r="CC47" s="0" t="s">
        <v>738</v>
      </c>
      <c r="CE47" s="0" t="s">
        <v>162</v>
      </c>
      <c r="CH47" s="0" t="s">
        <v>163</v>
      </c>
      <c r="CJ47" s="0" t="s">
        <v>163</v>
      </c>
      <c r="CK47" s="0" t="s">
        <v>168</v>
      </c>
      <c r="CL47" s="0" t="s">
        <v>1402</v>
      </c>
      <c r="CM47" s="0" t="s">
        <v>1403</v>
      </c>
      <c r="CN47" s="0" t="s">
        <v>174</v>
      </c>
      <c r="CO47" s="0" t="n">
        <v>37</v>
      </c>
      <c r="CP47" s="0" t="s">
        <v>578</v>
      </c>
      <c r="CQ47" s="0" t="s">
        <v>1404</v>
      </c>
      <c r="CR47" s="0" t="s">
        <v>206</v>
      </c>
      <c r="CS47" s="0" t="n">
        <v>0.44</v>
      </c>
      <c r="CT47" s="0" t="n">
        <v>48.9</v>
      </c>
      <c r="CU47" s="0" t="n">
        <v>10.9</v>
      </c>
      <c r="CV47" s="0" t="n">
        <v>15</v>
      </c>
      <c r="CW47" s="0" t="n">
        <v>15</v>
      </c>
      <c r="CX47" s="0" t="n">
        <v>8</v>
      </c>
      <c r="CY47" s="0" t="n">
        <f aca="false">IF(AH47="exact",10,IF(AH47="adjacent",5,0))</f>
        <v>0</v>
      </c>
      <c r="CZ47" s="0" t="n">
        <f aca="false">IF(R47="Y",15,0)</f>
        <v>0</v>
      </c>
      <c r="DF47" s="0" t="s">
        <v>158</v>
      </c>
      <c r="DG47" s="0" t="s">
        <v>211</v>
      </c>
      <c r="DK47" s="0" t="s">
        <v>1405</v>
      </c>
      <c r="DS47" s="0" t="s">
        <v>158</v>
      </c>
      <c r="DX47" s="0" t="s">
        <v>168</v>
      </c>
      <c r="ER47" s="0" t="str">
        <f aca="false">IF(ISNUMBER(MATCH(U47,{"queued","contacted","replied","call_booked","call_done","yes_in_principle","materials_sent"},0)),"Y","N")</f>
        <v>N</v>
      </c>
      <c r="ES47" s="0" t="str">
        <f aca="false">IF(COUNTIFS($AP$2:$AP$1000,AP47,$ER$2:$ER$1000,"Y")+COUNTIFS($AP$2:$AP$1000,AP47,$T$2:$T$1000,"Y")&gt;0,"Y","N")</f>
        <v>N</v>
      </c>
      <c r="ET47" s="0" t="str">
        <f aca="false">IF(AND(U47="new",T47="N",AT47="Y",AS47="",ES47="N"),"Y","N")</f>
        <v>N</v>
      </c>
      <c r="EU47" s="0" t="str">
        <f aca="false">IF(ET47&lt;&gt;"Y","N",IF(COUNTIFS($AP$2:$AP$1000,AP47,$ET$2:$ET$1000,"Y",$J$2:$J$1000,"&gt;"&amp;J47)+COUNTIFS($AP$2:$AP$1000,AP47,$ET$2:$ET$1000,"Y",$J$2:$J$1000,J47,$EW$2:$EW$1000,"&lt;"&amp;EW47)=0,"Y","N"))</f>
        <v>N</v>
      </c>
      <c r="EV47" s="0" t="str">
        <f aca="false">IF(Y47="","N",IF(Y47&lt;=10,"Y","N"))</f>
        <v>N</v>
      </c>
      <c r="EW47" s="0" t="n">
        <f aca="false">ROW()-1</f>
        <v>46</v>
      </c>
    </row>
    <row r="48" customFormat="false" ht="15" hidden="false" customHeight="false" outlineLevel="0" collapsed="false">
      <c r="A48" s="0" t="s">
        <v>1406</v>
      </c>
      <c r="B48" s="0" t="s">
        <v>1407</v>
      </c>
      <c r="H48" s="5" t="s">
        <v>158</v>
      </c>
      <c r="I48" s="5" t="s">
        <v>594</v>
      </c>
      <c r="J48" s="0" t="n">
        <f aca="false">IF(AX48="pass",ROUND(CU48+CV48+CW48+CX48+CY48+CZ48,1),0)</f>
        <v>48.4</v>
      </c>
      <c r="K48" s="0" t="s">
        <v>1408</v>
      </c>
      <c r="L48" s="0" t="s">
        <v>560</v>
      </c>
      <c r="R48" s="5" t="s">
        <v>162</v>
      </c>
      <c r="S48" s="0" t="s">
        <v>163</v>
      </c>
      <c r="T48" s="5" t="s">
        <v>162</v>
      </c>
      <c r="U48" s="5" t="s">
        <v>561</v>
      </c>
      <c r="V48" s="0" t="s">
        <v>1409</v>
      </c>
      <c r="W48" s="0" t="s">
        <v>166</v>
      </c>
      <c r="X48" s="0" t="s">
        <v>167</v>
      </c>
      <c r="Y48" s="0" t="str">
        <f aca="false">IF(EU48&lt;&gt;"Y","",COUNTIFS($EU$2:$EU$1000,"Y",$J$2:$J$1000,"&gt;"&amp;J48)+COUNTIFS($EU$2:$EU$1000,"Y",$J$2:$J$1000,J48,$EW$2:$EW$1000,"&lt;"&amp;EW48)+1)</f>
        <v/>
      </c>
      <c r="Z48" s="0" t="n">
        <v>47</v>
      </c>
      <c r="AA48" s="0" t="s">
        <v>168</v>
      </c>
      <c r="AB48" s="0" t="s">
        <v>1213</v>
      </c>
      <c r="AD48" s="0" t="s">
        <v>158</v>
      </c>
      <c r="AH48" s="5" t="s">
        <v>158</v>
      </c>
      <c r="AI48" s="0" t="s">
        <v>1410</v>
      </c>
      <c r="AJ48" s="0" t="s">
        <v>163</v>
      </c>
      <c r="AK48" s="0" t="s">
        <v>178</v>
      </c>
      <c r="AL48" s="0" t="n">
        <v>6</v>
      </c>
      <c r="AM48" s="0" t="n">
        <v>154</v>
      </c>
      <c r="AN48" s="0" t="s">
        <v>179</v>
      </c>
      <c r="AO48" s="0" t="s">
        <v>273</v>
      </c>
      <c r="AP48" s="0" t="s">
        <v>1406</v>
      </c>
      <c r="AQ48" s="5" t="s">
        <v>162</v>
      </c>
      <c r="AT48" s="0" t="str">
        <f aca="false">IF(AND(AX48="pass",AQ48&lt;&gt;"Y",C48&lt;&gt;"",OR(AW48&lt;&gt;"Y",AV48="Y")),"Y","N")</f>
        <v>N</v>
      </c>
      <c r="AU48" s="0" t="str">
        <f aca="false">_xlfn.TEXTJOIN("; ",TRUE(),IF(AX48&lt;&gt;"pass","gated out",""),IF(AQ48="Y","on hold: "&amp;AR48,""),IF(C48="","no contact named on an opened page",""),IF(AND(AW48="Y",AV48&lt;&gt;"Y"),"Tuesday estimate band "&amp;L48&amp;": founder's call",""))</f>
        <v>no contact named on an opened page; Tuesday estimate band under-40: founder's call</v>
      </c>
      <c r="AW48" s="0" t="s">
        <v>168</v>
      </c>
      <c r="AX48" s="0" t="s">
        <v>181</v>
      </c>
      <c r="AY48" s="0" t="s">
        <v>182</v>
      </c>
      <c r="AZ48" s="0" t="s">
        <v>1</v>
      </c>
      <c r="BA48" s="0" t="s">
        <v>1411</v>
      </c>
      <c r="BB48" s="0" t="s">
        <v>1412</v>
      </c>
      <c r="BC48" s="0" t="s">
        <v>1413</v>
      </c>
      <c r="BD48" s="0" t="s">
        <v>1414</v>
      </c>
      <c r="BE48" s="0" t="s">
        <v>1415</v>
      </c>
      <c r="BF48" s="0" t="s">
        <v>187</v>
      </c>
      <c r="BG48" s="0" t="s">
        <v>188</v>
      </c>
      <c r="BH48" s="0" t="s">
        <v>240</v>
      </c>
      <c r="BI48" s="0" t="s">
        <v>1416</v>
      </c>
      <c r="BJ48" s="0" t="s">
        <v>1417</v>
      </c>
      <c r="BK48" s="0" t="s">
        <v>191</v>
      </c>
      <c r="BL48" s="0" t="s">
        <v>1418</v>
      </c>
      <c r="BM48" s="0" t="s">
        <v>162</v>
      </c>
      <c r="BN48" s="0" t="s">
        <v>163</v>
      </c>
      <c r="BO48" s="0" t="s">
        <v>163</v>
      </c>
      <c r="BP48" s="0" t="s">
        <v>346</v>
      </c>
      <c r="BQ48" s="0" t="n">
        <v>40.741548</v>
      </c>
      <c r="BR48" s="0" t="n">
        <v>-73.993007</v>
      </c>
      <c r="BS48" s="0" t="s">
        <v>168</v>
      </c>
      <c r="BT48" s="0" t="n">
        <v>0</v>
      </c>
      <c r="BU48" s="0" t="s">
        <v>1419</v>
      </c>
      <c r="BV48" s="0" t="s">
        <v>1420</v>
      </c>
      <c r="BW48" s="0" t="s">
        <v>1409</v>
      </c>
      <c r="BX48" s="0" t="s">
        <v>1421</v>
      </c>
      <c r="BY48" s="0" t="s">
        <v>247</v>
      </c>
      <c r="CC48" s="0" t="s">
        <v>738</v>
      </c>
      <c r="CE48" s="0" t="s">
        <v>162</v>
      </c>
      <c r="CH48" s="0" t="s">
        <v>163</v>
      </c>
      <c r="CJ48" s="0" t="s">
        <v>163</v>
      </c>
      <c r="CK48" s="0" t="s">
        <v>162</v>
      </c>
      <c r="CL48" s="0" t="s">
        <v>1422</v>
      </c>
      <c r="CM48" s="0" t="s">
        <v>1423</v>
      </c>
      <c r="CN48" s="0" t="s">
        <v>174</v>
      </c>
      <c r="CO48" s="0" t="n">
        <v>30</v>
      </c>
      <c r="CP48" s="0" t="s">
        <v>578</v>
      </c>
      <c r="CQ48" s="0" t="s">
        <v>1424</v>
      </c>
      <c r="CR48" s="0" t="s">
        <v>206</v>
      </c>
      <c r="CS48" s="0" t="n">
        <v>0.42</v>
      </c>
      <c r="CT48" s="0" t="n">
        <v>48.4</v>
      </c>
      <c r="CU48" s="0" t="n">
        <v>10.4</v>
      </c>
      <c r="CV48" s="0" t="n">
        <v>15</v>
      </c>
      <c r="CW48" s="0" t="n">
        <v>10</v>
      </c>
      <c r="CX48" s="0" t="n">
        <v>13</v>
      </c>
      <c r="CY48" s="0" t="n">
        <f aca="false">IF(AH48="exact",10,IF(AH48="adjacent",5,0))</f>
        <v>0</v>
      </c>
      <c r="CZ48" s="0" t="n">
        <f aca="false">IF(R48="Y",15,0)</f>
        <v>0</v>
      </c>
      <c r="DF48" s="0" t="s">
        <v>158</v>
      </c>
      <c r="DG48" s="0" t="s">
        <v>211</v>
      </c>
      <c r="DK48" s="0" t="s">
        <v>1425</v>
      </c>
      <c r="DS48" s="0" t="s">
        <v>158</v>
      </c>
      <c r="DX48" s="0" t="s">
        <v>168</v>
      </c>
      <c r="ER48" s="0" t="str">
        <f aca="false">IF(ISNUMBER(MATCH(U48,{"queued","contacted","replied","call_booked","call_done","yes_in_principle","materials_sent"},0)),"Y","N")</f>
        <v>N</v>
      </c>
      <c r="ES48" s="0" t="str">
        <f aca="false">IF(COUNTIFS($AP$2:$AP$1000,AP48,$ER$2:$ER$1000,"Y")+COUNTIFS($AP$2:$AP$1000,AP48,$T$2:$T$1000,"Y")&gt;0,"Y","N")</f>
        <v>N</v>
      </c>
      <c r="ET48" s="0" t="str">
        <f aca="false">IF(AND(U48="new",T48="N",AT48="Y",AS48="",ES48="N"),"Y","N")</f>
        <v>N</v>
      </c>
      <c r="EU48" s="0" t="str">
        <f aca="false">IF(ET48&lt;&gt;"Y","N",IF(COUNTIFS($AP$2:$AP$1000,AP48,$ET$2:$ET$1000,"Y",$J$2:$J$1000,"&gt;"&amp;J48)+COUNTIFS($AP$2:$AP$1000,AP48,$ET$2:$ET$1000,"Y",$J$2:$J$1000,J48,$EW$2:$EW$1000,"&lt;"&amp;EW48)=0,"Y","N"))</f>
        <v>N</v>
      </c>
      <c r="EV48" s="0" t="str">
        <f aca="false">IF(Y48="","N",IF(Y48&lt;=10,"Y","N"))</f>
        <v>N</v>
      </c>
      <c r="EW48" s="0" t="n">
        <f aca="false">ROW()-1</f>
        <v>47</v>
      </c>
    </row>
    <row r="49" customFormat="false" ht="15" hidden="false" customHeight="false" outlineLevel="0" collapsed="false">
      <c r="A49" s="0" t="s">
        <v>1426</v>
      </c>
      <c r="B49" s="0" t="s">
        <v>1427</v>
      </c>
      <c r="H49" s="5" t="s">
        <v>158</v>
      </c>
      <c r="I49" s="5" t="s">
        <v>594</v>
      </c>
      <c r="J49" s="0" t="n">
        <f aca="false">IF(AX49="pass",ROUND(CU49+CV49+CW49+CX49+CY49+CZ49,1),0)</f>
        <v>47.4</v>
      </c>
      <c r="K49" s="0" t="s">
        <v>1428</v>
      </c>
      <c r="L49" s="0" t="s">
        <v>187</v>
      </c>
      <c r="O49" s="0" t="s">
        <v>1429</v>
      </c>
      <c r="P49" s="0" t="s">
        <v>1430</v>
      </c>
      <c r="Q49" s="0" t="s">
        <v>1431</v>
      </c>
      <c r="R49" s="5" t="s">
        <v>162</v>
      </c>
      <c r="S49" s="0" t="s">
        <v>163</v>
      </c>
      <c r="T49" s="5" t="s">
        <v>162</v>
      </c>
      <c r="U49" s="5" t="s">
        <v>561</v>
      </c>
      <c r="V49" s="0" t="s">
        <v>1430</v>
      </c>
      <c r="W49" s="0" t="s">
        <v>166</v>
      </c>
      <c r="X49" s="0" t="s">
        <v>167</v>
      </c>
      <c r="Y49" s="0" t="str">
        <f aca="false">IF(EU49&lt;&gt;"Y","",COUNTIFS($EU$2:$EU$1000,"Y",$J$2:$J$1000,"&gt;"&amp;J49)+COUNTIFS($EU$2:$EU$1000,"Y",$J$2:$J$1000,J49,$EW$2:$EW$1000,"&lt;"&amp;EW49)+1)</f>
        <v/>
      </c>
      <c r="Z49" s="0" t="n">
        <v>48</v>
      </c>
      <c r="AA49" s="0" t="s">
        <v>168</v>
      </c>
      <c r="AB49" s="0" t="s">
        <v>597</v>
      </c>
      <c r="AD49" s="0" t="s">
        <v>158</v>
      </c>
      <c r="AH49" s="5" t="s">
        <v>158</v>
      </c>
      <c r="AI49" s="0" t="s">
        <v>1432</v>
      </c>
      <c r="AJ49" s="0" t="s">
        <v>1433</v>
      </c>
      <c r="AK49" s="0" t="s">
        <v>178</v>
      </c>
      <c r="AL49" s="0" t="n">
        <v>34</v>
      </c>
      <c r="AM49" s="0" t="n">
        <v>670</v>
      </c>
      <c r="AN49" s="0" t="s">
        <v>179</v>
      </c>
      <c r="AO49" s="0" t="s">
        <v>180</v>
      </c>
      <c r="AP49" s="0" t="s">
        <v>1426</v>
      </c>
      <c r="AQ49" s="5" t="s">
        <v>162</v>
      </c>
      <c r="AT49" s="0" t="str">
        <f aca="false">IF(AND(AX49="pass",AQ49&lt;&gt;"Y",C49&lt;&gt;"",OR(AW49&lt;&gt;"Y",AV49="Y")),"Y","N")</f>
        <v>N</v>
      </c>
      <c r="AU49" s="0" t="str">
        <f aca="false">_xlfn.TEXTJOIN("; ",TRUE(),IF(AX49&lt;&gt;"pass","gated out",""),IF(AQ49="Y","on hold: "&amp;AR49,""),IF(C49="","no contact named on an opened page",""),IF(AND(AW49="Y",AV49&lt;&gt;"Y"),"Tuesday estimate band "&amp;L49&amp;": founder's call",""))</f>
        <v>no contact named on an opened page</v>
      </c>
      <c r="AW49" s="0" t="s">
        <v>162</v>
      </c>
      <c r="AX49" s="0" t="s">
        <v>181</v>
      </c>
      <c r="AY49" s="0" t="s">
        <v>182</v>
      </c>
      <c r="AZ49" s="0" t="s">
        <v>1</v>
      </c>
      <c r="BA49" s="0" t="s">
        <v>1434</v>
      </c>
      <c r="BB49" s="0" t="s">
        <v>1435</v>
      </c>
      <c r="BC49" s="0" t="s">
        <v>1436</v>
      </c>
      <c r="BD49" s="0" t="s">
        <v>1437</v>
      </c>
      <c r="BF49" s="0" t="s">
        <v>1322</v>
      </c>
      <c r="BG49" s="0" t="s">
        <v>188</v>
      </c>
      <c r="BH49" s="0" t="s">
        <v>189</v>
      </c>
      <c r="BI49" s="0" t="s">
        <v>1438</v>
      </c>
      <c r="BK49" s="0" t="s">
        <v>1439</v>
      </c>
      <c r="BL49" s="0" t="s">
        <v>1440</v>
      </c>
      <c r="BM49" s="0" t="s">
        <v>162</v>
      </c>
      <c r="BN49" s="0" t="s">
        <v>163</v>
      </c>
      <c r="BO49" s="0" t="s">
        <v>163</v>
      </c>
      <c r="BP49" s="0" t="s">
        <v>346</v>
      </c>
      <c r="BQ49" s="0" t="n">
        <v>40.739363</v>
      </c>
      <c r="BR49" s="0" t="n">
        <v>-73.989534</v>
      </c>
      <c r="BS49" s="0" t="s">
        <v>168</v>
      </c>
      <c r="BT49" s="0" t="n">
        <v>0</v>
      </c>
      <c r="BU49" s="0" t="s">
        <v>1441</v>
      </c>
      <c r="BV49" s="0" t="s">
        <v>1442</v>
      </c>
      <c r="BW49" s="0" t="s">
        <v>1430</v>
      </c>
      <c r="BX49" s="0" t="s">
        <v>1431</v>
      </c>
      <c r="BY49" s="0" t="s">
        <v>247</v>
      </c>
      <c r="BZ49" s="0" t="s">
        <v>1443</v>
      </c>
      <c r="CA49" s="0" t="s">
        <v>166</v>
      </c>
      <c r="CC49" s="0" t="s">
        <v>200</v>
      </c>
      <c r="CE49" s="0" t="s">
        <v>162</v>
      </c>
      <c r="CH49" s="0" t="s">
        <v>201</v>
      </c>
      <c r="CI49" s="0" t="s">
        <v>1444</v>
      </c>
      <c r="CJ49" s="0" t="s">
        <v>163</v>
      </c>
      <c r="CK49" s="0" t="s">
        <v>162</v>
      </c>
      <c r="CL49" s="0" t="s">
        <v>448</v>
      </c>
      <c r="CM49" s="0" t="s">
        <v>1443</v>
      </c>
      <c r="CN49" s="0" t="s">
        <v>174</v>
      </c>
      <c r="CO49" s="0" t="n">
        <v>151</v>
      </c>
      <c r="CP49" s="0" t="s">
        <v>250</v>
      </c>
      <c r="CQ49" s="0" t="s">
        <v>1445</v>
      </c>
      <c r="CR49" s="0" t="s">
        <v>206</v>
      </c>
      <c r="CS49" s="0" t="n">
        <v>0.61</v>
      </c>
      <c r="CT49" s="0" t="n">
        <v>47.4</v>
      </c>
      <c r="CU49" s="0" t="n">
        <v>15.4</v>
      </c>
      <c r="CV49" s="0" t="n">
        <v>2</v>
      </c>
      <c r="CW49" s="0" t="n">
        <v>15</v>
      </c>
      <c r="CX49" s="0" t="n">
        <v>15</v>
      </c>
      <c r="CY49" s="0" t="n">
        <f aca="false">IF(AH49="exact",10,IF(AH49="adjacent",5,0))</f>
        <v>0</v>
      </c>
      <c r="CZ49" s="0" t="n">
        <f aca="false">IF(R49="Y",15,0)</f>
        <v>0</v>
      </c>
      <c r="DF49" s="0" t="s">
        <v>158</v>
      </c>
      <c r="DG49" s="0" t="s">
        <v>1335</v>
      </c>
      <c r="DH49" s="0" t="s">
        <v>1446</v>
      </c>
      <c r="DI49" s="0" t="s">
        <v>162</v>
      </c>
      <c r="DJ49" s="0" t="s">
        <v>1447</v>
      </c>
      <c r="DK49" s="0" t="s">
        <v>1448</v>
      </c>
      <c r="DS49" s="0" t="s">
        <v>158</v>
      </c>
      <c r="DX49" s="0" t="s">
        <v>168</v>
      </c>
      <c r="ER49" s="0" t="str">
        <f aca="false">IF(ISNUMBER(MATCH(U49,{"queued","contacted","replied","call_booked","call_done","yes_in_principle","materials_sent"},0)),"Y","N")</f>
        <v>N</v>
      </c>
      <c r="ES49" s="0" t="str">
        <f aca="false">IF(COUNTIFS($AP$2:$AP$1000,AP49,$ER$2:$ER$1000,"Y")+COUNTIFS($AP$2:$AP$1000,AP49,$T$2:$T$1000,"Y")&gt;0,"Y","N")</f>
        <v>N</v>
      </c>
      <c r="ET49" s="0" t="str">
        <f aca="false">IF(AND(U49="new",T49="N",AT49="Y",AS49="",ES49="N"),"Y","N")</f>
        <v>N</v>
      </c>
      <c r="EU49" s="0" t="str">
        <f aca="false">IF(ET49&lt;&gt;"Y","N",IF(COUNTIFS($AP$2:$AP$1000,AP49,$ET$2:$ET$1000,"Y",$J$2:$J$1000,"&gt;"&amp;J49)+COUNTIFS($AP$2:$AP$1000,AP49,$ET$2:$ET$1000,"Y",$J$2:$J$1000,J49,$EW$2:$EW$1000,"&lt;"&amp;EW49)=0,"Y","N"))</f>
        <v>N</v>
      </c>
      <c r="EV49" s="0" t="str">
        <f aca="false">IF(Y49="","N",IF(Y49&lt;=10,"Y","N"))</f>
        <v>N</v>
      </c>
      <c r="EW49" s="0" t="n">
        <f aca="false">ROW()-1</f>
        <v>48</v>
      </c>
    </row>
    <row r="50" customFormat="false" ht="15" hidden="false" customHeight="false" outlineLevel="0" collapsed="false">
      <c r="A50" s="0" t="s">
        <v>1449</v>
      </c>
      <c r="B50" s="0" t="s">
        <v>1450</v>
      </c>
      <c r="H50" s="5" t="s">
        <v>158</v>
      </c>
      <c r="I50" s="5" t="s">
        <v>594</v>
      </c>
      <c r="J50" s="0" t="n">
        <f aca="false">IF(AX50="pass",ROUND(CU50+CV50+CW50+CX50+CY50+CZ50,1),0)</f>
        <v>46.8</v>
      </c>
      <c r="K50" s="0" t="s">
        <v>1451</v>
      </c>
      <c r="L50" s="0" t="s">
        <v>161</v>
      </c>
      <c r="R50" s="5" t="s">
        <v>162</v>
      </c>
      <c r="S50" s="0" t="s">
        <v>163</v>
      </c>
      <c r="T50" s="5" t="s">
        <v>162</v>
      </c>
      <c r="U50" s="5" t="s">
        <v>561</v>
      </c>
      <c r="V50" s="0" t="s">
        <v>1452</v>
      </c>
      <c r="W50" s="0" t="s">
        <v>166</v>
      </c>
      <c r="X50" s="0" t="s">
        <v>167</v>
      </c>
      <c r="Y50" s="0" t="str">
        <f aca="false">IF(EU50&lt;&gt;"Y","",COUNTIFS($EU$2:$EU$1000,"Y",$J$2:$J$1000,"&gt;"&amp;J50)+COUNTIFS($EU$2:$EU$1000,"Y",$J$2:$J$1000,J50,$EW$2:$EW$1000,"&lt;"&amp;EW50)+1)</f>
        <v/>
      </c>
      <c r="Z50" s="0" t="n">
        <v>49</v>
      </c>
      <c r="AA50" s="0" t="s">
        <v>168</v>
      </c>
      <c r="AB50" s="0" t="s">
        <v>597</v>
      </c>
      <c r="AD50" s="0" t="s">
        <v>158</v>
      </c>
      <c r="AH50" s="5" t="s">
        <v>158</v>
      </c>
      <c r="AI50" s="0" t="s">
        <v>1453</v>
      </c>
      <c r="AJ50" s="0" t="s">
        <v>624</v>
      </c>
      <c r="AK50" s="0" t="s">
        <v>178</v>
      </c>
      <c r="AL50" s="0" t="n">
        <v>13</v>
      </c>
      <c r="AM50" s="0" t="n">
        <v>467</v>
      </c>
      <c r="AN50" s="0" t="s">
        <v>179</v>
      </c>
      <c r="AO50" s="0" t="s">
        <v>180</v>
      </c>
      <c r="AP50" s="0" t="s">
        <v>1449</v>
      </c>
      <c r="AQ50" s="5" t="s">
        <v>162</v>
      </c>
      <c r="AT50" s="0" t="str">
        <f aca="false">IF(AND(AX50="pass",AQ50&lt;&gt;"Y",C50&lt;&gt;"",OR(AW50&lt;&gt;"Y",AV50="Y")),"Y","N")</f>
        <v>N</v>
      </c>
      <c r="AU50" s="0" t="str">
        <f aca="false">_xlfn.TEXTJOIN("; ",TRUE(),IF(AX50&lt;&gt;"pass","gated out",""),IF(AQ50="Y","on hold: "&amp;AR50,""),IF(C50="","no contact named on an opened page",""),IF(AND(AW50="Y",AV50&lt;&gt;"Y"),"Tuesday estimate band "&amp;L50&amp;": founder's call",""))</f>
        <v>no contact named on an opened page</v>
      </c>
      <c r="AW50" s="0" t="s">
        <v>162</v>
      </c>
      <c r="AX50" s="0" t="s">
        <v>181</v>
      </c>
      <c r="AY50" s="0" t="s">
        <v>182</v>
      </c>
      <c r="AZ50" s="0" t="s">
        <v>1</v>
      </c>
      <c r="BA50" s="0" t="s">
        <v>1454</v>
      </c>
      <c r="BB50" s="0" t="s">
        <v>1455</v>
      </c>
      <c r="BC50" s="0" t="s">
        <v>1456</v>
      </c>
      <c r="BD50" s="0" t="s">
        <v>1457</v>
      </c>
      <c r="BE50" s="0" t="s">
        <v>1458</v>
      </c>
      <c r="BF50" s="0" t="s">
        <v>1322</v>
      </c>
      <c r="BG50" s="0" t="s">
        <v>188</v>
      </c>
      <c r="BH50" s="0" t="s">
        <v>1323</v>
      </c>
      <c r="BI50" s="0" t="s">
        <v>1459</v>
      </c>
      <c r="BJ50" s="0" t="s">
        <v>1460</v>
      </c>
      <c r="BK50" s="0" t="s">
        <v>1263</v>
      </c>
      <c r="BL50" s="0" t="s">
        <v>1461</v>
      </c>
      <c r="BM50" s="0" t="s">
        <v>162</v>
      </c>
      <c r="BN50" s="0" t="s">
        <v>163</v>
      </c>
      <c r="BO50" s="0" t="s">
        <v>163</v>
      </c>
      <c r="BP50" s="0" t="s">
        <v>711</v>
      </c>
      <c r="BQ50" s="0" t="n">
        <v>40.744515</v>
      </c>
      <c r="BR50" s="0" t="n">
        <v>-73.988255</v>
      </c>
      <c r="BS50" s="0" t="s">
        <v>168</v>
      </c>
      <c r="BT50" s="0" t="n">
        <v>0</v>
      </c>
      <c r="BU50" s="0" t="s">
        <v>1462</v>
      </c>
      <c r="BV50" s="0" t="s">
        <v>1463</v>
      </c>
      <c r="BW50" s="0" t="s">
        <v>1452</v>
      </c>
      <c r="BX50" s="0" t="s">
        <v>166</v>
      </c>
      <c r="BY50" s="0" t="s">
        <v>196</v>
      </c>
      <c r="BZ50" s="0" t="s">
        <v>1464</v>
      </c>
      <c r="CA50" s="0" t="s">
        <v>1465</v>
      </c>
      <c r="CC50" s="0" t="s">
        <v>738</v>
      </c>
      <c r="CE50" s="0" t="s">
        <v>162</v>
      </c>
      <c r="CH50" s="0" t="s">
        <v>163</v>
      </c>
      <c r="CJ50" s="0" t="s">
        <v>163</v>
      </c>
      <c r="CK50" s="0" t="s">
        <v>162</v>
      </c>
      <c r="CL50" s="0" t="s">
        <v>577</v>
      </c>
      <c r="CM50" s="0" t="s">
        <v>1460</v>
      </c>
      <c r="CN50" s="0" t="s">
        <v>174</v>
      </c>
      <c r="CO50" s="0" t="n">
        <v>78</v>
      </c>
      <c r="CP50" s="0" t="s">
        <v>767</v>
      </c>
      <c r="CQ50" s="0" t="s">
        <v>1466</v>
      </c>
      <c r="CR50" s="0" t="s">
        <v>206</v>
      </c>
      <c r="CS50" s="0" t="n">
        <v>0.51</v>
      </c>
      <c r="CT50" s="0" t="n">
        <v>46.8</v>
      </c>
      <c r="CU50" s="0" t="n">
        <v>12.8</v>
      </c>
      <c r="CV50" s="0" t="n">
        <v>6</v>
      </c>
      <c r="CW50" s="0" t="n">
        <v>15</v>
      </c>
      <c r="CX50" s="0" t="n">
        <v>13</v>
      </c>
      <c r="CY50" s="0" t="n">
        <f aca="false">IF(AH50="exact",10,IF(AH50="adjacent",5,0))</f>
        <v>0</v>
      </c>
      <c r="CZ50" s="0" t="n">
        <f aca="false">IF(R50="Y",15,0)</f>
        <v>0</v>
      </c>
      <c r="DF50" s="0" t="s">
        <v>158</v>
      </c>
      <c r="DG50" s="0" t="s">
        <v>1335</v>
      </c>
      <c r="DH50" s="0" t="s">
        <v>1336</v>
      </c>
      <c r="DI50" s="0" t="s">
        <v>168</v>
      </c>
      <c r="DJ50" s="0" t="s">
        <v>1467</v>
      </c>
      <c r="DK50" s="0" t="s">
        <v>1468</v>
      </c>
      <c r="DS50" s="0" t="s">
        <v>158</v>
      </c>
      <c r="DX50" s="0" t="s">
        <v>168</v>
      </c>
      <c r="ER50" s="0" t="str">
        <f aca="false">IF(ISNUMBER(MATCH(U50,{"queued","contacted","replied","call_booked","call_done","yes_in_principle","materials_sent"},0)),"Y","N")</f>
        <v>N</v>
      </c>
      <c r="ES50" s="0" t="str">
        <f aca="false">IF(COUNTIFS($AP$2:$AP$1000,AP50,$ER$2:$ER$1000,"Y")+COUNTIFS($AP$2:$AP$1000,AP50,$T$2:$T$1000,"Y")&gt;0,"Y","N")</f>
        <v>N</v>
      </c>
      <c r="ET50" s="0" t="str">
        <f aca="false">IF(AND(U50="new",T50="N",AT50="Y",AS50="",ES50="N"),"Y","N")</f>
        <v>N</v>
      </c>
      <c r="EU50" s="0" t="str">
        <f aca="false">IF(ET50&lt;&gt;"Y","N",IF(COUNTIFS($AP$2:$AP$1000,AP50,$ET$2:$ET$1000,"Y",$J$2:$J$1000,"&gt;"&amp;J50)+COUNTIFS($AP$2:$AP$1000,AP50,$ET$2:$ET$1000,"Y",$J$2:$J$1000,J50,$EW$2:$EW$1000,"&lt;"&amp;EW50)=0,"Y","N"))</f>
        <v>N</v>
      </c>
      <c r="EV50" s="0" t="str">
        <f aca="false">IF(Y50="","N",IF(Y50&lt;=10,"Y","N"))</f>
        <v>N</v>
      </c>
      <c r="EW50" s="0" t="n">
        <f aca="false">ROW()-1</f>
        <v>49</v>
      </c>
    </row>
    <row r="51" customFormat="false" ht="15" hidden="false" customHeight="false" outlineLevel="0" collapsed="false">
      <c r="A51" s="0" t="s">
        <v>1469</v>
      </c>
      <c r="B51" s="0" t="s">
        <v>1470</v>
      </c>
      <c r="H51" s="5" t="s">
        <v>158</v>
      </c>
      <c r="I51" s="5" t="s">
        <v>594</v>
      </c>
      <c r="J51" s="0" t="n">
        <f aca="false">IF(AX51="pass",ROUND(CU51+CV51+CW51+CX51+CY51+CZ51,1),0)</f>
        <v>46.2</v>
      </c>
      <c r="K51" s="0" t="s">
        <v>1471</v>
      </c>
      <c r="L51" s="0" t="s">
        <v>187</v>
      </c>
      <c r="R51" s="5" t="s">
        <v>162</v>
      </c>
      <c r="S51" s="0" t="s">
        <v>163</v>
      </c>
      <c r="T51" s="5" t="s">
        <v>162</v>
      </c>
      <c r="U51" s="5" t="s">
        <v>561</v>
      </c>
      <c r="V51" s="0" t="s">
        <v>1472</v>
      </c>
      <c r="W51" s="0" t="s">
        <v>166</v>
      </c>
      <c r="X51" s="0" t="s">
        <v>167</v>
      </c>
      <c r="Y51" s="0" t="str">
        <f aca="false">IF(EU51&lt;&gt;"Y","",COUNTIFS($EU$2:$EU$1000,"Y",$J$2:$J$1000,"&gt;"&amp;J51)+COUNTIFS($EU$2:$EU$1000,"Y",$J$2:$J$1000,J51,$EW$2:$EW$1000,"&lt;"&amp;EW51)+1)</f>
        <v/>
      </c>
      <c r="Z51" s="0" t="n">
        <v>50</v>
      </c>
      <c r="AA51" s="0" t="s">
        <v>168</v>
      </c>
      <c r="AB51" s="0" t="s">
        <v>597</v>
      </c>
      <c r="AD51" s="0" t="s">
        <v>158</v>
      </c>
      <c r="AH51" s="5" t="s">
        <v>158</v>
      </c>
      <c r="AI51" s="0" t="s">
        <v>1473</v>
      </c>
      <c r="AJ51" s="0" t="s">
        <v>1474</v>
      </c>
      <c r="AK51" s="0" t="s">
        <v>178</v>
      </c>
      <c r="AL51" s="0" t="n">
        <v>46</v>
      </c>
      <c r="AM51" s="0" t="n">
        <v>912</v>
      </c>
      <c r="AN51" s="0" t="s">
        <v>179</v>
      </c>
      <c r="AO51" s="0" t="s">
        <v>180</v>
      </c>
      <c r="AP51" s="0" t="s">
        <v>1469</v>
      </c>
      <c r="AQ51" s="5" t="s">
        <v>162</v>
      </c>
      <c r="AT51" s="0" t="str">
        <f aca="false">IF(AND(AX51="pass",AQ51&lt;&gt;"Y",C51&lt;&gt;"",OR(AW51&lt;&gt;"Y",AV51="Y")),"Y","N")</f>
        <v>N</v>
      </c>
      <c r="AU51" s="0" t="str">
        <f aca="false">_xlfn.TEXTJOIN("; ",TRUE(),IF(AX51&lt;&gt;"pass","gated out",""),IF(AQ51="Y","on hold: "&amp;AR51,""),IF(C51="","no contact named on an opened page",""),IF(AND(AW51="Y",AV51&lt;&gt;"Y"),"Tuesday estimate band "&amp;L51&amp;": founder's call",""))</f>
        <v>no contact named on an opened page</v>
      </c>
      <c r="AW51" s="0" t="s">
        <v>162</v>
      </c>
      <c r="AX51" s="0" t="s">
        <v>181</v>
      </c>
      <c r="AY51" s="0" t="s">
        <v>182</v>
      </c>
      <c r="AZ51" s="0" t="s">
        <v>1</v>
      </c>
      <c r="BA51" s="0" t="s">
        <v>1475</v>
      </c>
      <c r="BB51" s="0" t="s">
        <v>1476</v>
      </c>
      <c r="BC51" s="0" t="s">
        <v>1477</v>
      </c>
      <c r="BD51" s="0" t="s">
        <v>1478</v>
      </c>
      <c r="BF51" s="0" t="s">
        <v>1322</v>
      </c>
      <c r="BG51" s="0" t="s">
        <v>188</v>
      </c>
      <c r="BH51" s="0" t="s">
        <v>189</v>
      </c>
      <c r="BI51" s="0" t="s">
        <v>1479</v>
      </c>
      <c r="BK51" s="0" t="s">
        <v>1439</v>
      </c>
      <c r="BL51" s="0" t="s">
        <v>163</v>
      </c>
      <c r="BM51" s="0" t="s">
        <v>163</v>
      </c>
      <c r="BN51" s="0" t="s">
        <v>163</v>
      </c>
      <c r="BO51" s="0" t="s">
        <v>163</v>
      </c>
      <c r="BP51" s="0" t="s">
        <v>346</v>
      </c>
      <c r="BQ51" s="0" t="n">
        <v>40.741968</v>
      </c>
      <c r="BR51" s="0" t="n">
        <v>-73.985327</v>
      </c>
      <c r="BS51" s="0" t="s">
        <v>168</v>
      </c>
      <c r="BT51" s="0" t="n">
        <v>0</v>
      </c>
      <c r="BU51" s="0" t="s">
        <v>1480</v>
      </c>
      <c r="BV51" s="0" t="s">
        <v>1481</v>
      </c>
      <c r="BW51" s="0" t="s">
        <v>1472</v>
      </c>
      <c r="BX51" s="0" t="s">
        <v>1482</v>
      </c>
      <c r="BY51" s="0" t="s">
        <v>247</v>
      </c>
      <c r="BZ51" s="0" t="s">
        <v>1479</v>
      </c>
      <c r="CA51" s="0" t="s">
        <v>166</v>
      </c>
      <c r="CC51" s="0" t="s">
        <v>200</v>
      </c>
      <c r="CE51" s="0" t="s">
        <v>162</v>
      </c>
      <c r="CH51" s="0" t="s">
        <v>163</v>
      </c>
      <c r="CJ51" s="0" t="s">
        <v>163</v>
      </c>
      <c r="CK51" s="0" t="s">
        <v>162</v>
      </c>
      <c r="CL51" s="0" t="s">
        <v>448</v>
      </c>
      <c r="CM51" s="0" t="s">
        <v>1479</v>
      </c>
      <c r="CN51" s="0" t="s">
        <v>174</v>
      </c>
      <c r="CO51" s="0" t="n">
        <v>205</v>
      </c>
      <c r="CP51" s="0" t="s">
        <v>250</v>
      </c>
      <c r="CQ51" s="0" t="s">
        <v>1483</v>
      </c>
      <c r="CR51" s="0" t="s">
        <v>206</v>
      </c>
      <c r="CS51" s="0" t="n">
        <v>0.57</v>
      </c>
      <c r="CT51" s="0" t="n">
        <v>46.2</v>
      </c>
      <c r="CU51" s="0" t="n">
        <v>14.2</v>
      </c>
      <c r="CV51" s="0" t="n">
        <v>2</v>
      </c>
      <c r="CW51" s="0" t="n">
        <v>15</v>
      </c>
      <c r="CX51" s="0" t="n">
        <v>15</v>
      </c>
      <c r="CY51" s="0" t="n">
        <f aca="false">IF(AH51="exact",10,IF(AH51="adjacent",5,0))</f>
        <v>0</v>
      </c>
      <c r="CZ51" s="0" t="n">
        <f aca="false">IF(R51="Y",15,0)</f>
        <v>0</v>
      </c>
      <c r="DF51" s="0" t="s">
        <v>158</v>
      </c>
      <c r="DG51" s="0" t="s">
        <v>1335</v>
      </c>
      <c r="DH51" s="0" t="s">
        <v>1446</v>
      </c>
      <c r="DI51" s="0" t="s">
        <v>162</v>
      </c>
      <c r="DJ51" s="0" t="s">
        <v>1484</v>
      </c>
      <c r="DK51" s="0" t="s">
        <v>1485</v>
      </c>
      <c r="DS51" s="0" t="s">
        <v>158</v>
      </c>
      <c r="DX51" s="0" t="s">
        <v>168</v>
      </c>
      <c r="ER51" s="0" t="str">
        <f aca="false">IF(ISNUMBER(MATCH(U51,{"queued","contacted","replied","call_booked","call_done","yes_in_principle","materials_sent"},0)),"Y","N")</f>
        <v>N</v>
      </c>
      <c r="ES51" s="0" t="str">
        <f aca="false">IF(COUNTIFS($AP$2:$AP$1000,AP51,$ER$2:$ER$1000,"Y")+COUNTIFS($AP$2:$AP$1000,AP51,$T$2:$T$1000,"Y")&gt;0,"Y","N")</f>
        <v>N</v>
      </c>
      <c r="ET51" s="0" t="str">
        <f aca="false">IF(AND(U51="new",T51="N",AT51="Y",AS51="",ES51="N"),"Y","N")</f>
        <v>N</v>
      </c>
      <c r="EU51" s="0" t="str">
        <f aca="false">IF(ET51&lt;&gt;"Y","N",IF(COUNTIFS($AP$2:$AP$1000,AP51,$ET$2:$ET$1000,"Y",$J$2:$J$1000,"&gt;"&amp;J51)+COUNTIFS($AP$2:$AP$1000,AP51,$ET$2:$ET$1000,"Y",$J$2:$J$1000,J51,$EW$2:$EW$1000,"&lt;"&amp;EW51)=0,"Y","N"))</f>
        <v>N</v>
      </c>
      <c r="EV51" s="0" t="str">
        <f aca="false">IF(Y51="","N",IF(Y51&lt;=10,"Y","N"))</f>
        <v>N</v>
      </c>
      <c r="EW51" s="0" t="n">
        <f aca="false">ROW()-1</f>
        <v>50</v>
      </c>
    </row>
    <row r="52" customFormat="false" ht="15" hidden="false" customHeight="false" outlineLevel="0" collapsed="false">
      <c r="A52" s="0" t="s">
        <v>1486</v>
      </c>
      <c r="B52" s="0" t="s">
        <v>1487</v>
      </c>
      <c r="H52" s="5" t="s">
        <v>158</v>
      </c>
      <c r="I52" s="5" t="s">
        <v>159</v>
      </c>
      <c r="J52" s="0" t="n">
        <f aca="false">IF(AX52="pass",ROUND(CU52+CV52+CW52+CX52+CY52+CZ52,1),0)</f>
        <v>46.1</v>
      </c>
      <c r="K52" s="0" t="s">
        <v>1488</v>
      </c>
      <c r="L52" s="0" t="s">
        <v>394</v>
      </c>
      <c r="O52" s="0" t="s">
        <v>1489</v>
      </c>
      <c r="P52" s="0" t="s">
        <v>1490</v>
      </c>
      <c r="Q52" s="0" t="s">
        <v>1491</v>
      </c>
      <c r="R52" s="5" t="s">
        <v>162</v>
      </c>
      <c r="S52" s="0" t="s">
        <v>163</v>
      </c>
      <c r="T52" s="5" t="s">
        <v>162</v>
      </c>
      <c r="U52" s="5" t="s">
        <v>561</v>
      </c>
      <c r="V52" s="0" t="s">
        <v>1490</v>
      </c>
      <c r="W52" s="0" t="s">
        <v>166</v>
      </c>
      <c r="X52" s="0" t="s">
        <v>167</v>
      </c>
      <c r="Y52" s="0" t="str">
        <f aca="false">IF(EU52&lt;&gt;"Y","",COUNTIFS($EU$2:$EU$1000,"Y",$J$2:$J$1000,"&gt;"&amp;J52)+COUNTIFS($EU$2:$EU$1000,"Y",$J$2:$J$1000,J52,$EW$2:$EW$1000,"&lt;"&amp;EW52)+1)</f>
        <v/>
      </c>
      <c r="Z52" s="0" t="n">
        <v>51</v>
      </c>
      <c r="AA52" s="0" t="s">
        <v>162</v>
      </c>
      <c r="AD52" s="0" t="s">
        <v>158</v>
      </c>
      <c r="AH52" s="5" t="s">
        <v>158</v>
      </c>
      <c r="AI52" s="0" t="s">
        <v>1492</v>
      </c>
      <c r="AJ52" s="0" t="s">
        <v>233</v>
      </c>
      <c r="AK52" s="0" t="s">
        <v>889</v>
      </c>
      <c r="AL52" s="0" t="n">
        <v>15</v>
      </c>
      <c r="AM52" s="0" t="n">
        <v>314</v>
      </c>
      <c r="AN52" s="0" t="s">
        <v>179</v>
      </c>
      <c r="AO52" s="0" t="s">
        <v>180</v>
      </c>
      <c r="AP52" s="0" t="s">
        <v>1486</v>
      </c>
      <c r="AQ52" s="5" t="s">
        <v>168</v>
      </c>
      <c r="AR52" s="0" t="s">
        <v>890</v>
      </c>
      <c r="AT52" s="0" t="str">
        <f aca="false">IF(AND(AX52="pass",AQ52&lt;&gt;"Y",C52&lt;&gt;"",OR(AW52&lt;&gt;"Y",AV52="Y")),"Y","N")</f>
        <v>N</v>
      </c>
      <c r="AU52" s="0" t="str">
        <f aca="false">_xlfn.TEXTJOIN("; ",TRUE(),IF(AX52&lt;&gt;"pass","gated out",""),IF(AQ52="Y","on hold: "&amp;AR52,""),IF(C52="","no contact named on an opened page",""),IF(AND(AW52="Y",AV52&lt;&gt;"Y"),"Tuesday estimate band "&amp;L52&amp;": founder's call",""))</f>
        <v>on hold: lease signed, move not confirmed: check the lobby directory before outreach (B); no contact named on an opened page</v>
      </c>
      <c r="AW52" s="0" t="s">
        <v>162</v>
      </c>
      <c r="AX52" s="0" t="s">
        <v>181</v>
      </c>
      <c r="AY52" s="0" t="s">
        <v>182</v>
      </c>
      <c r="AZ52" s="0" t="s">
        <v>1</v>
      </c>
      <c r="BA52" s="0" t="s">
        <v>1493</v>
      </c>
      <c r="BB52" s="0" t="s">
        <v>1494</v>
      </c>
      <c r="BC52" s="0" t="s">
        <v>1495</v>
      </c>
      <c r="BD52" s="0" t="s">
        <v>1496</v>
      </c>
      <c r="BE52" s="0" t="s">
        <v>1497</v>
      </c>
      <c r="BF52" s="0" t="s">
        <v>239</v>
      </c>
      <c r="BG52" s="0" t="s">
        <v>188</v>
      </c>
      <c r="BH52" s="0" t="s">
        <v>240</v>
      </c>
      <c r="BI52" s="0" t="s">
        <v>1498</v>
      </c>
      <c r="BJ52" s="0" t="s">
        <v>1499</v>
      </c>
      <c r="BK52" s="0" t="s">
        <v>191</v>
      </c>
      <c r="BL52" s="0" t="s">
        <v>656</v>
      </c>
      <c r="BM52" s="0" t="s">
        <v>162</v>
      </c>
      <c r="BN52" s="0" t="s">
        <v>1500</v>
      </c>
      <c r="BO52" s="0" t="s">
        <v>163</v>
      </c>
      <c r="BP52" s="0" t="s">
        <v>377</v>
      </c>
      <c r="BQ52" s="0" t="n">
        <v>40.736981</v>
      </c>
      <c r="BR52" s="0" t="n">
        <v>-73.993144</v>
      </c>
      <c r="BS52" s="0" t="s">
        <v>168</v>
      </c>
      <c r="BT52" s="0" t="n">
        <v>0</v>
      </c>
      <c r="BU52" s="0" t="s">
        <v>1501</v>
      </c>
      <c r="BV52" s="0" t="s">
        <v>1502</v>
      </c>
      <c r="BW52" s="0" t="s">
        <v>1490</v>
      </c>
      <c r="BX52" s="0" t="s">
        <v>1491</v>
      </c>
      <c r="BY52" s="0" t="s">
        <v>247</v>
      </c>
      <c r="CC52" s="0" t="s">
        <v>738</v>
      </c>
      <c r="CD52" s="0" t="s">
        <v>163</v>
      </c>
      <c r="CE52" s="0" t="s">
        <v>162</v>
      </c>
      <c r="CH52" s="0" t="s">
        <v>163</v>
      </c>
      <c r="CJ52" s="0" t="s">
        <v>163</v>
      </c>
      <c r="CK52" s="0" t="s">
        <v>162</v>
      </c>
      <c r="CL52" s="0" t="s">
        <v>1503</v>
      </c>
      <c r="CM52" s="0" t="s">
        <v>1504</v>
      </c>
      <c r="CN52" s="0" t="s">
        <v>174</v>
      </c>
      <c r="CO52" s="0" t="n">
        <v>69</v>
      </c>
      <c r="CP52" s="0" t="s">
        <v>767</v>
      </c>
      <c r="CQ52" s="0" t="s">
        <v>1505</v>
      </c>
      <c r="CR52" s="0" t="s">
        <v>206</v>
      </c>
      <c r="CS52" s="0" t="n">
        <v>0.6</v>
      </c>
      <c r="CT52" s="0" t="n">
        <v>46.1</v>
      </c>
      <c r="CU52" s="0" t="n">
        <v>15.1</v>
      </c>
      <c r="CV52" s="0" t="n">
        <v>11</v>
      </c>
      <c r="CW52" s="0" t="n">
        <v>15</v>
      </c>
      <c r="CX52" s="0" t="n">
        <v>5</v>
      </c>
      <c r="CY52" s="0" t="n">
        <f aca="false">IF(AH52="exact",10,IF(AH52="adjacent",5,0))</f>
        <v>0</v>
      </c>
      <c r="CZ52" s="0" t="n">
        <f aca="false">IF(R52="Y",15,0)</f>
        <v>0</v>
      </c>
      <c r="DF52" s="0" t="s">
        <v>158</v>
      </c>
      <c r="DG52" s="0" t="s">
        <v>211</v>
      </c>
      <c r="DJ52" s="0" t="s">
        <v>1506</v>
      </c>
      <c r="DK52" s="0" t="s">
        <v>1507</v>
      </c>
      <c r="DS52" s="0" t="s">
        <v>158</v>
      </c>
      <c r="DX52" s="0" t="s">
        <v>162</v>
      </c>
      <c r="ER52" s="0" t="str">
        <f aca="false">IF(ISNUMBER(MATCH(U52,{"queued","contacted","replied","call_booked","call_done","yes_in_principle","materials_sent"},0)),"Y","N")</f>
        <v>N</v>
      </c>
      <c r="ES52" s="0" t="str">
        <f aca="false">IF(COUNTIFS($AP$2:$AP$1000,AP52,$ER$2:$ER$1000,"Y")+COUNTIFS($AP$2:$AP$1000,AP52,$T$2:$T$1000,"Y")&gt;0,"Y","N")</f>
        <v>N</v>
      </c>
      <c r="ET52" s="0" t="str">
        <f aca="false">IF(AND(U52="new",T52="N",AT52="Y",AS52="",ES52="N"),"Y","N")</f>
        <v>N</v>
      </c>
      <c r="EU52" s="0" t="str">
        <f aca="false">IF(ET52&lt;&gt;"Y","N",IF(COUNTIFS($AP$2:$AP$1000,AP52,$ET$2:$ET$1000,"Y",$J$2:$J$1000,"&gt;"&amp;J52)+COUNTIFS($AP$2:$AP$1000,AP52,$ET$2:$ET$1000,"Y",$J$2:$J$1000,J52,$EW$2:$EW$1000,"&lt;"&amp;EW52)=0,"Y","N"))</f>
        <v>N</v>
      </c>
      <c r="EV52" s="0" t="str">
        <f aca="false">IF(Y52="","N",IF(Y52&lt;=10,"Y","N"))</f>
        <v>N</v>
      </c>
      <c r="EW52" s="0" t="n">
        <f aca="false">ROW()-1</f>
        <v>51</v>
      </c>
    </row>
    <row r="53" customFormat="false" ht="15" hidden="false" customHeight="false" outlineLevel="0" collapsed="false">
      <c r="A53" s="0" t="s">
        <v>1508</v>
      </c>
      <c r="B53" s="0" t="s">
        <v>1509</v>
      </c>
      <c r="H53" s="5" t="s">
        <v>158</v>
      </c>
      <c r="I53" s="5" t="s">
        <v>159</v>
      </c>
      <c r="J53" s="0" t="n">
        <f aca="false">IF(AX53="pass",ROUND(CU53+CV53+CW53+CX53+CY53+CZ53,1),0)</f>
        <v>45.9</v>
      </c>
      <c r="K53" s="0" t="s">
        <v>1510</v>
      </c>
      <c r="L53" s="0" t="s">
        <v>394</v>
      </c>
      <c r="R53" s="5" t="s">
        <v>162</v>
      </c>
      <c r="S53" s="0" t="s">
        <v>163</v>
      </c>
      <c r="T53" s="5" t="s">
        <v>162</v>
      </c>
      <c r="U53" s="5" t="s">
        <v>561</v>
      </c>
      <c r="V53" s="0" t="s">
        <v>1511</v>
      </c>
      <c r="W53" s="0" t="s">
        <v>166</v>
      </c>
      <c r="X53" s="0" t="s">
        <v>167</v>
      </c>
      <c r="Y53" s="0" t="str">
        <f aca="false">IF(EU53&lt;&gt;"Y","",COUNTIFS($EU$2:$EU$1000,"Y",$J$2:$J$1000,"&gt;"&amp;J53)+COUNTIFS($EU$2:$EU$1000,"Y",$J$2:$J$1000,J53,$EW$2:$EW$1000,"&lt;"&amp;EW53)+1)</f>
        <v/>
      </c>
      <c r="Z53" s="0" t="n">
        <v>52</v>
      </c>
      <c r="AA53" s="0" t="s">
        <v>162</v>
      </c>
      <c r="AD53" s="0" t="s">
        <v>158</v>
      </c>
      <c r="AH53" s="5" t="s">
        <v>158</v>
      </c>
      <c r="AI53" s="0" t="s">
        <v>1512</v>
      </c>
      <c r="AJ53" s="0" t="s">
        <v>1257</v>
      </c>
      <c r="AK53" s="0" t="s">
        <v>178</v>
      </c>
      <c r="AL53" s="0" t="n">
        <v>8</v>
      </c>
      <c r="AM53" s="0" t="n">
        <v>224</v>
      </c>
      <c r="AN53" s="0" t="s">
        <v>179</v>
      </c>
      <c r="AO53" s="0" t="s">
        <v>861</v>
      </c>
      <c r="AP53" s="0" t="s">
        <v>1508</v>
      </c>
      <c r="AQ53" s="5" t="s">
        <v>162</v>
      </c>
      <c r="AT53" s="0" t="str">
        <f aca="false">IF(AND(AX53="pass",AQ53&lt;&gt;"Y",C53&lt;&gt;"",OR(AW53&lt;&gt;"Y",AV53="Y")),"Y","N")</f>
        <v>N</v>
      </c>
      <c r="AU53" s="0" t="str">
        <f aca="false">_xlfn.TEXTJOIN("; ",TRUE(),IF(AX53&lt;&gt;"pass","gated out",""),IF(AQ53="Y","on hold: "&amp;AR53,""),IF(C53="","no contact named on an opened page",""),IF(AND(AW53="Y",AV53&lt;&gt;"Y"),"Tuesday estimate band "&amp;L53&amp;": founder's call",""))</f>
        <v>no contact named on an opened page</v>
      </c>
      <c r="AW53" s="0" t="s">
        <v>162</v>
      </c>
      <c r="AX53" s="0" t="s">
        <v>181</v>
      </c>
      <c r="AY53" s="0" t="s">
        <v>182</v>
      </c>
      <c r="AZ53" s="0" t="s">
        <v>1</v>
      </c>
      <c r="BA53" s="0" t="s">
        <v>1513</v>
      </c>
      <c r="BB53" s="0" t="s">
        <v>1514</v>
      </c>
      <c r="BC53" s="0" t="s">
        <v>1515</v>
      </c>
      <c r="BD53" s="0" t="s">
        <v>1414</v>
      </c>
      <c r="BE53" s="0" t="s">
        <v>865</v>
      </c>
      <c r="BF53" s="0" t="s">
        <v>163</v>
      </c>
      <c r="BG53" s="0" t="s">
        <v>163</v>
      </c>
      <c r="BH53" s="0" t="s">
        <v>279</v>
      </c>
      <c r="BI53" s="0" t="s">
        <v>1516</v>
      </c>
      <c r="BJ53" s="0" t="s">
        <v>1517</v>
      </c>
      <c r="BK53" s="0" t="s">
        <v>191</v>
      </c>
      <c r="BL53" s="0" t="s">
        <v>1440</v>
      </c>
      <c r="BM53" s="0" t="s">
        <v>162</v>
      </c>
      <c r="BN53" s="0" t="s">
        <v>163</v>
      </c>
      <c r="BO53" s="0" t="s">
        <v>163</v>
      </c>
      <c r="BP53" s="0" t="s">
        <v>711</v>
      </c>
      <c r="BQ53" s="0" t="n">
        <v>40.743655</v>
      </c>
      <c r="BR53" s="0" t="n">
        <v>-73.988282</v>
      </c>
      <c r="BS53" s="0" t="s">
        <v>168</v>
      </c>
      <c r="BT53" s="0" t="n">
        <v>0</v>
      </c>
      <c r="BU53" s="0" t="s">
        <v>1518</v>
      </c>
      <c r="BV53" s="0" t="s">
        <v>1512</v>
      </c>
      <c r="BW53" s="0" t="s">
        <v>1511</v>
      </c>
      <c r="BX53" s="0" t="s">
        <v>174</v>
      </c>
      <c r="BY53" s="0" t="s">
        <v>196</v>
      </c>
      <c r="CC53" s="0" t="s">
        <v>738</v>
      </c>
      <c r="CE53" s="0" t="s">
        <v>162</v>
      </c>
      <c r="CH53" s="0" t="s">
        <v>163</v>
      </c>
      <c r="CJ53" s="0" t="s">
        <v>163</v>
      </c>
      <c r="CK53" s="0" t="s">
        <v>162</v>
      </c>
      <c r="CL53" s="0" t="s">
        <v>1519</v>
      </c>
      <c r="CM53" s="0" t="s">
        <v>1516</v>
      </c>
      <c r="CN53" s="0" t="s">
        <v>174</v>
      </c>
      <c r="CO53" s="0" t="n">
        <v>42</v>
      </c>
      <c r="CP53" s="0" t="s">
        <v>968</v>
      </c>
      <c r="CQ53" s="0" t="s">
        <v>1520</v>
      </c>
      <c r="CR53" s="0" t="s">
        <v>206</v>
      </c>
      <c r="CS53" s="0" t="n">
        <v>0.52</v>
      </c>
      <c r="CT53" s="0" t="n">
        <v>45.9</v>
      </c>
      <c r="CU53" s="0" t="n">
        <v>12.9</v>
      </c>
      <c r="CV53" s="0" t="n">
        <v>15</v>
      </c>
      <c r="CW53" s="0" t="n">
        <v>5</v>
      </c>
      <c r="CX53" s="0" t="n">
        <v>13</v>
      </c>
      <c r="CY53" s="0" t="n">
        <f aca="false">IF(AH53="exact",10,IF(AH53="adjacent",5,0))</f>
        <v>0</v>
      </c>
      <c r="CZ53" s="0" t="n">
        <f aca="false">IF(R53="Y",15,0)</f>
        <v>0</v>
      </c>
      <c r="DF53" s="0" t="s">
        <v>158</v>
      </c>
      <c r="DG53" s="0" t="s">
        <v>211</v>
      </c>
      <c r="DK53" s="0" t="s">
        <v>1521</v>
      </c>
      <c r="DS53" s="0" t="s">
        <v>158</v>
      </c>
      <c r="DX53" s="0" t="s">
        <v>162</v>
      </c>
      <c r="ER53" s="0" t="str">
        <f aca="false">IF(ISNUMBER(MATCH(U53,{"queued","contacted","replied","call_booked","call_done","yes_in_principle","materials_sent"},0)),"Y","N")</f>
        <v>N</v>
      </c>
      <c r="ES53" s="0" t="str">
        <f aca="false">IF(COUNTIFS($AP$2:$AP$1000,AP53,$ER$2:$ER$1000,"Y")+COUNTIFS($AP$2:$AP$1000,AP53,$T$2:$T$1000,"Y")&gt;0,"Y","N")</f>
        <v>N</v>
      </c>
      <c r="ET53" s="0" t="str">
        <f aca="false">IF(AND(U53="new",T53="N",AT53="Y",AS53="",ES53="N"),"Y","N")</f>
        <v>N</v>
      </c>
      <c r="EU53" s="0" t="str">
        <f aca="false">IF(ET53&lt;&gt;"Y","N",IF(COUNTIFS($AP$2:$AP$1000,AP53,$ET$2:$ET$1000,"Y",$J$2:$J$1000,"&gt;"&amp;J53)+COUNTIFS($AP$2:$AP$1000,AP53,$ET$2:$ET$1000,"Y",$J$2:$J$1000,J53,$EW$2:$EW$1000,"&lt;"&amp;EW53)=0,"Y","N"))</f>
        <v>N</v>
      </c>
      <c r="EV53" s="0" t="str">
        <f aca="false">IF(Y53="","N",IF(Y53&lt;=10,"Y","N"))</f>
        <v>N</v>
      </c>
      <c r="EW53" s="0" t="n">
        <f aca="false">ROW()-1</f>
        <v>52</v>
      </c>
    </row>
    <row r="54" customFormat="false" ht="15" hidden="false" customHeight="false" outlineLevel="0" collapsed="false">
      <c r="A54" s="0" t="s">
        <v>1522</v>
      </c>
      <c r="B54" s="0" t="s">
        <v>1523</v>
      </c>
      <c r="H54" s="5" t="s">
        <v>158</v>
      </c>
      <c r="I54" s="5" t="s">
        <v>159</v>
      </c>
      <c r="J54" s="0" t="n">
        <f aca="false">IF(AX54="pass",ROUND(CU54+CV54+CW54+CX54+CY54+CZ54,1),0)</f>
        <v>45.2</v>
      </c>
      <c r="K54" s="0" t="s">
        <v>1524</v>
      </c>
      <c r="L54" s="0" t="s">
        <v>187</v>
      </c>
      <c r="R54" s="5" t="s">
        <v>162</v>
      </c>
      <c r="S54" s="0" t="s">
        <v>163</v>
      </c>
      <c r="T54" s="5" t="s">
        <v>162</v>
      </c>
      <c r="U54" s="5" t="s">
        <v>561</v>
      </c>
      <c r="V54" s="0" t="s">
        <v>1525</v>
      </c>
      <c r="W54" s="0" t="s">
        <v>166</v>
      </c>
      <c r="X54" s="0" t="s">
        <v>167</v>
      </c>
      <c r="Y54" s="0" t="str">
        <f aca="false">IF(EU54&lt;&gt;"Y","",COUNTIFS($EU$2:$EU$1000,"Y",$J$2:$J$1000,"&gt;"&amp;J54)+COUNTIFS($EU$2:$EU$1000,"Y",$J$2:$J$1000,J54,$EW$2:$EW$1000,"&lt;"&amp;EW54)+1)</f>
        <v/>
      </c>
      <c r="Z54" s="0" t="n">
        <v>53</v>
      </c>
      <c r="AA54" s="0" t="s">
        <v>162</v>
      </c>
      <c r="AD54" s="0" t="s">
        <v>158</v>
      </c>
      <c r="AH54" s="5" t="s">
        <v>158</v>
      </c>
      <c r="AI54" s="0" t="s">
        <v>1526</v>
      </c>
      <c r="AJ54" s="0" t="s">
        <v>1527</v>
      </c>
      <c r="AK54" s="0" t="s">
        <v>178</v>
      </c>
      <c r="AL54" s="0" t="n">
        <v>39</v>
      </c>
      <c r="AM54" s="0" t="n">
        <v>789</v>
      </c>
      <c r="AN54" s="0" t="s">
        <v>179</v>
      </c>
      <c r="AO54" s="0" t="s">
        <v>180</v>
      </c>
      <c r="AP54" s="0" t="s">
        <v>1522</v>
      </c>
      <c r="AQ54" s="5" t="s">
        <v>162</v>
      </c>
      <c r="AT54" s="0" t="str">
        <f aca="false">IF(AND(AX54="pass",AQ54&lt;&gt;"Y",C54&lt;&gt;"",OR(AW54&lt;&gt;"Y",AV54="Y")),"Y","N")</f>
        <v>N</v>
      </c>
      <c r="AU54" s="0" t="str">
        <f aca="false">_xlfn.TEXTJOIN("; ",TRUE(),IF(AX54&lt;&gt;"pass","gated out",""),IF(AQ54="Y","on hold: "&amp;AR54,""),IF(C54="","no contact named on an opened page",""),IF(AND(AW54="Y",AV54&lt;&gt;"Y"),"Tuesday estimate band "&amp;L54&amp;": founder's call",""))</f>
        <v>no contact named on an opened page</v>
      </c>
      <c r="AW54" s="0" t="s">
        <v>162</v>
      </c>
      <c r="AX54" s="0" t="s">
        <v>181</v>
      </c>
      <c r="AY54" s="0" t="s">
        <v>182</v>
      </c>
      <c r="AZ54" s="0" t="s">
        <v>1</v>
      </c>
      <c r="BA54" s="0" t="s">
        <v>1528</v>
      </c>
      <c r="BB54" s="0" t="s">
        <v>1529</v>
      </c>
      <c r="BC54" s="0" t="s">
        <v>1530</v>
      </c>
      <c r="BD54" s="0" t="s">
        <v>1531</v>
      </c>
      <c r="BF54" s="0" t="s">
        <v>1322</v>
      </c>
      <c r="BG54" s="0" t="s">
        <v>188</v>
      </c>
      <c r="BH54" s="0" t="s">
        <v>189</v>
      </c>
      <c r="BI54" s="0" t="s">
        <v>1532</v>
      </c>
      <c r="BK54" s="0" t="s">
        <v>1439</v>
      </c>
      <c r="BL54" s="0" t="s">
        <v>163</v>
      </c>
      <c r="BM54" s="0" t="s">
        <v>163</v>
      </c>
      <c r="BN54" s="0" t="s">
        <v>163</v>
      </c>
      <c r="BO54" s="0" t="s">
        <v>163</v>
      </c>
      <c r="BP54" s="0" t="s">
        <v>243</v>
      </c>
      <c r="BQ54" s="0" t="n">
        <v>40.745027</v>
      </c>
      <c r="BR54" s="0" t="n">
        <v>-73.986825</v>
      </c>
      <c r="BS54" s="0" t="s">
        <v>168</v>
      </c>
      <c r="BT54" s="0" t="n">
        <v>0</v>
      </c>
      <c r="BU54" s="0" t="s">
        <v>1533</v>
      </c>
      <c r="BV54" s="0" t="s">
        <v>1534</v>
      </c>
      <c r="BW54" s="0" t="s">
        <v>1525</v>
      </c>
      <c r="BX54" s="0" t="s">
        <v>1535</v>
      </c>
      <c r="BY54" s="0" t="s">
        <v>247</v>
      </c>
      <c r="CC54" s="0" t="s">
        <v>738</v>
      </c>
      <c r="CE54" s="0" t="s">
        <v>162</v>
      </c>
      <c r="CH54" s="0" t="s">
        <v>201</v>
      </c>
      <c r="CI54" s="0" t="s">
        <v>1536</v>
      </c>
      <c r="CJ54" s="0" t="s">
        <v>163</v>
      </c>
      <c r="CK54" s="0" t="s">
        <v>162</v>
      </c>
      <c r="CL54" s="0" t="s">
        <v>1537</v>
      </c>
      <c r="CM54" s="0" t="s">
        <v>1532</v>
      </c>
      <c r="CN54" s="0" t="s">
        <v>174</v>
      </c>
      <c r="CO54" s="0" t="n">
        <v>175</v>
      </c>
      <c r="CP54" s="0" t="s">
        <v>250</v>
      </c>
      <c r="CQ54" s="0" t="s">
        <v>1538</v>
      </c>
      <c r="CR54" s="0" t="s">
        <v>206</v>
      </c>
      <c r="CS54" s="0" t="n">
        <v>0.61</v>
      </c>
      <c r="CT54" s="0" t="n">
        <v>45.2</v>
      </c>
      <c r="CU54" s="0" t="n">
        <v>15.2</v>
      </c>
      <c r="CV54" s="0" t="n">
        <v>2</v>
      </c>
      <c r="CW54" s="0" t="n">
        <v>15</v>
      </c>
      <c r="CX54" s="0" t="n">
        <v>13</v>
      </c>
      <c r="CY54" s="0" t="n">
        <f aca="false">IF(AH54="exact",10,IF(AH54="adjacent",5,0))</f>
        <v>0</v>
      </c>
      <c r="CZ54" s="0" t="n">
        <f aca="false">IF(R54="Y",15,0)</f>
        <v>0</v>
      </c>
      <c r="DF54" s="0" t="s">
        <v>158</v>
      </c>
      <c r="DG54" s="0" t="s">
        <v>1335</v>
      </c>
      <c r="DH54" s="0" t="s">
        <v>1446</v>
      </c>
      <c r="DI54" s="0" t="s">
        <v>162</v>
      </c>
      <c r="DJ54" s="0" t="s">
        <v>1539</v>
      </c>
      <c r="DK54" s="0" t="s">
        <v>1540</v>
      </c>
      <c r="DS54" s="0" t="s">
        <v>158</v>
      </c>
      <c r="DX54" s="0" t="s">
        <v>162</v>
      </c>
      <c r="ER54" s="0" t="str">
        <f aca="false">IF(ISNUMBER(MATCH(U54,{"queued","contacted","replied","call_booked","call_done","yes_in_principle","materials_sent"},0)),"Y","N")</f>
        <v>N</v>
      </c>
      <c r="ES54" s="0" t="str">
        <f aca="false">IF(COUNTIFS($AP$2:$AP$1000,AP54,$ER$2:$ER$1000,"Y")+COUNTIFS($AP$2:$AP$1000,AP54,$T$2:$T$1000,"Y")&gt;0,"Y","N")</f>
        <v>N</v>
      </c>
      <c r="ET54" s="0" t="str">
        <f aca="false">IF(AND(U54="new",T54="N",AT54="Y",AS54="",ES54="N"),"Y","N")</f>
        <v>N</v>
      </c>
      <c r="EU54" s="0" t="str">
        <f aca="false">IF(ET54&lt;&gt;"Y","N",IF(COUNTIFS($AP$2:$AP$1000,AP54,$ET$2:$ET$1000,"Y",$J$2:$J$1000,"&gt;"&amp;J54)+COUNTIFS($AP$2:$AP$1000,AP54,$ET$2:$ET$1000,"Y",$J$2:$J$1000,J54,$EW$2:$EW$1000,"&lt;"&amp;EW54)=0,"Y","N"))</f>
        <v>N</v>
      </c>
      <c r="EV54" s="0" t="str">
        <f aca="false">IF(Y54="","N",IF(Y54&lt;=10,"Y","N"))</f>
        <v>N</v>
      </c>
      <c r="EW54" s="0" t="n">
        <f aca="false">ROW()-1</f>
        <v>53</v>
      </c>
    </row>
    <row r="55" customFormat="false" ht="15" hidden="false" customHeight="false" outlineLevel="0" collapsed="false">
      <c r="A55" s="0" t="s">
        <v>1541</v>
      </c>
      <c r="B55" s="0" t="s">
        <v>1542</v>
      </c>
      <c r="H55" s="5" t="s">
        <v>158</v>
      </c>
      <c r="I55" s="5" t="s">
        <v>159</v>
      </c>
      <c r="J55" s="0" t="n">
        <f aca="false">IF(AX55="pass",ROUND(CU55+CV55+CW55+CX55+CY55+CZ55,1),0)</f>
        <v>45.1</v>
      </c>
      <c r="K55" s="0" t="s">
        <v>1543</v>
      </c>
      <c r="L55" s="0" t="s">
        <v>394</v>
      </c>
      <c r="R55" s="5" t="s">
        <v>162</v>
      </c>
      <c r="S55" s="0" t="s">
        <v>163</v>
      </c>
      <c r="T55" s="5" t="s">
        <v>162</v>
      </c>
      <c r="U55" s="5" t="s">
        <v>561</v>
      </c>
      <c r="V55" s="0" t="s">
        <v>1544</v>
      </c>
      <c r="W55" s="0" t="s">
        <v>166</v>
      </c>
      <c r="X55" s="0" t="s">
        <v>167</v>
      </c>
      <c r="Y55" s="0" t="str">
        <f aca="false">IF(EU55&lt;&gt;"Y","",COUNTIFS($EU$2:$EU$1000,"Y",$J$2:$J$1000,"&gt;"&amp;J55)+COUNTIFS($EU$2:$EU$1000,"Y",$J$2:$J$1000,J55,$EW$2:$EW$1000,"&lt;"&amp;EW55)+1)</f>
        <v/>
      </c>
      <c r="Z55" s="0" t="n">
        <v>54</v>
      </c>
      <c r="AA55" s="0" t="s">
        <v>162</v>
      </c>
      <c r="AD55" s="0" t="s">
        <v>158</v>
      </c>
      <c r="AH55" s="5" t="s">
        <v>158</v>
      </c>
      <c r="AI55" s="0" t="s">
        <v>1545</v>
      </c>
      <c r="AJ55" s="0" t="s">
        <v>163</v>
      </c>
      <c r="AK55" s="0" t="s">
        <v>434</v>
      </c>
      <c r="AL55" s="0" t="n">
        <v>12</v>
      </c>
      <c r="AM55" s="0" t="n">
        <v>249</v>
      </c>
      <c r="AN55" s="0" t="s">
        <v>179</v>
      </c>
      <c r="AO55" s="0" t="s">
        <v>273</v>
      </c>
      <c r="AP55" s="0" t="s">
        <v>1541</v>
      </c>
      <c r="AQ55" s="5" t="s">
        <v>162</v>
      </c>
      <c r="AT55" s="0" t="str">
        <f aca="false">IF(AND(AX55="pass",AQ55&lt;&gt;"Y",C55&lt;&gt;"",OR(AW55&lt;&gt;"Y",AV55="Y")),"Y","N")</f>
        <v>N</v>
      </c>
      <c r="AU55" s="0" t="str">
        <f aca="false">_xlfn.TEXTJOIN("; ",TRUE(),IF(AX55&lt;&gt;"pass","gated out",""),IF(AQ55="Y","on hold: "&amp;AR55,""),IF(C55="","no contact named on an opened page",""),IF(AND(AW55="Y",AV55&lt;&gt;"Y"),"Tuesday estimate band "&amp;L55&amp;": founder's call",""))</f>
        <v>no contact named on an opened page</v>
      </c>
      <c r="AW55" s="0" t="s">
        <v>162</v>
      </c>
      <c r="AX55" s="0" t="s">
        <v>181</v>
      </c>
      <c r="AY55" s="0" t="s">
        <v>182</v>
      </c>
      <c r="AZ55" s="0" t="s">
        <v>1</v>
      </c>
      <c r="BA55" s="0" t="s">
        <v>1546</v>
      </c>
      <c r="BB55" s="0" t="s">
        <v>1547</v>
      </c>
      <c r="BC55" s="0" t="s">
        <v>1548</v>
      </c>
      <c r="BD55" s="0" t="s">
        <v>1068</v>
      </c>
      <c r="BE55" s="0" t="s">
        <v>1549</v>
      </c>
      <c r="BF55" s="0" t="s">
        <v>239</v>
      </c>
      <c r="BG55" s="0" t="s">
        <v>188</v>
      </c>
      <c r="BH55" s="0" t="s">
        <v>240</v>
      </c>
      <c r="BI55" s="0" t="s">
        <v>1550</v>
      </c>
      <c r="BJ55" s="0" t="s">
        <v>1551</v>
      </c>
      <c r="BK55" s="0" t="s">
        <v>191</v>
      </c>
      <c r="BL55" s="0" t="s">
        <v>656</v>
      </c>
      <c r="BM55" s="0" t="s">
        <v>162</v>
      </c>
      <c r="BN55" s="0" t="s">
        <v>163</v>
      </c>
      <c r="BO55" s="0" t="s">
        <v>163</v>
      </c>
      <c r="BP55" s="0" t="s">
        <v>346</v>
      </c>
      <c r="BQ55" s="0" t="n">
        <v>40.739695</v>
      </c>
      <c r="BR55" s="0" t="n">
        <v>-73.989816</v>
      </c>
      <c r="BS55" s="0" t="s">
        <v>168</v>
      </c>
      <c r="BT55" s="0" t="n">
        <v>0</v>
      </c>
      <c r="BU55" s="0" t="s">
        <v>1552</v>
      </c>
      <c r="BV55" s="0" t="s">
        <v>1553</v>
      </c>
      <c r="BW55" s="0" t="s">
        <v>1544</v>
      </c>
      <c r="BX55" s="0" t="s">
        <v>166</v>
      </c>
      <c r="BY55" s="0" t="s">
        <v>444</v>
      </c>
      <c r="CC55" s="0" t="s">
        <v>179</v>
      </c>
      <c r="CE55" s="0" t="s">
        <v>162</v>
      </c>
      <c r="CH55" s="0" t="s">
        <v>201</v>
      </c>
      <c r="CI55" s="0" t="s">
        <v>1554</v>
      </c>
      <c r="CJ55" s="0" t="s">
        <v>163</v>
      </c>
      <c r="CK55" s="0" t="s">
        <v>162</v>
      </c>
      <c r="CL55" s="0" t="s">
        <v>285</v>
      </c>
      <c r="CM55" s="0" t="s">
        <v>1544</v>
      </c>
      <c r="CN55" s="0" t="s">
        <v>174</v>
      </c>
      <c r="CO55" s="0" t="n">
        <v>55</v>
      </c>
      <c r="CP55" s="0" t="s">
        <v>968</v>
      </c>
      <c r="CQ55" s="0" t="s">
        <v>1555</v>
      </c>
      <c r="CR55" s="0" t="s">
        <v>206</v>
      </c>
      <c r="CS55" s="0" t="n">
        <v>0.6</v>
      </c>
      <c r="CT55" s="0" t="n">
        <v>45.1</v>
      </c>
      <c r="CU55" s="0" t="n">
        <v>15.1</v>
      </c>
      <c r="CV55" s="0" t="n">
        <v>15</v>
      </c>
      <c r="CW55" s="0" t="n">
        <v>10</v>
      </c>
      <c r="CX55" s="0" t="n">
        <v>5</v>
      </c>
      <c r="CY55" s="0" t="n">
        <f aca="false">IF(AH55="exact",10,IF(AH55="adjacent",5,0))</f>
        <v>0</v>
      </c>
      <c r="CZ55" s="0" t="n">
        <f aca="false">IF(R55="Y",15,0)</f>
        <v>0</v>
      </c>
      <c r="DF55" s="0" t="s">
        <v>158</v>
      </c>
      <c r="DG55" s="0" t="s">
        <v>211</v>
      </c>
      <c r="DK55" s="0" t="s">
        <v>1556</v>
      </c>
      <c r="DS55" s="0" t="s">
        <v>158</v>
      </c>
      <c r="DX55" s="0" t="s">
        <v>162</v>
      </c>
      <c r="ER55" s="0" t="str">
        <f aca="false">IF(ISNUMBER(MATCH(U55,{"queued","contacted","replied","call_booked","call_done","yes_in_principle","materials_sent"},0)),"Y","N")</f>
        <v>N</v>
      </c>
      <c r="ES55" s="0" t="str">
        <f aca="false">IF(COUNTIFS($AP$2:$AP$1000,AP55,$ER$2:$ER$1000,"Y")+COUNTIFS($AP$2:$AP$1000,AP55,$T$2:$T$1000,"Y")&gt;0,"Y","N")</f>
        <v>N</v>
      </c>
      <c r="ET55" s="0" t="str">
        <f aca="false">IF(AND(U55="new",T55="N",AT55="Y",AS55="",ES55="N"),"Y","N")</f>
        <v>N</v>
      </c>
      <c r="EU55" s="0" t="str">
        <f aca="false">IF(ET55&lt;&gt;"Y","N",IF(COUNTIFS($AP$2:$AP$1000,AP55,$ET$2:$ET$1000,"Y",$J$2:$J$1000,"&gt;"&amp;J55)+COUNTIFS($AP$2:$AP$1000,AP55,$ET$2:$ET$1000,"Y",$J$2:$J$1000,J55,$EW$2:$EW$1000,"&lt;"&amp;EW55)=0,"Y","N"))</f>
        <v>N</v>
      </c>
      <c r="EV55" s="0" t="str">
        <f aca="false">IF(Y55="","N",IF(Y55&lt;=10,"Y","N"))</f>
        <v>N</v>
      </c>
      <c r="EW55" s="0" t="n">
        <f aca="false">ROW()-1</f>
        <v>54</v>
      </c>
    </row>
    <row r="56" customFormat="false" ht="15" hidden="false" customHeight="false" outlineLevel="0" collapsed="false">
      <c r="A56" s="0" t="s">
        <v>1557</v>
      </c>
      <c r="B56" s="0" t="s">
        <v>1558</v>
      </c>
      <c r="H56" s="5" t="s">
        <v>158</v>
      </c>
      <c r="I56" s="5" t="s">
        <v>159</v>
      </c>
      <c r="J56" s="0" t="n">
        <f aca="false">IF(AX56="pass",ROUND(CU56+CV56+CW56+CX56+CY56+CZ56,1),0)</f>
        <v>45.1</v>
      </c>
      <c r="K56" s="0" t="s">
        <v>1559</v>
      </c>
      <c r="L56" s="0" t="s">
        <v>560</v>
      </c>
      <c r="R56" s="5" t="s">
        <v>162</v>
      </c>
      <c r="S56" s="0" t="s">
        <v>163</v>
      </c>
      <c r="T56" s="5" t="s">
        <v>162</v>
      </c>
      <c r="U56" s="5" t="s">
        <v>561</v>
      </c>
      <c r="V56" s="0" t="s">
        <v>1560</v>
      </c>
      <c r="W56" s="0" t="s">
        <v>166</v>
      </c>
      <c r="X56" s="0" t="s">
        <v>167</v>
      </c>
      <c r="Y56" s="0" t="str">
        <f aca="false">IF(EU56&lt;&gt;"Y","",COUNTIFS($EU$2:$EU$1000,"Y",$J$2:$J$1000,"&gt;"&amp;J56)+COUNTIFS($EU$2:$EU$1000,"Y",$J$2:$J$1000,J56,$EW$2:$EW$1000,"&lt;"&amp;EW56)+1)</f>
        <v/>
      </c>
      <c r="Z56" s="0" t="n">
        <v>55</v>
      </c>
      <c r="AA56" s="0" t="s">
        <v>162</v>
      </c>
      <c r="AB56" s="0" t="s">
        <v>1561</v>
      </c>
      <c r="AD56" s="0" t="s">
        <v>158</v>
      </c>
      <c r="AH56" s="5" t="s">
        <v>158</v>
      </c>
      <c r="AI56" s="0" t="s">
        <v>1562</v>
      </c>
      <c r="AJ56" s="0" t="s">
        <v>163</v>
      </c>
      <c r="AK56" s="0" t="s">
        <v>434</v>
      </c>
      <c r="AL56" s="0" t="n">
        <v>13</v>
      </c>
      <c r="AM56" s="0" t="n">
        <v>86</v>
      </c>
      <c r="AN56" s="0" t="s">
        <v>179</v>
      </c>
      <c r="AO56" s="0" t="s">
        <v>180</v>
      </c>
      <c r="AP56" s="0" t="s">
        <v>1557</v>
      </c>
      <c r="AQ56" s="5" t="s">
        <v>162</v>
      </c>
      <c r="AT56" s="0" t="str">
        <f aca="false">IF(AND(AX56="pass",AQ56&lt;&gt;"Y",C56&lt;&gt;"",OR(AW56&lt;&gt;"Y",AV56="Y")),"Y","N")</f>
        <v>N</v>
      </c>
      <c r="AU56" s="0" t="str">
        <f aca="false">_xlfn.TEXTJOIN("; ",TRUE(),IF(AX56&lt;&gt;"pass","gated out",""),IF(AQ56="Y","on hold: "&amp;AR56,""),IF(C56="","no contact named on an opened page",""),IF(AND(AW56="Y",AV56&lt;&gt;"Y"),"Tuesday estimate band "&amp;L56&amp;": founder's call",""))</f>
        <v>no contact named on an opened page; Tuesday estimate band under-40: founder's call</v>
      </c>
      <c r="AW56" s="0" t="s">
        <v>168</v>
      </c>
      <c r="AX56" s="0" t="s">
        <v>181</v>
      </c>
      <c r="AY56" s="0" t="s">
        <v>182</v>
      </c>
      <c r="AZ56" s="0" t="s">
        <v>1</v>
      </c>
      <c r="BA56" s="0" t="s">
        <v>1563</v>
      </c>
      <c r="BB56" s="0" t="s">
        <v>1564</v>
      </c>
      <c r="BC56" s="0" t="s">
        <v>1565</v>
      </c>
      <c r="BD56" s="0" t="s">
        <v>1566</v>
      </c>
      <c r="BE56" s="0" t="s">
        <v>1567</v>
      </c>
      <c r="BF56" s="0" t="s">
        <v>163</v>
      </c>
      <c r="BG56" s="0" t="s">
        <v>163</v>
      </c>
      <c r="BH56" s="0" t="s">
        <v>279</v>
      </c>
      <c r="BI56" s="0" t="s">
        <v>1560</v>
      </c>
      <c r="BJ56" s="0" t="s">
        <v>1568</v>
      </c>
      <c r="BK56" s="0" t="s">
        <v>191</v>
      </c>
      <c r="BL56" s="0" t="s">
        <v>192</v>
      </c>
      <c r="BM56" s="0" t="s">
        <v>168</v>
      </c>
      <c r="BN56" s="0" t="s">
        <v>163</v>
      </c>
      <c r="BO56" s="0" t="s">
        <v>163</v>
      </c>
      <c r="BP56" s="0" t="s">
        <v>346</v>
      </c>
      <c r="BQ56" s="0" t="n">
        <v>40.743751</v>
      </c>
      <c r="BR56" s="0" t="n">
        <v>-73.991374</v>
      </c>
      <c r="BS56" s="0" t="s">
        <v>168</v>
      </c>
      <c r="BT56" s="0" t="n">
        <v>0</v>
      </c>
      <c r="BU56" s="0" t="s">
        <v>1569</v>
      </c>
      <c r="BV56" s="0" t="s">
        <v>1570</v>
      </c>
      <c r="BW56" s="0" t="s">
        <v>1560</v>
      </c>
      <c r="BX56" s="0" t="s">
        <v>174</v>
      </c>
      <c r="BY56" s="0" t="s">
        <v>444</v>
      </c>
      <c r="CC56" s="0" t="s">
        <v>179</v>
      </c>
      <c r="CE56" s="0" t="s">
        <v>162</v>
      </c>
      <c r="CH56" s="0" t="s">
        <v>163</v>
      </c>
      <c r="CJ56" s="0" t="s">
        <v>163</v>
      </c>
      <c r="CK56" s="0" t="s">
        <v>162</v>
      </c>
      <c r="CL56" s="0" t="s">
        <v>577</v>
      </c>
      <c r="CM56" s="0" t="s">
        <v>1560</v>
      </c>
      <c r="CN56" s="0" t="s">
        <v>174</v>
      </c>
      <c r="CO56" s="0" t="n">
        <v>33</v>
      </c>
      <c r="CP56" s="0" t="s">
        <v>578</v>
      </c>
      <c r="CQ56" s="0" t="s">
        <v>1571</v>
      </c>
      <c r="CR56" s="0" t="s">
        <v>206</v>
      </c>
      <c r="CS56" s="0" t="n">
        <v>0.41</v>
      </c>
      <c r="CT56" s="0" t="n">
        <v>45.1</v>
      </c>
      <c r="CU56" s="0" t="n">
        <v>10.1</v>
      </c>
      <c r="CV56" s="0" t="n">
        <v>15</v>
      </c>
      <c r="CW56" s="0" t="n">
        <v>15</v>
      </c>
      <c r="CX56" s="0" t="n">
        <v>5</v>
      </c>
      <c r="CY56" s="0" t="n">
        <f aca="false">IF(AH56="exact",10,IF(AH56="adjacent",5,0))</f>
        <v>0</v>
      </c>
      <c r="CZ56" s="0" t="n">
        <f aca="false">IF(R56="Y",15,0)</f>
        <v>0</v>
      </c>
      <c r="DF56" s="0" t="s">
        <v>158</v>
      </c>
      <c r="DG56" s="0" t="s">
        <v>211</v>
      </c>
      <c r="DK56" s="0" t="s">
        <v>1572</v>
      </c>
      <c r="DS56" s="0" t="s">
        <v>158</v>
      </c>
      <c r="DX56" s="0" t="s">
        <v>162</v>
      </c>
      <c r="ER56" s="0" t="str">
        <f aca="false">IF(ISNUMBER(MATCH(U56,{"queued","contacted","replied","call_booked","call_done","yes_in_principle","materials_sent"},0)),"Y","N")</f>
        <v>N</v>
      </c>
      <c r="ES56" s="0" t="str">
        <f aca="false">IF(COUNTIFS($AP$2:$AP$1000,AP56,$ER$2:$ER$1000,"Y")+COUNTIFS($AP$2:$AP$1000,AP56,$T$2:$T$1000,"Y")&gt;0,"Y","N")</f>
        <v>N</v>
      </c>
      <c r="ET56" s="0" t="str">
        <f aca="false">IF(AND(U56="new",T56="N",AT56="Y",AS56="",ES56="N"),"Y","N")</f>
        <v>N</v>
      </c>
      <c r="EU56" s="0" t="str">
        <f aca="false">IF(ET56&lt;&gt;"Y","N",IF(COUNTIFS($AP$2:$AP$1000,AP56,$ET$2:$ET$1000,"Y",$J$2:$J$1000,"&gt;"&amp;J56)+COUNTIFS($AP$2:$AP$1000,AP56,$ET$2:$ET$1000,"Y",$J$2:$J$1000,J56,$EW$2:$EW$1000,"&lt;"&amp;EW56)=0,"Y","N"))</f>
        <v>N</v>
      </c>
      <c r="EV56" s="0" t="str">
        <f aca="false">IF(Y56="","N",IF(Y56&lt;=10,"Y","N"))</f>
        <v>N</v>
      </c>
      <c r="EW56" s="0" t="n">
        <f aca="false">ROW()-1</f>
        <v>55</v>
      </c>
    </row>
    <row r="57" customFormat="false" ht="15" hidden="false" customHeight="false" outlineLevel="0" collapsed="false">
      <c r="A57" s="0" t="s">
        <v>1573</v>
      </c>
      <c r="B57" s="0" t="s">
        <v>1574</v>
      </c>
      <c r="H57" s="5" t="s">
        <v>158</v>
      </c>
      <c r="I57" s="5" t="s">
        <v>159</v>
      </c>
      <c r="J57" s="0" t="n">
        <f aca="false">IF(AX57="pass",ROUND(CU57+CV57+CW57+CX57+CY57+CZ57,1),0)</f>
        <v>45</v>
      </c>
      <c r="K57" s="0" t="s">
        <v>1575</v>
      </c>
      <c r="L57" s="0" t="s">
        <v>161</v>
      </c>
      <c r="R57" s="5" t="s">
        <v>162</v>
      </c>
      <c r="S57" s="0" t="s">
        <v>163</v>
      </c>
      <c r="T57" s="5" t="s">
        <v>162</v>
      </c>
      <c r="U57" s="5" t="s">
        <v>561</v>
      </c>
      <c r="V57" s="0" t="s">
        <v>1576</v>
      </c>
      <c r="W57" s="0" t="s">
        <v>166</v>
      </c>
      <c r="X57" s="0" t="s">
        <v>167</v>
      </c>
      <c r="Y57" s="0" t="str">
        <f aca="false">IF(EU57&lt;&gt;"Y","",COUNTIFS($EU$2:$EU$1000,"Y",$J$2:$J$1000,"&gt;"&amp;J57)+COUNTIFS($EU$2:$EU$1000,"Y",$J$2:$J$1000,J57,$EW$2:$EW$1000,"&lt;"&amp;EW57)+1)</f>
        <v/>
      </c>
      <c r="Z57" s="0" t="n">
        <v>56</v>
      </c>
      <c r="AA57" s="0" t="s">
        <v>162</v>
      </c>
      <c r="AD57" s="0" t="s">
        <v>158</v>
      </c>
      <c r="AH57" s="5" t="s">
        <v>158</v>
      </c>
      <c r="AI57" s="0" t="s">
        <v>1577</v>
      </c>
      <c r="AJ57" s="0" t="s">
        <v>163</v>
      </c>
      <c r="AK57" s="0" t="s">
        <v>434</v>
      </c>
      <c r="AL57" s="0" t="n">
        <v>59</v>
      </c>
      <c r="AM57" s="0" t="n">
        <v>117</v>
      </c>
      <c r="AN57" s="0" t="s">
        <v>179</v>
      </c>
      <c r="AO57" s="0" t="s">
        <v>861</v>
      </c>
      <c r="AP57" s="0" t="s">
        <v>1573</v>
      </c>
      <c r="AQ57" s="5" t="s">
        <v>168</v>
      </c>
      <c r="AR57" s="0" t="s">
        <v>1578</v>
      </c>
      <c r="AT57" s="0" t="str">
        <f aca="false">IF(AND(AX57="pass",AQ57&lt;&gt;"Y",C57&lt;&gt;"",OR(AW57&lt;&gt;"Y",AV57="Y")),"Y","N")</f>
        <v>N</v>
      </c>
      <c r="AU57" s="0" t="str">
        <f aca="false">_xlfn.TEXTJOIN("; ",TRUE(),IF(AX57&lt;&gt;"pass","gated out",""),IF(AQ57="Y","on hold: "&amp;AR57,""),IF(C57="","no contact named on an opened page",""),IF(AND(AW57="Y",AV57&lt;&gt;"Y"),"Tuesday estimate band "&amp;L57&amp;": founder's call",""))</f>
        <v>on hold: address conflict in B's sources: check the lobby directory before outreach (B); no contact named on an opened page</v>
      </c>
      <c r="AW57" s="0" t="s">
        <v>162</v>
      </c>
      <c r="AX57" s="0" t="s">
        <v>181</v>
      </c>
      <c r="AY57" s="0" t="s">
        <v>182</v>
      </c>
      <c r="AZ57" s="0" t="s">
        <v>1</v>
      </c>
      <c r="BA57" s="0" t="s">
        <v>1579</v>
      </c>
      <c r="BB57" s="0" t="s">
        <v>1580</v>
      </c>
      <c r="BC57" s="0" t="s">
        <v>1581</v>
      </c>
      <c r="BD57" s="0" t="s">
        <v>1582</v>
      </c>
      <c r="BF57" s="0" t="s">
        <v>187</v>
      </c>
      <c r="BG57" s="0" t="s">
        <v>188</v>
      </c>
      <c r="BH57" s="0" t="s">
        <v>189</v>
      </c>
      <c r="BI57" s="0" t="s">
        <v>1576</v>
      </c>
      <c r="BK57" s="0" t="s">
        <v>191</v>
      </c>
      <c r="BL57" s="0" t="s">
        <v>192</v>
      </c>
      <c r="BM57" s="0" t="s">
        <v>168</v>
      </c>
      <c r="BN57" s="0" t="s">
        <v>163</v>
      </c>
      <c r="BO57" s="0" t="s">
        <v>163</v>
      </c>
      <c r="BP57" s="0" t="s">
        <v>243</v>
      </c>
      <c r="BQ57" s="0" t="n">
        <v>40.744255</v>
      </c>
      <c r="BR57" s="0" t="n">
        <v>-73.983762</v>
      </c>
      <c r="BS57" s="0" t="s">
        <v>168</v>
      </c>
      <c r="BT57" s="0" t="n">
        <v>0</v>
      </c>
      <c r="BU57" s="0" t="s">
        <v>1583</v>
      </c>
      <c r="BV57" s="0" t="s">
        <v>1584</v>
      </c>
      <c r="BW57" s="0" t="s">
        <v>1576</v>
      </c>
      <c r="BX57" s="0" t="s">
        <v>166</v>
      </c>
      <c r="BY57" s="0" t="s">
        <v>444</v>
      </c>
      <c r="BZ57" s="0" t="s">
        <v>1585</v>
      </c>
      <c r="CA57" s="0" t="s">
        <v>1586</v>
      </c>
      <c r="CC57" s="0" t="s">
        <v>179</v>
      </c>
      <c r="CE57" s="0" t="s">
        <v>162</v>
      </c>
      <c r="CH57" s="0" t="s">
        <v>163</v>
      </c>
      <c r="CJ57" s="0" t="s">
        <v>163</v>
      </c>
      <c r="CK57" s="0" t="s">
        <v>162</v>
      </c>
      <c r="CL57" s="0" t="s">
        <v>1587</v>
      </c>
      <c r="CM57" s="0" t="s">
        <v>1576</v>
      </c>
      <c r="CN57" s="0" t="s">
        <v>174</v>
      </c>
      <c r="CO57" s="0" t="n">
        <v>83</v>
      </c>
      <c r="CQ57" s="0" t="s">
        <v>1588</v>
      </c>
      <c r="CR57" s="0" t="s">
        <v>206</v>
      </c>
      <c r="CS57" s="0" t="n">
        <v>1</v>
      </c>
      <c r="CT57" s="0" t="n">
        <v>45</v>
      </c>
      <c r="CU57" s="0" t="n">
        <v>25</v>
      </c>
      <c r="CV57" s="0" t="n">
        <v>15</v>
      </c>
      <c r="CW57" s="0" t="n">
        <v>5</v>
      </c>
      <c r="CX57" s="0" t="n">
        <v>0</v>
      </c>
      <c r="CY57" s="0" t="n">
        <f aca="false">IF(AH57="exact",10,IF(AH57="adjacent",5,0))</f>
        <v>0</v>
      </c>
      <c r="CZ57" s="0" t="n">
        <f aca="false">IF(R57="Y",15,0)</f>
        <v>0</v>
      </c>
      <c r="DF57" s="0" t="s">
        <v>158</v>
      </c>
      <c r="DG57" s="0" t="s">
        <v>211</v>
      </c>
      <c r="DJ57" s="0" t="s">
        <v>1589</v>
      </c>
      <c r="DK57" s="0" t="s">
        <v>1590</v>
      </c>
      <c r="DS57" s="0" t="s">
        <v>158</v>
      </c>
      <c r="DX57" s="0" t="s">
        <v>162</v>
      </c>
      <c r="ER57" s="0" t="str">
        <f aca="false">IF(ISNUMBER(MATCH(U57,{"queued","contacted","replied","call_booked","call_done","yes_in_principle","materials_sent"},0)),"Y","N")</f>
        <v>N</v>
      </c>
      <c r="ES57" s="0" t="str">
        <f aca="false">IF(COUNTIFS($AP$2:$AP$1000,AP57,$ER$2:$ER$1000,"Y")+COUNTIFS($AP$2:$AP$1000,AP57,$T$2:$T$1000,"Y")&gt;0,"Y","N")</f>
        <v>N</v>
      </c>
      <c r="ET57" s="0" t="str">
        <f aca="false">IF(AND(U57="new",T57="N",AT57="Y",AS57="",ES57="N"),"Y","N")</f>
        <v>N</v>
      </c>
      <c r="EU57" s="0" t="str">
        <f aca="false">IF(ET57&lt;&gt;"Y","N",IF(COUNTIFS($AP$2:$AP$1000,AP57,$ET$2:$ET$1000,"Y",$J$2:$J$1000,"&gt;"&amp;J57)+COUNTIFS($AP$2:$AP$1000,AP57,$ET$2:$ET$1000,"Y",$J$2:$J$1000,J57,$EW$2:$EW$1000,"&lt;"&amp;EW57)=0,"Y","N"))</f>
        <v>N</v>
      </c>
      <c r="EV57" s="0" t="str">
        <f aca="false">IF(Y57="","N",IF(Y57&lt;=10,"Y","N"))</f>
        <v>N</v>
      </c>
      <c r="EW57" s="0" t="n">
        <f aca="false">ROW()-1</f>
        <v>56</v>
      </c>
    </row>
    <row r="58" customFormat="false" ht="15" hidden="false" customHeight="false" outlineLevel="0" collapsed="false">
      <c r="A58" s="0" t="s">
        <v>1591</v>
      </c>
      <c r="B58" s="0" t="s">
        <v>1592</v>
      </c>
      <c r="H58" s="5" t="s">
        <v>158</v>
      </c>
      <c r="I58" s="5" t="s">
        <v>159</v>
      </c>
      <c r="J58" s="0" t="n">
        <f aca="false">IF(AX58="pass",ROUND(CU58+CV58+CW58+CX58+CY58+CZ58,1),0)</f>
        <v>44.9</v>
      </c>
      <c r="K58" s="0" t="s">
        <v>1593</v>
      </c>
      <c r="L58" s="0" t="s">
        <v>187</v>
      </c>
      <c r="R58" s="5" t="s">
        <v>162</v>
      </c>
      <c r="S58" s="0" t="s">
        <v>163</v>
      </c>
      <c r="T58" s="5" t="s">
        <v>162</v>
      </c>
      <c r="U58" s="5" t="s">
        <v>561</v>
      </c>
      <c r="V58" s="0" t="s">
        <v>1594</v>
      </c>
      <c r="W58" s="0" t="s">
        <v>166</v>
      </c>
      <c r="X58" s="0" t="s">
        <v>167</v>
      </c>
      <c r="Y58" s="0" t="str">
        <f aca="false">IF(EU58&lt;&gt;"Y","",COUNTIFS($EU$2:$EU$1000,"Y",$J$2:$J$1000,"&gt;"&amp;J58)+COUNTIFS($EU$2:$EU$1000,"Y",$J$2:$J$1000,J58,$EW$2:$EW$1000,"&lt;"&amp;EW58)+1)</f>
        <v/>
      </c>
      <c r="Z58" s="0" t="n">
        <v>57</v>
      </c>
      <c r="AA58" s="0" t="s">
        <v>162</v>
      </c>
      <c r="AD58" s="0" t="s">
        <v>158</v>
      </c>
      <c r="AH58" s="5" t="s">
        <v>158</v>
      </c>
      <c r="AI58" s="0" t="s">
        <v>1595</v>
      </c>
      <c r="AJ58" s="0" t="s">
        <v>177</v>
      </c>
      <c r="AK58" s="0" t="s">
        <v>178</v>
      </c>
      <c r="AL58" s="0" t="n">
        <v>156</v>
      </c>
      <c r="AM58" s="0" t="n">
        <v>313</v>
      </c>
      <c r="AN58" s="0" t="s">
        <v>179</v>
      </c>
      <c r="AO58" s="0" t="s">
        <v>369</v>
      </c>
      <c r="AP58" s="0" t="s">
        <v>1591</v>
      </c>
      <c r="AQ58" s="5" t="s">
        <v>162</v>
      </c>
      <c r="AT58" s="0" t="str">
        <f aca="false">IF(AND(AX58="pass",AQ58&lt;&gt;"Y",C58&lt;&gt;"",OR(AW58&lt;&gt;"Y",AV58="Y")),"Y","N")</f>
        <v>N</v>
      </c>
      <c r="AU58" s="0" t="str">
        <f aca="false">_xlfn.TEXTJOIN("; ",TRUE(),IF(AX58&lt;&gt;"pass","gated out",""),IF(AQ58="Y","on hold: "&amp;AR58,""),IF(C58="","no contact named on an opened page",""),IF(AND(AW58="Y",AV58&lt;&gt;"Y"),"Tuesday estimate band "&amp;L58&amp;": founder's call",""))</f>
        <v>no contact named on an opened page</v>
      </c>
      <c r="AW58" s="0" t="s">
        <v>162</v>
      </c>
      <c r="AX58" s="0" t="s">
        <v>181</v>
      </c>
      <c r="AY58" s="0" t="s">
        <v>182</v>
      </c>
      <c r="AZ58" s="0" t="s">
        <v>1</v>
      </c>
      <c r="BA58" s="0" t="s">
        <v>1596</v>
      </c>
      <c r="BB58" s="0" t="s">
        <v>1597</v>
      </c>
      <c r="BC58" s="0" t="s">
        <v>1598</v>
      </c>
      <c r="BD58" s="0" t="s">
        <v>1599</v>
      </c>
      <c r="BF58" s="0" t="s">
        <v>1322</v>
      </c>
      <c r="BG58" s="0" t="s">
        <v>188</v>
      </c>
      <c r="BH58" s="0" t="s">
        <v>189</v>
      </c>
      <c r="BI58" s="0" t="s">
        <v>1600</v>
      </c>
      <c r="BK58" s="0" t="s">
        <v>1263</v>
      </c>
      <c r="BL58" s="0" t="s">
        <v>192</v>
      </c>
      <c r="BM58" s="0" t="s">
        <v>168</v>
      </c>
      <c r="BN58" s="0" t="s">
        <v>163</v>
      </c>
      <c r="BO58" s="0" t="s">
        <v>163</v>
      </c>
      <c r="BP58" s="0" t="s">
        <v>243</v>
      </c>
      <c r="BQ58" s="0" t="n">
        <v>40.743594</v>
      </c>
      <c r="BR58" s="0" t="n">
        <v>-73.985251</v>
      </c>
      <c r="BS58" s="0" t="s">
        <v>168</v>
      </c>
      <c r="BT58" s="0" t="n">
        <v>0</v>
      </c>
      <c r="BV58" s="0" t="s">
        <v>163</v>
      </c>
      <c r="BW58" s="0" t="s">
        <v>1594</v>
      </c>
      <c r="BX58" s="0" t="s">
        <v>166</v>
      </c>
      <c r="BY58" s="0" t="s">
        <v>196</v>
      </c>
      <c r="BZ58" s="0" t="s">
        <v>1601</v>
      </c>
      <c r="CA58" s="0" t="s">
        <v>1602</v>
      </c>
      <c r="CC58" s="0" t="s">
        <v>200</v>
      </c>
      <c r="CE58" s="0" t="s">
        <v>162</v>
      </c>
      <c r="CH58" s="0" t="s">
        <v>201</v>
      </c>
      <c r="CJ58" s="0" t="s">
        <v>163</v>
      </c>
      <c r="CK58" s="0" t="s">
        <v>162</v>
      </c>
      <c r="CL58" s="0" t="s">
        <v>1603</v>
      </c>
      <c r="CM58" s="0" t="s">
        <v>1600</v>
      </c>
      <c r="CN58" s="0" t="s">
        <v>174</v>
      </c>
      <c r="CO58" s="0" t="n">
        <v>221</v>
      </c>
      <c r="CP58" s="0" t="s">
        <v>250</v>
      </c>
      <c r="CQ58" s="0" t="s">
        <v>1604</v>
      </c>
      <c r="CR58" s="0" t="s">
        <v>206</v>
      </c>
      <c r="CS58" s="0" t="n">
        <v>0.68</v>
      </c>
      <c r="CT58" s="0" t="n">
        <v>44.9</v>
      </c>
      <c r="CU58" s="0" t="n">
        <v>16.9</v>
      </c>
      <c r="CV58" s="0" t="n">
        <v>6</v>
      </c>
      <c r="CW58" s="0" t="n">
        <v>7</v>
      </c>
      <c r="CX58" s="0" t="n">
        <v>15</v>
      </c>
      <c r="CY58" s="0" t="n">
        <f aca="false">IF(AH58="exact",10,IF(AH58="adjacent",5,0))</f>
        <v>0</v>
      </c>
      <c r="CZ58" s="0" t="n">
        <f aca="false">IF(R58="Y",15,0)</f>
        <v>0</v>
      </c>
      <c r="DF58" s="0" t="s">
        <v>158</v>
      </c>
      <c r="DG58" s="0" t="s">
        <v>1335</v>
      </c>
      <c r="DH58" s="0" t="s">
        <v>1336</v>
      </c>
      <c r="DI58" s="0" t="s">
        <v>162</v>
      </c>
      <c r="DJ58" s="0" t="s">
        <v>1605</v>
      </c>
      <c r="DK58" s="0" t="s">
        <v>1606</v>
      </c>
      <c r="DS58" s="0" t="s">
        <v>158</v>
      </c>
      <c r="DX58" s="0" t="s">
        <v>162</v>
      </c>
      <c r="ER58" s="0" t="str">
        <f aca="false">IF(ISNUMBER(MATCH(U58,{"queued","contacted","replied","call_booked","call_done","yes_in_principle","materials_sent"},0)),"Y","N")</f>
        <v>N</v>
      </c>
      <c r="ES58" s="0" t="str">
        <f aca="false">IF(COUNTIFS($AP$2:$AP$1000,AP58,$ER$2:$ER$1000,"Y")+COUNTIFS($AP$2:$AP$1000,AP58,$T$2:$T$1000,"Y")&gt;0,"Y","N")</f>
        <v>N</v>
      </c>
      <c r="ET58" s="0" t="str">
        <f aca="false">IF(AND(U58="new",T58="N",AT58="Y",AS58="",ES58="N"),"Y","N")</f>
        <v>N</v>
      </c>
      <c r="EU58" s="0" t="str">
        <f aca="false">IF(ET58&lt;&gt;"Y","N",IF(COUNTIFS($AP$2:$AP$1000,AP58,$ET$2:$ET$1000,"Y",$J$2:$J$1000,"&gt;"&amp;J58)+COUNTIFS($AP$2:$AP$1000,AP58,$ET$2:$ET$1000,"Y",$J$2:$J$1000,J58,$EW$2:$EW$1000,"&lt;"&amp;EW58)=0,"Y","N"))</f>
        <v>N</v>
      </c>
      <c r="EV58" s="0" t="str">
        <f aca="false">IF(Y58="","N",IF(Y58&lt;=10,"Y","N"))</f>
        <v>N</v>
      </c>
      <c r="EW58" s="0" t="n">
        <f aca="false">ROW()-1</f>
        <v>57</v>
      </c>
    </row>
    <row r="59" customFormat="false" ht="15" hidden="false" customHeight="false" outlineLevel="0" collapsed="false">
      <c r="A59" s="0" t="s">
        <v>1607</v>
      </c>
      <c r="B59" s="0" t="s">
        <v>1608</v>
      </c>
      <c r="H59" s="5" t="s">
        <v>158</v>
      </c>
      <c r="I59" s="5" t="s">
        <v>159</v>
      </c>
      <c r="J59" s="0" t="n">
        <f aca="false">IF(AX59="pass",ROUND(CU59+CV59+CW59+CX59+CY59+CZ59,1),0)</f>
        <v>44.4</v>
      </c>
      <c r="K59" s="0" t="s">
        <v>1609</v>
      </c>
      <c r="L59" s="0" t="s">
        <v>394</v>
      </c>
      <c r="R59" s="5" t="s">
        <v>162</v>
      </c>
      <c r="S59" s="0" t="s">
        <v>163</v>
      </c>
      <c r="T59" s="5" t="s">
        <v>162</v>
      </c>
      <c r="U59" s="5" t="s">
        <v>561</v>
      </c>
      <c r="V59" s="0" t="s">
        <v>1610</v>
      </c>
      <c r="W59" s="0" t="s">
        <v>166</v>
      </c>
      <c r="X59" s="0" t="s">
        <v>167</v>
      </c>
      <c r="Y59" s="0" t="str">
        <f aca="false">IF(EU59&lt;&gt;"Y","",COUNTIFS($EU$2:$EU$1000,"Y",$J$2:$J$1000,"&gt;"&amp;J59)+COUNTIFS($EU$2:$EU$1000,"Y",$J$2:$J$1000,J59,$EW$2:$EW$1000,"&lt;"&amp;EW59)+1)</f>
        <v/>
      </c>
      <c r="Z59" s="0" t="n">
        <v>58</v>
      </c>
      <c r="AA59" s="0" t="s">
        <v>162</v>
      </c>
      <c r="AD59" s="0" t="s">
        <v>158</v>
      </c>
      <c r="AH59" s="5" t="s">
        <v>158</v>
      </c>
      <c r="AI59" s="0" t="s">
        <v>1611</v>
      </c>
      <c r="AJ59" s="0" t="s">
        <v>1275</v>
      </c>
      <c r="AK59" s="0" t="s">
        <v>434</v>
      </c>
      <c r="AL59" s="0" t="n">
        <v>15</v>
      </c>
      <c r="AM59" s="0" t="n">
        <v>295</v>
      </c>
      <c r="AN59" s="0" t="s">
        <v>179</v>
      </c>
      <c r="AO59" s="0" t="s">
        <v>180</v>
      </c>
      <c r="AP59" s="0" t="s">
        <v>1607</v>
      </c>
      <c r="AQ59" s="5" t="s">
        <v>162</v>
      </c>
      <c r="AT59" s="0" t="str">
        <f aca="false">IF(AND(AX59="pass",AQ59&lt;&gt;"Y",C59&lt;&gt;"",OR(AW59&lt;&gt;"Y",AV59="Y")),"Y","N")</f>
        <v>N</v>
      </c>
      <c r="AU59" s="0" t="str">
        <f aca="false">_xlfn.TEXTJOIN("; ",TRUE(),IF(AX59&lt;&gt;"pass","gated out",""),IF(AQ59="Y","on hold: "&amp;AR59,""),IF(C59="","no contact named on an opened page",""),IF(AND(AW59="Y",AV59&lt;&gt;"Y"),"Tuesday estimate band "&amp;L59&amp;": founder's call",""))</f>
        <v>no contact named on an opened page</v>
      </c>
      <c r="AW59" s="0" t="s">
        <v>162</v>
      </c>
      <c r="AX59" s="0" t="s">
        <v>181</v>
      </c>
      <c r="AY59" s="0" t="s">
        <v>182</v>
      </c>
      <c r="AZ59" s="0" t="s">
        <v>1</v>
      </c>
      <c r="BA59" s="0" t="s">
        <v>1612</v>
      </c>
      <c r="BB59" s="0" t="s">
        <v>1613</v>
      </c>
      <c r="BC59" s="0" t="s">
        <v>1614</v>
      </c>
      <c r="BD59" s="0" t="s">
        <v>1615</v>
      </c>
      <c r="BF59" s="0" t="s">
        <v>1322</v>
      </c>
      <c r="BG59" s="0" t="s">
        <v>188</v>
      </c>
      <c r="BH59" s="0" t="s">
        <v>189</v>
      </c>
      <c r="BI59" s="0" t="s">
        <v>1616</v>
      </c>
      <c r="BK59" s="0" t="s">
        <v>1263</v>
      </c>
      <c r="BL59" s="0" t="s">
        <v>656</v>
      </c>
      <c r="BM59" s="0" t="s">
        <v>162</v>
      </c>
      <c r="BN59" s="0" t="s">
        <v>163</v>
      </c>
      <c r="BO59" s="0" t="s">
        <v>163</v>
      </c>
      <c r="BP59" s="0" t="s">
        <v>346</v>
      </c>
      <c r="BQ59" s="0" t="n">
        <v>40.738577</v>
      </c>
      <c r="BR59" s="0" t="n">
        <v>-73.987151</v>
      </c>
      <c r="BS59" s="0" t="s">
        <v>168</v>
      </c>
      <c r="BT59" s="0" t="n">
        <v>0</v>
      </c>
      <c r="BU59" s="0" t="s">
        <v>1617</v>
      </c>
      <c r="BV59" s="0" t="s">
        <v>1618</v>
      </c>
      <c r="BW59" s="0" t="s">
        <v>1610</v>
      </c>
      <c r="BX59" s="0" t="s">
        <v>1619</v>
      </c>
      <c r="BY59" s="0" t="s">
        <v>247</v>
      </c>
      <c r="CC59" s="0" t="s">
        <v>738</v>
      </c>
      <c r="CE59" s="0" t="s">
        <v>162</v>
      </c>
      <c r="CH59" s="0" t="s">
        <v>163</v>
      </c>
      <c r="CJ59" s="0" t="s">
        <v>163</v>
      </c>
      <c r="CK59" s="0" t="s">
        <v>162</v>
      </c>
      <c r="CL59" s="0" t="s">
        <v>900</v>
      </c>
      <c r="CM59" s="0" t="s">
        <v>1620</v>
      </c>
      <c r="CN59" s="0" t="s">
        <v>174</v>
      </c>
      <c r="CO59" s="0" t="n">
        <v>67</v>
      </c>
      <c r="CP59" s="0" t="s">
        <v>767</v>
      </c>
      <c r="CQ59" s="0" t="s">
        <v>1621</v>
      </c>
      <c r="CR59" s="0" t="s">
        <v>206</v>
      </c>
      <c r="CS59" s="0" t="n">
        <v>0.62</v>
      </c>
      <c r="CT59" s="0" t="n">
        <v>44.4</v>
      </c>
      <c r="CU59" s="0" t="n">
        <v>15.4</v>
      </c>
      <c r="CV59" s="0" t="n">
        <v>6</v>
      </c>
      <c r="CW59" s="0" t="n">
        <v>15</v>
      </c>
      <c r="CX59" s="0" t="n">
        <v>8</v>
      </c>
      <c r="CY59" s="0" t="n">
        <f aca="false">IF(AH59="exact",10,IF(AH59="adjacent",5,0))</f>
        <v>0</v>
      </c>
      <c r="CZ59" s="0" t="n">
        <f aca="false">IF(R59="Y",15,0)</f>
        <v>0</v>
      </c>
      <c r="DF59" s="0" t="s">
        <v>158</v>
      </c>
      <c r="DG59" s="0" t="s">
        <v>1335</v>
      </c>
      <c r="DH59" s="0" t="s">
        <v>1336</v>
      </c>
      <c r="DI59" s="0" t="s">
        <v>162</v>
      </c>
      <c r="DJ59" s="0" t="s">
        <v>1622</v>
      </c>
      <c r="DK59" s="0" t="s">
        <v>1623</v>
      </c>
      <c r="DS59" s="0" t="s">
        <v>158</v>
      </c>
      <c r="DX59" s="0" t="s">
        <v>162</v>
      </c>
      <c r="ER59" s="0" t="str">
        <f aca="false">IF(ISNUMBER(MATCH(U59,{"queued","contacted","replied","call_booked","call_done","yes_in_principle","materials_sent"},0)),"Y","N")</f>
        <v>N</v>
      </c>
      <c r="ES59" s="0" t="str">
        <f aca="false">IF(COUNTIFS($AP$2:$AP$1000,AP59,$ER$2:$ER$1000,"Y")+COUNTIFS($AP$2:$AP$1000,AP59,$T$2:$T$1000,"Y")&gt;0,"Y","N")</f>
        <v>N</v>
      </c>
      <c r="ET59" s="0" t="str">
        <f aca="false">IF(AND(U59="new",T59="N",AT59="Y",AS59="",ES59="N"),"Y","N")</f>
        <v>N</v>
      </c>
      <c r="EU59" s="0" t="str">
        <f aca="false">IF(ET59&lt;&gt;"Y","N",IF(COUNTIFS($AP$2:$AP$1000,AP59,$ET$2:$ET$1000,"Y",$J$2:$J$1000,"&gt;"&amp;J59)+COUNTIFS($AP$2:$AP$1000,AP59,$ET$2:$ET$1000,"Y",$J$2:$J$1000,J59,$EW$2:$EW$1000,"&lt;"&amp;EW59)=0,"Y","N"))</f>
        <v>N</v>
      </c>
      <c r="EV59" s="0" t="str">
        <f aca="false">IF(Y59="","N",IF(Y59&lt;=10,"Y","N"))</f>
        <v>N</v>
      </c>
      <c r="EW59" s="0" t="n">
        <f aca="false">ROW()-1</f>
        <v>58</v>
      </c>
    </row>
    <row r="60" customFormat="false" ht="15" hidden="false" customHeight="false" outlineLevel="0" collapsed="false">
      <c r="A60" s="0" t="s">
        <v>1624</v>
      </c>
      <c r="B60" s="0" t="s">
        <v>1625</v>
      </c>
      <c r="H60" s="5" t="s">
        <v>158</v>
      </c>
      <c r="I60" s="5" t="s">
        <v>159</v>
      </c>
      <c r="J60" s="0" t="n">
        <f aca="false">IF(AX60="pass",ROUND(CU60+CV60+CW60+CX60+CY60+CZ60,1),0)</f>
        <v>44.3</v>
      </c>
      <c r="K60" s="0" t="s">
        <v>1626</v>
      </c>
      <c r="L60" s="0" t="s">
        <v>560</v>
      </c>
      <c r="R60" s="5" t="s">
        <v>162</v>
      </c>
      <c r="S60" s="0" t="s">
        <v>163</v>
      </c>
      <c r="T60" s="5" t="s">
        <v>162</v>
      </c>
      <c r="U60" s="5" t="s">
        <v>561</v>
      </c>
      <c r="V60" s="0" t="s">
        <v>1627</v>
      </c>
      <c r="W60" s="0" t="s">
        <v>166</v>
      </c>
      <c r="X60" s="0" t="s">
        <v>167</v>
      </c>
      <c r="Y60" s="0" t="str">
        <f aca="false">IF(EU60&lt;&gt;"Y","",COUNTIFS($EU$2:$EU$1000,"Y",$J$2:$J$1000,"&gt;"&amp;J60)+COUNTIFS($EU$2:$EU$1000,"Y",$J$2:$J$1000,J60,$EW$2:$EW$1000,"&lt;"&amp;EW60)+1)</f>
        <v/>
      </c>
      <c r="Z60" s="0" t="n">
        <v>59</v>
      </c>
      <c r="AA60" s="0" t="s">
        <v>162</v>
      </c>
      <c r="AB60" s="0" t="s">
        <v>1561</v>
      </c>
      <c r="AD60" s="0" t="s">
        <v>158</v>
      </c>
      <c r="AH60" s="5" t="s">
        <v>158</v>
      </c>
      <c r="AI60" s="0" t="s">
        <v>727</v>
      </c>
      <c r="AJ60" s="0" t="s">
        <v>471</v>
      </c>
      <c r="AK60" s="0" t="s">
        <v>434</v>
      </c>
      <c r="AL60" s="0" t="n">
        <v>11</v>
      </c>
      <c r="AM60" s="0" t="n">
        <v>86</v>
      </c>
      <c r="AN60" s="0" t="s">
        <v>179</v>
      </c>
      <c r="AO60" s="0" t="s">
        <v>180</v>
      </c>
      <c r="AP60" s="0" t="s">
        <v>1624</v>
      </c>
      <c r="AQ60" s="5" t="s">
        <v>162</v>
      </c>
      <c r="AT60" s="0" t="str">
        <f aca="false">IF(AND(AX60="pass",AQ60&lt;&gt;"Y",C60&lt;&gt;"",OR(AW60&lt;&gt;"Y",AV60="Y")),"Y","N")</f>
        <v>N</v>
      </c>
      <c r="AU60" s="0" t="str">
        <f aca="false">_xlfn.TEXTJOIN("; ",TRUE(),IF(AX60&lt;&gt;"pass","gated out",""),IF(AQ60="Y","on hold: "&amp;AR60,""),IF(C60="","no contact named on an opened page",""),IF(AND(AW60="Y",AV60&lt;&gt;"Y"),"Tuesday estimate band "&amp;L60&amp;": founder's call",""))</f>
        <v>no contact named on an opened page; Tuesday estimate band under-40: founder's call</v>
      </c>
      <c r="AW60" s="0" t="s">
        <v>168</v>
      </c>
      <c r="AX60" s="0" t="s">
        <v>181</v>
      </c>
      <c r="AY60" s="0" t="s">
        <v>182</v>
      </c>
      <c r="AZ60" s="0" t="s">
        <v>1</v>
      </c>
      <c r="BA60" s="0" t="s">
        <v>1628</v>
      </c>
      <c r="BB60" s="0" t="s">
        <v>163</v>
      </c>
      <c r="BC60" s="0" t="s">
        <v>1629</v>
      </c>
      <c r="BD60" s="0" t="s">
        <v>1566</v>
      </c>
      <c r="BE60" s="0" t="s">
        <v>1630</v>
      </c>
      <c r="BF60" s="0" t="s">
        <v>163</v>
      </c>
      <c r="BG60" s="0" t="s">
        <v>163</v>
      </c>
      <c r="BH60" s="0" t="s">
        <v>279</v>
      </c>
      <c r="BI60" s="0" t="s">
        <v>1631</v>
      </c>
      <c r="BJ60" s="0" t="s">
        <v>1632</v>
      </c>
      <c r="BK60" s="0" t="s">
        <v>191</v>
      </c>
      <c r="BL60" s="0" t="s">
        <v>192</v>
      </c>
      <c r="BM60" s="0" t="s">
        <v>168</v>
      </c>
      <c r="BN60" s="0" t="s">
        <v>163</v>
      </c>
      <c r="BO60" s="0" t="s">
        <v>163</v>
      </c>
      <c r="BP60" s="0" t="s">
        <v>193</v>
      </c>
      <c r="BQ60" s="0" t="n">
        <v>40.734626</v>
      </c>
      <c r="BR60" s="0" t="n">
        <v>-73.9911</v>
      </c>
      <c r="BS60" s="0" t="s">
        <v>168</v>
      </c>
      <c r="BT60" s="0" t="n">
        <v>0</v>
      </c>
      <c r="BU60" s="0" t="s">
        <v>735</v>
      </c>
      <c r="BV60" s="0" t="s">
        <v>736</v>
      </c>
      <c r="BW60" s="0" t="s">
        <v>1627</v>
      </c>
      <c r="BX60" s="0" t="s">
        <v>1633</v>
      </c>
      <c r="BY60" s="0" t="s">
        <v>247</v>
      </c>
      <c r="CC60" s="0" t="s">
        <v>179</v>
      </c>
      <c r="CE60" s="0" t="s">
        <v>162</v>
      </c>
      <c r="CH60" s="0" t="s">
        <v>201</v>
      </c>
      <c r="CI60" s="0" t="s">
        <v>739</v>
      </c>
      <c r="CJ60" s="0" t="s">
        <v>163</v>
      </c>
      <c r="CK60" s="0" t="s">
        <v>162</v>
      </c>
      <c r="CL60" s="0" t="s">
        <v>577</v>
      </c>
      <c r="CM60" s="0" t="s">
        <v>1634</v>
      </c>
      <c r="CN60" s="0" t="s">
        <v>174</v>
      </c>
      <c r="CO60" s="0" t="n">
        <v>31</v>
      </c>
      <c r="CP60" s="0" t="s">
        <v>578</v>
      </c>
      <c r="CQ60" s="0" t="s">
        <v>1635</v>
      </c>
      <c r="CR60" s="0" t="s">
        <v>206</v>
      </c>
      <c r="CS60" s="0" t="n">
        <v>0.37</v>
      </c>
      <c r="CT60" s="0" t="n">
        <v>44.3</v>
      </c>
      <c r="CU60" s="0" t="n">
        <v>9.3</v>
      </c>
      <c r="CV60" s="0" t="n">
        <v>15</v>
      </c>
      <c r="CW60" s="0" t="n">
        <v>15</v>
      </c>
      <c r="CX60" s="0" t="n">
        <v>5</v>
      </c>
      <c r="CY60" s="0" t="n">
        <f aca="false">IF(AH60="exact",10,IF(AH60="adjacent",5,0))</f>
        <v>0</v>
      </c>
      <c r="CZ60" s="0" t="n">
        <f aca="false">IF(R60="Y",15,0)</f>
        <v>0</v>
      </c>
      <c r="DF60" s="0" t="s">
        <v>158</v>
      </c>
      <c r="DG60" s="0" t="s">
        <v>211</v>
      </c>
      <c r="DJ60" s="0" t="s">
        <v>1636</v>
      </c>
      <c r="DK60" s="0" t="s">
        <v>1637</v>
      </c>
      <c r="DS60" s="0" t="s">
        <v>158</v>
      </c>
      <c r="DX60" s="0" t="s">
        <v>162</v>
      </c>
      <c r="ER60" s="0" t="str">
        <f aca="false">IF(ISNUMBER(MATCH(U60,{"queued","contacted","replied","call_booked","call_done","yes_in_principle","materials_sent"},0)),"Y","N")</f>
        <v>N</v>
      </c>
      <c r="ES60" s="0" t="str">
        <f aca="false">IF(COUNTIFS($AP$2:$AP$1000,AP60,$ER$2:$ER$1000,"Y")+COUNTIFS($AP$2:$AP$1000,AP60,$T$2:$T$1000,"Y")&gt;0,"Y","N")</f>
        <v>N</v>
      </c>
      <c r="ET60" s="0" t="str">
        <f aca="false">IF(AND(U60="new",T60="N",AT60="Y",AS60="",ES60="N"),"Y","N")</f>
        <v>N</v>
      </c>
      <c r="EU60" s="0" t="str">
        <f aca="false">IF(ET60&lt;&gt;"Y","N",IF(COUNTIFS($AP$2:$AP$1000,AP60,$ET$2:$ET$1000,"Y",$J$2:$J$1000,"&gt;"&amp;J60)+COUNTIFS($AP$2:$AP$1000,AP60,$ET$2:$ET$1000,"Y",$J$2:$J$1000,J60,$EW$2:$EW$1000,"&lt;"&amp;EW60)=0,"Y","N"))</f>
        <v>N</v>
      </c>
      <c r="EV60" s="0" t="str">
        <f aca="false">IF(Y60="","N",IF(Y60&lt;=10,"Y","N"))</f>
        <v>N</v>
      </c>
      <c r="EW60" s="0" t="n">
        <f aca="false">ROW()-1</f>
        <v>59</v>
      </c>
    </row>
    <row r="61" customFormat="false" ht="15" hidden="false" customHeight="false" outlineLevel="0" collapsed="false">
      <c r="A61" s="0" t="s">
        <v>1638</v>
      </c>
      <c r="B61" s="0" t="s">
        <v>1639</v>
      </c>
      <c r="H61" s="5" t="s">
        <v>158</v>
      </c>
      <c r="I61" s="5" t="s">
        <v>159</v>
      </c>
      <c r="J61" s="0" t="n">
        <f aca="false">IF(AX61="pass",ROUND(CU61+CV61+CW61+CX61+CY61+CZ61,1),0)</f>
        <v>43.8</v>
      </c>
      <c r="K61" s="0" t="s">
        <v>1640</v>
      </c>
      <c r="L61" s="0" t="s">
        <v>560</v>
      </c>
      <c r="O61" s="0" t="s">
        <v>1641</v>
      </c>
      <c r="P61" s="0" t="s">
        <v>1642</v>
      </c>
      <c r="Q61" s="0" t="s">
        <v>1643</v>
      </c>
      <c r="R61" s="5" t="s">
        <v>162</v>
      </c>
      <c r="S61" s="0" t="s">
        <v>163</v>
      </c>
      <c r="T61" s="5" t="s">
        <v>162</v>
      </c>
      <c r="U61" s="5" t="s">
        <v>561</v>
      </c>
      <c r="V61" s="0" t="s">
        <v>1642</v>
      </c>
      <c r="W61" s="0" t="s">
        <v>166</v>
      </c>
      <c r="X61" s="0" t="s">
        <v>167</v>
      </c>
      <c r="Y61" s="0" t="str">
        <f aca="false">IF(EU61&lt;&gt;"Y","",COUNTIFS($EU$2:$EU$1000,"Y",$J$2:$J$1000,"&gt;"&amp;J61)+COUNTIFS($EU$2:$EU$1000,"Y",$J$2:$J$1000,J61,$EW$2:$EW$1000,"&lt;"&amp;EW61)+1)</f>
        <v/>
      </c>
      <c r="Z61" s="0" t="n">
        <v>60</v>
      </c>
      <c r="AA61" s="0" t="s">
        <v>162</v>
      </c>
      <c r="AB61" s="0" t="s">
        <v>1561</v>
      </c>
      <c r="AD61" s="0" t="s">
        <v>158</v>
      </c>
      <c r="AH61" s="5" t="s">
        <v>158</v>
      </c>
      <c r="AI61" s="0" t="s">
        <v>1644</v>
      </c>
      <c r="AJ61" s="0" t="s">
        <v>1645</v>
      </c>
      <c r="AK61" s="0" t="s">
        <v>434</v>
      </c>
      <c r="AL61" s="0" t="n">
        <v>22</v>
      </c>
      <c r="AM61" s="0" t="n">
        <v>48</v>
      </c>
      <c r="AN61" s="0" t="s">
        <v>179</v>
      </c>
      <c r="AO61" s="0" t="s">
        <v>180</v>
      </c>
      <c r="AP61" s="0" t="s">
        <v>1638</v>
      </c>
      <c r="AQ61" s="5" t="s">
        <v>168</v>
      </c>
      <c r="AR61" s="0" t="s">
        <v>1646</v>
      </c>
      <c r="AT61" s="0" t="str">
        <f aca="false">IF(AND(AX61="pass",AQ61&lt;&gt;"Y",C61&lt;&gt;"",OR(AW61&lt;&gt;"Y",AV61="Y")),"Y","N")</f>
        <v>N</v>
      </c>
      <c r="AU61" s="0" t="str">
        <f aca="false">_xlfn.TEXTJOIN("; ",TRUE(),IF(AX61&lt;&gt;"pass","gated out",""),IF(AQ61="Y","on hold: "&amp;AR61,""),IF(C61="","no contact named on an opened page",""),IF(AND(AW61="Y",AV61&lt;&gt;"Y"),"Tuesday estimate band "&amp;L61&amp;": founder's call",""))</f>
        <v>on hold: still in a coworking space until the move; no contact named on an opened page; Tuesday estimate band under-40: founder's call</v>
      </c>
      <c r="AW61" s="0" t="s">
        <v>168</v>
      </c>
      <c r="AX61" s="0" t="s">
        <v>181</v>
      </c>
      <c r="AY61" s="0" t="s">
        <v>182</v>
      </c>
      <c r="AZ61" s="0" t="s">
        <v>1</v>
      </c>
      <c r="BA61" s="0" t="s">
        <v>1647</v>
      </c>
      <c r="BB61" s="0" t="s">
        <v>163</v>
      </c>
      <c r="BC61" s="0" t="s">
        <v>1648</v>
      </c>
      <c r="BD61" s="0" t="s">
        <v>1219</v>
      </c>
      <c r="BE61" s="0" t="s">
        <v>1649</v>
      </c>
      <c r="BF61" s="0" t="s">
        <v>394</v>
      </c>
      <c r="BG61" s="0" t="s">
        <v>188</v>
      </c>
      <c r="BH61" s="0" t="s">
        <v>240</v>
      </c>
      <c r="BI61" s="0" t="s">
        <v>1650</v>
      </c>
      <c r="BJ61" s="0" t="s">
        <v>1651</v>
      </c>
      <c r="BK61" s="0" t="s">
        <v>191</v>
      </c>
      <c r="BL61" s="0" t="s">
        <v>192</v>
      </c>
      <c r="BM61" s="0" t="s">
        <v>168</v>
      </c>
      <c r="BN61" s="0" t="s">
        <v>163</v>
      </c>
      <c r="BO61" s="0" t="s">
        <v>163</v>
      </c>
      <c r="BP61" s="0" t="s">
        <v>243</v>
      </c>
      <c r="BQ61" s="0" t="n">
        <v>40.746186</v>
      </c>
      <c r="BR61" s="0" t="n">
        <v>-73.985981</v>
      </c>
      <c r="BS61" s="0" t="s">
        <v>168</v>
      </c>
      <c r="BT61" s="0" t="n">
        <v>0</v>
      </c>
      <c r="BU61" s="0" t="s">
        <v>1652</v>
      </c>
      <c r="BV61" s="0" t="s">
        <v>1653</v>
      </c>
      <c r="BW61" s="0" t="s">
        <v>1642</v>
      </c>
      <c r="BX61" s="0" t="s">
        <v>1643</v>
      </c>
      <c r="BY61" s="0" t="s">
        <v>247</v>
      </c>
      <c r="BZ61" s="0" t="s">
        <v>1650</v>
      </c>
      <c r="CA61" s="0" t="s">
        <v>166</v>
      </c>
      <c r="CC61" s="0" t="s">
        <v>738</v>
      </c>
      <c r="CE61" s="0" t="s">
        <v>162</v>
      </c>
      <c r="CH61" s="0" t="s">
        <v>163</v>
      </c>
      <c r="CJ61" s="0" t="s">
        <v>163</v>
      </c>
      <c r="CK61" s="0" t="s">
        <v>162</v>
      </c>
      <c r="CL61" s="0" t="s">
        <v>448</v>
      </c>
      <c r="CM61" s="0" t="s">
        <v>1650</v>
      </c>
      <c r="CN61" s="0" t="s">
        <v>174</v>
      </c>
      <c r="CO61" s="0" t="n">
        <v>32</v>
      </c>
      <c r="CP61" s="0" t="s">
        <v>578</v>
      </c>
      <c r="CQ61" s="0" t="s">
        <v>1654</v>
      </c>
      <c r="CR61" s="0" t="s">
        <v>206</v>
      </c>
      <c r="CS61" s="0" t="n">
        <v>0.23</v>
      </c>
      <c r="CT61" s="0" t="n">
        <v>43.8</v>
      </c>
      <c r="CU61" s="0" t="n">
        <v>5.8</v>
      </c>
      <c r="CV61" s="0" t="n">
        <v>15</v>
      </c>
      <c r="CW61" s="0" t="n">
        <v>15</v>
      </c>
      <c r="CX61" s="0" t="n">
        <v>8</v>
      </c>
      <c r="CY61" s="0" t="n">
        <f aca="false">IF(AH61="exact",10,IF(AH61="adjacent",5,0))</f>
        <v>0</v>
      </c>
      <c r="CZ61" s="0" t="n">
        <f aca="false">IF(R61="Y",15,0)</f>
        <v>0</v>
      </c>
      <c r="DF61" s="0" t="s">
        <v>158</v>
      </c>
      <c r="DG61" s="0" t="s">
        <v>211</v>
      </c>
      <c r="DJ61" s="0" t="s">
        <v>1655</v>
      </c>
      <c r="DK61" s="0" t="s">
        <v>1656</v>
      </c>
      <c r="DS61" s="0" t="s">
        <v>158</v>
      </c>
      <c r="DX61" s="0" t="s">
        <v>162</v>
      </c>
      <c r="ER61" s="0" t="str">
        <f aca="false">IF(ISNUMBER(MATCH(U61,{"queued","contacted","replied","call_booked","call_done","yes_in_principle","materials_sent"},0)),"Y","N")</f>
        <v>N</v>
      </c>
      <c r="ES61" s="0" t="str">
        <f aca="false">IF(COUNTIFS($AP$2:$AP$1000,AP61,$ER$2:$ER$1000,"Y")+COUNTIFS($AP$2:$AP$1000,AP61,$T$2:$T$1000,"Y")&gt;0,"Y","N")</f>
        <v>N</v>
      </c>
      <c r="ET61" s="0" t="str">
        <f aca="false">IF(AND(U61="new",T61="N",AT61="Y",AS61="",ES61="N"),"Y","N")</f>
        <v>N</v>
      </c>
      <c r="EU61" s="0" t="str">
        <f aca="false">IF(ET61&lt;&gt;"Y","N",IF(COUNTIFS($AP$2:$AP$1000,AP61,$ET$2:$ET$1000,"Y",$J$2:$J$1000,"&gt;"&amp;J61)+COUNTIFS($AP$2:$AP$1000,AP61,$ET$2:$ET$1000,"Y",$J$2:$J$1000,J61,$EW$2:$EW$1000,"&lt;"&amp;EW61)=0,"Y","N"))</f>
        <v>N</v>
      </c>
      <c r="EV61" s="0" t="str">
        <f aca="false">IF(Y61="","N",IF(Y61&lt;=10,"Y","N"))</f>
        <v>N</v>
      </c>
      <c r="EW61" s="0" t="n">
        <f aca="false">ROW()-1</f>
        <v>60</v>
      </c>
    </row>
    <row r="62" customFormat="false" ht="15" hidden="false" customHeight="false" outlineLevel="0" collapsed="false">
      <c r="A62" s="0" t="s">
        <v>1657</v>
      </c>
      <c r="B62" s="0" t="s">
        <v>1658</v>
      </c>
      <c r="H62" s="5" t="s">
        <v>158</v>
      </c>
      <c r="I62" s="5" t="s">
        <v>159</v>
      </c>
      <c r="J62" s="0" t="n">
        <f aca="false">IF(AX62="pass",ROUND(CU62+CV62+CW62+CX62+CY62+CZ62,1),0)</f>
        <v>43.5</v>
      </c>
      <c r="K62" s="0" t="s">
        <v>1659</v>
      </c>
      <c r="L62" s="0" t="s">
        <v>239</v>
      </c>
      <c r="R62" s="5" t="s">
        <v>162</v>
      </c>
      <c r="S62" s="0" t="s">
        <v>163</v>
      </c>
      <c r="T62" s="5" t="s">
        <v>162</v>
      </c>
      <c r="U62" s="5" t="s">
        <v>561</v>
      </c>
      <c r="V62" s="0" t="s">
        <v>1660</v>
      </c>
      <c r="W62" s="0" t="s">
        <v>166</v>
      </c>
      <c r="X62" s="0" t="s">
        <v>167</v>
      </c>
      <c r="Y62" s="0" t="str">
        <f aca="false">IF(EU62&lt;&gt;"Y","",COUNTIFS($EU$2:$EU$1000,"Y",$J$2:$J$1000,"&gt;"&amp;J62)+COUNTIFS($EU$2:$EU$1000,"Y",$J$2:$J$1000,J62,$EW$2:$EW$1000,"&lt;"&amp;EW62)+1)</f>
        <v/>
      </c>
      <c r="Z62" s="0" t="n">
        <v>61</v>
      </c>
      <c r="AA62" s="0" t="s">
        <v>162</v>
      </c>
      <c r="AB62" s="0" t="s">
        <v>1661</v>
      </c>
      <c r="AD62" s="0" t="s">
        <v>158</v>
      </c>
      <c r="AH62" s="5" t="s">
        <v>158</v>
      </c>
      <c r="AI62" s="0" t="s">
        <v>1662</v>
      </c>
      <c r="AJ62" s="0" t="s">
        <v>163</v>
      </c>
      <c r="AK62" s="0" t="s">
        <v>178</v>
      </c>
      <c r="AL62" s="0" t="n">
        <v>63</v>
      </c>
      <c r="AM62" s="0" t="n">
        <v>1256</v>
      </c>
      <c r="AN62" s="0" t="s">
        <v>179</v>
      </c>
      <c r="AO62" s="0" t="s">
        <v>180</v>
      </c>
      <c r="AP62" s="0" t="s">
        <v>1657</v>
      </c>
      <c r="AQ62" s="5" t="s">
        <v>162</v>
      </c>
      <c r="AT62" s="0" t="str">
        <f aca="false">IF(AND(AX62="pass",AQ62&lt;&gt;"Y",C62&lt;&gt;"",OR(AW62&lt;&gt;"Y",AV62="Y")),"Y","N")</f>
        <v>N</v>
      </c>
      <c r="AU62" s="0" t="str">
        <f aca="false">_xlfn.TEXTJOIN("; ",TRUE(),IF(AX62&lt;&gt;"pass","gated out",""),IF(AQ62="Y","on hold: "&amp;AR62,""),IF(C62="","no contact named on an opened page",""),IF(AND(AW62="Y",AV62&lt;&gt;"Y"),"Tuesday estimate band "&amp;L62&amp;": founder's call",""))</f>
        <v>no contact named on an opened page; Tuesday estimate band 251-500: founder's call</v>
      </c>
      <c r="AW62" s="0" t="s">
        <v>168</v>
      </c>
      <c r="AX62" s="0" t="s">
        <v>181</v>
      </c>
      <c r="AY62" s="0" t="s">
        <v>182</v>
      </c>
      <c r="AZ62" s="0" t="s">
        <v>1</v>
      </c>
      <c r="BA62" s="0" t="s">
        <v>1663</v>
      </c>
      <c r="BB62" s="0" t="s">
        <v>1664</v>
      </c>
      <c r="BC62" s="0" t="s">
        <v>1665</v>
      </c>
      <c r="BD62" s="0" t="s">
        <v>1666</v>
      </c>
      <c r="BF62" s="0" t="s">
        <v>1322</v>
      </c>
      <c r="BG62" s="0" t="s">
        <v>188</v>
      </c>
      <c r="BH62" s="0" t="s">
        <v>189</v>
      </c>
      <c r="BI62" s="0" t="s">
        <v>1667</v>
      </c>
      <c r="BK62" s="0" t="s">
        <v>1439</v>
      </c>
      <c r="BL62" s="0" t="s">
        <v>1668</v>
      </c>
      <c r="BM62" s="0" t="s">
        <v>162</v>
      </c>
      <c r="BN62" s="0" t="s">
        <v>163</v>
      </c>
      <c r="BO62" s="0" t="s">
        <v>163</v>
      </c>
      <c r="BP62" s="0" t="s">
        <v>346</v>
      </c>
      <c r="BQ62" s="0" t="n">
        <v>40.740567</v>
      </c>
      <c r="BR62" s="0" t="n">
        <v>-73.985832</v>
      </c>
      <c r="BS62" s="0" t="s">
        <v>168</v>
      </c>
      <c r="BT62" s="0" t="n">
        <v>0</v>
      </c>
      <c r="BV62" s="0" t="s">
        <v>163</v>
      </c>
      <c r="BW62" s="0" t="s">
        <v>1660</v>
      </c>
      <c r="BX62" s="0" t="s">
        <v>198</v>
      </c>
      <c r="BY62" s="0" t="s">
        <v>247</v>
      </c>
      <c r="BZ62" s="0" t="s">
        <v>1667</v>
      </c>
      <c r="CA62" s="0" t="s">
        <v>166</v>
      </c>
      <c r="CC62" s="0" t="s">
        <v>200</v>
      </c>
      <c r="CE62" s="0" t="s">
        <v>162</v>
      </c>
      <c r="CH62" s="0" t="s">
        <v>201</v>
      </c>
      <c r="CJ62" s="0" t="s">
        <v>163</v>
      </c>
      <c r="CK62" s="0" t="s">
        <v>162</v>
      </c>
      <c r="CL62" s="0" t="s">
        <v>448</v>
      </c>
      <c r="CM62" s="0" t="s">
        <v>1667</v>
      </c>
      <c r="CN62" s="0" t="s">
        <v>174</v>
      </c>
      <c r="CO62" s="0" t="n">
        <v>281</v>
      </c>
      <c r="CP62" s="0" t="s">
        <v>250</v>
      </c>
      <c r="CQ62" s="0" t="s">
        <v>1669</v>
      </c>
      <c r="CR62" s="0" t="s">
        <v>206</v>
      </c>
      <c r="CS62" s="0" t="n">
        <v>0.46</v>
      </c>
      <c r="CT62" s="0" t="n">
        <v>43.5</v>
      </c>
      <c r="CU62" s="0" t="n">
        <v>11.5</v>
      </c>
      <c r="CV62" s="0" t="n">
        <v>2</v>
      </c>
      <c r="CW62" s="0" t="n">
        <v>15</v>
      </c>
      <c r="CX62" s="0" t="n">
        <v>15</v>
      </c>
      <c r="CY62" s="0" t="n">
        <f aca="false">IF(AH62="exact",10,IF(AH62="adjacent",5,0))</f>
        <v>0</v>
      </c>
      <c r="CZ62" s="0" t="n">
        <f aca="false">IF(R62="Y",15,0)</f>
        <v>0</v>
      </c>
      <c r="DF62" s="0" t="s">
        <v>158</v>
      </c>
      <c r="DG62" s="0" t="s">
        <v>1335</v>
      </c>
      <c r="DH62" s="0" t="s">
        <v>1446</v>
      </c>
      <c r="DI62" s="0" t="s">
        <v>162</v>
      </c>
      <c r="DK62" s="0" t="s">
        <v>1670</v>
      </c>
      <c r="DS62" s="0" t="s">
        <v>158</v>
      </c>
      <c r="DX62" s="0" t="s">
        <v>162</v>
      </c>
      <c r="ER62" s="0" t="str">
        <f aca="false">IF(ISNUMBER(MATCH(U62,{"queued","contacted","replied","call_booked","call_done","yes_in_principle","materials_sent"},0)),"Y","N")</f>
        <v>N</v>
      </c>
      <c r="ES62" s="0" t="str">
        <f aca="false">IF(COUNTIFS($AP$2:$AP$1000,AP62,$ER$2:$ER$1000,"Y")+COUNTIFS($AP$2:$AP$1000,AP62,$T$2:$T$1000,"Y")&gt;0,"Y","N")</f>
        <v>N</v>
      </c>
      <c r="ET62" s="0" t="str">
        <f aca="false">IF(AND(U62="new",T62="N",AT62="Y",AS62="",ES62="N"),"Y","N")</f>
        <v>N</v>
      </c>
      <c r="EU62" s="0" t="str">
        <f aca="false">IF(ET62&lt;&gt;"Y","N",IF(COUNTIFS($AP$2:$AP$1000,AP62,$ET$2:$ET$1000,"Y",$J$2:$J$1000,"&gt;"&amp;J62)+COUNTIFS($AP$2:$AP$1000,AP62,$ET$2:$ET$1000,"Y",$J$2:$J$1000,J62,$EW$2:$EW$1000,"&lt;"&amp;EW62)=0,"Y","N"))</f>
        <v>N</v>
      </c>
      <c r="EV62" s="0" t="str">
        <f aca="false">IF(Y62="","N",IF(Y62&lt;=10,"Y","N"))</f>
        <v>N</v>
      </c>
      <c r="EW62" s="0" t="n">
        <f aca="false">ROW()-1</f>
        <v>61</v>
      </c>
    </row>
    <row r="63" customFormat="false" ht="15" hidden="false" customHeight="false" outlineLevel="0" collapsed="false">
      <c r="A63" s="0" t="s">
        <v>1671</v>
      </c>
      <c r="B63" s="0" t="s">
        <v>1672</v>
      </c>
      <c r="H63" s="5" t="s">
        <v>158</v>
      </c>
      <c r="I63" s="5" t="s">
        <v>159</v>
      </c>
      <c r="J63" s="0" t="n">
        <f aca="false">IF(AX63="pass",ROUND(CU63+CV63+CW63+CX63+CY63+CZ63,1),0)</f>
        <v>43.2</v>
      </c>
      <c r="K63" s="0" t="s">
        <v>1673</v>
      </c>
      <c r="L63" s="0" t="s">
        <v>394</v>
      </c>
      <c r="R63" s="5" t="s">
        <v>162</v>
      </c>
      <c r="S63" s="0" t="s">
        <v>163</v>
      </c>
      <c r="T63" s="5" t="s">
        <v>162</v>
      </c>
      <c r="U63" s="5" t="s">
        <v>561</v>
      </c>
      <c r="V63" s="0" t="s">
        <v>1674</v>
      </c>
      <c r="W63" s="0" t="s">
        <v>166</v>
      </c>
      <c r="X63" s="0" t="s">
        <v>167</v>
      </c>
      <c r="Y63" s="0" t="str">
        <f aca="false">IF(EU63&lt;&gt;"Y","",COUNTIFS($EU$2:$EU$1000,"Y",$J$2:$J$1000,"&gt;"&amp;J63)+COUNTIFS($EU$2:$EU$1000,"Y",$J$2:$J$1000,J63,$EW$2:$EW$1000,"&lt;"&amp;EW63)+1)</f>
        <v/>
      </c>
      <c r="Z63" s="0" t="n">
        <v>62</v>
      </c>
      <c r="AA63" s="0" t="s">
        <v>162</v>
      </c>
      <c r="AD63" s="0" t="s">
        <v>158</v>
      </c>
      <c r="AH63" s="5" t="s">
        <v>158</v>
      </c>
      <c r="AI63" s="0" t="s">
        <v>860</v>
      </c>
      <c r="AJ63" s="0" t="s">
        <v>1675</v>
      </c>
      <c r="AK63" s="0" t="s">
        <v>178</v>
      </c>
      <c r="AL63" s="0" t="n">
        <v>16</v>
      </c>
      <c r="AM63" s="0" t="n">
        <v>328</v>
      </c>
      <c r="AN63" s="0" t="s">
        <v>179</v>
      </c>
      <c r="AO63" s="0" t="s">
        <v>369</v>
      </c>
      <c r="AP63" s="0" t="s">
        <v>1671</v>
      </c>
      <c r="AQ63" s="5" t="s">
        <v>162</v>
      </c>
      <c r="AT63" s="0" t="str">
        <f aca="false">IF(AND(AX63="pass",AQ63&lt;&gt;"Y",C63&lt;&gt;"",OR(AW63&lt;&gt;"Y",AV63="Y")),"Y","N")</f>
        <v>N</v>
      </c>
      <c r="AU63" s="0" t="str">
        <f aca="false">_xlfn.TEXTJOIN("; ",TRUE(),IF(AX63&lt;&gt;"pass","gated out",""),IF(AQ63="Y","on hold: "&amp;AR63,""),IF(C63="","no contact named on an opened page",""),IF(AND(AW63="Y",AV63&lt;&gt;"Y"),"Tuesday estimate band "&amp;L63&amp;": founder's call",""))</f>
        <v>no contact named on an opened page</v>
      </c>
      <c r="AW63" s="0" t="s">
        <v>162</v>
      </c>
      <c r="AX63" s="0" t="s">
        <v>181</v>
      </c>
      <c r="AY63" s="0" t="s">
        <v>182</v>
      </c>
      <c r="AZ63" s="0" t="s">
        <v>1</v>
      </c>
      <c r="BA63" s="0" t="s">
        <v>1676</v>
      </c>
      <c r="BB63" s="0" t="s">
        <v>1677</v>
      </c>
      <c r="BC63" s="0" t="s">
        <v>1678</v>
      </c>
      <c r="BD63" s="0" t="s">
        <v>1679</v>
      </c>
      <c r="BF63" s="0" t="s">
        <v>1322</v>
      </c>
      <c r="BG63" s="0" t="s">
        <v>188</v>
      </c>
      <c r="BH63" s="0" t="s">
        <v>189</v>
      </c>
      <c r="BI63" s="0" t="s">
        <v>1680</v>
      </c>
      <c r="BK63" s="0" t="s">
        <v>1263</v>
      </c>
      <c r="BL63" s="0" t="s">
        <v>1681</v>
      </c>
      <c r="BM63" s="0" t="s">
        <v>162</v>
      </c>
      <c r="BN63" s="0" t="s">
        <v>163</v>
      </c>
      <c r="BO63" s="0" t="s">
        <v>163</v>
      </c>
      <c r="BP63" s="0" t="s">
        <v>346</v>
      </c>
      <c r="BQ63" s="0" t="n">
        <v>40.742654</v>
      </c>
      <c r="BR63" s="0" t="n">
        <v>-73.991559</v>
      </c>
      <c r="BS63" s="0" t="s">
        <v>168</v>
      </c>
      <c r="BT63" s="0" t="n">
        <v>0</v>
      </c>
      <c r="BU63" s="0" t="s">
        <v>869</v>
      </c>
      <c r="BV63" s="0" t="s">
        <v>870</v>
      </c>
      <c r="BW63" s="0" t="s">
        <v>1674</v>
      </c>
      <c r="BX63" s="0" t="s">
        <v>1682</v>
      </c>
      <c r="BY63" s="0" t="s">
        <v>247</v>
      </c>
      <c r="BZ63" s="0" t="s">
        <v>1683</v>
      </c>
      <c r="CA63" s="0" t="s">
        <v>1684</v>
      </c>
      <c r="CC63" s="0" t="s">
        <v>200</v>
      </c>
      <c r="CE63" s="0" t="s">
        <v>162</v>
      </c>
      <c r="CH63" s="0" t="s">
        <v>201</v>
      </c>
      <c r="CI63" s="0" t="s">
        <v>871</v>
      </c>
      <c r="CJ63" s="0" t="s">
        <v>163</v>
      </c>
      <c r="CK63" s="0" t="s">
        <v>162</v>
      </c>
      <c r="CL63" s="0" t="s">
        <v>1685</v>
      </c>
      <c r="CM63" s="0" t="s">
        <v>1680</v>
      </c>
      <c r="CN63" s="0" t="s">
        <v>174</v>
      </c>
      <c r="CO63" s="0" t="n">
        <v>72</v>
      </c>
      <c r="CP63" s="0" t="s">
        <v>767</v>
      </c>
      <c r="CQ63" s="0" t="s">
        <v>1686</v>
      </c>
      <c r="CR63" s="0" t="s">
        <v>206</v>
      </c>
      <c r="CS63" s="0" t="n">
        <v>0.61</v>
      </c>
      <c r="CT63" s="0" t="n">
        <v>43.2</v>
      </c>
      <c r="CU63" s="0" t="n">
        <v>15.2</v>
      </c>
      <c r="CV63" s="0" t="n">
        <v>6</v>
      </c>
      <c r="CW63" s="0" t="n">
        <v>7</v>
      </c>
      <c r="CX63" s="0" t="n">
        <v>15</v>
      </c>
      <c r="CY63" s="0" t="n">
        <f aca="false">IF(AH63="exact",10,IF(AH63="adjacent",5,0))</f>
        <v>0</v>
      </c>
      <c r="CZ63" s="0" t="n">
        <f aca="false">IF(R63="Y",15,0)</f>
        <v>0</v>
      </c>
      <c r="DF63" s="0" t="s">
        <v>158</v>
      </c>
      <c r="DG63" s="0" t="s">
        <v>1335</v>
      </c>
      <c r="DH63" s="0" t="s">
        <v>1336</v>
      </c>
      <c r="DI63" s="0" t="s">
        <v>162</v>
      </c>
      <c r="DJ63" s="0" t="s">
        <v>1605</v>
      </c>
      <c r="DK63" s="0" t="s">
        <v>1687</v>
      </c>
      <c r="DS63" s="0" t="s">
        <v>158</v>
      </c>
      <c r="DX63" s="0" t="s">
        <v>162</v>
      </c>
      <c r="ER63" s="0" t="str">
        <f aca="false">IF(ISNUMBER(MATCH(U63,{"queued","contacted","replied","call_booked","call_done","yes_in_principle","materials_sent"},0)),"Y","N")</f>
        <v>N</v>
      </c>
      <c r="ES63" s="0" t="str">
        <f aca="false">IF(COUNTIFS($AP$2:$AP$1000,AP63,$ER$2:$ER$1000,"Y")+COUNTIFS($AP$2:$AP$1000,AP63,$T$2:$T$1000,"Y")&gt;0,"Y","N")</f>
        <v>N</v>
      </c>
      <c r="ET63" s="0" t="str">
        <f aca="false">IF(AND(U63="new",T63="N",AT63="Y",AS63="",ES63="N"),"Y","N")</f>
        <v>N</v>
      </c>
      <c r="EU63" s="0" t="str">
        <f aca="false">IF(ET63&lt;&gt;"Y","N",IF(COUNTIFS($AP$2:$AP$1000,AP63,$ET$2:$ET$1000,"Y",$J$2:$J$1000,"&gt;"&amp;J63)+COUNTIFS($AP$2:$AP$1000,AP63,$ET$2:$ET$1000,"Y",$J$2:$J$1000,J63,$EW$2:$EW$1000,"&lt;"&amp;EW63)=0,"Y","N"))</f>
        <v>N</v>
      </c>
      <c r="EV63" s="0" t="str">
        <f aca="false">IF(Y63="","N",IF(Y63&lt;=10,"Y","N"))</f>
        <v>N</v>
      </c>
      <c r="EW63" s="0" t="n">
        <f aca="false">ROW()-1</f>
        <v>62</v>
      </c>
    </row>
    <row r="64" customFormat="false" ht="15" hidden="false" customHeight="false" outlineLevel="0" collapsed="false">
      <c r="A64" s="0" t="s">
        <v>1688</v>
      </c>
      <c r="B64" s="0" t="s">
        <v>1689</v>
      </c>
      <c r="H64" s="5" t="s">
        <v>158</v>
      </c>
      <c r="I64" s="5" t="s">
        <v>159</v>
      </c>
      <c r="J64" s="0" t="n">
        <f aca="false">IF(AX64="pass",ROUND(CU64+CV64+CW64+CX64+CY64+CZ64,1),0)</f>
        <v>42.9</v>
      </c>
      <c r="K64" s="0" t="s">
        <v>1690</v>
      </c>
      <c r="L64" s="0" t="s">
        <v>161</v>
      </c>
      <c r="O64" s="0" t="s">
        <v>1691</v>
      </c>
      <c r="P64" s="0" t="s">
        <v>1692</v>
      </c>
      <c r="Q64" s="0" t="s">
        <v>522</v>
      </c>
      <c r="R64" s="5" t="s">
        <v>162</v>
      </c>
      <c r="S64" s="0" t="s">
        <v>163</v>
      </c>
      <c r="T64" s="5" t="s">
        <v>162</v>
      </c>
      <c r="U64" s="5" t="s">
        <v>561</v>
      </c>
      <c r="V64" s="0" t="s">
        <v>1692</v>
      </c>
      <c r="W64" s="0" t="s">
        <v>166</v>
      </c>
      <c r="X64" s="0" t="s">
        <v>167</v>
      </c>
      <c r="Y64" s="0" t="str">
        <f aca="false">IF(EU64&lt;&gt;"Y","",COUNTIFS($EU$2:$EU$1000,"Y",$J$2:$J$1000,"&gt;"&amp;J64)+COUNTIFS($EU$2:$EU$1000,"Y",$J$2:$J$1000,J64,$EW$2:$EW$1000,"&lt;"&amp;EW64)+1)</f>
        <v/>
      </c>
      <c r="Z64" s="0" t="n">
        <v>63</v>
      </c>
      <c r="AA64" s="0" t="s">
        <v>162</v>
      </c>
      <c r="AD64" s="0" t="s">
        <v>158</v>
      </c>
      <c r="AH64" s="5" t="s">
        <v>158</v>
      </c>
      <c r="AI64" s="0" t="s">
        <v>1693</v>
      </c>
      <c r="AJ64" s="0" t="s">
        <v>1694</v>
      </c>
      <c r="AK64" s="0" t="s">
        <v>889</v>
      </c>
      <c r="AL64" s="0" t="n">
        <v>27</v>
      </c>
      <c r="AM64" s="0" t="n">
        <v>405</v>
      </c>
      <c r="AN64" s="0" t="s">
        <v>179</v>
      </c>
      <c r="AO64" s="0" t="s">
        <v>180</v>
      </c>
      <c r="AP64" s="0" t="s">
        <v>1688</v>
      </c>
      <c r="AQ64" s="5" t="s">
        <v>168</v>
      </c>
      <c r="AR64" s="0" t="s">
        <v>890</v>
      </c>
      <c r="AT64" s="0" t="str">
        <f aca="false">IF(AND(AX64="pass",AQ64&lt;&gt;"Y",C64&lt;&gt;"",OR(AW64&lt;&gt;"Y",AV64="Y")),"Y","N")</f>
        <v>N</v>
      </c>
      <c r="AU64" s="0" t="str">
        <f aca="false">_xlfn.TEXTJOIN("; ",TRUE(),IF(AX64&lt;&gt;"pass","gated out",""),IF(AQ64="Y","on hold: "&amp;AR64,""),IF(C64="","no contact named on an opened page",""),IF(AND(AW64="Y",AV64&lt;&gt;"Y"),"Tuesday estimate band "&amp;L64&amp;": founder's call",""))</f>
        <v>on hold: lease signed, move not confirmed: check the lobby directory before outreach (B); no contact named on an opened page</v>
      </c>
      <c r="AW64" s="0" t="s">
        <v>162</v>
      </c>
      <c r="AX64" s="0" t="s">
        <v>181</v>
      </c>
      <c r="AY64" s="0" t="s">
        <v>182</v>
      </c>
      <c r="AZ64" s="0" t="s">
        <v>1</v>
      </c>
      <c r="BA64" s="0" t="s">
        <v>1695</v>
      </c>
      <c r="BB64" s="0" t="s">
        <v>1696</v>
      </c>
      <c r="BC64" s="0" t="s">
        <v>1697</v>
      </c>
      <c r="BD64" s="0" t="s">
        <v>1698</v>
      </c>
      <c r="BE64" s="0" t="s">
        <v>1699</v>
      </c>
      <c r="BF64" s="0" t="s">
        <v>1322</v>
      </c>
      <c r="BG64" s="0" t="s">
        <v>188</v>
      </c>
      <c r="BH64" s="0" t="s">
        <v>1323</v>
      </c>
      <c r="BI64" s="0" t="s">
        <v>1700</v>
      </c>
      <c r="BJ64" s="0" t="s">
        <v>1701</v>
      </c>
      <c r="BK64" s="0" t="s">
        <v>1263</v>
      </c>
      <c r="BL64" s="0" t="s">
        <v>192</v>
      </c>
      <c r="BM64" s="0" t="s">
        <v>168</v>
      </c>
      <c r="BN64" s="0" t="s">
        <v>163</v>
      </c>
      <c r="BO64" s="0" t="s">
        <v>163</v>
      </c>
      <c r="BP64" s="0" t="s">
        <v>346</v>
      </c>
      <c r="BQ64" s="0" t="n">
        <v>40.741761</v>
      </c>
      <c r="BR64" s="0" t="n">
        <v>-73.987033</v>
      </c>
      <c r="BS64" s="0" t="s">
        <v>168</v>
      </c>
      <c r="BT64" s="0" t="n">
        <v>0</v>
      </c>
      <c r="BU64" s="0" t="s">
        <v>1702</v>
      </c>
      <c r="BV64" s="0" t="s">
        <v>1703</v>
      </c>
      <c r="BW64" s="0" t="s">
        <v>1692</v>
      </c>
      <c r="BX64" s="0" t="s">
        <v>522</v>
      </c>
      <c r="BY64" s="0" t="s">
        <v>247</v>
      </c>
      <c r="BZ64" s="0" t="s">
        <v>1704</v>
      </c>
      <c r="CA64" s="0" t="s">
        <v>1705</v>
      </c>
      <c r="CC64" s="0" t="s">
        <v>738</v>
      </c>
      <c r="CD64" s="0" t="s">
        <v>163</v>
      </c>
      <c r="CE64" s="0" t="s">
        <v>162</v>
      </c>
      <c r="CH64" s="0" t="s">
        <v>1706</v>
      </c>
      <c r="CI64" s="0" t="s">
        <v>1707</v>
      </c>
      <c r="CJ64" s="0" t="s">
        <v>163</v>
      </c>
      <c r="CK64" s="0" t="s">
        <v>162</v>
      </c>
      <c r="CL64" s="0" t="s">
        <v>577</v>
      </c>
      <c r="CM64" s="0" t="s">
        <v>1701</v>
      </c>
      <c r="CN64" s="0" t="s">
        <v>174</v>
      </c>
      <c r="CO64" s="0" t="n">
        <v>105</v>
      </c>
      <c r="CP64" s="0" t="s">
        <v>767</v>
      </c>
      <c r="CQ64" s="0" t="s">
        <v>1708</v>
      </c>
      <c r="CR64" s="0" t="s">
        <v>206</v>
      </c>
      <c r="CS64" s="0" t="n">
        <v>0.68</v>
      </c>
      <c r="CT64" s="0" t="n">
        <v>42.9</v>
      </c>
      <c r="CU64" s="0" t="n">
        <v>16.9</v>
      </c>
      <c r="CV64" s="0" t="n">
        <v>6</v>
      </c>
      <c r="CW64" s="0" t="n">
        <v>15</v>
      </c>
      <c r="CX64" s="0" t="n">
        <v>5</v>
      </c>
      <c r="CY64" s="0" t="n">
        <f aca="false">IF(AH64="exact",10,IF(AH64="adjacent",5,0))</f>
        <v>0</v>
      </c>
      <c r="CZ64" s="0" t="n">
        <f aca="false">IF(R64="Y",15,0)</f>
        <v>0</v>
      </c>
      <c r="DF64" s="0" t="s">
        <v>158</v>
      </c>
      <c r="DG64" s="0" t="s">
        <v>1335</v>
      </c>
      <c r="DH64" s="0" t="s">
        <v>1336</v>
      </c>
      <c r="DI64" s="0" t="s">
        <v>162</v>
      </c>
      <c r="DJ64" s="0" t="s">
        <v>1709</v>
      </c>
      <c r="DK64" s="0" t="s">
        <v>1710</v>
      </c>
      <c r="DS64" s="0" t="s">
        <v>158</v>
      </c>
      <c r="DX64" s="0" t="s">
        <v>162</v>
      </c>
      <c r="ER64" s="0" t="str">
        <f aca="false">IF(ISNUMBER(MATCH(U64,{"queued","contacted","replied","call_booked","call_done","yes_in_principle","materials_sent"},0)),"Y","N")</f>
        <v>N</v>
      </c>
      <c r="ES64" s="0" t="str">
        <f aca="false">IF(COUNTIFS($AP$2:$AP$1000,AP64,$ER$2:$ER$1000,"Y")+COUNTIFS($AP$2:$AP$1000,AP64,$T$2:$T$1000,"Y")&gt;0,"Y","N")</f>
        <v>N</v>
      </c>
      <c r="ET64" s="0" t="str">
        <f aca="false">IF(AND(U64="new",T64="N",AT64="Y",AS64="",ES64="N"),"Y","N")</f>
        <v>N</v>
      </c>
      <c r="EU64" s="0" t="str">
        <f aca="false">IF(ET64&lt;&gt;"Y","N",IF(COUNTIFS($AP$2:$AP$1000,AP64,$ET$2:$ET$1000,"Y",$J$2:$J$1000,"&gt;"&amp;J64)+COUNTIFS($AP$2:$AP$1000,AP64,$ET$2:$ET$1000,"Y",$J$2:$J$1000,J64,$EW$2:$EW$1000,"&lt;"&amp;EW64)=0,"Y","N"))</f>
        <v>N</v>
      </c>
      <c r="EV64" s="0" t="str">
        <f aca="false">IF(Y64="","N",IF(Y64&lt;=10,"Y","N"))</f>
        <v>N</v>
      </c>
      <c r="EW64" s="0" t="n">
        <f aca="false">ROW()-1</f>
        <v>63</v>
      </c>
    </row>
    <row r="65" customFormat="false" ht="15" hidden="false" customHeight="false" outlineLevel="0" collapsed="false">
      <c r="A65" s="0" t="s">
        <v>1711</v>
      </c>
      <c r="B65" s="0" t="s">
        <v>1712</v>
      </c>
      <c r="H65" s="5" t="s">
        <v>158</v>
      </c>
      <c r="I65" s="5" t="s">
        <v>159</v>
      </c>
      <c r="J65" s="0" t="n">
        <f aca="false">IF(AX65="pass",ROUND(CU65+CV65+CW65+CX65+CY65+CZ65,1),0)</f>
        <v>42.4</v>
      </c>
      <c r="K65" s="0" t="s">
        <v>1713</v>
      </c>
      <c r="L65" s="0" t="s">
        <v>560</v>
      </c>
      <c r="R65" s="5" t="s">
        <v>162</v>
      </c>
      <c r="S65" s="0" t="s">
        <v>163</v>
      </c>
      <c r="T65" s="5" t="s">
        <v>162</v>
      </c>
      <c r="U65" s="5" t="s">
        <v>561</v>
      </c>
      <c r="V65" s="0" t="s">
        <v>1714</v>
      </c>
      <c r="W65" s="0" t="s">
        <v>166</v>
      </c>
      <c r="X65" s="0" t="s">
        <v>167</v>
      </c>
      <c r="Y65" s="0" t="str">
        <f aca="false">IF(EU65&lt;&gt;"Y","",COUNTIFS($EU$2:$EU$1000,"Y",$J$2:$J$1000,"&gt;"&amp;J65)+COUNTIFS($EU$2:$EU$1000,"Y",$J$2:$J$1000,J65,$EW$2:$EW$1000,"&lt;"&amp;EW65)+1)</f>
        <v/>
      </c>
      <c r="Z65" s="0" t="n">
        <v>64</v>
      </c>
      <c r="AA65" s="0" t="s">
        <v>162</v>
      </c>
      <c r="AB65" s="0" t="s">
        <v>1561</v>
      </c>
      <c r="AD65" s="0" t="s">
        <v>158</v>
      </c>
      <c r="AH65" s="5" t="s">
        <v>158</v>
      </c>
      <c r="AI65" s="0" t="s">
        <v>1715</v>
      </c>
      <c r="AJ65" s="0" t="s">
        <v>163</v>
      </c>
      <c r="AK65" s="0" t="s">
        <v>434</v>
      </c>
      <c r="AL65" s="0" t="n">
        <v>1</v>
      </c>
      <c r="AM65" s="0" t="n">
        <v>88</v>
      </c>
      <c r="AN65" s="0" t="s">
        <v>179</v>
      </c>
      <c r="AO65" s="0" t="s">
        <v>180</v>
      </c>
      <c r="AP65" s="0" t="s">
        <v>1711</v>
      </c>
      <c r="AQ65" s="5" t="s">
        <v>162</v>
      </c>
      <c r="AT65" s="0" t="str">
        <f aca="false">IF(AND(AX65="pass",AQ65&lt;&gt;"Y",C65&lt;&gt;"",OR(AW65&lt;&gt;"Y",AV65="Y")),"Y","N")</f>
        <v>N</v>
      </c>
      <c r="AU65" s="0" t="str">
        <f aca="false">_xlfn.TEXTJOIN("; ",TRUE(),IF(AX65&lt;&gt;"pass","gated out",""),IF(AQ65="Y","on hold: "&amp;AR65,""),IF(C65="","no contact named on an opened page",""),IF(AND(AW65="Y",AV65&lt;&gt;"Y"),"Tuesday estimate band "&amp;L65&amp;": founder's call",""))</f>
        <v>no contact named on an opened page; Tuesday estimate band under-40: founder's call</v>
      </c>
      <c r="AW65" s="0" t="s">
        <v>168</v>
      </c>
      <c r="AX65" s="0" t="s">
        <v>181</v>
      </c>
      <c r="AY65" s="0" t="s">
        <v>182</v>
      </c>
      <c r="AZ65" s="0" t="s">
        <v>1</v>
      </c>
      <c r="BA65" s="0" t="s">
        <v>1716</v>
      </c>
      <c r="BB65" s="0" t="s">
        <v>1717</v>
      </c>
      <c r="BC65" s="0" t="s">
        <v>1718</v>
      </c>
      <c r="BD65" s="0" t="s">
        <v>1719</v>
      </c>
      <c r="BE65" s="0" t="s">
        <v>1720</v>
      </c>
      <c r="BF65" s="0" t="s">
        <v>163</v>
      </c>
      <c r="BG65" s="0" t="s">
        <v>163</v>
      </c>
      <c r="BH65" s="0" t="s">
        <v>279</v>
      </c>
      <c r="BI65" s="0" t="s">
        <v>1721</v>
      </c>
      <c r="BJ65" s="0" t="s">
        <v>1722</v>
      </c>
      <c r="BK65" s="0" t="s">
        <v>191</v>
      </c>
      <c r="BL65" s="0" t="s">
        <v>656</v>
      </c>
      <c r="BM65" s="0" t="s">
        <v>162</v>
      </c>
      <c r="BN65" s="0" t="s">
        <v>163</v>
      </c>
      <c r="BO65" s="0" t="s">
        <v>163</v>
      </c>
      <c r="BP65" s="0" t="s">
        <v>377</v>
      </c>
      <c r="BQ65" s="0" t="n">
        <v>40.738754</v>
      </c>
      <c r="BR65" s="0" t="n">
        <v>-73.992922</v>
      </c>
      <c r="BS65" s="0" t="s">
        <v>168</v>
      </c>
      <c r="BT65" s="0" t="n">
        <v>0</v>
      </c>
      <c r="BU65" s="0" t="s">
        <v>1723</v>
      </c>
      <c r="BV65" s="0" t="s">
        <v>1715</v>
      </c>
      <c r="BW65" s="0" t="s">
        <v>1714</v>
      </c>
      <c r="BX65" s="0" t="s">
        <v>1724</v>
      </c>
      <c r="BY65" s="0" t="s">
        <v>247</v>
      </c>
      <c r="CC65" s="0" t="s">
        <v>738</v>
      </c>
      <c r="CE65" s="0" t="s">
        <v>162</v>
      </c>
      <c r="CH65" s="0" t="s">
        <v>163</v>
      </c>
      <c r="CJ65" s="0" t="s">
        <v>163</v>
      </c>
      <c r="CK65" s="0" t="s">
        <v>162</v>
      </c>
      <c r="CL65" s="0" t="s">
        <v>846</v>
      </c>
      <c r="CM65" s="0" t="s">
        <v>1725</v>
      </c>
      <c r="CN65" s="0" t="s">
        <v>174</v>
      </c>
      <c r="CO65" s="0" t="n">
        <v>9</v>
      </c>
      <c r="CP65" s="0" t="s">
        <v>1726</v>
      </c>
      <c r="CQ65" s="0" t="s">
        <v>1727</v>
      </c>
      <c r="CR65" s="0" t="s">
        <v>206</v>
      </c>
      <c r="CS65" s="0" t="n">
        <v>0.18</v>
      </c>
      <c r="CT65" s="0" t="n">
        <v>42.4</v>
      </c>
      <c r="CU65" s="0" t="n">
        <v>4.4</v>
      </c>
      <c r="CV65" s="0" t="n">
        <v>15</v>
      </c>
      <c r="CW65" s="0" t="n">
        <v>15</v>
      </c>
      <c r="CX65" s="0" t="n">
        <v>8</v>
      </c>
      <c r="CY65" s="0" t="n">
        <f aca="false">IF(AH65="exact",10,IF(AH65="adjacent",5,0))</f>
        <v>0</v>
      </c>
      <c r="CZ65" s="0" t="n">
        <f aca="false">IF(R65="Y",15,0)</f>
        <v>0</v>
      </c>
      <c r="DF65" s="0" t="s">
        <v>158</v>
      </c>
      <c r="DG65" s="0" t="s">
        <v>211</v>
      </c>
      <c r="DK65" s="0" t="s">
        <v>1728</v>
      </c>
      <c r="DS65" s="0" t="s">
        <v>158</v>
      </c>
      <c r="DX65" s="0" t="s">
        <v>162</v>
      </c>
      <c r="ER65" s="0" t="str">
        <f aca="false">IF(ISNUMBER(MATCH(U65,{"queued","contacted","replied","call_booked","call_done","yes_in_principle","materials_sent"},0)),"Y","N")</f>
        <v>N</v>
      </c>
      <c r="ES65" s="0" t="str">
        <f aca="false">IF(COUNTIFS($AP$2:$AP$1000,AP65,$ER$2:$ER$1000,"Y")+COUNTIFS($AP$2:$AP$1000,AP65,$T$2:$T$1000,"Y")&gt;0,"Y","N")</f>
        <v>N</v>
      </c>
      <c r="ET65" s="0" t="str">
        <f aca="false">IF(AND(U65="new",T65="N",AT65="Y",AS65="",ES65="N"),"Y","N")</f>
        <v>N</v>
      </c>
      <c r="EU65" s="0" t="str">
        <f aca="false">IF(ET65&lt;&gt;"Y","N",IF(COUNTIFS($AP$2:$AP$1000,AP65,$ET$2:$ET$1000,"Y",$J$2:$J$1000,"&gt;"&amp;J65)+COUNTIFS($AP$2:$AP$1000,AP65,$ET$2:$ET$1000,"Y",$J$2:$J$1000,J65,$EW$2:$EW$1000,"&lt;"&amp;EW65)=0,"Y","N"))</f>
        <v>N</v>
      </c>
      <c r="EV65" s="0" t="str">
        <f aca="false">IF(Y65="","N",IF(Y65&lt;=10,"Y","N"))</f>
        <v>N</v>
      </c>
      <c r="EW65" s="0" t="n">
        <f aca="false">ROW()-1</f>
        <v>64</v>
      </c>
    </row>
    <row r="66" customFormat="false" ht="15" hidden="false" customHeight="false" outlineLevel="0" collapsed="false">
      <c r="A66" s="0" t="s">
        <v>1729</v>
      </c>
      <c r="B66" s="0" t="s">
        <v>1730</v>
      </c>
      <c r="H66" s="5" t="s">
        <v>158</v>
      </c>
      <c r="I66" s="5" t="s">
        <v>159</v>
      </c>
      <c r="J66" s="0" t="n">
        <f aca="false">IF(AX66="pass",ROUND(CU66+CV66+CW66+CX66+CY66+CZ66,1),0)</f>
        <v>42.3</v>
      </c>
      <c r="K66" s="0" t="s">
        <v>1731</v>
      </c>
      <c r="L66" s="0" t="s">
        <v>161</v>
      </c>
      <c r="R66" s="5" t="s">
        <v>162</v>
      </c>
      <c r="S66" s="0" t="s">
        <v>163</v>
      </c>
      <c r="T66" s="5" t="s">
        <v>162</v>
      </c>
      <c r="U66" s="5" t="s">
        <v>561</v>
      </c>
      <c r="V66" s="0" t="s">
        <v>1732</v>
      </c>
      <c r="W66" s="0" t="s">
        <v>166</v>
      </c>
      <c r="X66" s="0" t="s">
        <v>167</v>
      </c>
      <c r="Y66" s="0" t="str">
        <f aca="false">IF(EU66&lt;&gt;"Y","",COUNTIFS($EU$2:$EU$1000,"Y",$J$2:$J$1000,"&gt;"&amp;J66)+COUNTIFS($EU$2:$EU$1000,"Y",$J$2:$J$1000,J66,$EW$2:$EW$1000,"&lt;"&amp;EW66)+1)</f>
        <v/>
      </c>
      <c r="Z66" s="0" t="n">
        <v>65</v>
      </c>
      <c r="AA66" s="0" t="s">
        <v>162</v>
      </c>
      <c r="AD66" s="0" t="s">
        <v>158</v>
      </c>
      <c r="AH66" s="5" t="s">
        <v>158</v>
      </c>
      <c r="AI66" s="0" t="s">
        <v>1733</v>
      </c>
      <c r="AJ66" s="0" t="s">
        <v>272</v>
      </c>
      <c r="AK66" s="0" t="s">
        <v>178</v>
      </c>
      <c r="AL66" s="0" t="n">
        <v>17</v>
      </c>
      <c r="AM66" s="0" t="n">
        <v>342</v>
      </c>
      <c r="AN66" s="0" t="s">
        <v>179</v>
      </c>
      <c r="AO66" s="0" t="s">
        <v>163</v>
      </c>
      <c r="AP66" s="0" t="s">
        <v>1729</v>
      </c>
      <c r="AQ66" s="5" t="s">
        <v>162</v>
      </c>
      <c r="AT66" s="0" t="str">
        <f aca="false">IF(AND(AX66="pass",AQ66&lt;&gt;"Y",C66&lt;&gt;"",OR(AW66&lt;&gt;"Y",AV66="Y")),"Y","N")</f>
        <v>N</v>
      </c>
      <c r="AU66" s="0" t="str">
        <f aca="false">_xlfn.TEXTJOIN("; ",TRUE(),IF(AX66&lt;&gt;"pass","gated out",""),IF(AQ66="Y","on hold: "&amp;AR66,""),IF(C66="","no contact named on an opened page",""),IF(AND(AW66="Y",AV66&lt;&gt;"Y"),"Tuesday estimate band "&amp;L66&amp;": founder's call",""))</f>
        <v>no contact named on an opened page</v>
      </c>
      <c r="AW66" s="0" t="s">
        <v>162</v>
      </c>
      <c r="AX66" s="0" t="s">
        <v>181</v>
      </c>
      <c r="AY66" s="0" t="s">
        <v>182</v>
      </c>
      <c r="AZ66" s="0" t="s">
        <v>1</v>
      </c>
      <c r="BA66" s="0" t="s">
        <v>1734</v>
      </c>
      <c r="BB66" s="0" t="s">
        <v>1735</v>
      </c>
      <c r="BC66" s="0" t="s">
        <v>1736</v>
      </c>
      <c r="BD66" s="0" t="s">
        <v>1737</v>
      </c>
      <c r="BF66" s="0" t="s">
        <v>1322</v>
      </c>
      <c r="BG66" s="0" t="s">
        <v>188</v>
      </c>
      <c r="BH66" s="0" t="s">
        <v>189</v>
      </c>
      <c r="BI66" s="0" t="s">
        <v>1738</v>
      </c>
      <c r="BK66" s="0" t="s">
        <v>1263</v>
      </c>
      <c r="BL66" s="0" t="s">
        <v>163</v>
      </c>
      <c r="BM66" s="0" t="s">
        <v>163</v>
      </c>
      <c r="BN66" s="0" t="s">
        <v>163</v>
      </c>
      <c r="BO66" s="0" t="s">
        <v>163</v>
      </c>
      <c r="BP66" s="0" t="s">
        <v>346</v>
      </c>
      <c r="BQ66" s="0" t="n">
        <v>40.743288</v>
      </c>
      <c r="BR66" s="0" t="n">
        <v>-73.986627</v>
      </c>
      <c r="BS66" s="0" t="s">
        <v>168</v>
      </c>
      <c r="BT66" s="0" t="n">
        <v>0</v>
      </c>
      <c r="BU66" s="0" t="s">
        <v>1739</v>
      </c>
      <c r="BV66" s="0" t="s">
        <v>1740</v>
      </c>
      <c r="BW66" s="0" t="s">
        <v>1732</v>
      </c>
      <c r="BX66" s="0" t="s">
        <v>166</v>
      </c>
      <c r="BY66" s="0" t="s">
        <v>196</v>
      </c>
      <c r="BZ66" s="0" t="s">
        <v>1741</v>
      </c>
      <c r="CA66" s="0" t="s">
        <v>1742</v>
      </c>
      <c r="CC66" s="0" t="s">
        <v>200</v>
      </c>
      <c r="CE66" s="0" t="s">
        <v>162</v>
      </c>
      <c r="CH66" s="0" t="s">
        <v>163</v>
      </c>
      <c r="CJ66" s="0" t="s">
        <v>163</v>
      </c>
      <c r="CK66" s="0" t="s">
        <v>162</v>
      </c>
      <c r="CL66" s="0" t="s">
        <v>163</v>
      </c>
      <c r="CO66" s="0" t="n">
        <v>76</v>
      </c>
      <c r="CP66" s="0" t="s">
        <v>767</v>
      </c>
      <c r="CQ66" s="0" t="s">
        <v>1743</v>
      </c>
      <c r="CR66" s="0" t="s">
        <v>206</v>
      </c>
      <c r="CS66" s="0" t="n">
        <v>0.61</v>
      </c>
      <c r="CT66" s="0" t="n">
        <v>42.3</v>
      </c>
      <c r="CU66" s="0" t="n">
        <v>15.3</v>
      </c>
      <c r="CV66" s="0" t="n">
        <v>6</v>
      </c>
      <c r="CW66" s="0" t="n">
        <v>6</v>
      </c>
      <c r="CX66" s="0" t="n">
        <v>15</v>
      </c>
      <c r="CY66" s="0" t="n">
        <f aca="false">IF(AH66="exact",10,IF(AH66="adjacent",5,0))</f>
        <v>0</v>
      </c>
      <c r="CZ66" s="0" t="n">
        <f aca="false">IF(R66="Y",15,0)</f>
        <v>0</v>
      </c>
      <c r="DF66" s="0" t="s">
        <v>158</v>
      </c>
      <c r="DG66" s="0" t="s">
        <v>1335</v>
      </c>
      <c r="DH66" s="0" t="s">
        <v>1336</v>
      </c>
      <c r="DI66" s="0" t="s">
        <v>162</v>
      </c>
      <c r="DJ66" s="0" t="s">
        <v>1744</v>
      </c>
      <c r="DK66" s="0" t="s">
        <v>1745</v>
      </c>
      <c r="DS66" s="0" t="s">
        <v>158</v>
      </c>
      <c r="DX66" s="0" t="s">
        <v>162</v>
      </c>
      <c r="ER66" s="0" t="str">
        <f aca="false">IF(ISNUMBER(MATCH(U66,{"queued","contacted","replied","call_booked","call_done","yes_in_principle","materials_sent"},0)),"Y","N")</f>
        <v>N</v>
      </c>
      <c r="ES66" s="0" t="str">
        <f aca="false">IF(COUNTIFS($AP$2:$AP$1000,AP66,$ER$2:$ER$1000,"Y")+COUNTIFS($AP$2:$AP$1000,AP66,$T$2:$T$1000,"Y")&gt;0,"Y","N")</f>
        <v>N</v>
      </c>
      <c r="ET66" s="0" t="str">
        <f aca="false">IF(AND(U66="new",T66="N",AT66="Y",AS66="",ES66="N"),"Y","N")</f>
        <v>N</v>
      </c>
      <c r="EU66" s="0" t="str">
        <f aca="false">IF(ET66&lt;&gt;"Y","N",IF(COUNTIFS($AP$2:$AP$1000,AP66,$ET$2:$ET$1000,"Y",$J$2:$J$1000,"&gt;"&amp;J66)+COUNTIFS($AP$2:$AP$1000,AP66,$ET$2:$ET$1000,"Y",$J$2:$J$1000,J66,$EW$2:$EW$1000,"&lt;"&amp;EW66)=0,"Y","N"))</f>
        <v>N</v>
      </c>
      <c r="EV66" s="0" t="str">
        <f aca="false">IF(Y66="","N",IF(Y66&lt;=10,"Y","N"))</f>
        <v>N</v>
      </c>
      <c r="EW66" s="0" t="n">
        <f aca="false">ROW()-1</f>
        <v>65</v>
      </c>
    </row>
    <row r="67" customFormat="false" ht="15" hidden="false" customHeight="false" outlineLevel="0" collapsed="false">
      <c r="A67" s="0" t="s">
        <v>1746</v>
      </c>
      <c r="B67" s="0" t="s">
        <v>1747</v>
      </c>
      <c r="H67" s="5" t="s">
        <v>158</v>
      </c>
      <c r="I67" s="5" t="s">
        <v>159</v>
      </c>
      <c r="J67" s="0" t="n">
        <f aca="false">IF(AX67="pass",ROUND(CU67+CV67+CW67+CX67+CY67+CZ67,1),0)</f>
        <v>41.8</v>
      </c>
      <c r="K67" s="0" t="s">
        <v>1748</v>
      </c>
      <c r="L67" s="0" t="s">
        <v>560</v>
      </c>
      <c r="R67" s="5" t="s">
        <v>162</v>
      </c>
      <c r="S67" s="0" t="s">
        <v>163</v>
      </c>
      <c r="T67" s="5" t="s">
        <v>162</v>
      </c>
      <c r="U67" s="5" t="s">
        <v>561</v>
      </c>
      <c r="V67" s="0" t="s">
        <v>1749</v>
      </c>
      <c r="W67" s="0" t="s">
        <v>166</v>
      </c>
      <c r="X67" s="0" t="s">
        <v>167</v>
      </c>
      <c r="Y67" s="0" t="str">
        <f aca="false">IF(EU67&lt;&gt;"Y","",COUNTIFS($EU$2:$EU$1000,"Y",$J$2:$J$1000,"&gt;"&amp;J67)+COUNTIFS($EU$2:$EU$1000,"Y",$J$2:$J$1000,J67,$EW$2:$EW$1000,"&lt;"&amp;EW67)+1)</f>
        <v/>
      </c>
      <c r="Z67" s="0" t="n">
        <v>66</v>
      </c>
      <c r="AA67" s="0" t="s">
        <v>162</v>
      </c>
      <c r="AB67" s="0" t="s">
        <v>1561</v>
      </c>
      <c r="AD67" s="0" t="s">
        <v>158</v>
      </c>
      <c r="AH67" s="5" t="s">
        <v>158</v>
      </c>
      <c r="AI67" s="0" t="s">
        <v>1750</v>
      </c>
      <c r="AJ67" s="0" t="s">
        <v>1751</v>
      </c>
      <c r="AK67" s="0" t="s">
        <v>434</v>
      </c>
      <c r="AL67" s="0" t="n">
        <v>3</v>
      </c>
      <c r="AM67" s="0" t="n">
        <v>64</v>
      </c>
      <c r="AN67" s="0" t="s">
        <v>179</v>
      </c>
      <c r="AO67" s="0" t="s">
        <v>180</v>
      </c>
      <c r="AP67" s="0" t="s">
        <v>1746</v>
      </c>
      <c r="AQ67" s="5" t="s">
        <v>162</v>
      </c>
      <c r="AT67" s="0" t="str">
        <f aca="false">IF(AND(AX67="pass",AQ67&lt;&gt;"Y",C67&lt;&gt;"",OR(AW67&lt;&gt;"Y",AV67="Y")),"Y","N")</f>
        <v>N</v>
      </c>
      <c r="AU67" s="0" t="str">
        <f aca="false">_xlfn.TEXTJOIN("; ",TRUE(),IF(AX67&lt;&gt;"pass","gated out",""),IF(AQ67="Y","on hold: "&amp;AR67,""),IF(C67="","no contact named on an opened page",""),IF(AND(AW67="Y",AV67&lt;&gt;"Y"),"Tuesday estimate band "&amp;L67&amp;": founder's call",""))</f>
        <v>no contact named on an opened page; Tuesday estimate band under-40: founder's call</v>
      </c>
      <c r="AW67" s="0" t="s">
        <v>168</v>
      </c>
      <c r="AX67" s="0" t="s">
        <v>181</v>
      </c>
      <c r="AY67" s="0" t="s">
        <v>182</v>
      </c>
      <c r="AZ67" s="0" t="s">
        <v>1</v>
      </c>
      <c r="BA67" s="0" t="s">
        <v>1752</v>
      </c>
      <c r="BB67" s="0" t="s">
        <v>1753</v>
      </c>
      <c r="BC67" s="0" t="s">
        <v>1754</v>
      </c>
      <c r="BD67" s="0" t="s">
        <v>1012</v>
      </c>
      <c r="BF67" s="0" t="s">
        <v>161</v>
      </c>
      <c r="BG67" s="0" t="s">
        <v>188</v>
      </c>
      <c r="BH67" s="0" t="s">
        <v>189</v>
      </c>
      <c r="BI67" s="0" t="s">
        <v>1755</v>
      </c>
      <c r="BK67" s="0" t="s">
        <v>191</v>
      </c>
      <c r="BL67" s="0" t="s">
        <v>1756</v>
      </c>
      <c r="BM67" s="0" t="s">
        <v>162</v>
      </c>
      <c r="BN67" s="0" t="s">
        <v>163</v>
      </c>
      <c r="BO67" s="0" t="s">
        <v>163</v>
      </c>
      <c r="BP67" s="0" t="s">
        <v>377</v>
      </c>
      <c r="BQ67" s="0" t="n">
        <v>40.738405</v>
      </c>
      <c r="BR67" s="0" t="n">
        <v>-73.99394</v>
      </c>
      <c r="BS67" s="0" t="s">
        <v>168</v>
      </c>
      <c r="BT67" s="0" t="n">
        <v>0</v>
      </c>
      <c r="BU67" s="0" t="s">
        <v>1757</v>
      </c>
      <c r="BV67" s="0" t="s">
        <v>1750</v>
      </c>
      <c r="BW67" s="0" t="s">
        <v>1749</v>
      </c>
      <c r="BX67" s="0" t="s">
        <v>1758</v>
      </c>
      <c r="BY67" s="0" t="s">
        <v>247</v>
      </c>
      <c r="BZ67" s="0" t="s">
        <v>1759</v>
      </c>
      <c r="CA67" s="0" t="s">
        <v>166</v>
      </c>
      <c r="CC67" s="0" t="s">
        <v>738</v>
      </c>
      <c r="CE67" s="0" t="s">
        <v>162</v>
      </c>
      <c r="CH67" s="0" t="s">
        <v>163</v>
      </c>
      <c r="CJ67" s="0" t="s">
        <v>163</v>
      </c>
      <c r="CK67" s="0" t="s">
        <v>162</v>
      </c>
      <c r="CL67" s="0" t="s">
        <v>846</v>
      </c>
      <c r="CM67" s="0" t="s">
        <v>1760</v>
      </c>
      <c r="CN67" s="0" t="s">
        <v>174</v>
      </c>
      <c r="CO67" s="0" t="n">
        <v>14</v>
      </c>
      <c r="CP67" s="0" t="s">
        <v>1726</v>
      </c>
      <c r="CQ67" s="0" t="s">
        <v>1761</v>
      </c>
      <c r="CR67" s="0" t="s">
        <v>206</v>
      </c>
      <c r="CS67" s="0" t="n">
        <v>0.15</v>
      </c>
      <c r="CT67" s="0" t="n">
        <v>41.8</v>
      </c>
      <c r="CU67" s="0" t="n">
        <v>3.8</v>
      </c>
      <c r="CV67" s="0" t="n">
        <v>15</v>
      </c>
      <c r="CW67" s="0" t="n">
        <v>15</v>
      </c>
      <c r="CX67" s="0" t="n">
        <v>8</v>
      </c>
      <c r="CY67" s="0" t="n">
        <f aca="false">IF(AH67="exact",10,IF(AH67="adjacent",5,0))</f>
        <v>0</v>
      </c>
      <c r="CZ67" s="0" t="n">
        <f aca="false">IF(R67="Y",15,0)</f>
        <v>0</v>
      </c>
      <c r="DF67" s="0" t="s">
        <v>158</v>
      </c>
      <c r="DG67" s="0" t="s">
        <v>211</v>
      </c>
      <c r="DJ67" s="0" t="s">
        <v>1589</v>
      </c>
      <c r="DK67" s="0" t="s">
        <v>1762</v>
      </c>
      <c r="DS67" s="0" t="s">
        <v>158</v>
      </c>
      <c r="DX67" s="0" t="s">
        <v>162</v>
      </c>
      <c r="ER67" s="0" t="str">
        <f aca="false">IF(ISNUMBER(MATCH(U67,{"queued","contacted","replied","call_booked","call_done","yes_in_principle","materials_sent"},0)),"Y","N")</f>
        <v>N</v>
      </c>
      <c r="ES67" s="0" t="str">
        <f aca="false">IF(COUNTIFS($AP$2:$AP$1000,AP67,$ER$2:$ER$1000,"Y")+COUNTIFS($AP$2:$AP$1000,AP67,$T$2:$T$1000,"Y")&gt;0,"Y","N")</f>
        <v>N</v>
      </c>
      <c r="ET67" s="0" t="str">
        <f aca="false">IF(AND(U67="new",T67="N",AT67="Y",AS67="",ES67="N"),"Y","N")</f>
        <v>N</v>
      </c>
      <c r="EU67" s="0" t="str">
        <f aca="false">IF(ET67&lt;&gt;"Y","N",IF(COUNTIFS($AP$2:$AP$1000,AP67,$ET$2:$ET$1000,"Y",$J$2:$J$1000,"&gt;"&amp;J67)+COUNTIFS($AP$2:$AP$1000,AP67,$ET$2:$ET$1000,"Y",$J$2:$J$1000,J67,$EW$2:$EW$1000,"&lt;"&amp;EW67)=0,"Y","N"))</f>
        <v>N</v>
      </c>
      <c r="EV67" s="0" t="str">
        <f aca="false">IF(Y67="","N",IF(Y67&lt;=10,"Y","N"))</f>
        <v>N</v>
      </c>
      <c r="EW67" s="0" t="n">
        <f aca="false">ROW()-1</f>
        <v>66</v>
      </c>
    </row>
    <row r="68" customFormat="false" ht="15" hidden="false" customHeight="false" outlineLevel="0" collapsed="false">
      <c r="A68" s="0" t="s">
        <v>1763</v>
      </c>
      <c r="B68" s="0" t="s">
        <v>1764</v>
      </c>
      <c r="H68" s="5" t="s">
        <v>158</v>
      </c>
      <c r="I68" s="5" t="s">
        <v>159</v>
      </c>
      <c r="J68" s="0" t="n">
        <f aca="false">IF(AX68="pass",ROUND(CU68+CV68+CW68+CX68+CY68+CZ68,1),0)</f>
        <v>41.7</v>
      </c>
      <c r="K68" s="0" t="s">
        <v>1765</v>
      </c>
      <c r="L68" s="0" t="s">
        <v>187</v>
      </c>
      <c r="R68" s="5" t="s">
        <v>162</v>
      </c>
      <c r="S68" s="0" t="s">
        <v>163</v>
      </c>
      <c r="T68" s="5" t="s">
        <v>162</v>
      </c>
      <c r="U68" s="5" t="s">
        <v>561</v>
      </c>
      <c r="V68" s="0" t="s">
        <v>1766</v>
      </c>
      <c r="W68" s="0" t="s">
        <v>166</v>
      </c>
      <c r="X68" s="0" t="s">
        <v>167</v>
      </c>
      <c r="Y68" s="0" t="str">
        <f aca="false">IF(EU68&lt;&gt;"Y","",COUNTIFS($EU$2:$EU$1000,"Y",$J$2:$J$1000,"&gt;"&amp;J68)+COUNTIFS($EU$2:$EU$1000,"Y",$J$2:$J$1000,J68,$EW$2:$EW$1000,"&lt;"&amp;EW68)+1)</f>
        <v/>
      </c>
      <c r="Z68" s="0" t="n">
        <v>67</v>
      </c>
      <c r="AA68" s="0" t="s">
        <v>162</v>
      </c>
      <c r="AD68" s="0" t="s">
        <v>158</v>
      </c>
      <c r="AH68" s="5" t="s">
        <v>158</v>
      </c>
      <c r="AI68" s="0" t="s">
        <v>1767</v>
      </c>
      <c r="AJ68" s="0" t="s">
        <v>163</v>
      </c>
      <c r="AK68" s="0" t="s">
        <v>178</v>
      </c>
      <c r="AL68" s="0" t="n">
        <v>43</v>
      </c>
      <c r="AM68" s="0" t="n">
        <v>855</v>
      </c>
      <c r="AN68" s="0" t="s">
        <v>179</v>
      </c>
      <c r="AO68" s="0" t="s">
        <v>1393</v>
      </c>
      <c r="AP68" s="0" t="s">
        <v>1763</v>
      </c>
      <c r="AQ68" s="5" t="s">
        <v>162</v>
      </c>
      <c r="AT68" s="0" t="str">
        <f aca="false">IF(AND(AX68="pass",AQ68&lt;&gt;"Y",C68&lt;&gt;"",OR(AW68&lt;&gt;"Y",AV68="Y")),"Y","N")</f>
        <v>N</v>
      </c>
      <c r="AU68" s="0" t="str">
        <f aca="false">_xlfn.TEXTJOIN("; ",TRUE(),IF(AX68&lt;&gt;"pass","gated out",""),IF(AQ68="Y","on hold: "&amp;AR68,""),IF(C68="","no contact named on an opened page",""),IF(AND(AW68="Y",AV68&lt;&gt;"Y"),"Tuesday estimate band "&amp;L68&amp;": founder's call",""))</f>
        <v>no contact named on an opened page</v>
      </c>
      <c r="AW68" s="0" t="s">
        <v>162</v>
      </c>
      <c r="AX68" s="0" t="s">
        <v>181</v>
      </c>
      <c r="AY68" s="0" t="s">
        <v>182</v>
      </c>
      <c r="AZ68" s="0" t="s">
        <v>1</v>
      </c>
      <c r="BA68" s="0" t="s">
        <v>1768</v>
      </c>
      <c r="BB68" s="0" t="s">
        <v>1769</v>
      </c>
      <c r="BC68" s="0" t="s">
        <v>1770</v>
      </c>
      <c r="BD68" s="0" t="s">
        <v>1771</v>
      </c>
      <c r="BF68" s="0" t="s">
        <v>1322</v>
      </c>
      <c r="BG68" s="0" t="s">
        <v>188</v>
      </c>
      <c r="BH68" s="0" t="s">
        <v>189</v>
      </c>
      <c r="BI68" s="0" t="s">
        <v>1772</v>
      </c>
      <c r="BK68" s="0" t="s">
        <v>1439</v>
      </c>
      <c r="BL68" s="0" t="s">
        <v>656</v>
      </c>
      <c r="BM68" s="0" t="s">
        <v>162</v>
      </c>
      <c r="BN68" s="0" t="s">
        <v>163</v>
      </c>
      <c r="BO68" s="0" t="s">
        <v>163</v>
      </c>
      <c r="BP68" s="0" t="s">
        <v>377</v>
      </c>
      <c r="BQ68" s="0" t="n">
        <v>40.738461</v>
      </c>
      <c r="BR68" s="0" t="n">
        <v>-73.992523</v>
      </c>
      <c r="BS68" s="0" t="s">
        <v>168</v>
      </c>
      <c r="BT68" s="0" t="n">
        <v>0</v>
      </c>
      <c r="BV68" s="0" t="s">
        <v>163</v>
      </c>
      <c r="BW68" s="0" t="s">
        <v>1766</v>
      </c>
      <c r="BX68" s="0" t="s">
        <v>1773</v>
      </c>
      <c r="BY68" s="0" t="s">
        <v>247</v>
      </c>
      <c r="BZ68" s="0" t="s">
        <v>1774</v>
      </c>
      <c r="CA68" s="0" t="s">
        <v>1775</v>
      </c>
      <c r="CC68" s="0" t="s">
        <v>738</v>
      </c>
      <c r="CE68" s="0" t="s">
        <v>162</v>
      </c>
      <c r="CH68" s="0" t="s">
        <v>163</v>
      </c>
      <c r="CJ68" s="0" t="s">
        <v>163</v>
      </c>
      <c r="CK68" s="0" t="s">
        <v>162</v>
      </c>
      <c r="CL68" s="0" t="s">
        <v>1776</v>
      </c>
      <c r="CM68" s="0" t="s">
        <v>1777</v>
      </c>
      <c r="CN68" s="0" t="s">
        <v>174</v>
      </c>
      <c r="CO68" s="0" t="n">
        <v>192</v>
      </c>
      <c r="CP68" s="0" t="s">
        <v>250</v>
      </c>
      <c r="CQ68" s="0" t="s">
        <v>1778</v>
      </c>
      <c r="CR68" s="0" t="s">
        <v>206</v>
      </c>
      <c r="CS68" s="0" t="n">
        <v>0.59</v>
      </c>
      <c r="CT68" s="0" t="n">
        <v>41.7</v>
      </c>
      <c r="CU68" s="0" t="n">
        <v>14.7</v>
      </c>
      <c r="CV68" s="0" t="n">
        <v>2</v>
      </c>
      <c r="CW68" s="0" t="n">
        <v>12</v>
      </c>
      <c r="CX68" s="0" t="n">
        <v>13</v>
      </c>
      <c r="CY68" s="0" t="n">
        <f aca="false">IF(AH68="exact",10,IF(AH68="adjacent",5,0))</f>
        <v>0</v>
      </c>
      <c r="CZ68" s="0" t="n">
        <f aca="false">IF(R68="Y",15,0)</f>
        <v>0</v>
      </c>
      <c r="DF68" s="0" t="s">
        <v>158</v>
      </c>
      <c r="DG68" s="0" t="s">
        <v>1335</v>
      </c>
      <c r="DH68" s="0" t="s">
        <v>1446</v>
      </c>
      <c r="DI68" s="0" t="s">
        <v>162</v>
      </c>
      <c r="DJ68" s="0" t="s">
        <v>1779</v>
      </c>
      <c r="DK68" s="0" t="s">
        <v>1780</v>
      </c>
      <c r="DS68" s="0" t="s">
        <v>158</v>
      </c>
      <c r="DX68" s="0" t="s">
        <v>162</v>
      </c>
      <c r="ER68" s="0" t="str">
        <f aca="false">IF(ISNUMBER(MATCH(U68,{"queued","contacted","replied","call_booked","call_done","yes_in_principle","materials_sent"},0)),"Y","N")</f>
        <v>N</v>
      </c>
      <c r="ES68" s="0" t="str">
        <f aca="false">IF(COUNTIFS($AP$2:$AP$1000,AP68,$ER$2:$ER$1000,"Y")+COUNTIFS($AP$2:$AP$1000,AP68,$T$2:$T$1000,"Y")&gt;0,"Y","N")</f>
        <v>N</v>
      </c>
      <c r="ET68" s="0" t="str">
        <f aca="false">IF(AND(U68="new",T68="N",AT68="Y",AS68="",ES68="N"),"Y","N")</f>
        <v>N</v>
      </c>
      <c r="EU68" s="0" t="str">
        <f aca="false">IF(ET68&lt;&gt;"Y","N",IF(COUNTIFS($AP$2:$AP$1000,AP68,$ET$2:$ET$1000,"Y",$J$2:$J$1000,"&gt;"&amp;J68)+COUNTIFS($AP$2:$AP$1000,AP68,$ET$2:$ET$1000,"Y",$J$2:$J$1000,J68,$EW$2:$EW$1000,"&lt;"&amp;EW68)=0,"Y","N"))</f>
        <v>N</v>
      </c>
      <c r="EV68" s="0" t="str">
        <f aca="false">IF(Y68="","N",IF(Y68&lt;=10,"Y","N"))</f>
        <v>N</v>
      </c>
      <c r="EW68" s="0" t="n">
        <f aca="false">ROW()-1</f>
        <v>67</v>
      </c>
    </row>
    <row r="69" customFormat="false" ht="15" hidden="false" customHeight="false" outlineLevel="0" collapsed="false">
      <c r="A69" s="0" t="s">
        <v>1781</v>
      </c>
      <c r="B69" s="0" t="s">
        <v>1782</v>
      </c>
      <c r="H69" s="5" t="s">
        <v>158</v>
      </c>
      <c r="I69" s="5" t="s">
        <v>159</v>
      </c>
      <c r="J69" s="0" t="n">
        <f aca="false">IF(AX69="pass",ROUND(CU69+CV69+CW69+CX69+CY69+CZ69,1),0)</f>
        <v>41.7</v>
      </c>
      <c r="K69" s="0" t="s">
        <v>1783</v>
      </c>
      <c r="L69" s="0" t="s">
        <v>560</v>
      </c>
      <c r="O69" s="0" t="s">
        <v>1784</v>
      </c>
      <c r="P69" s="0" t="s">
        <v>1785</v>
      </c>
      <c r="Q69" s="0" t="s">
        <v>1491</v>
      </c>
      <c r="R69" s="5" t="s">
        <v>162</v>
      </c>
      <c r="S69" s="0" t="s">
        <v>163</v>
      </c>
      <c r="T69" s="5" t="s">
        <v>162</v>
      </c>
      <c r="U69" s="5" t="s">
        <v>561</v>
      </c>
      <c r="V69" s="0" t="s">
        <v>1785</v>
      </c>
      <c r="W69" s="0" t="s">
        <v>166</v>
      </c>
      <c r="X69" s="0" t="s">
        <v>167</v>
      </c>
      <c r="Y69" s="0" t="str">
        <f aca="false">IF(EU69&lt;&gt;"Y","",COUNTIFS($EU$2:$EU$1000,"Y",$J$2:$J$1000,"&gt;"&amp;J69)+COUNTIFS($EU$2:$EU$1000,"Y",$J$2:$J$1000,J69,$EW$2:$EW$1000,"&lt;"&amp;EW69)+1)</f>
        <v/>
      </c>
      <c r="Z69" s="0" t="n">
        <v>68</v>
      </c>
      <c r="AA69" s="0" t="s">
        <v>162</v>
      </c>
      <c r="AB69" s="0" t="s">
        <v>1561</v>
      </c>
      <c r="AD69" s="0" t="s">
        <v>158</v>
      </c>
      <c r="AH69" s="5" t="s">
        <v>158</v>
      </c>
      <c r="AI69" s="0" t="s">
        <v>1786</v>
      </c>
      <c r="AJ69" s="0" t="s">
        <v>272</v>
      </c>
      <c r="AK69" s="0" t="s">
        <v>889</v>
      </c>
      <c r="AL69" s="0" t="n">
        <v>3</v>
      </c>
      <c r="AM69" s="0" t="n">
        <v>103</v>
      </c>
      <c r="AN69" s="0" t="s">
        <v>179</v>
      </c>
      <c r="AO69" s="0" t="s">
        <v>180</v>
      </c>
      <c r="AP69" s="0" t="s">
        <v>1781</v>
      </c>
      <c r="AQ69" s="5" t="s">
        <v>168</v>
      </c>
      <c r="AR69" s="0" t="s">
        <v>890</v>
      </c>
      <c r="AT69" s="0" t="str">
        <f aca="false">IF(AND(AX69="pass",AQ69&lt;&gt;"Y",C69&lt;&gt;"",OR(AW69&lt;&gt;"Y",AV69="Y")),"Y","N")</f>
        <v>N</v>
      </c>
      <c r="AU69" s="0" t="str">
        <f aca="false">_xlfn.TEXTJOIN("; ",TRUE(),IF(AX69&lt;&gt;"pass","gated out",""),IF(AQ69="Y","on hold: "&amp;AR69,""),IF(C69="","no contact named on an opened page",""),IF(AND(AW69="Y",AV69&lt;&gt;"Y"),"Tuesday estimate band "&amp;L69&amp;": founder's call",""))</f>
        <v>on hold: lease signed, move not confirmed: check the lobby directory before outreach (B); no contact named on an opened page; Tuesday estimate band under-40: founder's call</v>
      </c>
      <c r="AW69" s="0" t="s">
        <v>168</v>
      </c>
      <c r="AX69" s="0" t="s">
        <v>181</v>
      </c>
      <c r="AY69" s="0" t="s">
        <v>182</v>
      </c>
      <c r="AZ69" s="0" t="s">
        <v>1</v>
      </c>
      <c r="BA69" s="0" t="s">
        <v>1787</v>
      </c>
      <c r="BB69" s="0" t="s">
        <v>1788</v>
      </c>
      <c r="BC69" s="0" t="s">
        <v>1789</v>
      </c>
      <c r="BD69" s="0" t="s">
        <v>1790</v>
      </c>
      <c r="BE69" s="0" t="s">
        <v>1791</v>
      </c>
      <c r="BF69" s="0" t="s">
        <v>163</v>
      </c>
      <c r="BG69" s="0" t="s">
        <v>163</v>
      </c>
      <c r="BH69" s="0" t="s">
        <v>279</v>
      </c>
      <c r="BI69" s="0" t="s">
        <v>1792</v>
      </c>
      <c r="BJ69" s="0" t="s">
        <v>1793</v>
      </c>
      <c r="BK69" s="0" t="s">
        <v>191</v>
      </c>
      <c r="BL69" s="0" t="s">
        <v>656</v>
      </c>
      <c r="BM69" s="0" t="s">
        <v>162</v>
      </c>
      <c r="BN69" s="0" t="s">
        <v>163</v>
      </c>
      <c r="BO69" s="0" t="s">
        <v>163</v>
      </c>
      <c r="BP69" s="0" t="s">
        <v>193</v>
      </c>
      <c r="BQ69" s="0" t="n">
        <v>40.737054</v>
      </c>
      <c r="BR69" s="0" t="n">
        <v>-73.992635</v>
      </c>
      <c r="BS69" s="0" t="s">
        <v>168</v>
      </c>
      <c r="BT69" s="0" t="n">
        <v>0</v>
      </c>
      <c r="BU69" s="0" t="s">
        <v>1794</v>
      </c>
      <c r="BV69" s="0" t="s">
        <v>1786</v>
      </c>
      <c r="BW69" s="0" t="s">
        <v>1785</v>
      </c>
      <c r="BX69" s="0" t="s">
        <v>1491</v>
      </c>
      <c r="BY69" s="0" t="s">
        <v>247</v>
      </c>
      <c r="CC69" s="0" t="s">
        <v>738</v>
      </c>
      <c r="CD69" s="0" t="s">
        <v>163</v>
      </c>
      <c r="CE69" s="0" t="s">
        <v>162</v>
      </c>
      <c r="CH69" s="0" t="s">
        <v>163</v>
      </c>
      <c r="CJ69" s="0" t="s">
        <v>163</v>
      </c>
      <c r="CK69" s="0" t="s">
        <v>162</v>
      </c>
      <c r="CL69" s="0" t="s">
        <v>448</v>
      </c>
      <c r="CM69" s="0" t="s">
        <v>1795</v>
      </c>
      <c r="CN69" s="0" t="s">
        <v>174</v>
      </c>
      <c r="CO69" s="0" t="n">
        <v>18</v>
      </c>
      <c r="CP69" s="0" t="s">
        <v>1726</v>
      </c>
      <c r="CQ69" s="0" t="s">
        <v>1796</v>
      </c>
      <c r="CR69" s="0" t="s">
        <v>206</v>
      </c>
      <c r="CS69" s="0" t="n">
        <v>0.27</v>
      </c>
      <c r="CT69" s="0" t="n">
        <v>41.7</v>
      </c>
      <c r="CU69" s="0" t="n">
        <v>6.7</v>
      </c>
      <c r="CV69" s="0" t="n">
        <v>15</v>
      </c>
      <c r="CW69" s="0" t="n">
        <v>15</v>
      </c>
      <c r="CX69" s="0" t="n">
        <v>5</v>
      </c>
      <c r="CY69" s="0" t="n">
        <f aca="false">IF(AH69="exact",10,IF(AH69="adjacent",5,0))</f>
        <v>0</v>
      </c>
      <c r="CZ69" s="0" t="n">
        <f aca="false">IF(R69="Y",15,0)</f>
        <v>0</v>
      </c>
      <c r="DF69" s="0" t="s">
        <v>158</v>
      </c>
      <c r="DG69" s="0" t="s">
        <v>211</v>
      </c>
      <c r="DJ69" s="0" t="s">
        <v>1797</v>
      </c>
      <c r="DK69" s="0" t="s">
        <v>1798</v>
      </c>
      <c r="DS69" s="0" t="s">
        <v>158</v>
      </c>
      <c r="DX69" s="0" t="s">
        <v>162</v>
      </c>
      <c r="ER69" s="0" t="str">
        <f aca="false">IF(ISNUMBER(MATCH(U69,{"queued","contacted","replied","call_booked","call_done","yes_in_principle","materials_sent"},0)),"Y","N")</f>
        <v>N</v>
      </c>
      <c r="ES69" s="0" t="str">
        <f aca="false">IF(COUNTIFS($AP$2:$AP$1000,AP69,$ER$2:$ER$1000,"Y")+COUNTIFS($AP$2:$AP$1000,AP69,$T$2:$T$1000,"Y")&gt;0,"Y","N")</f>
        <v>N</v>
      </c>
      <c r="ET69" s="0" t="str">
        <f aca="false">IF(AND(U69="new",T69="N",AT69="Y",AS69="",ES69="N"),"Y","N")</f>
        <v>N</v>
      </c>
      <c r="EU69" s="0" t="str">
        <f aca="false">IF(ET69&lt;&gt;"Y","N",IF(COUNTIFS($AP$2:$AP$1000,AP69,$ET$2:$ET$1000,"Y",$J$2:$J$1000,"&gt;"&amp;J69)+COUNTIFS($AP$2:$AP$1000,AP69,$ET$2:$ET$1000,"Y",$J$2:$J$1000,J69,$EW$2:$EW$1000,"&lt;"&amp;EW69)=0,"Y","N"))</f>
        <v>N</v>
      </c>
      <c r="EV69" s="0" t="str">
        <f aca="false">IF(Y69="","N",IF(Y69&lt;=10,"Y","N"))</f>
        <v>N</v>
      </c>
      <c r="EW69" s="0" t="n">
        <f aca="false">ROW()-1</f>
        <v>68</v>
      </c>
    </row>
    <row r="70" customFormat="false" ht="15" hidden="false" customHeight="false" outlineLevel="0" collapsed="false">
      <c r="A70" s="0" t="s">
        <v>1799</v>
      </c>
      <c r="B70" s="0" t="s">
        <v>1800</v>
      </c>
      <c r="H70" s="5" t="s">
        <v>158</v>
      </c>
      <c r="I70" s="5" t="s">
        <v>159</v>
      </c>
      <c r="J70" s="0" t="n">
        <f aca="false">IF(AX70="pass",ROUND(CU70+CV70+CW70+CX70+CY70+CZ70,1),0)</f>
        <v>41.4</v>
      </c>
      <c r="K70" s="0" t="s">
        <v>1801</v>
      </c>
      <c r="L70" s="0" t="s">
        <v>161</v>
      </c>
      <c r="R70" s="5" t="s">
        <v>162</v>
      </c>
      <c r="S70" s="0" t="s">
        <v>163</v>
      </c>
      <c r="T70" s="5" t="s">
        <v>162</v>
      </c>
      <c r="U70" s="5" t="s">
        <v>561</v>
      </c>
      <c r="V70" s="0" t="s">
        <v>1802</v>
      </c>
      <c r="W70" s="0" t="s">
        <v>166</v>
      </c>
      <c r="X70" s="0" t="s">
        <v>167</v>
      </c>
      <c r="Y70" s="0" t="str">
        <f aca="false">IF(EU70&lt;&gt;"Y","",COUNTIFS($EU$2:$EU$1000,"Y",$J$2:$J$1000,"&gt;"&amp;J70)+COUNTIFS($EU$2:$EU$1000,"Y",$J$2:$J$1000,J70,$EW$2:$EW$1000,"&lt;"&amp;EW70)+1)</f>
        <v/>
      </c>
      <c r="Z70" s="0" t="n">
        <v>69</v>
      </c>
      <c r="AA70" s="0" t="s">
        <v>162</v>
      </c>
      <c r="AD70" s="0" t="s">
        <v>158</v>
      </c>
      <c r="AH70" s="5" t="s">
        <v>158</v>
      </c>
      <c r="AI70" s="0" t="s">
        <v>1803</v>
      </c>
      <c r="AJ70" s="0" t="s">
        <v>163</v>
      </c>
      <c r="AK70" s="0" t="s">
        <v>434</v>
      </c>
      <c r="AL70" s="0" t="n">
        <v>26</v>
      </c>
      <c r="AM70" s="0" t="n">
        <v>513</v>
      </c>
      <c r="AN70" s="0" t="s">
        <v>179</v>
      </c>
      <c r="AO70" s="0" t="s">
        <v>180</v>
      </c>
      <c r="AP70" s="0" t="s">
        <v>1799</v>
      </c>
      <c r="AQ70" s="5" t="s">
        <v>162</v>
      </c>
      <c r="AT70" s="0" t="str">
        <f aca="false">IF(AND(AX70="pass",AQ70&lt;&gt;"Y",C70&lt;&gt;"",OR(AW70&lt;&gt;"Y",AV70="Y")),"Y","N")</f>
        <v>N</v>
      </c>
      <c r="AU70" s="0" t="str">
        <f aca="false">_xlfn.TEXTJOIN("; ",TRUE(),IF(AX70&lt;&gt;"pass","gated out",""),IF(AQ70="Y","on hold: "&amp;AR70,""),IF(C70="","no contact named on an opened page",""),IF(AND(AW70="Y",AV70&lt;&gt;"Y"),"Tuesday estimate band "&amp;L70&amp;": founder's call",""))</f>
        <v>no contact named on an opened page</v>
      </c>
      <c r="AW70" s="0" t="s">
        <v>162</v>
      </c>
      <c r="AX70" s="0" t="s">
        <v>181</v>
      </c>
      <c r="AY70" s="0" t="s">
        <v>182</v>
      </c>
      <c r="AZ70" s="0" t="s">
        <v>1</v>
      </c>
      <c r="BA70" s="0" t="s">
        <v>1804</v>
      </c>
      <c r="BB70" s="0" t="s">
        <v>1805</v>
      </c>
      <c r="BC70" s="0" t="s">
        <v>1806</v>
      </c>
      <c r="BD70" s="0" t="s">
        <v>1807</v>
      </c>
      <c r="BF70" s="0" t="s">
        <v>1322</v>
      </c>
      <c r="BG70" s="0" t="s">
        <v>188</v>
      </c>
      <c r="BH70" s="0" t="s">
        <v>189</v>
      </c>
      <c r="BI70" s="0" t="s">
        <v>1808</v>
      </c>
      <c r="BK70" s="0" t="s">
        <v>1263</v>
      </c>
      <c r="BL70" s="0" t="s">
        <v>656</v>
      </c>
      <c r="BM70" s="0" t="s">
        <v>162</v>
      </c>
      <c r="BN70" s="0" t="s">
        <v>163</v>
      </c>
      <c r="BO70" s="0" t="s">
        <v>163</v>
      </c>
      <c r="BQ70" s="0" t="n">
        <v>40.739614</v>
      </c>
      <c r="BR70" s="0" t="n">
        <v>-73.988361</v>
      </c>
      <c r="BS70" s="0" t="s">
        <v>168</v>
      </c>
      <c r="BT70" s="0" t="n">
        <v>0</v>
      </c>
      <c r="BV70" s="0" t="s">
        <v>163</v>
      </c>
      <c r="BW70" s="0" t="s">
        <v>1802</v>
      </c>
      <c r="BX70" s="0" t="s">
        <v>166</v>
      </c>
      <c r="BY70" s="0" t="s">
        <v>444</v>
      </c>
      <c r="CC70" s="0" t="s">
        <v>179</v>
      </c>
      <c r="CE70" s="0" t="s">
        <v>162</v>
      </c>
      <c r="CH70" s="0" t="s">
        <v>163</v>
      </c>
      <c r="CJ70" s="0" t="s">
        <v>163</v>
      </c>
      <c r="CK70" s="0" t="s">
        <v>162</v>
      </c>
      <c r="CL70" s="0" t="s">
        <v>1809</v>
      </c>
      <c r="CM70" s="0" t="s">
        <v>1802</v>
      </c>
      <c r="CN70" s="0" t="s">
        <v>174</v>
      </c>
      <c r="CO70" s="0" t="n">
        <v>115</v>
      </c>
      <c r="CP70" s="0" t="s">
        <v>767</v>
      </c>
      <c r="CQ70" s="0" t="s">
        <v>1810</v>
      </c>
      <c r="CR70" s="0" t="s">
        <v>206</v>
      </c>
      <c r="CS70" s="0" t="n">
        <v>0.61</v>
      </c>
      <c r="CT70" s="0" t="n">
        <v>41.4</v>
      </c>
      <c r="CU70" s="0" t="n">
        <v>15.4</v>
      </c>
      <c r="CV70" s="0" t="n">
        <v>6</v>
      </c>
      <c r="CW70" s="0" t="n">
        <v>15</v>
      </c>
      <c r="CX70" s="0" t="n">
        <v>5</v>
      </c>
      <c r="CY70" s="0" t="n">
        <f aca="false">IF(AH70="exact",10,IF(AH70="adjacent",5,0))</f>
        <v>0</v>
      </c>
      <c r="CZ70" s="0" t="n">
        <f aca="false">IF(R70="Y",15,0)</f>
        <v>0</v>
      </c>
      <c r="DF70" s="0" t="s">
        <v>158</v>
      </c>
      <c r="DG70" s="0" t="s">
        <v>1335</v>
      </c>
      <c r="DH70" s="0" t="s">
        <v>1336</v>
      </c>
      <c r="DI70" s="0" t="s">
        <v>162</v>
      </c>
      <c r="DK70" s="0" t="s">
        <v>1811</v>
      </c>
      <c r="DS70" s="0" t="s">
        <v>158</v>
      </c>
      <c r="DX70" s="0" t="s">
        <v>162</v>
      </c>
      <c r="ER70" s="0" t="str">
        <f aca="false">IF(ISNUMBER(MATCH(U70,{"queued","contacted","replied","call_booked","call_done","yes_in_principle","materials_sent"},0)),"Y","N")</f>
        <v>N</v>
      </c>
      <c r="ES70" s="0" t="str">
        <f aca="false">IF(COUNTIFS($AP$2:$AP$1000,AP70,$ER$2:$ER$1000,"Y")+COUNTIFS($AP$2:$AP$1000,AP70,$T$2:$T$1000,"Y")&gt;0,"Y","N")</f>
        <v>N</v>
      </c>
      <c r="ET70" s="0" t="str">
        <f aca="false">IF(AND(U70="new",T70="N",AT70="Y",AS70="",ES70="N"),"Y","N")</f>
        <v>N</v>
      </c>
      <c r="EU70" s="0" t="str">
        <f aca="false">IF(ET70&lt;&gt;"Y","N",IF(COUNTIFS($AP$2:$AP$1000,AP70,$ET$2:$ET$1000,"Y",$J$2:$J$1000,"&gt;"&amp;J70)+COUNTIFS($AP$2:$AP$1000,AP70,$ET$2:$ET$1000,"Y",$J$2:$J$1000,J70,$EW$2:$EW$1000,"&lt;"&amp;EW70)=0,"Y","N"))</f>
        <v>N</v>
      </c>
      <c r="EV70" s="0" t="str">
        <f aca="false">IF(Y70="","N",IF(Y70&lt;=10,"Y","N"))</f>
        <v>N</v>
      </c>
      <c r="EW70" s="0" t="n">
        <f aca="false">ROW()-1</f>
        <v>69</v>
      </c>
    </row>
    <row r="71" customFormat="false" ht="15" hidden="false" customHeight="false" outlineLevel="0" collapsed="false">
      <c r="A71" s="0" t="s">
        <v>1812</v>
      </c>
      <c r="B71" s="0" t="s">
        <v>1813</v>
      </c>
      <c r="H71" s="5" t="s">
        <v>158</v>
      </c>
      <c r="I71" s="5" t="s">
        <v>159</v>
      </c>
      <c r="J71" s="0" t="n">
        <f aca="false">IF(AX71="pass",ROUND(CU71+CV71+CW71+CX71+CY71+CZ71,1),0)</f>
        <v>41.3</v>
      </c>
      <c r="K71" s="0" t="s">
        <v>1814</v>
      </c>
      <c r="L71" s="0" t="s">
        <v>239</v>
      </c>
      <c r="R71" s="5" t="s">
        <v>162</v>
      </c>
      <c r="S71" s="0" t="s">
        <v>163</v>
      </c>
      <c r="T71" s="5" t="s">
        <v>162</v>
      </c>
      <c r="U71" s="5" t="s">
        <v>561</v>
      </c>
      <c r="V71" s="0" t="s">
        <v>1815</v>
      </c>
      <c r="W71" s="0" t="s">
        <v>166</v>
      </c>
      <c r="X71" s="0" t="s">
        <v>167</v>
      </c>
      <c r="Y71" s="0" t="str">
        <f aca="false">IF(EU71&lt;&gt;"Y","",COUNTIFS($EU$2:$EU$1000,"Y",$J$2:$J$1000,"&gt;"&amp;J71)+COUNTIFS($EU$2:$EU$1000,"Y",$J$2:$J$1000,J71,$EW$2:$EW$1000,"&lt;"&amp;EW71)+1)</f>
        <v/>
      </c>
      <c r="Z71" s="0" t="n">
        <v>70</v>
      </c>
      <c r="AA71" s="0" t="s">
        <v>162</v>
      </c>
      <c r="AB71" s="0" t="s">
        <v>1661</v>
      </c>
      <c r="AD71" s="0" t="s">
        <v>158</v>
      </c>
      <c r="AH71" s="5" t="s">
        <v>158</v>
      </c>
      <c r="AI71" s="0" t="s">
        <v>232</v>
      </c>
      <c r="AJ71" s="0" t="s">
        <v>1816</v>
      </c>
      <c r="AK71" s="0" t="s">
        <v>178</v>
      </c>
      <c r="AL71" s="0" t="n">
        <v>82</v>
      </c>
      <c r="AM71" s="0" t="n">
        <v>1635</v>
      </c>
      <c r="AN71" s="0" t="s">
        <v>179</v>
      </c>
      <c r="AO71" s="0" t="s">
        <v>180</v>
      </c>
      <c r="AP71" s="0" t="s">
        <v>1812</v>
      </c>
      <c r="AQ71" s="5" t="s">
        <v>162</v>
      </c>
      <c r="AT71" s="0" t="str">
        <f aca="false">IF(AND(AX71="pass",AQ71&lt;&gt;"Y",C71&lt;&gt;"",OR(AW71&lt;&gt;"Y",AV71="Y")),"Y","N")</f>
        <v>N</v>
      </c>
      <c r="AU71" s="0" t="str">
        <f aca="false">_xlfn.TEXTJOIN("; ",TRUE(),IF(AX71&lt;&gt;"pass","gated out",""),IF(AQ71="Y","on hold: "&amp;AR71,""),IF(C71="","no contact named on an opened page",""),IF(AND(AW71="Y",AV71&lt;&gt;"Y"),"Tuesday estimate band "&amp;L71&amp;": founder's call",""))</f>
        <v>no contact named on an opened page; Tuesday estimate band 251-500: founder's call</v>
      </c>
      <c r="AW71" s="0" t="s">
        <v>168</v>
      </c>
      <c r="AX71" s="0" t="s">
        <v>181</v>
      </c>
      <c r="AY71" s="0" t="s">
        <v>182</v>
      </c>
      <c r="AZ71" s="0" t="s">
        <v>1</v>
      </c>
      <c r="BA71" s="0" t="s">
        <v>1817</v>
      </c>
      <c r="BB71" s="0" t="s">
        <v>1818</v>
      </c>
      <c r="BC71" s="0" t="s">
        <v>1819</v>
      </c>
      <c r="BD71" s="0" t="s">
        <v>1820</v>
      </c>
      <c r="BF71" s="0" t="s">
        <v>1322</v>
      </c>
      <c r="BG71" s="0" t="s">
        <v>188</v>
      </c>
      <c r="BH71" s="0" t="s">
        <v>189</v>
      </c>
      <c r="BI71" s="0" t="s">
        <v>1821</v>
      </c>
      <c r="BK71" s="0" t="s">
        <v>1439</v>
      </c>
      <c r="BL71" s="0" t="s">
        <v>163</v>
      </c>
      <c r="BM71" s="0" t="s">
        <v>163</v>
      </c>
      <c r="BN71" s="0" t="s">
        <v>163</v>
      </c>
      <c r="BO71" s="0" t="s">
        <v>163</v>
      </c>
      <c r="BP71" s="0" t="s">
        <v>243</v>
      </c>
      <c r="BQ71" s="0" t="n">
        <v>40.742833</v>
      </c>
      <c r="BR71" s="0" t="n">
        <v>-73.984174</v>
      </c>
      <c r="BS71" s="0" t="s">
        <v>168</v>
      </c>
      <c r="BT71" s="0" t="n">
        <v>0</v>
      </c>
      <c r="BU71" s="0" t="s">
        <v>244</v>
      </c>
      <c r="BV71" s="0" t="s">
        <v>245</v>
      </c>
      <c r="BW71" s="0" t="s">
        <v>1815</v>
      </c>
      <c r="BX71" s="0" t="s">
        <v>1822</v>
      </c>
      <c r="BY71" s="0" t="s">
        <v>247</v>
      </c>
      <c r="BZ71" s="0" t="s">
        <v>1821</v>
      </c>
      <c r="CA71" s="0" t="s">
        <v>166</v>
      </c>
      <c r="CC71" s="0" t="s">
        <v>200</v>
      </c>
      <c r="CE71" s="0" t="s">
        <v>162</v>
      </c>
      <c r="CH71" s="0" t="s">
        <v>163</v>
      </c>
      <c r="CJ71" s="0" t="s">
        <v>163</v>
      </c>
      <c r="CK71" s="0" t="s">
        <v>162</v>
      </c>
      <c r="CL71" s="0" t="s">
        <v>448</v>
      </c>
      <c r="CM71" s="0" t="s">
        <v>1821</v>
      </c>
      <c r="CN71" s="0" t="s">
        <v>174</v>
      </c>
      <c r="CO71" s="0" t="n">
        <v>366</v>
      </c>
      <c r="CP71" s="0" t="s">
        <v>250</v>
      </c>
      <c r="CQ71" s="0" t="s">
        <v>1823</v>
      </c>
      <c r="CR71" s="0" t="s">
        <v>206</v>
      </c>
      <c r="CS71" s="0" t="n">
        <v>0.37</v>
      </c>
      <c r="CT71" s="0" t="n">
        <v>41.3</v>
      </c>
      <c r="CU71" s="0" t="n">
        <v>9.3</v>
      </c>
      <c r="CV71" s="0" t="n">
        <v>2</v>
      </c>
      <c r="CW71" s="0" t="n">
        <v>15</v>
      </c>
      <c r="CX71" s="0" t="n">
        <v>15</v>
      </c>
      <c r="CY71" s="0" t="n">
        <f aca="false">IF(AH71="exact",10,IF(AH71="adjacent",5,0))</f>
        <v>0</v>
      </c>
      <c r="CZ71" s="0" t="n">
        <f aca="false">IF(R71="Y",15,0)</f>
        <v>0</v>
      </c>
      <c r="DF71" s="0" t="s">
        <v>158</v>
      </c>
      <c r="DG71" s="0" t="s">
        <v>1335</v>
      </c>
      <c r="DH71" s="0" t="s">
        <v>1446</v>
      </c>
      <c r="DI71" s="0" t="s">
        <v>162</v>
      </c>
      <c r="DJ71" s="0" t="s">
        <v>1824</v>
      </c>
      <c r="DK71" s="0" t="s">
        <v>1825</v>
      </c>
      <c r="DS71" s="0" t="s">
        <v>158</v>
      </c>
      <c r="DX71" s="0" t="s">
        <v>162</v>
      </c>
      <c r="ER71" s="0" t="str">
        <f aca="false">IF(ISNUMBER(MATCH(U71,{"queued","contacted","replied","call_booked","call_done","yes_in_principle","materials_sent"},0)),"Y","N")</f>
        <v>N</v>
      </c>
      <c r="ES71" s="0" t="str">
        <f aca="false">IF(COUNTIFS($AP$2:$AP$1000,AP71,$ER$2:$ER$1000,"Y")+COUNTIFS($AP$2:$AP$1000,AP71,$T$2:$T$1000,"Y")&gt;0,"Y","N")</f>
        <v>N</v>
      </c>
      <c r="ET71" s="0" t="str">
        <f aca="false">IF(AND(U71="new",T71="N",AT71="Y",AS71="",ES71="N"),"Y","N")</f>
        <v>N</v>
      </c>
      <c r="EU71" s="0" t="str">
        <f aca="false">IF(ET71&lt;&gt;"Y","N",IF(COUNTIFS($AP$2:$AP$1000,AP71,$ET$2:$ET$1000,"Y",$J$2:$J$1000,"&gt;"&amp;J71)+COUNTIFS($AP$2:$AP$1000,AP71,$ET$2:$ET$1000,"Y",$J$2:$J$1000,J71,$EW$2:$EW$1000,"&lt;"&amp;EW71)=0,"Y","N"))</f>
        <v>N</v>
      </c>
      <c r="EV71" s="0" t="str">
        <f aca="false">IF(Y71="","N",IF(Y71&lt;=10,"Y","N"))</f>
        <v>N</v>
      </c>
      <c r="EW71" s="0" t="n">
        <f aca="false">ROW()-1</f>
        <v>70</v>
      </c>
    </row>
    <row r="72" customFormat="false" ht="15" hidden="false" customHeight="false" outlineLevel="0" collapsed="false">
      <c r="A72" s="0" t="s">
        <v>1826</v>
      </c>
      <c r="B72" s="0" t="s">
        <v>1827</v>
      </c>
      <c r="H72" s="5" t="s">
        <v>158</v>
      </c>
      <c r="I72" s="5" t="s">
        <v>159</v>
      </c>
      <c r="J72" s="0" t="n">
        <f aca="false">IF(AX72="pass",ROUND(CU72+CV72+CW72+CX72+CY72+CZ72,1),0)</f>
        <v>41.2</v>
      </c>
      <c r="K72" s="0" t="s">
        <v>1828</v>
      </c>
      <c r="L72" s="0" t="s">
        <v>161</v>
      </c>
      <c r="R72" s="5" t="s">
        <v>162</v>
      </c>
      <c r="S72" s="0" t="s">
        <v>163</v>
      </c>
      <c r="T72" s="5" t="s">
        <v>162</v>
      </c>
      <c r="U72" s="5" t="s">
        <v>561</v>
      </c>
      <c r="V72" s="0" t="s">
        <v>1392</v>
      </c>
      <c r="W72" s="0" t="s">
        <v>166</v>
      </c>
      <c r="X72" s="0" t="s">
        <v>167</v>
      </c>
      <c r="Y72" s="0" t="str">
        <f aca="false">IF(EU72&lt;&gt;"Y","",COUNTIFS($EU$2:$EU$1000,"Y",$J$2:$J$1000,"&gt;"&amp;J72)+COUNTIFS($EU$2:$EU$1000,"Y",$J$2:$J$1000,J72,$EW$2:$EW$1000,"&lt;"&amp;EW72)+1)</f>
        <v/>
      </c>
      <c r="Z72" s="0" t="n">
        <v>71</v>
      </c>
      <c r="AA72" s="0" t="s">
        <v>162</v>
      </c>
      <c r="AD72" s="0" t="s">
        <v>158</v>
      </c>
      <c r="AH72" s="5" t="s">
        <v>158</v>
      </c>
      <c r="AI72" s="0" t="s">
        <v>1829</v>
      </c>
      <c r="AJ72" s="0" t="s">
        <v>163</v>
      </c>
      <c r="AK72" s="0" t="s">
        <v>178</v>
      </c>
      <c r="AL72" s="0" t="n">
        <v>28</v>
      </c>
      <c r="AM72" s="0" t="n">
        <v>570</v>
      </c>
      <c r="AN72" s="0" t="s">
        <v>179</v>
      </c>
      <c r="AO72" s="0" t="s">
        <v>369</v>
      </c>
      <c r="AP72" s="0" t="s">
        <v>1826</v>
      </c>
      <c r="AQ72" s="5" t="s">
        <v>162</v>
      </c>
      <c r="AT72" s="0" t="str">
        <f aca="false">IF(AND(AX72="pass",AQ72&lt;&gt;"Y",C72&lt;&gt;"",OR(AW72&lt;&gt;"Y",AV72="Y")),"Y","N")</f>
        <v>N</v>
      </c>
      <c r="AU72" s="0" t="str">
        <f aca="false">_xlfn.TEXTJOIN("; ",TRUE(),IF(AX72&lt;&gt;"pass","gated out",""),IF(AQ72="Y","on hold: "&amp;AR72,""),IF(C72="","no contact named on an opened page",""),IF(AND(AW72="Y",AV72&lt;&gt;"Y"),"Tuesday estimate band "&amp;L72&amp;": founder's call",""))</f>
        <v>no contact named on an opened page</v>
      </c>
      <c r="AW72" s="0" t="s">
        <v>162</v>
      </c>
      <c r="AX72" s="0" t="s">
        <v>181</v>
      </c>
      <c r="AY72" s="0" t="s">
        <v>182</v>
      </c>
      <c r="AZ72" s="0" t="s">
        <v>1</v>
      </c>
      <c r="BA72" s="0" t="s">
        <v>1830</v>
      </c>
      <c r="BB72" s="0" t="s">
        <v>1831</v>
      </c>
      <c r="BC72" s="0" t="s">
        <v>1832</v>
      </c>
      <c r="BD72" s="0" t="s">
        <v>1368</v>
      </c>
      <c r="BF72" s="0" t="s">
        <v>1322</v>
      </c>
      <c r="BG72" s="0" t="s">
        <v>188</v>
      </c>
      <c r="BH72" s="0" t="s">
        <v>189</v>
      </c>
      <c r="BI72" s="0" t="s">
        <v>1833</v>
      </c>
      <c r="BK72" s="0" t="s">
        <v>1263</v>
      </c>
      <c r="BL72" s="0" t="s">
        <v>163</v>
      </c>
      <c r="BM72" s="0" t="s">
        <v>163</v>
      </c>
      <c r="BN72" s="0" t="s">
        <v>163</v>
      </c>
      <c r="BO72" s="0" t="s">
        <v>163</v>
      </c>
      <c r="BP72" s="0" t="s">
        <v>193</v>
      </c>
      <c r="BQ72" s="0" t="n">
        <v>40.738809</v>
      </c>
      <c r="BR72" s="0" t="n">
        <v>-73.991356</v>
      </c>
      <c r="BS72" s="0" t="s">
        <v>168</v>
      </c>
      <c r="BT72" s="0" t="n">
        <v>0</v>
      </c>
      <c r="BU72" s="0" t="s">
        <v>442</v>
      </c>
      <c r="BV72" s="0" t="s">
        <v>443</v>
      </c>
      <c r="BW72" s="0" t="s">
        <v>1392</v>
      </c>
      <c r="BX72" s="0" t="s">
        <v>1401</v>
      </c>
      <c r="BY72" s="0" t="s">
        <v>247</v>
      </c>
      <c r="CC72" s="0" t="s">
        <v>738</v>
      </c>
      <c r="CE72" s="0" t="s">
        <v>162</v>
      </c>
      <c r="CH72" s="0" t="s">
        <v>201</v>
      </c>
      <c r="CI72" s="0" t="s">
        <v>447</v>
      </c>
      <c r="CJ72" s="0" t="s">
        <v>163</v>
      </c>
      <c r="CK72" s="0" t="s">
        <v>162</v>
      </c>
      <c r="CL72" s="0" t="s">
        <v>1834</v>
      </c>
      <c r="CM72" s="0" t="s">
        <v>1835</v>
      </c>
      <c r="CN72" s="0" t="s">
        <v>174</v>
      </c>
      <c r="CO72" s="0" t="n">
        <v>126</v>
      </c>
      <c r="CP72" s="0" t="s">
        <v>767</v>
      </c>
      <c r="CQ72" s="0" t="s">
        <v>1836</v>
      </c>
      <c r="CR72" s="0" t="s">
        <v>206</v>
      </c>
      <c r="CS72" s="0" t="n">
        <v>0.61</v>
      </c>
      <c r="CT72" s="0" t="n">
        <v>41.2</v>
      </c>
      <c r="CU72" s="0" t="n">
        <v>15.2</v>
      </c>
      <c r="CV72" s="0" t="n">
        <v>6</v>
      </c>
      <c r="CW72" s="0" t="n">
        <v>7</v>
      </c>
      <c r="CX72" s="0" t="n">
        <v>13</v>
      </c>
      <c r="CY72" s="0" t="n">
        <f aca="false">IF(AH72="exact",10,IF(AH72="adjacent",5,0))</f>
        <v>0</v>
      </c>
      <c r="CZ72" s="0" t="n">
        <f aca="false">IF(R72="Y",15,0)</f>
        <v>0</v>
      </c>
      <c r="DF72" s="0" t="s">
        <v>158</v>
      </c>
      <c r="DG72" s="0" t="s">
        <v>1335</v>
      </c>
      <c r="DH72" s="0" t="s">
        <v>1336</v>
      </c>
      <c r="DI72" s="0" t="s">
        <v>168</v>
      </c>
      <c r="DK72" s="0" t="s">
        <v>1837</v>
      </c>
      <c r="DS72" s="0" t="s">
        <v>158</v>
      </c>
      <c r="DX72" s="0" t="s">
        <v>162</v>
      </c>
      <c r="ER72" s="0" t="str">
        <f aca="false">IF(ISNUMBER(MATCH(U72,{"queued","contacted","replied","call_booked","call_done","yes_in_principle","materials_sent"},0)),"Y","N")</f>
        <v>N</v>
      </c>
      <c r="ES72" s="0" t="str">
        <f aca="false">IF(COUNTIFS($AP$2:$AP$1000,AP72,$ER$2:$ER$1000,"Y")+COUNTIFS($AP$2:$AP$1000,AP72,$T$2:$T$1000,"Y")&gt;0,"Y","N")</f>
        <v>N</v>
      </c>
      <c r="ET72" s="0" t="str">
        <f aca="false">IF(AND(U72="new",T72="N",AT72="Y",AS72="",ES72="N"),"Y","N")</f>
        <v>N</v>
      </c>
      <c r="EU72" s="0" t="str">
        <f aca="false">IF(ET72&lt;&gt;"Y","N",IF(COUNTIFS($AP$2:$AP$1000,AP72,$ET$2:$ET$1000,"Y",$J$2:$J$1000,"&gt;"&amp;J72)+COUNTIFS($AP$2:$AP$1000,AP72,$ET$2:$ET$1000,"Y",$J$2:$J$1000,J72,$EW$2:$EW$1000,"&lt;"&amp;EW72)=0,"Y","N"))</f>
        <v>N</v>
      </c>
      <c r="EV72" s="0" t="str">
        <f aca="false">IF(Y72="","N",IF(Y72&lt;=10,"Y","N"))</f>
        <v>N</v>
      </c>
      <c r="EW72" s="0" t="n">
        <f aca="false">ROW()-1</f>
        <v>71</v>
      </c>
    </row>
    <row r="73" customFormat="false" ht="15" hidden="false" customHeight="false" outlineLevel="0" collapsed="false">
      <c r="A73" s="0" t="s">
        <v>1838</v>
      </c>
      <c r="B73" s="0" t="s">
        <v>1839</v>
      </c>
      <c r="H73" s="5" t="s">
        <v>158</v>
      </c>
      <c r="I73" s="5" t="s">
        <v>159</v>
      </c>
      <c r="J73" s="0" t="n">
        <f aca="false">IF(AX73="pass",ROUND(CU73+CV73+CW73+CX73+CY73+CZ73,1),0)</f>
        <v>41.2</v>
      </c>
      <c r="K73" s="0" t="s">
        <v>1840</v>
      </c>
      <c r="L73" s="0" t="s">
        <v>161</v>
      </c>
      <c r="R73" s="5" t="s">
        <v>162</v>
      </c>
      <c r="S73" s="0" t="s">
        <v>163</v>
      </c>
      <c r="T73" s="5" t="s">
        <v>162</v>
      </c>
      <c r="U73" s="5" t="s">
        <v>561</v>
      </c>
      <c r="V73" s="0" t="s">
        <v>1841</v>
      </c>
      <c r="W73" s="0" t="s">
        <v>166</v>
      </c>
      <c r="X73" s="0" t="s">
        <v>167</v>
      </c>
      <c r="Y73" s="0" t="str">
        <f aca="false">IF(EU73&lt;&gt;"Y","",COUNTIFS($EU$2:$EU$1000,"Y",$J$2:$J$1000,"&gt;"&amp;J73)+COUNTIFS($EU$2:$EU$1000,"Y",$J$2:$J$1000,J73,$EW$2:$EW$1000,"&lt;"&amp;EW73)+1)</f>
        <v/>
      </c>
      <c r="Z73" s="0" t="n">
        <v>72</v>
      </c>
      <c r="AA73" s="0" t="s">
        <v>162</v>
      </c>
      <c r="AD73" s="0" t="s">
        <v>158</v>
      </c>
      <c r="AH73" s="5" t="s">
        <v>158</v>
      </c>
      <c r="AI73" s="0" t="s">
        <v>1842</v>
      </c>
      <c r="AJ73" s="0" t="s">
        <v>163</v>
      </c>
      <c r="AK73" s="0" t="s">
        <v>434</v>
      </c>
      <c r="AL73" s="0" t="n">
        <v>26</v>
      </c>
      <c r="AM73" s="0" t="n">
        <v>527</v>
      </c>
      <c r="AN73" s="0" t="s">
        <v>179</v>
      </c>
      <c r="AO73" s="0" t="s">
        <v>180</v>
      </c>
      <c r="AP73" s="0" t="s">
        <v>1838</v>
      </c>
      <c r="AQ73" s="5" t="s">
        <v>162</v>
      </c>
      <c r="AT73" s="0" t="str">
        <f aca="false">IF(AND(AX73="pass",AQ73&lt;&gt;"Y",C73&lt;&gt;"",OR(AW73&lt;&gt;"Y",AV73="Y")),"Y","N")</f>
        <v>N</v>
      </c>
      <c r="AU73" s="0" t="str">
        <f aca="false">_xlfn.TEXTJOIN("; ",TRUE(),IF(AX73&lt;&gt;"pass","gated out",""),IF(AQ73="Y","on hold: "&amp;AR73,""),IF(C73="","no contact named on an opened page",""),IF(AND(AW73="Y",AV73&lt;&gt;"Y"),"Tuesday estimate band "&amp;L73&amp;": founder's call",""))</f>
        <v>no contact named on an opened page</v>
      </c>
      <c r="AW73" s="0" t="s">
        <v>162</v>
      </c>
      <c r="AX73" s="0" t="s">
        <v>181</v>
      </c>
      <c r="AY73" s="0" t="s">
        <v>182</v>
      </c>
      <c r="AZ73" s="0" t="s">
        <v>1</v>
      </c>
      <c r="BA73" s="0" t="s">
        <v>1843</v>
      </c>
      <c r="BB73" s="0" t="s">
        <v>1844</v>
      </c>
      <c r="BC73" s="0" t="s">
        <v>1845</v>
      </c>
      <c r="BD73" s="0" t="s">
        <v>1846</v>
      </c>
      <c r="BF73" s="0" t="s">
        <v>1322</v>
      </c>
      <c r="BG73" s="0" t="s">
        <v>188</v>
      </c>
      <c r="BH73" s="0" t="s">
        <v>189</v>
      </c>
      <c r="BI73" s="0" t="s">
        <v>1847</v>
      </c>
      <c r="BK73" s="0" t="s">
        <v>1263</v>
      </c>
      <c r="BL73" s="0" t="s">
        <v>163</v>
      </c>
      <c r="BM73" s="0" t="s">
        <v>163</v>
      </c>
      <c r="BN73" s="0" t="s">
        <v>163</v>
      </c>
      <c r="BO73" s="0" t="s">
        <v>163</v>
      </c>
      <c r="BQ73" s="0" t="n">
        <v>40.738765</v>
      </c>
      <c r="BR73" s="0" t="n">
        <v>-73.994763</v>
      </c>
      <c r="BS73" s="0" t="s">
        <v>168</v>
      </c>
      <c r="BT73" s="0" t="n">
        <v>0</v>
      </c>
      <c r="BV73" s="0" t="s">
        <v>163</v>
      </c>
      <c r="BW73" s="0" t="s">
        <v>1841</v>
      </c>
      <c r="BX73" s="0" t="s">
        <v>174</v>
      </c>
      <c r="BY73" s="0" t="s">
        <v>444</v>
      </c>
      <c r="CC73" s="0" t="s">
        <v>179</v>
      </c>
      <c r="CE73" s="0" t="s">
        <v>162</v>
      </c>
      <c r="CH73" s="0" t="s">
        <v>163</v>
      </c>
      <c r="CJ73" s="0" t="s">
        <v>163</v>
      </c>
      <c r="CK73" s="0" t="s">
        <v>162</v>
      </c>
      <c r="CL73" s="0" t="s">
        <v>900</v>
      </c>
      <c r="CM73" s="0" t="s">
        <v>1841</v>
      </c>
      <c r="CN73" s="0" t="s">
        <v>174</v>
      </c>
      <c r="CO73" s="0" t="n">
        <v>117</v>
      </c>
      <c r="CP73" s="0" t="s">
        <v>767</v>
      </c>
      <c r="CQ73" s="0" t="s">
        <v>1848</v>
      </c>
      <c r="CR73" s="0" t="s">
        <v>206</v>
      </c>
      <c r="CS73" s="0" t="n">
        <v>0.61</v>
      </c>
      <c r="CT73" s="0" t="n">
        <v>41.2</v>
      </c>
      <c r="CU73" s="0" t="n">
        <v>15.2</v>
      </c>
      <c r="CV73" s="0" t="n">
        <v>6</v>
      </c>
      <c r="CW73" s="0" t="n">
        <v>15</v>
      </c>
      <c r="CX73" s="0" t="n">
        <v>5</v>
      </c>
      <c r="CY73" s="0" t="n">
        <f aca="false">IF(AH73="exact",10,IF(AH73="adjacent",5,0))</f>
        <v>0</v>
      </c>
      <c r="CZ73" s="0" t="n">
        <f aca="false">IF(R73="Y",15,0)</f>
        <v>0</v>
      </c>
      <c r="DF73" s="0" t="s">
        <v>158</v>
      </c>
      <c r="DG73" s="0" t="s">
        <v>1335</v>
      </c>
      <c r="DH73" s="0" t="s">
        <v>1336</v>
      </c>
      <c r="DI73" s="0" t="s">
        <v>162</v>
      </c>
      <c r="DK73" s="0" t="s">
        <v>1849</v>
      </c>
      <c r="DS73" s="0" t="s">
        <v>158</v>
      </c>
      <c r="DX73" s="0" t="s">
        <v>162</v>
      </c>
      <c r="ER73" s="0" t="str">
        <f aca="false">IF(ISNUMBER(MATCH(U73,{"queued","contacted","replied","call_booked","call_done","yes_in_principle","materials_sent"},0)),"Y","N")</f>
        <v>N</v>
      </c>
      <c r="ES73" s="0" t="str">
        <f aca="false">IF(COUNTIFS($AP$2:$AP$1000,AP73,$ER$2:$ER$1000,"Y")+COUNTIFS($AP$2:$AP$1000,AP73,$T$2:$T$1000,"Y")&gt;0,"Y","N")</f>
        <v>N</v>
      </c>
      <c r="ET73" s="0" t="str">
        <f aca="false">IF(AND(U73="new",T73="N",AT73="Y",AS73="",ES73="N"),"Y","N")</f>
        <v>N</v>
      </c>
      <c r="EU73" s="0" t="str">
        <f aca="false">IF(ET73&lt;&gt;"Y","N",IF(COUNTIFS($AP$2:$AP$1000,AP73,$ET$2:$ET$1000,"Y",$J$2:$J$1000,"&gt;"&amp;J73)+COUNTIFS($AP$2:$AP$1000,AP73,$ET$2:$ET$1000,"Y",$J$2:$J$1000,J73,$EW$2:$EW$1000,"&lt;"&amp;EW73)=0,"Y","N"))</f>
        <v>N</v>
      </c>
      <c r="EV73" s="0" t="str">
        <f aca="false">IF(Y73="","N",IF(Y73&lt;=10,"Y","N"))</f>
        <v>N</v>
      </c>
      <c r="EW73" s="0" t="n">
        <f aca="false">ROW()-1</f>
        <v>72</v>
      </c>
    </row>
    <row r="74" customFormat="false" ht="15" hidden="false" customHeight="false" outlineLevel="0" collapsed="false">
      <c r="A74" s="0" t="s">
        <v>1850</v>
      </c>
      <c r="B74" s="0" t="s">
        <v>1851</v>
      </c>
      <c r="H74" s="5" t="s">
        <v>158</v>
      </c>
      <c r="I74" s="5" t="s">
        <v>159</v>
      </c>
      <c r="J74" s="0" t="n">
        <f aca="false">IF(AX74="pass",ROUND(CU74+CV74+CW74+CX74+CY74+CZ74,1),0)</f>
        <v>40.2</v>
      </c>
      <c r="K74" s="0" t="s">
        <v>1852</v>
      </c>
      <c r="L74" s="0" t="s">
        <v>161</v>
      </c>
      <c r="R74" s="5" t="s">
        <v>162</v>
      </c>
      <c r="S74" s="0" t="s">
        <v>163</v>
      </c>
      <c r="T74" s="5" t="s">
        <v>162</v>
      </c>
      <c r="U74" s="5" t="s">
        <v>561</v>
      </c>
      <c r="V74" s="0" t="s">
        <v>1853</v>
      </c>
      <c r="W74" s="0" t="s">
        <v>166</v>
      </c>
      <c r="X74" s="0" t="s">
        <v>167</v>
      </c>
      <c r="Y74" s="0" t="str">
        <f aca="false">IF(EU74&lt;&gt;"Y","",COUNTIFS($EU$2:$EU$1000,"Y",$J$2:$J$1000,"&gt;"&amp;J74)+COUNTIFS($EU$2:$EU$1000,"Y",$J$2:$J$1000,J74,$EW$2:$EW$1000,"&lt;"&amp;EW74)+1)</f>
        <v/>
      </c>
      <c r="Z74" s="0" t="n">
        <v>73</v>
      </c>
      <c r="AA74" s="0" t="s">
        <v>162</v>
      </c>
      <c r="AD74" s="0" t="s">
        <v>158</v>
      </c>
      <c r="AH74" s="5" t="s">
        <v>158</v>
      </c>
      <c r="AI74" s="0" t="s">
        <v>1854</v>
      </c>
      <c r="AJ74" s="0" t="s">
        <v>650</v>
      </c>
      <c r="AK74" s="0" t="s">
        <v>178</v>
      </c>
      <c r="AL74" s="0" t="n">
        <v>21</v>
      </c>
      <c r="AM74" s="0" t="n">
        <v>427</v>
      </c>
      <c r="AN74" s="0" t="s">
        <v>179</v>
      </c>
      <c r="AO74" s="0" t="s">
        <v>163</v>
      </c>
      <c r="AP74" s="0" t="s">
        <v>1850</v>
      </c>
      <c r="AQ74" s="5" t="s">
        <v>162</v>
      </c>
      <c r="AT74" s="0" t="str">
        <f aca="false">IF(AND(AX74="pass",AQ74&lt;&gt;"Y",C74&lt;&gt;"",OR(AW74&lt;&gt;"Y",AV74="Y")),"Y","N")</f>
        <v>N</v>
      </c>
      <c r="AU74" s="0" t="str">
        <f aca="false">_xlfn.TEXTJOIN("; ",TRUE(),IF(AX74&lt;&gt;"pass","gated out",""),IF(AQ74="Y","on hold: "&amp;AR74,""),IF(C74="","no contact named on an opened page",""),IF(AND(AW74="Y",AV74&lt;&gt;"Y"),"Tuesday estimate band "&amp;L74&amp;": founder's call",""))</f>
        <v>no contact named on an opened page</v>
      </c>
      <c r="AW74" s="0" t="s">
        <v>162</v>
      </c>
      <c r="AX74" s="0" t="s">
        <v>181</v>
      </c>
      <c r="AY74" s="0" t="s">
        <v>182</v>
      </c>
      <c r="AZ74" s="0" t="s">
        <v>1</v>
      </c>
      <c r="BA74" s="0" t="s">
        <v>1855</v>
      </c>
      <c r="BB74" s="0" t="s">
        <v>1856</v>
      </c>
      <c r="BC74" s="0" t="s">
        <v>1736</v>
      </c>
      <c r="BD74" s="0" t="s">
        <v>1857</v>
      </c>
      <c r="BF74" s="0" t="s">
        <v>1322</v>
      </c>
      <c r="BG74" s="0" t="s">
        <v>188</v>
      </c>
      <c r="BH74" s="0" t="s">
        <v>189</v>
      </c>
      <c r="BI74" s="0" t="s">
        <v>1858</v>
      </c>
      <c r="BK74" s="0" t="s">
        <v>1263</v>
      </c>
      <c r="BL74" s="0" t="s">
        <v>163</v>
      </c>
      <c r="BM74" s="0" t="s">
        <v>163</v>
      </c>
      <c r="BN74" s="0" t="s">
        <v>163</v>
      </c>
      <c r="BO74" s="0" t="s">
        <v>163</v>
      </c>
      <c r="BP74" s="0" t="s">
        <v>377</v>
      </c>
      <c r="BQ74" s="0" t="n">
        <v>40.740157</v>
      </c>
      <c r="BR74" s="0" t="n">
        <v>-73.993377</v>
      </c>
      <c r="BS74" s="0" t="s">
        <v>168</v>
      </c>
      <c r="BT74" s="0" t="n">
        <v>0</v>
      </c>
      <c r="BU74" s="0" t="s">
        <v>1859</v>
      </c>
      <c r="BV74" s="0" t="s">
        <v>1860</v>
      </c>
      <c r="BW74" s="0" t="s">
        <v>1853</v>
      </c>
      <c r="BX74" s="0" t="s">
        <v>166</v>
      </c>
      <c r="BY74" s="0" t="s">
        <v>196</v>
      </c>
      <c r="BZ74" s="0" t="s">
        <v>1861</v>
      </c>
      <c r="CA74" s="0" t="s">
        <v>1862</v>
      </c>
      <c r="CC74" s="0" t="s">
        <v>738</v>
      </c>
      <c r="CE74" s="0" t="s">
        <v>162</v>
      </c>
      <c r="CH74" s="0" t="s">
        <v>163</v>
      </c>
      <c r="CJ74" s="0" t="s">
        <v>163</v>
      </c>
      <c r="CK74" s="0" t="s">
        <v>162</v>
      </c>
      <c r="CL74" s="0" t="s">
        <v>163</v>
      </c>
      <c r="CO74" s="0" t="n">
        <v>95</v>
      </c>
      <c r="CP74" s="0" t="s">
        <v>767</v>
      </c>
      <c r="CQ74" s="0" t="s">
        <v>1863</v>
      </c>
      <c r="CR74" s="0" t="s">
        <v>206</v>
      </c>
      <c r="CS74" s="0" t="n">
        <v>0.61</v>
      </c>
      <c r="CT74" s="0" t="n">
        <v>40.2</v>
      </c>
      <c r="CU74" s="0" t="n">
        <v>15.2</v>
      </c>
      <c r="CV74" s="0" t="n">
        <v>6</v>
      </c>
      <c r="CW74" s="0" t="n">
        <v>6</v>
      </c>
      <c r="CX74" s="0" t="n">
        <v>13</v>
      </c>
      <c r="CY74" s="0" t="n">
        <f aca="false">IF(AH74="exact",10,IF(AH74="adjacent",5,0))</f>
        <v>0</v>
      </c>
      <c r="CZ74" s="0" t="n">
        <f aca="false">IF(R74="Y",15,0)</f>
        <v>0</v>
      </c>
      <c r="DF74" s="0" t="s">
        <v>158</v>
      </c>
      <c r="DG74" s="0" t="s">
        <v>1335</v>
      </c>
      <c r="DH74" s="0" t="s">
        <v>1336</v>
      </c>
      <c r="DI74" s="0" t="s">
        <v>162</v>
      </c>
      <c r="DJ74" s="0" t="s">
        <v>1864</v>
      </c>
      <c r="DK74" s="0" t="s">
        <v>1865</v>
      </c>
      <c r="DS74" s="0" t="s">
        <v>158</v>
      </c>
      <c r="DX74" s="0" t="s">
        <v>162</v>
      </c>
      <c r="ER74" s="0" t="str">
        <f aca="false">IF(ISNUMBER(MATCH(U74,{"queued","contacted","replied","call_booked","call_done","yes_in_principle","materials_sent"},0)),"Y","N")</f>
        <v>N</v>
      </c>
      <c r="ES74" s="0" t="str">
        <f aca="false">IF(COUNTIFS($AP$2:$AP$1000,AP74,$ER$2:$ER$1000,"Y")+COUNTIFS($AP$2:$AP$1000,AP74,$T$2:$T$1000,"Y")&gt;0,"Y","N")</f>
        <v>N</v>
      </c>
      <c r="ET74" s="0" t="str">
        <f aca="false">IF(AND(U74="new",T74="N",AT74="Y",AS74="",ES74="N"),"Y","N")</f>
        <v>N</v>
      </c>
      <c r="EU74" s="0" t="str">
        <f aca="false">IF(ET74&lt;&gt;"Y","N",IF(COUNTIFS($AP$2:$AP$1000,AP74,$ET$2:$ET$1000,"Y",$J$2:$J$1000,"&gt;"&amp;J74)+COUNTIFS($AP$2:$AP$1000,AP74,$ET$2:$ET$1000,"Y",$J$2:$J$1000,J74,$EW$2:$EW$1000,"&lt;"&amp;EW74)=0,"Y","N"))</f>
        <v>N</v>
      </c>
      <c r="EV74" s="0" t="str">
        <f aca="false">IF(Y74="","N",IF(Y74&lt;=10,"Y","N"))</f>
        <v>N</v>
      </c>
      <c r="EW74" s="0" t="n">
        <f aca="false">ROW()-1</f>
        <v>73</v>
      </c>
    </row>
    <row r="75" customFormat="false" ht="15" hidden="false" customHeight="false" outlineLevel="0" collapsed="false">
      <c r="A75" s="0" t="s">
        <v>1866</v>
      </c>
      <c r="B75" s="0" t="s">
        <v>1867</v>
      </c>
      <c r="H75" s="5" t="s">
        <v>158</v>
      </c>
      <c r="I75" s="5" t="s">
        <v>159</v>
      </c>
      <c r="J75" s="0" t="n">
        <f aca="false">IF(AX75="pass",ROUND(CU75+CV75+CW75+CX75+CY75+CZ75,1),0)</f>
        <v>40.1</v>
      </c>
      <c r="K75" s="0" t="s">
        <v>1868</v>
      </c>
      <c r="L75" s="0" t="s">
        <v>560</v>
      </c>
      <c r="R75" s="5" t="s">
        <v>162</v>
      </c>
      <c r="S75" s="0" t="s">
        <v>163</v>
      </c>
      <c r="T75" s="5" t="s">
        <v>162</v>
      </c>
      <c r="U75" s="5" t="s">
        <v>561</v>
      </c>
      <c r="V75" s="0" t="s">
        <v>1869</v>
      </c>
      <c r="W75" s="0" t="s">
        <v>166</v>
      </c>
      <c r="X75" s="0" t="s">
        <v>167</v>
      </c>
      <c r="Y75" s="0" t="str">
        <f aca="false">IF(EU75&lt;&gt;"Y","",COUNTIFS($EU$2:$EU$1000,"Y",$J$2:$J$1000,"&gt;"&amp;J75)+COUNTIFS($EU$2:$EU$1000,"Y",$J$2:$J$1000,J75,$EW$2:$EW$1000,"&lt;"&amp;EW75)+1)</f>
        <v/>
      </c>
      <c r="Z75" s="0" t="n">
        <v>74</v>
      </c>
      <c r="AA75" s="0" t="s">
        <v>162</v>
      </c>
      <c r="AB75" s="0" t="s">
        <v>1561</v>
      </c>
      <c r="AD75" s="0" t="s">
        <v>158</v>
      </c>
      <c r="AH75" s="5" t="s">
        <v>158</v>
      </c>
      <c r="AI75" s="0" t="s">
        <v>1870</v>
      </c>
      <c r="AJ75" s="0" t="s">
        <v>163</v>
      </c>
      <c r="AK75" s="0" t="s">
        <v>434</v>
      </c>
      <c r="AL75" s="0" t="n">
        <v>22</v>
      </c>
      <c r="AM75" s="0" t="n">
        <v>60</v>
      </c>
      <c r="AN75" s="0" t="s">
        <v>179</v>
      </c>
      <c r="AO75" s="0" t="s">
        <v>369</v>
      </c>
      <c r="AP75" s="0" t="s">
        <v>1866</v>
      </c>
      <c r="AQ75" s="5" t="s">
        <v>162</v>
      </c>
      <c r="AT75" s="0" t="str">
        <f aca="false">IF(AND(AX75="pass",AQ75&lt;&gt;"Y",C75&lt;&gt;"",OR(AW75&lt;&gt;"Y",AV75="Y")),"Y","N")</f>
        <v>N</v>
      </c>
      <c r="AU75" s="0" t="str">
        <f aca="false">_xlfn.TEXTJOIN("; ",TRUE(),IF(AX75&lt;&gt;"pass","gated out",""),IF(AQ75="Y","on hold: "&amp;AR75,""),IF(C75="","no contact named on an opened page",""),IF(AND(AW75="Y",AV75&lt;&gt;"Y"),"Tuesday estimate band "&amp;L75&amp;": founder's call",""))</f>
        <v>no contact named on an opened page; Tuesday estimate band under-40: founder's call</v>
      </c>
      <c r="AW75" s="0" t="s">
        <v>168</v>
      </c>
      <c r="AX75" s="0" t="s">
        <v>181</v>
      </c>
      <c r="AY75" s="0" t="s">
        <v>182</v>
      </c>
      <c r="AZ75" s="0" t="s">
        <v>1</v>
      </c>
      <c r="BA75" s="0" t="s">
        <v>1871</v>
      </c>
      <c r="BB75" s="0" t="s">
        <v>1872</v>
      </c>
      <c r="BC75" s="0" t="s">
        <v>1873</v>
      </c>
      <c r="BD75" s="0" t="s">
        <v>1874</v>
      </c>
      <c r="BE75" s="0" t="s">
        <v>1875</v>
      </c>
      <c r="BF75" s="0" t="s">
        <v>163</v>
      </c>
      <c r="BG75" s="0" t="s">
        <v>163</v>
      </c>
      <c r="BH75" s="0" t="s">
        <v>279</v>
      </c>
      <c r="BI75" s="0" t="s">
        <v>1876</v>
      </c>
      <c r="BJ75" s="0" t="s">
        <v>1877</v>
      </c>
      <c r="BK75" s="0" t="s">
        <v>191</v>
      </c>
      <c r="BL75" s="0" t="s">
        <v>192</v>
      </c>
      <c r="BM75" s="0" t="s">
        <v>168</v>
      </c>
      <c r="BN75" s="0" t="s">
        <v>163</v>
      </c>
      <c r="BO75" s="0" t="s">
        <v>163</v>
      </c>
      <c r="BP75" s="0" t="s">
        <v>377</v>
      </c>
      <c r="BQ75" s="0" t="n">
        <v>40.738793</v>
      </c>
      <c r="BR75" s="0" t="n">
        <v>-73.991823</v>
      </c>
      <c r="BS75" s="0" t="s">
        <v>168</v>
      </c>
      <c r="BT75" s="0" t="n">
        <v>0</v>
      </c>
      <c r="BU75" s="0" t="s">
        <v>1878</v>
      </c>
      <c r="BV75" s="0" t="s">
        <v>1879</v>
      </c>
      <c r="BW75" s="0" t="s">
        <v>1869</v>
      </c>
      <c r="BX75" s="0" t="s">
        <v>1880</v>
      </c>
      <c r="BY75" s="0" t="s">
        <v>247</v>
      </c>
      <c r="CC75" s="0" t="s">
        <v>179</v>
      </c>
      <c r="CE75" s="0" t="s">
        <v>162</v>
      </c>
      <c r="CH75" s="0" t="s">
        <v>163</v>
      </c>
      <c r="CJ75" s="0" t="s">
        <v>163</v>
      </c>
      <c r="CK75" s="0" t="s">
        <v>168</v>
      </c>
      <c r="CL75" s="0" t="s">
        <v>1881</v>
      </c>
      <c r="CM75" s="0" t="s">
        <v>1882</v>
      </c>
      <c r="CN75" s="0" t="s">
        <v>174</v>
      </c>
      <c r="CO75" s="0" t="n">
        <v>36</v>
      </c>
      <c r="CP75" s="0" t="s">
        <v>578</v>
      </c>
      <c r="CQ75" s="0" t="s">
        <v>1883</v>
      </c>
      <c r="CR75" s="0" t="s">
        <v>206</v>
      </c>
      <c r="CS75" s="0" t="n">
        <v>0.4</v>
      </c>
      <c r="CT75" s="0" t="n">
        <v>40.1</v>
      </c>
      <c r="CU75" s="0" t="n">
        <v>10.1</v>
      </c>
      <c r="CV75" s="0" t="n">
        <v>15</v>
      </c>
      <c r="CW75" s="0" t="n">
        <v>10</v>
      </c>
      <c r="CX75" s="0" t="n">
        <v>5</v>
      </c>
      <c r="CY75" s="0" t="n">
        <f aca="false">IF(AH75="exact",10,IF(AH75="adjacent",5,0))</f>
        <v>0</v>
      </c>
      <c r="CZ75" s="0" t="n">
        <f aca="false">IF(R75="Y",15,0)</f>
        <v>0</v>
      </c>
      <c r="DF75" s="0" t="s">
        <v>158</v>
      </c>
      <c r="DG75" s="0" t="s">
        <v>211</v>
      </c>
      <c r="DK75" s="0" t="s">
        <v>1884</v>
      </c>
      <c r="DS75" s="0" t="s">
        <v>158</v>
      </c>
      <c r="DX75" s="0" t="s">
        <v>162</v>
      </c>
      <c r="ER75" s="0" t="str">
        <f aca="false">IF(ISNUMBER(MATCH(U75,{"queued","contacted","replied","call_booked","call_done","yes_in_principle","materials_sent"},0)),"Y","N")</f>
        <v>N</v>
      </c>
      <c r="ES75" s="0" t="str">
        <f aca="false">IF(COUNTIFS($AP$2:$AP$1000,AP75,$ER$2:$ER$1000,"Y")+COUNTIFS($AP$2:$AP$1000,AP75,$T$2:$T$1000,"Y")&gt;0,"Y","N")</f>
        <v>N</v>
      </c>
      <c r="ET75" s="0" t="str">
        <f aca="false">IF(AND(U75="new",T75="N",AT75="Y",AS75="",ES75="N"),"Y","N")</f>
        <v>N</v>
      </c>
      <c r="EU75" s="0" t="str">
        <f aca="false">IF(ET75&lt;&gt;"Y","N",IF(COUNTIFS($AP$2:$AP$1000,AP75,$ET$2:$ET$1000,"Y",$J$2:$J$1000,"&gt;"&amp;J75)+COUNTIFS($AP$2:$AP$1000,AP75,$ET$2:$ET$1000,"Y",$J$2:$J$1000,J75,$EW$2:$EW$1000,"&lt;"&amp;EW75)=0,"Y","N"))</f>
        <v>N</v>
      </c>
      <c r="EV75" s="0" t="str">
        <f aca="false">IF(Y75="","N",IF(Y75&lt;=10,"Y","N"))</f>
        <v>N</v>
      </c>
      <c r="EW75" s="0" t="n">
        <f aca="false">ROW()-1</f>
        <v>74</v>
      </c>
    </row>
    <row r="76" customFormat="false" ht="15" hidden="false" customHeight="false" outlineLevel="0" collapsed="false">
      <c r="A76" s="0" t="s">
        <v>1885</v>
      </c>
      <c r="B76" s="0" t="s">
        <v>1886</v>
      </c>
      <c r="H76" s="5" t="s">
        <v>158</v>
      </c>
      <c r="I76" s="5" t="s">
        <v>159</v>
      </c>
      <c r="J76" s="0" t="n">
        <f aca="false">IF(AX76="pass",ROUND(CU76+CV76+CW76+CX76+CY76+CZ76,1),0)</f>
        <v>40</v>
      </c>
      <c r="K76" s="0" t="s">
        <v>1887</v>
      </c>
      <c r="L76" s="0" t="s">
        <v>161</v>
      </c>
      <c r="R76" s="5" t="s">
        <v>162</v>
      </c>
      <c r="S76" s="0" t="s">
        <v>163</v>
      </c>
      <c r="T76" s="5" t="s">
        <v>162</v>
      </c>
      <c r="U76" s="5" t="s">
        <v>561</v>
      </c>
      <c r="V76" s="0" t="s">
        <v>1888</v>
      </c>
      <c r="W76" s="0" t="s">
        <v>166</v>
      </c>
      <c r="X76" s="0" t="s">
        <v>167</v>
      </c>
      <c r="Y76" s="0" t="str">
        <f aca="false">IF(EU76&lt;&gt;"Y","",COUNTIFS($EU$2:$EU$1000,"Y",$J$2:$J$1000,"&gt;"&amp;J76)+COUNTIFS($EU$2:$EU$1000,"Y",$J$2:$J$1000,J76,$EW$2:$EW$1000,"&lt;"&amp;EW76)+1)</f>
        <v/>
      </c>
      <c r="Z76" s="0" t="n">
        <v>75</v>
      </c>
      <c r="AA76" s="0" t="s">
        <v>162</v>
      </c>
      <c r="AD76" s="0" t="s">
        <v>158</v>
      </c>
      <c r="AH76" s="5" t="s">
        <v>158</v>
      </c>
      <c r="AI76" s="0" t="s">
        <v>1889</v>
      </c>
      <c r="AJ76" s="0" t="s">
        <v>888</v>
      </c>
      <c r="AK76" s="0" t="s">
        <v>434</v>
      </c>
      <c r="AL76" s="0" t="n">
        <v>67</v>
      </c>
      <c r="AM76" s="0" t="n">
        <v>218</v>
      </c>
      <c r="AN76" s="0" t="s">
        <v>179</v>
      </c>
      <c r="AO76" s="0" t="s">
        <v>1032</v>
      </c>
      <c r="AP76" s="0" t="s">
        <v>1885</v>
      </c>
      <c r="AQ76" s="5" t="s">
        <v>162</v>
      </c>
      <c r="AT76" s="0" t="str">
        <f aca="false">IF(AND(AX76="pass",AQ76&lt;&gt;"Y",C76&lt;&gt;"",OR(AW76&lt;&gt;"Y",AV76="Y")),"Y","N")</f>
        <v>N</v>
      </c>
      <c r="AU76" s="0" t="str">
        <f aca="false">_xlfn.TEXTJOIN("; ",TRUE(),IF(AX76&lt;&gt;"pass","gated out",""),IF(AQ76="Y","on hold: "&amp;AR76,""),IF(C76="","no contact named on an opened page",""),IF(AND(AW76="Y",AV76&lt;&gt;"Y"),"Tuesday estimate band "&amp;L76&amp;": founder's call",""))</f>
        <v>no contact named on an opened page</v>
      </c>
      <c r="AW76" s="0" t="s">
        <v>162</v>
      </c>
      <c r="AX76" s="0" t="s">
        <v>181</v>
      </c>
      <c r="AY76" s="0" t="s">
        <v>182</v>
      </c>
      <c r="AZ76" s="0" t="s">
        <v>1</v>
      </c>
      <c r="BA76" s="0" t="s">
        <v>1890</v>
      </c>
      <c r="BB76" s="0" t="s">
        <v>1891</v>
      </c>
      <c r="BC76" s="0" t="s">
        <v>1892</v>
      </c>
      <c r="BD76" s="0" t="s">
        <v>278</v>
      </c>
      <c r="BE76" s="0" t="s">
        <v>1893</v>
      </c>
      <c r="BF76" s="0" t="s">
        <v>163</v>
      </c>
      <c r="BG76" s="0" t="s">
        <v>163</v>
      </c>
      <c r="BH76" s="0" t="s">
        <v>279</v>
      </c>
      <c r="BI76" s="0" t="s">
        <v>1894</v>
      </c>
      <c r="BJ76" s="0" t="s">
        <v>1895</v>
      </c>
      <c r="BK76" s="0" t="s">
        <v>191</v>
      </c>
      <c r="BL76" s="0" t="s">
        <v>192</v>
      </c>
      <c r="BM76" s="0" t="s">
        <v>168</v>
      </c>
      <c r="BN76" s="0" t="s">
        <v>163</v>
      </c>
      <c r="BO76" s="0" t="s">
        <v>163</v>
      </c>
      <c r="BP76" s="0" t="s">
        <v>346</v>
      </c>
      <c r="BQ76" s="0" t="n">
        <v>40.741355</v>
      </c>
      <c r="BR76" s="0" t="n">
        <v>-73.990598</v>
      </c>
      <c r="BS76" s="0" t="s">
        <v>168</v>
      </c>
      <c r="BT76" s="0" t="n">
        <v>0</v>
      </c>
      <c r="BU76" s="0" t="s">
        <v>1896</v>
      </c>
      <c r="BV76" s="0" t="s">
        <v>1889</v>
      </c>
      <c r="BW76" s="0" t="s">
        <v>1888</v>
      </c>
      <c r="BX76" s="0" t="s">
        <v>1897</v>
      </c>
      <c r="BY76" s="0" t="s">
        <v>247</v>
      </c>
      <c r="CC76" s="0" t="s">
        <v>179</v>
      </c>
      <c r="CE76" s="0" t="s">
        <v>162</v>
      </c>
      <c r="CH76" s="0" t="s">
        <v>163</v>
      </c>
      <c r="CJ76" s="0" t="s">
        <v>163</v>
      </c>
      <c r="CK76" s="0" t="s">
        <v>162</v>
      </c>
      <c r="CL76" s="0" t="s">
        <v>1898</v>
      </c>
      <c r="CM76" s="0" t="s">
        <v>1899</v>
      </c>
      <c r="CN76" s="0" t="s">
        <v>174</v>
      </c>
      <c r="CO76" s="0" t="n">
        <v>121</v>
      </c>
      <c r="CQ76" s="0" t="s">
        <v>1900</v>
      </c>
      <c r="CR76" s="0" t="s">
        <v>206</v>
      </c>
      <c r="CS76" s="0" t="n">
        <v>1</v>
      </c>
      <c r="CT76" s="0" t="n">
        <v>40</v>
      </c>
      <c r="CU76" s="0" t="n">
        <v>25</v>
      </c>
      <c r="CV76" s="0" t="n">
        <v>15</v>
      </c>
      <c r="CW76" s="0" t="n">
        <v>-5</v>
      </c>
      <c r="CX76" s="0" t="n">
        <v>5</v>
      </c>
      <c r="CY76" s="0" t="n">
        <f aca="false">IF(AH76="exact",10,IF(AH76="adjacent",5,0))</f>
        <v>0</v>
      </c>
      <c r="CZ76" s="0" t="n">
        <f aca="false">IF(R76="Y",15,0)</f>
        <v>0</v>
      </c>
      <c r="DF76" s="0" t="s">
        <v>158</v>
      </c>
      <c r="DG76" s="0" t="s">
        <v>211</v>
      </c>
      <c r="DJ76" s="0" t="s">
        <v>1589</v>
      </c>
      <c r="DK76" s="0" t="s">
        <v>1901</v>
      </c>
      <c r="DS76" s="0" t="s">
        <v>158</v>
      </c>
      <c r="DX76" s="0" t="s">
        <v>162</v>
      </c>
      <c r="ER76" s="0" t="str">
        <f aca="false">IF(ISNUMBER(MATCH(U76,{"queued","contacted","replied","call_booked","call_done","yes_in_principle","materials_sent"},0)),"Y","N")</f>
        <v>N</v>
      </c>
      <c r="ES76" s="0" t="str">
        <f aca="false">IF(COUNTIFS($AP$2:$AP$1000,AP76,$ER$2:$ER$1000,"Y")+COUNTIFS($AP$2:$AP$1000,AP76,$T$2:$T$1000,"Y")&gt;0,"Y","N")</f>
        <v>N</v>
      </c>
      <c r="ET76" s="0" t="str">
        <f aca="false">IF(AND(U76="new",T76="N",AT76="Y",AS76="",ES76="N"),"Y","N")</f>
        <v>N</v>
      </c>
      <c r="EU76" s="0" t="str">
        <f aca="false">IF(ET76&lt;&gt;"Y","N",IF(COUNTIFS($AP$2:$AP$1000,AP76,$ET$2:$ET$1000,"Y",$J$2:$J$1000,"&gt;"&amp;J76)+COUNTIFS($AP$2:$AP$1000,AP76,$ET$2:$ET$1000,"Y",$J$2:$J$1000,J76,$EW$2:$EW$1000,"&lt;"&amp;EW76)=0,"Y","N"))</f>
        <v>N</v>
      </c>
      <c r="EV76" s="0" t="str">
        <f aca="false">IF(Y76="","N",IF(Y76&lt;=10,"Y","N"))</f>
        <v>N</v>
      </c>
      <c r="EW76" s="0" t="n">
        <f aca="false">ROW()-1</f>
        <v>75</v>
      </c>
    </row>
    <row r="77" customFormat="false" ht="15" hidden="false" customHeight="false" outlineLevel="0" collapsed="false">
      <c r="A77" s="0" t="s">
        <v>1902</v>
      </c>
      <c r="B77" s="0" t="s">
        <v>1903</v>
      </c>
      <c r="H77" s="5" t="s">
        <v>158</v>
      </c>
      <c r="I77" s="5" t="s">
        <v>159</v>
      </c>
      <c r="J77" s="0" t="n">
        <f aca="false">IF(AX77="pass",ROUND(CU77+CV77+CW77+CX77+CY77+CZ77,1),0)</f>
        <v>39.3</v>
      </c>
      <c r="K77" s="0" t="s">
        <v>1904</v>
      </c>
      <c r="L77" s="0" t="s">
        <v>161</v>
      </c>
      <c r="R77" s="5" t="s">
        <v>162</v>
      </c>
      <c r="S77" s="0" t="s">
        <v>163</v>
      </c>
      <c r="T77" s="5" t="s">
        <v>162</v>
      </c>
      <c r="U77" s="5" t="s">
        <v>561</v>
      </c>
      <c r="V77" s="0" t="s">
        <v>1074</v>
      </c>
      <c r="W77" s="0" t="s">
        <v>166</v>
      </c>
      <c r="X77" s="0" t="s">
        <v>167</v>
      </c>
      <c r="Y77" s="0" t="str">
        <f aca="false">IF(EU77&lt;&gt;"Y","",COUNTIFS($EU$2:$EU$1000,"Y",$J$2:$J$1000,"&gt;"&amp;J77)+COUNTIFS($EU$2:$EU$1000,"Y",$J$2:$J$1000,J77,$EW$2:$EW$1000,"&lt;"&amp;EW77)+1)</f>
        <v/>
      </c>
      <c r="Z77" s="0" t="n">
        <v>76</v>
      </c>
      <c r="AA77" s="0" t="s">
        <v>162</v>
      </c>
      <c r="AD77" s="0" t="s">
        <v>158</v>
      </c>
      <c r="AH77" s="5" t="s">
        <v>158</v>
      </c>
      <c r="AI77" s="0" t="s">
        <v>1064</v>
      </c>
      <c r="AJ77" s="0" t="s">
        <v>163</v>
      </c>
      <c r="AK77" s="0" t="s">
        <v>178</v>
      </c>
      <c r="AL77" s="0" t="n">
        <v>27</v>
      </c>
      <c r="AM77" s="0" t="n">
        <v>542</v>
      </c>
      <c r="AN77" s="0" t="s">
        <v>179</v>
      </c>
      <c r="AO77" s="0" t="s">
        <v>861</v>
      </c>
      <c r="AP77" s="0" t="s">
        <v>1902</v>
      </c>
      <c r="AQ77" s="5" t="s">
        <v>162</v>
      </c>
      <c r="AT77" s="0" t="str">
        <f aca="false">IF(AND(AX77="pass",AQ77&lt;&gt;"Y",C77&lt;&gt;"",OR(AW77&lt;&gt;"Y",AV77="Y")),"Y","N")</f>
        <v>N</v>
      </c>
      <c r="AU77" s="0" t="str">
        <f aca="false">_xlfn.TEXTJOIN("; ",TRUE(),IF(AX77&lt;&gt;"pass","gated out",""),IF(AQ77="Y","on hold: "&amp;AR77,""),IF(C77="","no contact named on an opened page",""),IF(AND(AW77="Y",AV77&lt;&gt;"Y"),"Tuesday estimate band "&amp;L77&amp;": founder's call",""))</f>
        <v>no contact named on an opened page</v>
      </c>
      <c r="AW77" s="0" t="s">
        <v>162</v>
      </c>
      <c r="AX77" s="0" t="s">
        <v>181</v>
      </c>
      <c r="AY77" s="0" t="s">
        <v>182</v>
      </c>
      <c r="AZ77" s="0" t="s">
        <v>1</v>
      </c>
      <c r="BA77" s="0" t="s">
        <v>1905</v>
      </c>
      <c r="BB77" s="0" t="s">
        <v>1906</v>
      </c>
      <c r="BC77" s="0" t="s">
        <v>1907</v>
      </c>
      <c r="BD77" s="0" t="s">
        <v>1908</v>
      </c>
      <c r="BF77" s="0" t="s">
        <v>1322</v>
      </c>
      <c r="BG77" s="0" t="s">
        <v>188</v>
      </c>
      <c r="BH77" s="0" t="s">
        <v>189</v>
      </c>
      <c r="BI77" s="0" t="s">
        <v>1909</v>
      </c>
      <c r="BK77" s="0" t="s">
        <v>1263</v>
      </c>
      <c r="BL77" s="0" t="s">
        <v>163</v>
      </c>
      <c r="BM77" s="0" t="s">
        <v>163</v>
      </c>
      <c r="BN77" s="0" t="s">
        <v>163</v>
      </c>
      <c r="BO77" s="0" t="s">
        <v>163</v>
      </c>
      <c r="BP77" s="0" t="s">
        <v>346</v>
      </c>
      <c r="BQ77" s="0" t="n">
        <v>40.742199</v>
      </c>
      <c r="BR77" s="0" t="n">
        <v>-73.99172</v>
      </c>
      <c r="BS77" s="0" t="s">
        <v>168</v>
      </c>
      <c r="BT77" s="0" t="n">
        <v>0</v>
      </c>
      <c r="BU77" s="0" t="s">
        <v>1072</v>
      </c>
      <c r="BV77" s="0" t="s">
        <v>1073</v>
      </c>
      <c r="BW77" s="0" t="s">
        <v>1074</v>
      </c>
      <c r="BX77" s="0" t="s">
        <v>1075</v>
      </c>
      <c r="BY77" s="0" t="s">
        <v>247</v>
      </c>
      <c r="BZ77" s="0" t="s">
        <v>1909</v>
      </c>
      <c r="CA77" s="0" t="s">
        <v>166</v>
      </c>
      <c r="CC77" s="0" t="s">
        <v>738</v>
      </c>
      <c r="CE77" s="0" t="s">
        <v>162</v>
      </c>
      <c r="CH77" s="0" t="s">
        <v>201</v>
      </c>
      <c r="CI77" s="0" t="s">
        <v>1074</v>
      </c>
      <c r="CJ77" s="0" t="s">
        <v>163</v>
      </c>
      <c r="CK77" s="0" t="s">
        <v>162</v>
      </c>
      <c r="CL77" s="0" t="s">
        <v>1910</v>
      </c>
      <c r="CM77" s="0" t="s">
        <v>1909</v>
      </c>
      <c r="CN77" s="0" t="s">
        <v>174</v>
      </c>
      <c r="CO77" s="0" t="n">
        <v>121</v>
      </c>
      <c r="CP77" s="0" t="s">
        <v>767</v>
      </c>
      <c r="CQ77" s="0" t="s">
        <v>1911</v>
      </c>
      <c r="CR77" s="0" t="s">
        <v>206</v>
      </c>
      <c r="CS77" s="0" t="n">
        <v>0.61</v>
      </c>
      <c r="CT77" s="0" t="n">
        <v>39.3</v>
      </c>
      <c r="CU77" s="0" t="n">
        <v>15.3</v>
      </c>
      <c r="CV77" s="0" t="n">
        <v>6</v>
      </c>
      <c r="CW77" s="0" t="n">
        <v>5</v>
      </c>
      <c r="CX77" s="0" t="n">
        <v>13</v>
      </c>
      <c r="CY77" s="0" t="n">
        <f aca="false">IF(AH77="exact",10,IF(AH77="adjacent",5,0))</f>
        <v>0</v>
      </c>
      <c r="CZ77" s="0" t="n">
        <f aca="false">IF(R77="Y",15,0)</f>
        <v>0</v>
      </c>
      <c r="DF77" s="0" t="s">
        <v>158</v>
      </c>
      <c r="DG77" s="0" t="s">
        <v>1335</v>
      </c>
      <c r="DH77" s="0" t="s">
        <v>1336</v>
      </c>
      <c r="DI77" s="0" t="s">
        <v>162</v>
      </c>
      <c r="DK77" s="0" t="s">
        <v>1912</v>
      </c>
      <c r="DS77" s="0" t="s">
        <v>158</v>
      </c>
      <c r="DX77" s="0" t="s">
        <v>162</v>
      </c>
      <c r="ER77" s="0" t="str">
        <f aca="false">IF(ISNUMBER(MATCH(U77,{"queued","contacted","replied","call_booked","call_done","yes_in_principle","materials_sent"},0)),"Y","N")</f>
        <v>N</v>
      </c>
      <c r="ES77" s="0" t="str">
        <f aca="false">IF(COUNTIFS($AP$2:$AP$1000,AP77,$ER$2:$ER$1000,"Y")+COUNTIFS($AP$2:$AP$1000,AP77,$T$2:$T$1000,"Y")&gt;0,"Y","N")</f>
        <v>N</v>
      </c>
      <c r="ET77" s="0" t="str">
        <f aca="false">IF(AND(U77="new",T77="N",AT77="Y",AS77="",ES77="N"),"Y","N")</f>
        <v>N</v>
      </c>
      <c r="EU77" s="0" t="str">
        <f aca="false">IF(ET77&lt;&gt;"Y","N",IF(COUNTIFS($AP$2:$AP$1000,AP77,$ET$2:$ET$1000,"Y",$J$2:$J$1000,"&gt;"&amp;J77)+COUNTIFS($AP$2:$AP$1000,AP77,$ET$2:$ET$1000,"Y",$J$2:$J$1000,J77,$EW$2:$EW$1000,"&lt;"&amp;EW77)=0,"Y","N"))</f>
        <v>N</v>
      </c>
      <c r="EV77" s="0" t="str">
        <f aca="false">IF(Y77="","N",IF(Y77&lt;=10,"Y","N"))</f>
        <v>N</v>
      </c>
      <c r="EW77" s="0" t="n">
        <f aca="false">ROW()-1</f>
        <v>76</v>
      </c>
    </row>
    <row r="78" customFormat="false" ht="15" hidden="false" customHeight="false" outlineLevel="0" collapsed="false">
      <c r="A78" s="0" t="s">
        <v>1913</v>
      </c>
      <c r="B78" s="0" t="s">
        <v>1914</v>
      </c>
      <c r="H78" s="5" t="s">
        <v>158</v>
      </c>
      <c r="I78" s="5" t="s">
        <v>159</v>
      </c>
      <c r="J78" s="0" t="n">
        <f aca="false">IF(AX78="pass",ROUND(CU78+CV78+CW78+CX78+CY78+CZ78,1),0)</f>
        <v>39.3</v>
      </c>
      <c r="K78" s="0" t="s">
        <v>1915</v>
      </c>
      <c r="L78" s="0" t="s">
        <v>161</v>
      </c>
      <c r="R78" s="5" t="s">
        <v>162</v>
      </c>
      <c r="S78" s="0" t="s">
        <v>163</v>
      </c>
      <c r="T78" s="5" t="s">
        <v>162</v>
      </c>
      <c r="U78" s="5" t="s">
        <v>561</v>
      </c>
      <c r="V78" s="0" t="s">
        <v>1916</v>
      </c>
      <c r="W78" s="0" t="s">
        <v>166</v>
      </c>
      <c r="X78" s="0" t="s">
        <v>167</v>
      </c>
      <c r="Y78" s="0" t="str">
        <f aca="false">IF(EU78&lt;&gt;"Y","",COUNTIFS($EU$2:$EU$1000,"Y",$J$2:$J$1000,"&gt;"&amp;J78)+COUNTIFS($EU$2:$EU$1000,"Y",$J$2:$J$1000,J78,$EW$2:$EW$1000,"&lt;"&amp;EW78)+1)</f>
        <v/>
      </c>
      <c r="Z78" s="0" t="n">
        <v>77</v>
      </c>
      <c r="AA78" s="0" t="s">
        <v>162</v>
      </c>
      <c r="AD78" s="0" t="s">
        <v>158</v>
      </c>
      <c r="AH78" s="5" t="s">
        <v>158</v>
      </c>
      <c r="AI78" s="0" t="s">
        <v>1917</v>
      </c>
      <c r="AJ78" s="0" t="s">
        <v>433</v>
      </c>
      <c r="AK78" s="0" t="s">
        <v>434</v>
      </c>
      <c r="AL78" s="0" t="n">
        <v>17</v>
      </c>
      <c r="AM78" s="0" t="n">
        <v>342</v>
      </c>
      <c r="AN78" s="0" t="s">
        <v>179</v>
      </c>
      <c r="AO78" s="0" t="s">
        <v>273</v>
      </c>
      <c r="AP78" s="0" t="s">
        <v>1913</v>
      </c>
      <c r="AQ78" s="5" t="s">
        <v>162</v>
      </c>
      <c r="AT78" s="0" t="str">
        <f aca="false">IF(AND(AX78="pass",AQ78&lt;&gt;"Y",C78&lt;&gt;"",OR(AW78&lt;&gt;"Y",AV78="Y")),"Y","N")</f>
        <v>N</v>
      </c>
      <c r="AU78" s="0" t="str">
        <f aca="false">_xlfn.TEXTJOIN("; ",TRUE(),IF(AX78&lt;&gt;"pass","gated out",""),IF(AQ78="Y","on hold: "&amp;AR78,""),IF(C78="","no contact named on an opened page",""),IF(AND(AW78="Y",AV78&lt;&gt;"Y"),"Tuesday estimate band "&amp;L78&amp;": founder's call",""))</f>
        <v>no contact named on an opened page</v>
      </c>
      <c r="AW78" s="0" t="s">
        <v>162</v>
      </c>
      <c r="AX78" s="0" t="s">
        <v>181</v>
      </c>
      <c r="AY78" s="0" t="s">
        <v>182</v>
      </c>
      <c r="AZ78" s="0" t="s">
        <v>1</v>
      </c>
      <c r="BA78" s="0" t="s">
        <v>1918</v>
      </c>
      <c r="BB78" s="0" t="s">
        <v>1919</v>
      </c>
      <c r="BC78" s="0" t="s">
        <v>1920</v>
      </c>
      <c r="BD78" s="0" t="s">
        <v>1737</v>
      </c>
      <c r="BF78" s="0" t="s">
        <v>1322</v>
      </c>
      <c r="BG78" s="0" t="s">
        <v>188</v>
      </c>
      <c r="BH78" s="0" t="s">
        <v>189</v>
      </c>
      <c r="BI78" s="0" t="s">
        <v>1916</v>
      </c>
      <c r="BK78" s="0" t="s">
        <v>1263</v>
      </c>
      <c r="BL78" s="0" t="s">
        <v>656</v>
      </c>
      <c r="BM78" s="0" t="s">
        <v>162</v>
      </c>
      <c r="BN78" s="0" t="s">
        <v>163</v>
      </c>
      <c r="BO78" s="0" t="s">
        <v>163</v>
      </c>
      <c r="BP78" s="0" t="s">
        <v>346</v>
      </c>
      <c r="BQ78" s="0" t="n">
        <v>40.743977</v>
      </c>
      <c r="BR78" s="0" t="n">
        <v>-73.99079</v>
      </c>
      <c r="BS78" s="0" t="s">
        <v>168</v>
      </c>
      <c r="BT78" s="0" t="n">
        <v>0</v>
      </c>
      <c r="BV78" s="0" t="s">
        <v>163</v>
      </c>
      <c r="BW78" s="0" t="s">
        <v>1916</v>
      </c>
      <c r="BX78" s="0" t="s">
        <v>174</v>
      </c>
      <c r="BY78" s="0" t="s">
        <v>444</v>
      </c>
      <c r="CC78" s="0" t="s">
        <v>179</v>
      </c>
      <c r="CE78" s="0" t="s">
        <v>162</v>
      </c>
      <c r="CH78" s="0" t="s">
        <v>163</v>
      </c>
      <c r="CJ78" s="0" t="s">
        <v>163</v>
      </c>
      <c r="CK78" s="0" t="s">
        <v>168</v>
      </c>
      <c r="CL78" s="0" t="s">
        <v>1921</v>
      </c>
      <c r="CM78" s="0" t="s">
        <v>1916</v>
      </c>
      <c r="CN78" s="0" t="s">
        <v>174</v>
      </c>
      <c r="CO78" s="0" t="n">
        <v>76</v>
      </c>
      <c r="CP78" s="0" t="s">
        <v>767</v>
      </c>
      <c r="CQ78" s="0" t="s">
        <v>1922</v>
      </c>
      <c r="CR78" s="0" t="s">
        <v>206</v>
      </c>
      <c r="CS78" s="0" t="n">
        <v>0.61</v>
      </c>
      <c r="CT78" s="0" t="n">
        <v>39.3</v>
      </c>
      <c r="CU78" s="0" t="n">
        <v>15.3</v>
      </c>
      <c r="CV78" s="0" t="n">
        <v>6</v>
      </c>
      <c r="CW78" s="0" t="n">
        <v>13</v>
      </c>
      <c r="CX78" s="0" t="n">
        <v>5</v>
      </c>
      <c r="CY78" s="0" t="n">
        <f aca="false">IF(AH78="exact",10,IF(AH78="adjacent",5,0))</f>
        <v>0</v>
      </c>
      <c r="CZ78" s="0" t="n">
        <f aca="false">IF(R78="Y",15,0)</f>
        <v>0</v>
      </c>
      <c r="DF78" s="0" t="s">
        <v>158</v>
      </c>
      <c r="DG78" s="0" t="s">
        <v>1335</v>
      </c>
      <c r="DH78" s="0" t="s">
        <v>1336</v>
      </c>
      <c r="DI78" s="0" t="s">
        <v>162</v>
      </c>
      <c r="DK78" s="0" t="s">
        <v>1923</v>
      </c>
      <c r="DS78" s="0" t="s">
        <v>158</v>
      </c>
      <c r="DX78" s="0" t="s">
        <v>162</v>
      </c>
      <c r="ER78" s="0" t="str">
        <f aca="false">IF(ISNUMBER(MATCH(U78,{"queued","contacted","replied","call_booked","call_done","yes_in_principle","materials_sent"},0)),"Y","N")</f>
        <v>N</v>
      </c>
      <c r="ES78" s="0" t="str">
        <f aca="false">IF(COUNTIFS($AP$2:$AP$1000,AP78,$ER$2:$ER$1000,"Y")+COUNTIFS($AP$2:$AP$1000,AP78,$T$2:$T$1000,"Y")&gt;0,"Y","N")</f>
        <v>N</v>
      </c>
      <c r="ET78" s="0" t="str">
        <f aca="false">IF(AND(U78="new",T78="N",AT78="Y",AS78="",ES78="N"),"Y","N")</f>
        <v>N</v>
      </c>
      <c r="EU78" s="0" t="str">
        <f aca="false">IF(ET78&lt;&gt;"Y","N",IF(COUNTIFS($AP$2:$AP$1000,AP78,$ET$2:$ET$1000,"Y",$J$2:$J$1000,"&gt;"&amp;J78)+COUNTIFS($AP$2:$AP$1000,AP78,$ET$2:$ET$1000,"Y",$J$2:$J$1000,J78,$EW$2:$EW$1000,"&lt;"&amp;EW78)=0,"Y","N"))</f>
        <v>N</v>
      </c>
      <c r="EV78" s="0" t="str">
        <f aca="false">IF(Y78="","N",IF(Y78&lt;=10,"Y","N"))</f>
        <v>N</v>
      </c>
      <c r="EW78" s="0" t="n">
        <f aca="false">ROW()-1</f>
        <v>77</v>
      </c>
    </row>
    <row r="79" customFormat="false" ht="15" hidden="false" customHeight="false" outlineLevel="0" collapsed="false">
      <c r="A79" s="0" t="s">
        <v>1924</v>
      </c>
      <c r="B79" s="0" t="s">
        <v>1925</v>
      </c>
      <c r="H79" s="5" t="s">
        <v>158</v>
      </c>
      <c r="I79" s="5" t="s">
        <v>159</v>
      </c>
      <c r="J79" s="0" t="n">
        <f aca="false">IF(AX79="pass",ROUND(CU79+CV79+CW79+CX79+CY79+CZ79,1),0)</f>
        <v>39.2</v>
      </c>
      <c r="K79" s="0" t="s">
        <v>1926</v>
      </c>
      <c r="L79" s="0" t="s">
        <v>560</v>
      </c>
      <c r="O79" s="0" t="s">
        <v>1927</v>
      </c>
      <c r="P79" s="0" t="s">
        <v>1928</v>
      </c>
      <c r="Q79" s="0" t="s">
        <v>1929</v>
      </c>
      <c r="R79" s="5" t="s">
        <v>162</v>
      </c>
      <c r="S79" s="0" t="s">
        <v>163</v>
      </c>
      <c r="T79" s="5" t="s">
        <v>162</v>
      </c>
      <c r="U79" s="5" t="s">
        <v>561</v>
      </c>
      <c r="V79" s="0" t="s">
        <v>1928</v>
      </c>
      <c r="W79" s="0" t="s">
        <v>166</v>
      </c>
      <c r="X79" s="0" t="s">
        <v>167</v>
      </c>
      <c r="Y79" s="0" t="str">
        <f aca="false">IF(EU79&lt;&gt;"Y","",COUNTIFS($EU$2:$EU$1000,"Y",$J$2:$J$1000,"&gt;"&amp;J79)+COUNTIFS($EU$2:$EU$1000,"Y",$J$2:$J$1000,J79,$EW$2:$EW$1000,"&lt;"&amp;EW79)+1)</f>
        <v/>
      </c>
      <c r="Z79" s="0" t="n">
        <v>78</v>
      </c>
      <c r="AA79" s="0" t="s">
        <v>162</v>
      </c>
      <c r="AB79" s="0" t="s">
        <v>1561</v>
      </c>
      <c r="AD79" s="0" t="s">
        <v>158</v>
      </c>
      <c r="AH79" s="5" t="s">
        <v>158</v>
      </c>
      <c r="AI79" s="0" t="s">
        <v>1930</v>
      </c>
      <c r="AJ79" s="0" t="s">
        <v>163</v>
      </c>
      <c r="AK79" s="0" t="s">
        <v>889</v>
      </c>
      <c r="AL79" s="0" t="n">
        <v>1</v>
      </c>
      <c r="AM79" s="0" t="n">
        <v>84</v>
      </c>
      <c r="AN79" s="0" t="s">
        <v>179</v>
      </c>
      <c r="AO79" s="0" t="s">
        <v>180</v>
      </c>
      <c r="AP79" s="0" t="s">
        <v>1924</v>
      </c>
      <c r="AQ79" s="5" t="s">
        <v>168</v>
      </c>
      <c r="AR79" s="0" t="s">
        <v>890</v>
      </c>
      <c r="AT79" s="0" t="str">
        <f aca="false">IF(AND(AX79="pass",AQ79&lt;&gt;"Y",C79&lt;&gt;"",OR(AW79&lt;&gt;"Y",AV79="Y")),"Y","N")</f>
        <v>N</v>
      </c>
      <c r="AU79" s="0" t="str">
        <f aca="false">_xlfn.TEXTJOIN("; ",TRUE(),IF(AX79&lt;&gt;"pass","gated out",""),IF(AQ79="Y","on hold: "&amp;AR79,""),IF(C79="","no contact named on an opened page",""),IF(AND(AW79="Y",AV79&lt;&gt;"Y"),"Tuesday estimate band "&amp;L79&amp;": founder's call",""))</f>
        <v>on hold: lease signed, move not confirmed: check the lobby directory before outreach (B); no contact named on an opened page; Tuesday estimate band under-40: founder's call</v>
      </c>
      <c r="AW79" s="0" t="s">
        <v>168</v>
      </c>
      <c r="AX79" s="0" t="s">
        <v>181</v>
      </c>
      <c r="AY79" s="0" t="s">
        <v>182</v>
      </c>
      <c r="AZ79" s="0" t="s">
        <v>1</v>
      </c>
      <c r="BA79" s="0" t="s">
        <v>1931</v>
      </c>
      <c r="BB79" s="0" t="s">
        <v>1932</v>
      </c>
      <c r="BC79" s="0" t="s">
        <v>1933</v>
      </c>
      <c r="BD79" s="0" t="s">
        <v>961</v>
      </c>
      <c r="BE79" s="0" t="s">
        <v>1934</v>
      </c>
      <c r="BF79" s="0" t="s">
        <v>163</v>
      </c>
      <c r="BG79" s="0" t="s">
        <v>163</v>
      </c>
      <c r="BH79" s="0" t="s">
        <v>279</v>
      </c>
      <c r="BI79" s="0" t="s">
        <v>1935</v>
      </c>
      <c r="BJ79" s="0" t="s">
        <v>1936</v>
      </c>
      <c r="BK79" s="0" t="s">
        <v>191</v>
      </c>
      <c r="BL79" s="0" t="s">
        <v>656</v>
      </c>
      <c r="BM79" s="0" t="s">
        <v>162</v>
      </c>
      <c r="BN79" s="0" t="s">
        <v>163</v>
      </c>
      <c r="BO79" s="0" t="s">
        <v>163</v>
      </c>
      <c r="BP79" s="0" t="s">
        <v>346</v>
      </c>
      <c r="BQ79" s="0" t="n">
        <v>40.742498</v>
      </c>
      <c r="BR79" s="0" t="n">
        <v>-73.991188</v>
      </c>
      <c r="BS79" s="0" t="s">
        <v>168</v>
      </c>
      <c r="BT79" s="0" t="n">
        <v>0</v>
      </c>
      <c r="BU79" s="0" t="s">
        <v>1937</v>
      </c>
      <c r="BV79" s="0" t="s">
        <v>1938</v>
      </c>
      <c r="BW79" s="0" t="s">
        <v>1928</v>
      </c>
      <c r="BX79" s="0" t="s">
        <v>1929</v>
      </c>
      <c r="BY79" s="0" t="s">
        <v>247</v>
      </c>
      <c r="CC79" s="0" t="s">
        <v>738</v>
      </c>
      <c r="CD79" s="0" t="s">
        <v>163</v>
      </c>
      <c r="CE79" s="0" t="s">
        <v>162</v>
      </c>
      <c r="CH79" s="0" t="s">
        <v>163</v>
      </c>
      <c r="CJ79" s="0" t="s">
        <v>163</v>
      </c>
      <c r="CK79" s="0" t="s">
        <v>162</v>
      </c>
      <c r="CL79" s="0" t="s">
        <v>577</v>
      </c>
      <c r="CM79" s="0" t="s">
        <v>1935</v>
      </c>
      <c r="CN79" s="0" t="s">
        <v>174</v>
      </c>
      <c r="CO79" s="0" t="n">
        <v>9</v>
      </c>
      <c r="CP79" s="0" t="s">
        <v>1726</v>
      </c>
      <c r="CQ79" s="0" t="s">
        <v>1939</v>
      </c>
      <c r="CR79" s="0" t="s">
        <v>206</v>
      </c>
      <c r="CS79" s="0" t="n">
        <v>0.17</v>
      </c>
      <c r="CT79" s="0" t="n">
        <v>39.2</v>
      </c>
      <c r="CU79" s="0" t="n">
        <v>4.2</v>
      </c>
      <c r="CV79" s="0" t="n">
        <v>15</v>
      </c>
      <c r="CW79" s="0" t="n">
        <v>15</v>
      </c>
      <c r="CX79" s="0" t="n">
        <v>5</v>
      </c>
      <c r="CY79" s="0" t="n">
        <f aca="false">IF(AH79="exact",10,IF(AH79="adjacent",5,0))</f>
        <v>0</v>
      </c>
      <c r="CZ79" s="0" t="n">
        <f aca="false">IF(R79="Y",15,0)</f>
        <v>0</v>
      </c>
      <c r="DF79" s="0" t="s">
        <v>158</v>
      </c>
      <c r="DG79" s="0" t="s">
        <v>211</v>
      </c>
      <c r="DJ79" s="0" t="s">
        <v>1940</v>
      </c>
      <c r="DK79" s="0" t="s">
        <v>1941</v>
      </c>
      <c r="DS79" s="0" t="s">
        <v>158</v>
      </c>
      <c r="DX79" s="0" t="s">
        <v>162</v>
      </c>
      <c r="ER79" s="0" t="str">
        <f aca="false">IF(ISNUMBER(MATCH(U79,{"queued","contacted","replied","call_booked","call_done","yes_in_principle","materials_sent"},0)),"Y","N")</f>
        <v>N</v>
      </c>
      <c r="ES79" s="0" t="str">
        <f aca="false">IF(COUNTIFS($AP$2:$AP$1000,AP79,$ER$2:$ER$1000,"Y")+COUNTIFS($AP$2:$AP$1000,AP79,$T$2:$T$1000,"Y")&gt;0,"Y","N")</f>
        <v>N</v>
      </c>
      <c r="ET79" s="0" t="str">
        <f aca="false">IF(AND(U79="new",T79="N",AT79="Y",AS79="",ES79="N"),"Y","N")</f>
        <v>N</v>
      </c>
      <c r="EU79" s="0" t="str">
        <f aca="false">IF(ET79&lt;&gt;"Y","N",IF(COUNTIFS($AP$2:$AP$1000,AP79,$ET$2:$ET$1000,"Y",$J$2:$J$1000,"&gt;"&amp;J79)+COUNTIFS($AP$2:$AP$1000,AP79,$ET$2:$ET$1000,"Y",$J$2:$J$1000,J79,$EW$2:$EW$1000,"&lt;"&amp;EW79)=0,"Y","N"))</f>
        <v>N</v>
      </c>
      <c r="EV79" s="0" t="str">
        <f aca="false">IF(Y79="","N",IF(Y79&lt;=10,"Y","N"))</f>
        <v>N</v>
      </c>
      <c r="EW79" s="0" t="n">
        <f aca="false">ROW()-1</f>
        <v>78</v>
      </c>
    </row>
    <row r="80" customFormat="false" ht="15" hidden="false" customHeight="false" outlineLevel="0" collapsed="false">
      <c r="A80" s="0" t="s">
        <v>1942</v>
      </c>
      <c r="B80" s="0" t="s">
        <v>1943</v>
      </c>
      <c r="H80" s="5" t="s">
        <v>158</v>
      </c>
      <c r="I80" s="5" t="s">
        <v>159</v>
      </c>
      <c r="J80" s="0" t="n">
        <f aca="false">IF(AX80="pass",ROUND(CU80+CV80+CW80+CX80+CY80+CZ80,1),0)</f>
        <v>38.7</v>
      </c>
      <c r="K80" s="0" t="s">
        <v>1944</v>
      </c>
      <c r="L80" s="0" t="s">
        <v>394</v>
      </c>
      <c r="O80" s="0" t="s">
        <v>1945</v>
      </c>
      <c r="P80" s="0" t="s">
        <v>1946</v>
      </c>
      <c r="Q80" s="0" t="s">
        <v>1947</v>
      </c>
      <c r="R80" s="5" t="s">
        <v>162</v>
      </c>
      <c r="S80" s="0" t="s">
        <v>163</v>
      </c>
      <c r="T80" s="5" t="s">
        <v>162</v>
      </c>
      <c r="U80" s="5" t="s">
        <v>561</v>
      </c>
      <c r="V80" s="0" t="s">
        <v>1946</v>
      </c>
      <c r="W80" s="0" t="s">
        <v>166</v>
      </c>
      <c r="X80" s="0" t="s">
        <v>167</v>
      </c>
      <c r="Y80" s="0" t="str">
        <f aca="false">IF(EU80&lt;&gt;"Y","",COUNTIFS($EU$2:$EU$1000,"Y",$J$2:$J$1000,"&gt;"&amp;J80)+COUNTIFS($EU$2:$EU$1000,"Y",$J$2:$J$1000,J80,$EW$2:$EW$1000,"&lt;"&amp;EW80)+1)</f>
        <v/>
      </c>
      <c r="Z80" s="0" t="n">
        <v>79</v>
      </c>
      <c r="AA80" s="0" t="s">
        <v>162</v>
      </c>
      <c r="AD80" s="0" t="s">
        <v>158</v>
      </c>
      <c r="AH80" s="5" t="s">
        <v>158</v>
      </c>
      <c r="AI80" s="0" t="s">
        <v>398</v>
      </c>
      <c r="AJ80" s="0" t="s">
        <v>163</v>
      </c>
      <c r="AK80" s="0" t="s">
        <v>889</v>
      </c>
      <c r="AL80" s="0" t="n">
        <v>12</v>
      </c>
      <c r="AM80" s="0" t="n">
        <v>441</v>
      </c>
      <c r="AN80" s="0" t="s">
        <v>179</v>
      </c>
      <c r="AO80" s="0" t="s">
        <v>180</v>
      </c>
      <c r="AP80" s="0" t="s">
        <v>1942</v>
      </c>
      <c r="AQ80" s="5" t="s">
        <v>168</v>
      </c>
      <c r="AR80" s="0" t="s">
        <v>890</v>
      </c>
      <c r="AT80" s="0" t="str">
        <f aca="false">IF(AND(AX80="pass",AQ80&lt;&gt;"Y",C80&lt;&gt;"",OR(AW80&lt;&gt;"Y",AV80="Y")),"Y","N")</f>
        <v>N</v>
      </c>
      <c r="AU80" s="0" t="str">
        <f aca="false">_xlfn.TEXTJOIN("; ",TRUE(),IF(AX80&lt;&gt;"pass","gated out",""),IF(AQ80="Y","on hold: "&amp;AR80,""),IF(C80="","no contact named on an opened page",""),IF(AND(AW80="Y",AV80&lt;&gt;"Y"),"Tuesday estimate band "&amp;L80&amp;": founder's call",""))</f>
        <v>on hold: lease signed, move not confirmed: check the lobby directory before outreach (B); no contact named on an opened page</v>
      </c>
      <c r="AW80" s="0" t="s">
        <v>162</v>
      </c>
      <c r="AX80" s="0" t="s">
        <v>181</v>
      </c>
      <c r="AY80" s="0" t="s">
        <v>182</v>
      </c>
      <c r="AZ80" s="0" t="s">
        <v>1</v>
      </c>
      <c r="BA80" s="0" t="s">
        <v>1948</v>
      </c>
      <c r="BB80" s="0" t="s">
        <v>1949</v>
      </c>
      <c r="BC80" s="0" t="s">
        <v>1950</v>
      </c>
      <c r="BD80" s="0" t="s">
        <v>1951</v>
      </c>
      <c r="BE80" s="0" t="s">
        <v>1952</v>
      </c>
      <c r="BF80" s="0" t="s">
        <v>1322</v>
      </c>
      <c r="BG80" s="0" t="s">
        <v>188</v>
      </c>
      <c r="BH80" s="0" t="s">
        <v>1323</v>
      </c>
      <c r="BI80" s="0" t="s">
        <v>1953</v>
      </c>
      <c r="BJ80" s="0" t="s">
        <v>1954</v>
      </c>
      <c r="BK80" s="0" t="s">
        <v>1263</v>
      </c>
      <c r="BL80" s="0" t="s">
        <v>572</v>
      </c>
      <c r="BM80" s="0" t="s">
        <v>162</v>
      </c>
      <c r="BN80" s="0" t="s">
        <v>163</v>
      </c>
      <c r="BO80" s="0" t="s">
        <v>163</v>
      </c>
      <c r="BP80" s="0" t="s">
        <v>346</v>
      </c>
      <c r="BQ80" s="0" t="n">
        <v>40.742014</v>
      </c>
      <c r="BR80" s="0" t="n">
        <v>-73.993705</v>
      </c>
      <c r="BS80" s="0" t="s">
        <v>168</v>
      </c>
      <c r="BT80" s="0" t="n">
        <v>0</v>
      </c>
      <c r="BU80" s="0" t="s">
        <v>405</v>
      </c>
      <c r="BV80" s="0" t="s">
        <v>406</v>
      </c>
      <c r="BW80" s="0" t="s">
        <v>1946</v>
      </c>
      <c r="BX80" s="0" t="s">
        <v>1947</v>
      </c>
      <c r="BY80" s="0" t="s">
        <v>247</v>
      </c>
      <c r="CC80" s="0" t="s">
        <v>738</v>
      </c>
      <c r="CD80" s="0" t="s">
        <v>163</v>
      </c>
      <c r="CE80" s="0" t="s">
        <v>162</v>
      </c>
      <c r="CH80" s="0" t="s">
        <v>163</v>
      </c>
      <c r="CJ80" s="0" t="s">
        <v>163</v>
      </c>
      <c r="CK80" s="0" t="s">
        <v>162</v>
      </c>
      <c r="CL80" s="0" t="s">
        <v>900</v>
      </c>
      <c r="CM80" s="0" t="s">
        <v>1955</v>
      </c>
      <c r="CN80" s="0" t="s">
        <v>174</v>
      </c>
      <c r="CO80" s="0" t="n">
        <v>73</v>
      </c>
      <c r="CP80" s="0" t="s">
        <v>767</v>
      </c>
      <c r="CQ80" s="0" t="s">
        <v>1956</v>
      </c>
      <c r="CR80" s="0" t="s">
        <v>206</v>
      </c>
      <c r="CS80" s="0" t="n">
        <v>0.51</v>
      </c>
      <c r="CT80" s="0" t="n">
        <v>38.7</v>
      </c>
      <c r="CU80" s="0" t="n">
        <v>12.7</v>
      </c>
      <c r="CV80" s="0" t="n">
        <v>6</v>
      </c>
      <c r="CW80" s="0" t="n">
        <v>15</v>
      </c>
      <c r="CX80" s="0" t="n">
        <v>5</v>
      </c>
      <c r="CY80" s="0" t="n">
        <f aca="false">IF(AH80="exact",10,IF(AH80="adjacent",5,0))</f>
        <v>0</v>
      </c>
      <c r="CZ80" s="0" t="n">
        <f aca="false">IF(R80="Y",15,0)</f>
        <v>0</v>
      </c>
      <c r="DF80" s="0" t="s">
        <v>158</v>
      </c>
      <c r="DG80" s="0" t="s">
        <v>1335</v>
      </c>
      <c r="DH80" s="0" t="s">
        <v>1336</v>
      </c>
      <c r="DI80" s="0" t="s">
        <v>168</v>
      </c>
      <c r="DJ80" s="0" t="s">
        <v>1957</v>
      </c>
      <c r="DK80" s="0" t="s">
        <v>1958</v>
      </c>
      <c r="DS80" s="0" t="s">
        <v>158</v>
      </c>
      <c r="DX80" s="0" t="s">
        <v>162</v>
      </c>
      <c r="ER80" s="0" t="str">
        <f aca="false">IF(ISNUMBER(MATCH(U80,{"queued","contacted","replied","call_booked","call_done","yes_in_principle","materials_sent"},0)),"Y","N")</f>
        <v>N</v>
      </c>
      <c r="ES80" s="0" t="str">
        <f aca="false">IF(COUNTIFS($AP$2:$AP$1000,AP80,$ER$2:$ER$1000,"Y")+COUNTIFS($AP$2:$AP$1000,AP80,$T$2:$T$1000,"Y")&gt;0,"Y","N")</f>
        <v>N</v>
      </c>
      <c r="ET80" s="0" t="str">
        <f aca="false">IF(AND(U80="new",T80="N",AT80="Y",AS80="",ES80="N"),"Y","N")</f>
        <v>N</v>
      </c>
      <c r="EU80" s="0" t="str">
        <f aca="false">IF(ET80&lt;&gt;"Y","N",IF(COUNTIFS($AP$2:$AP$1000,AP80,$ET$2:$ET$1000,"Y",$J$2:$J$1000,"&gt;"&amp;J80)+COUNTIFS($AP$2:$AP$1000,AP80,$ET$2:$ET$1000,"Y",$J$2:$J$1000,J80,$EW$2:$EW$1000,"&lt;"&amp;EW80)=0,"Y","N"))</f>
        <v>N</v>
      </c>
      <c r="EV80" s="0" t="str">
        <f aca="false">IF(Y80="","N",IF(Y80&lt;=10,"Y","N"))</f>
        <v>N</v>
      </c>
      <c r="EW80" s="0" t="n">
        <f aca="false">ROW()-1</f>
        <v>79</v>
      </c>
    </row>
    <row r="81" customFormat="false" ht="15" hidden="false" customHeight="false" outlineLevel="0" collapsed="false">
      <c r="A81" s="0" t="s">
        <v>1959</v>
      </c>
      <c r="B81" s="0" t="s">
        <v>1960</v>
      </c>
      <c r="H81" s="5" t="s">
        <v>158</v>
      </c>
      <c r="I81" s="5" t="s">
        <v>159</v>
      </c>
      <c r="J81" s="0" t="n">
        <f aca="false">IF(AX81="pass",ROUND(CU81+CV81+CW81+CX81+CY81+CZ81,1),0)</f>
        <v>38.6</v>
      </c>
      <c r="K81" s="0" t="s">
        <v>1961</v>
      </c>
      <c r="L81" s="0" t="s">
        <v>560</v>
      </c>
      <c r="R81" s="5" t="s">
        <v>162</v>
      </c>
      <c r="S81" s="0" t="s">
        <v>163</v>
      </c>
      <c r="T81" s="5" t="s">
        <v>162</v>
      </c>
      <c r="U81" s="5" t="s">
        <v>561</v>
      </c>
      <c r="V81" s="0" t="s">
        <v>1962</v>
      </c>
      <c r="W81" s="0" t="s">
        <v>166</v>
      </c>
      <c r="X81" s="0" t="s">
        <v>167</v>
      </c>
      <c r="Y81" s="0" t="str">
        <f aca="false">IF(EU81&lt;&gt;"Y","",COUNTIFS($EU$2:$EU$1000,"Y",$J$2:$J$1000,"&gt;"&amp;J81)+COUNTIFS($EU$2:$EU$1000,"Y",$J$2:$J$1000,J81,$EW$2:$EW$1000,"&lt;"&amp;EW81)+1)</f>
        <v/>
      </c>
      <c r="Z81" s="0" t="n">
        <v>80</v>
      </c>
      <c r="AA81" s="0" t="s">
        <v>162</v>
      </c>
      <c r="AB81" s="0" t="s">
        <v>1561</v>
      </c>
      <c r="AD81" s="0" t="s">
        <v>158</v>
      </c>
      <c r="AH81" s="5" t="s">
        <v>158</v>
      </c>
      <c r="AI81" s="0" t="s">
        <v>1064</v>
      </c>
      <c r="AJ81" s="0" t="s">
        <v>163</v>
      </c>
      <c r="AK81" s="0" t="s">
        <v>178</v>
      </c>
      <c r="AL81" s="0" t="n">
        <v>23</v>
      </c>
      <c r="AM81" s="0" t="n">
        <v>47</v>
      </c>
      <c r="AN81" s="0" t="s">
        <v>179</v>
      </c>
      <c r="AO81" s="0" t="s">
        <v>861</v>
      </c>
      <c r="AP81" s="0" t="s">
        <v>1959</v>
      </c>
      <c r="AQ81" s="5" t="s">
        <v>162</v>
      </c>
      <c r="AT81" s="0" t="str">
        <f aca="false">IF(AND(AX81="pass",AQ81&lt;&gt;"Y",C81&lt;&gt;"",OR(AW81&lt;&gt;"Y",AV81="Y")),"Y","N")</f>
        <v>N</v>
      </c>
      <c r="AU81" s="0" t="str">
        <f aca="false">_xlfn.TEXTJOIN("; ",TRUE(),IF(AX81&lt;&gt;"pass","gated out",""),IF(AQ81="Y","on hold: "&amp;AR81,""),IF(C81="","no contact named on an opened page",""),IF(AND(AW81="Y",AV81&lt;&gt;"Y"),"Tuesday estimate band "&amp;L81&amp;": founder's call",""))</f>
        <v>no contact named on an opened page; Tuesday estimate band under-40: founder's call</v>
      </c>
      <c r="AW81" s="0" t="s">
        <v>168</v>
      </c>
      <c r="AX81" s="0" t="s">
        <v>181</v>
      </c>
      <c r="AY81" s="0" t="s">
        <v>182</v>
      </c>
      <c r="AZ81" s="0" t="s">
        <v>1</v>
      </c>
      <c r="BA81" s="0" t="s">
        <v>1963</v>
      </c>
      <c r="BB81" s="0" t="s">
        <v>1964</v>
      </c>
      <c r="BC81" s="0" t="s">
        <v>1965</v>
      </c>
      <c r="BD81" s="0" t="s">
        <v>1966</v>
      </c>
      <c r="BF81" s="0" t="s">
        <v>394</v>
      </c>
      <c r="BG81" s="0" t="s">
        <v>188</v>
      </c>
      <c r="BH81" s="0" t="s">
        <v>189</v>
      </c>
      <c r="BI81" s="0" t="s">
        <v>1967</v>
      </c>
      <c r="BK81" s="0" t="s">
        <v>191</v>
      </c>
      <c r="BL81" s="0" t="s">
        <v>192</v>
      </c>
      <c r="BM81" s="0" t="s">
        <v>168</v>
      </c>
      <c r="BN81" s="0" t="s">
        <v>163</v>
      </c>
      <c r="BO81" s="0" t="s">
        <v>163</v>
      </c>
      <c r="BP81" s="0" t="s">
        <v>346</v>
      </c>
      <c r="BQ81" s="0" t="n">
        <v>40.742199</v>
      </c>
      <c r="BR81" s="0" t="n">
        <v>-73.99172</v>
      </c>
      <c r="BS81" s="0" t="s">
        <v>168</v>
      </c>
      <c r="BT81" s="0" t="n">
        <v>0</v>
      </c>
      <c r="BU81" s="0" t="s">
        <v>1072</v>
      </c>
      <c r="BV81" s="0" t="s">
        <v>1073</v>
      </c>
      <c r="BW81" s="0" t="s">
        <v>1962</v>
      </c>
      <c r="BX81" s="0" t="s">
        <v>1968</v>
      </c>
      <c r="BY81" s="0" t="s">
        <v>247</v>
      </c>
      <c r="BZ81" s="0" t="s">
        <v>1074</v>
      </c>
      <c r="CA81" s="0" t="s">
        <v>1075</v>
      </c>
      <c r="CC81" s="0" t="s">
        <v>738</v>
      </c>
      <c r="CE81" s="0" t="s">
        <v>162</v>
      </c>
      <c r="CH81" s="0" t="s">
        <v>201</v>
      </c>
      <c r="CI81" s="0" t="s">
        <v>1074</v>
      </c>
      <c r="CJ81" s="0" t="s">
        <v>163</v>
      </c>
      <c r="CK81" s="0" t="s">
        <v>162</v>
      </c>
      <c r="CL81" s="0" t="s">
        <v>1910</v>
      </c>
      <c r="CM81" s="0" t="s">
        <v>1967</v>
      </c>
      <c r="CN81" s="0" t="s">
        <v>174</v>
      </c>
      <c r="CO81" s="0" t="n">
        <v>33</v>
      </c>
      <c r="CP81" s="0" t="s">
        <v>578</v>
      </c>
      <c r="CQ81" s="0" t="s">
        <v>1969</v>
      </c>
      <c r="CR81" s="0" t="s">
        <v>206</v>
      </c>
      <c r="CS81" s="0" t="n">
        <v>0.23</v>
      </c>
      <c r="CT81" s="0" t="n">
        <v>38.6</v>
      </c>
      <c r="CU81" s="0" t="n">
        <v>5.6</v>
      </c>
      <c r="CV81" s="0" t="n">
        <v>15</v>
      </c>
      <c r="CW81" s="0" t="n">
        <v>5</v>
      </c>
      <c r="CX81" s="0" t="n">
        <v>13</v>
      </c>
      <c r="CY81" s="0" t="n">
        <f aca="false">IF(AH81="exact",10,IF(AH81="adjacent",5,0))</f>
        <v>0</v>
      </c>
      <c r="CZ81" s="0" t="n">
        <f aca="false">IF(R81="Y",15,0)</f>
        <v>0</v>
      </c>
      <c r="DF81" s="0" t="s">
        <v>158</v>
      </c>
      <c r="DG81" s="0" t="s">
        <v>211</v>
      </c>
      <c r="DK81" s="0" t="s">
        <v>1970</v>
      </c>
      <c r="DS81" s="0" t="s">
        <v>158</v>
      </c>
      <c r="DX81" s="0" t="s">
        <v>162</v>
      </c>
      <c r="ER81" s="0" t="str">
        <f aca="false">IF(ISNUMBER(MATCH(U81,{"queued","contacted","replied","call_booked","call_done","yes_in_principle","materials_sent"},0)),"Y","N")</f>
        <v>N</v>
      </c>
      <c r="ES81" s="0" t="str">
        <f aca="false">IF(COUNTIFS($AP$2:$AP$1000,AP81,$ER$2:$ER$1000,"Y")+COUNTIFS($AP$2:$AP$1000,AP81,$T$2:$T$1000,"Y")&gt;0,"Y","N")</f>
        <v>N</v>
      </c>
      <c r="ET81" s="0" t="str">
        <f aca="false">IF(AND(U81="new",T81="N",AT81="Y",AS81="",ES81="N"),"Y","N")</f>
        <v>N</v>
      </c>
      <c r="EU81" s="0" t="str">
        <f aca="false">IF(ET81&lt;&gt;"Y","N",IF(COUNTIFS($AP$2:$AP$1000,AP81,$ET$2:$ET$1000,"Y",$J$2:$J$1000,"&gt;"&amp;J81)+COUNTIFS($AP$2:$AP$1000,AP81,$ET$2:$ET$1000,"Y",$J$2:$J$1000,J81,$EW$2:$EW$1000,"&lt;"&amp;EW81)=0,"Y","N"))</f>
        <v>N</v>
      </c>
      <c r="EV81" s="0" t="str">
        <f aca="false">IF(Y81="","N",IF(Y81&lt;=10,"Y","N"))</f>
        <v>N</v>
      </c>
      <c r="EW81" s="0" t="n">
        <f aca="false">ROW()-1</f>
        <v>80</v>
      </c>
    </row>
    <row r="82" customFormat="false" ht="15" hidden="false" customHeight="false" outlineLevel="0" collapsed="false">
      <c r="A82" s="0" t="s">
        <v>1971</v>
      </c>
      <c r="B82" s="0" t="s">
        <v>1972</v>
      </c>
      <c r="H82" s="5" t="s">
        <v>158</v>
      </c>
      <c r="I82" s="5" t="s">
        <v>159</v>
      </c>
      <c r="J82" s="0" t="n">
        <f aca="false">IF(AX82="pass",ROUND(CU82+CV82+CW82+CX82+CY82+CZ82,1),0)</f>
        <v>38.3</v>
      </c>
      <c r="K82" s="0" t="s">
        <v>1973</v>
      </c>
      <c r="L82" s="0" t="s">
        <v>187</v>
      </c>
      <c r="R82" s="5" t="s">
        <v>162</v>
      </c>
      <c r="S82" s="0" t="s">
        <v>163</v>
      </c>
      <c r="T82" s="5" t="s">
        <v>162</v>
      </c>
      <c r="U82" s="5" t="s">
        <v>561</v>
      </c>
      <c r="V82" s="0" t="s">
        <v>1974</v>
      </c>
      <c r="W82" s="0" t="s">
        <v>166</v>
      </c>
      <c r="X82" s="0" t="s">
        <v>167</v>
      </c>
      <c r="Y82" s="0" t="str">
        <f aca="false">IF(EU82&lt;&gt;"Y","",COUNTIFS($EU$2:$EU$1000,"Y",$J$2:$J$1000,"&gt;"&amp;J82)+COUNTIFS($EU$2:$EU$1000,"Y",$J$2:$J$1000,J82,$EW$2:$EW$1000,"&lt;"&amp;EW82)+1)</f>
        <v/>
      </c>
      <c r="Z82" s="0" t="n">
        <v>81</v>
      </c>
      <c r="AA82" s="0" t="s">
        <v>162</v>
      </c>
      <c r="AD82" s="0" t="s">
        <v>158</v>
      </c>
      <c r="AH82" s="5" t="s">
        <v>158</v>
      </c>
      <c r="AI82" s="0" t="s">
        <v>1975</v>
      </c>
      <c r="AJ82" s="0" t="s">
        <v>1976</v>
      </c>
      <c r="AK82" s="0" t="s">
        <v>178</v>
      </c>
      <c r="AL82" s="0" t="n">
        <v>34</v>
      </c>
      <c r="AM82" s="0" t="n">
        <v>684</v>
      </c>
      <c r="AN82" s="0" t="s">
        <v>179</v>
      </c>
      <c r="AO82" s="0" t="s">
        <v>163</v>
      </c>
      <c r="AP82" s="0" t="s">
        <v>1971</v>
      </c>
      <c r="AQ82" s="5" t="s">
        <v>162</v>
      </c>
      <c r="AT82" s="0" t="str">
        <f aca="false">IF(AND(AX82="pass",AQ82&lt;&gt;"Y",C82&lt;&gt;"",OR(AW82&lt;&gt;"Y",AV82="Y")),"Y","N")</f>
        <v>N</v>
      </c>
      <c r="AU82" s="0" t="str">
        <f aca="false">_xlfn.TEXTJOIN("; ",TRUE(),IF(AX82&lt;&gt;"pass","gated out",""),IF(AQ82="Y","on hold: "&amp;AR82,""),IF(C82="","no contact named on an opened page",""),IF(AND(AW82="Y",AV82&lt;&gt;"Y"),"Tuesday estimate band "&amp;L82&amp;": founder's call",""))</f>
        <v>no contact named on an opened page</v>
      </c>
      <c r="AW82" s="0" t="s">
        <v>162</v>
      </c>
      <c r="AX82" s="0" t="s">
        <v>181</v>
      </c>
      <c r="AY82" s="0" t="s">
        <v>182</v>
      </c>
      <c r="AZ82" s="0" t="s">
        <v>1</v>
      </c>
      <c r="BA82" s="0" t="s">
        <v>1977</v>
      </c>
      <c r="BB82" s="0" t="s">
        <v>1978</v>
      </c>
      <c r="BC82" s="0" t="s">
        <v>1979</v>
      </c>
      <c r="BD82" s="0" t="s">
        <v>1980</v>
      </c>
      <c r="BF82" s="0" t="s">
        <v>1322</v>
      </c>
      <c r="BG82" s="0" t="s">
        <v>188</v>
      </c>
      <c r="BH82" s="0" t="s">
        <v>189</v>
      </c>
      <c r="BI82" s="0" t="s">
        <v>1981</v>
      </c>
      <c r="BK82" s="0" t="s">
        <v>1439</v>
      </c>
      <c r="BL82" s="0" t="s">
        <v>163</v>
      </c>
      <c r="BM82" s="0" t="s">
        <v>163</v>
      </c>
      <c r="BN82" s="0" t="s">
        <v>163</v>
      </c>
      <c r="BO82" s="0" t="s">
        <v>163</v>
      </c>
      <c r="BP82" s="0" t="s">
        <v>346</v>
      </c>
      <c r="BQ82" s="0" t="n">
        <v>40.741817</v>
      </c>
      <c r="BR82" s="0" t="n">
        <v>-73.990988</v>
      </c>
      <c r="BS82" s="0" t="s">
        <v>168</v>
      </c>
      <c r="BT82" s="0" t="n">
        <v>0</v>
      </c>
      <c r="BV82" s="0" t="s">
        <v>163</v>
      </c>
      <c r="BW82" s="0" t="s">
        <v>1974</v>
      </c>
      <c r="BX82" s="0" t="s">
        <v>1982</v>
      </c>
      <c r="BY82" s="0" t="s">
        <v>247</v>
      </c>
      <c r="BZ82" s="0" t="s">
        <v>1704</v>
      </c>
      <c r="CA82" s="0" t="s">
        <v>1705</v>
      </c>
      <c r="CC82" s="0" t="s">
        <v>200</v>
      </c>
      <c r="CE82" s="0" t="s">
        <v>162</v>
      </c>
      <c r="CH82" s="0" t="s">
        <v>201</v>
      </c>
      <c r="CJ82" s="0" t="s">
        <v>163</v>
      </c>
      <c r="CK82" s="0" t="s">
        <v>162</v>
      </c>
      <c r="CL82" s="0" t="s">
        <v>163</v>
      </c>
      <c r="CO82" s="0" t="n">
        <v>152</v>
      </c>
      <c r="CP82" s="0" t="s">
        <v>250</v>
      </c>
      <c r="CQ82" s="0" t="s">
        <v>1983</v>
      </c>
      <c r="CR82" s="0" t="s">
        <v>206</v>
      </c>
      <c r="CS82" s="0" t="n">
        <v>0.61</v>
      </c>
      <c r="CT82" s="0" t="n">
        <v>38.3</v>
      </c>
      <c r="CU82" s="0" t="n">
        <v>15.3</v>
      </c>
      <c r="CV82" s="0" t="n">
        <v>2</v>
      </c>
      <c r="CW82" s="0" t="n">
        <v>6</v>
      </c>
      <c r="CX82" s="0" t="n">
        <v>15</v>
      </c>
      <c r="CY82" s="0" t="n">
        <f aca="false">IF(AH82="exact",10,IF(AH82="adjacent",5,0))</f>
        <v>0</v>
      </c>
      <c r="CZ82" s="0" t="n">
        <f aca="false">IF(R82="Y",15,0)</f>
        <v>0</v>
      </c>
      <c r="DF82" s="0" t="s">
        <v>158</v>
      </c>
      <c r="DG82" s="0" t="s">
        <v>1335</v>
      </c>
      <c r="DH82" s="0" t="s">
        <v>1446</v>
      </c>
      <c r="DI82" s="0" t="s">
        <v>162</v>
      </c>
      <c r="DJ82" s="0" t="s">
        <v>1984</v>
      </c>
      <c r="DK82" s="0" t="s">
        <v>1985</v>
      </c>
      <c r="DS82" s="0" t="s">
        <v>158</v>
      </c>
      <c r="DX82" s="0" t="s">
        <v>162</v>
      </c>
      <c r="ER82" s="0" t="str">
        <f aca="false">IF(ISNUMBER(MATCH(U82,{"queued","contacted","replied","call_booked","call_done","yes_in_principle","materials_sent"},0)),"Y","N")</f>
        <v>N</v>
      </c>
      <c r="ES82" s="0" t="str">
        <f aca="false">IF(COUNTIFS($AP$2:$AP$1000,AP82,$ER$2:$ER$1000,"Y")+COUNTIFS($AP$2:$AP$1000,AP82,$T$2:$T$1000,"Y")&gt;0,"Y","N")</f>
        <v>N</v>
      </c>
      <c r="ET82" s="0" t="str">
        <f aca="false">IF(AND(U82="new",T82="N",AT82="Y",AS82="",ES82="N"),"Y","N")</f>
        <v>N</v>
      </c>
      <c r="EU82" s="0" t="str">
        <f aca="false">IF(ET82&lt;&gt;"Y","N",IF(COUNTIFS($AP$2:$AP$1000,AP82,$ET$2:$ET$1000,"Y",$J$2:$J$1000,"&gt;"&amp;J82)+COUNTIFS($AP$2:$AP$1000,AP82,$ET$2:$ET$1000,"Y",$J$2:$J$1000,J82,$EW$2:$EW$1000,"&lt;"&amp;EW82)=0,"Y","N"))</f>
        <v>N</v>
      </c>
      <c r="EV82" s="0" t="str">
        <f aca="false">IF(Y82="","N",IF(Y82&lt;=10,"Y","N"))</f>
        <v>N</v>
      </c>
      <c r="EW82" s="0" t="n">
        <f aca="false">ROW()-1</f>
        <v>81</v>
      </c>
    </row>
    <row r="83" customFormat="false" ht="15" hidden="false" customHeight="false" outlineLevel="0" collapsed="false">
      <c r="A83" s="0" t="s">
        <v>1986</v>
      </c>
      <c r="B83" s="0" t="s">
        <v>1987</v>
      </c>
      <c r="H83" s="5" t="s">
        <v>158</v>
      </c>
      <c r="I83" s="5" t="s">
        <v>159</v>
      </c>
      <c r="J83" s="0" t="n">
        <f aca="false">IF(AX83="pass",ROUND(CU83+CV83+CW83+CX83+CY83+CZ83,1),0)</f>
        <v>38.3</v>
      </c>
      <c r="K83" s="0" t="s">
        <v>1988</v>
      </c>
      <c r="L83" s="0" t="s">
        <v>161</v>
      </c>
      <c r="O83" s="0" t="s">
        <v>1989</v>
      </c>
      <c r="P83" s="0" t="s">
        <v>1990</v>
      </c>
      <c r="Q83" s="0" t="s">
        <v>522</v>
      </c>
      <c r="R83" s="5" t="s">
        <v>162</v>
      </c>
      <c r="S83" s="0" t="s">
        <v>163</v>
      </c>
      <c r="T83" s="5" t="s">
        <v>162</v>
      </c>
      <c r="U83" s="5" t="s">
        <v>561</v>
      </c>
      <c r="V83" s="0" t="s">
        <v>1990</v>
      </c>
      <c r="W83" s="0" t="s">
        <v>166</v>
      </c>
      <c r="X83" s="0" t="s">
        <v>167</v>
      </c>
      <c r="Y83" s="0" t="str">
        <f aca="false">IF(EU83&lt;&gt;"Y","",COUNTIFS($EU$2:$EU$1000,"Y",$J$2:$J$1000,"&gt;"&amp;J83)+COUNTIFS($EU$2:$EU$1000,"Y",$J$2:$J$1000,J83,$EW$2:$EW$1000,"&lt;"&amp;EW83)+1)</f>
        <v/>
      </c>
      <c r="Z83" s="0" t="n">
        <v>82</v>
      </c>
      <c r="AA83" s="0" t="s">
        <v>162</v>
      </c>
      <c r="AD83" s="0" t="s">
        <v>158</v>
      </c>
      <c r="AH83" s="5" t="s">
        <v>158</v>
      </c>
      <c r="AI83" s="0" t="s">
        <v>1991</v>
      </c>
      <c r="AJ83" s="0" t="s">
        <v>1992</v>
      </c>
      <c r="AK83" s="0" t="s">
        <v>434</v>
      </c>
      <c r="AL83" s="0" t="n">
        <v>11</v>
      </c>
      <c r="AM83" s="0" t="n">
        <v>644</v>
      </c>
      <c r="AN83" s="0" t="s">
        <v>179</v>
      </c>
      <c r="AO83" s="0" t="s">
        <v>180</v>
      </c>
      <c r="AP83" s="0" t="s">
        <v>1986</v>
      </c>
      <c r="AQ83" s="5" t="s">
        <v>162</v>
      </c>
      <c r="AT83" s="0" t="str">
        <f aca="false">IF(AND(AX83="pass",AQ83&lt;&gt;"Y",C83&lt;&gt;"",OR(AW83&lt;&gt;"Y",AV83="Y")),"Y","N")</f>
        <v>N</v>
      </c>
      <c r="AU83" s="0" t="str">
        <f aca="false">_xlfn.TEXTJOIN("; ",TRUE(),IF(AX83&lt;&gt;"pass","gated out",""),IF(AQ83="Y","on hold: "&amp;AR83,""),IF(C83="","no contact named on an opened page",""),IF(AND(AW83="Y",AV83&lt;&gt;"Y"),"Tuesday estimate band "&amp;L83&amp;": founder's call",""))</f>
        <v>no contact named on an opened page</v>
      </c>
      <c r="AW83" s="0" t="s">
        <v>162</v>
      </c>
      <c r="AX83" s="0" t="s">
        <v>181</v>
      </c>
      <c r="AY83" s="0" t="s">
        <v>182</v>
      </c>
      <c r="AZ83" s="0" t="s">
        <v>1</v>
      </c>
      <c r="BA83" s="0" t="s">
        <v>1993</v>
      </c>
      <c r="BB83" s="0" t="s">
        <v>1994</v>
      </c>
      <c r="BC83" s="0" t="s">
        <v>1995</v>
      </c>
      <c r="BD83" s="0" t="s">
        <v>1996</v>
      </c>
      <c r="BE83" s="0" t="s">
        <v>1997</v>
      </c>
      <c r="BF83" s="0" t="s">
        <v>1322</v>
      </c>
      <c r="BG83" s="0" t="s">
        <v>188</v>
      </c>
      <c r="BH83" s="0" t="s">
        <v>1323</v>
      </c>
      <c r="BI83" s="0" t="s">
        <v>1998</v>
      </c>
      <c r="BJ83" s="0" t="s">
        <v>1999</v>
      </c>
      <c r="BK83" s="0" t="s">
        <v>1439</v>
      </c>
      <c r="BL83" s="0" t="s">
        <v>656</v>
      </c>
      <c r="BM83" s="0" t="s">
        <v>162</v>
      </c>
      <c r="BN83" s="0" t="s">
        <v>163</v>
      </c>
      <c r="BO83" s="0" t="s">
        <v>163</v>
      </c>
      <c r="BP83" s="0" t="s">
        <v>346</v>
      </c>
      <c r="BQ83" s="0" t="n">
        <v>40.741141</v>
      </c>
      <c r="BR83" s="0" t="n">
        <v>-73.987489</v>
      </c>
      <c r="BS83" s="0" t="s">
        <v>168</v>
      </c>
      <c r="BT83" s="0" t="n">
        <v>0</v>
      </c>
      <c r="BV83" s="0" t="s">
        <v>163</v>
      </c>
      <c r="BW83" s="0" t="s">
        <v>1990</v>
      </c>
      <c r="BX83" s="0" t="s">
        <v>522</v>
      </c>
      <c r="BY83" s="0" t="s">
        <v>247</v>
      </c>
      <c r="BZ83" s="0" t="s">
        <v>2000</v>
      </c>
      <c r="CA83" s="0" t="s">
        <v>2001</v>
      </c>
      <c r="CC83" s="0" t="s">
        <v>200</v>
      </c>
      <c r="CE83" s="0" t="s">
        <v>162</v>
      </c>
      <c r="CH83" s="0" t="s">
        <v>163</v>
      </c>
      <c r="CJ83" s="0" t="s">
        <v>163</v>
      </c>
      <c r="CK83" s="0" t="s">
        <v>162</v>
      </c>
      <c r="CL83" s="0" t="s">
        <v>1128</v>
      </c>
      <c r="CM83" s="0" t="s">
        <v>1999</v>
      </c>
      <c r="CN83" s="0" t="s">
        <v>174</v>
      </c>
      <c r="CO83" s="0" t="n">
        <v>84</v>
      </c>
      <c r="CP83" s="0" t="s">
        <v>767</v>
      </c>
      <c r="CQ83" s="0" t="s">
        <v>2002</v>
      </c>
      <c r="CR83" s="0" t="s">
        <v>206</v>
      </c>
      <c r="CS83" s="0" t="n">
        <v>0.45</v>
      </c>
      <c r="CT83" s="0" t="n">
        <v>38.3</v>
      </c>
      <c r="CU83" s="0" t="n">
        <v>11.3</v>
      </c>
      <c r="CV83" s="0" t="n">
        <v>2</v>
      </c>
      <c r="CW83" s="0" t="n">
        <v>15</v>
      </c>
      <c r="CX83" s="0" t="n">
        <v>10</v>
      </c>
      <c r="CY83" s="0" t="n">
        <f aca="false">IF(AH83="exact",10,IF(AH83="adjacent",5,0))</f>
        <v>0</v>
      </c>
      <c r="CZ83" s="0" t="n">
        <f aca="false">IF(R83="Y",15,0)</f>
        <v>0</v>
      </c>
      <c r="DF83" s="0" t="s">
        <v>158</v>
      </c>
      <c r="DG83" s="0" t="s">
        <v>1335</v>
      </c>
      <c r="DH83" s="0" t="s">
        <v>1446</v>
      </c>
      <c r="DI83" s="0" t="s">
        <v>162</v>
      </c>
      <c r="DJ83" s="0" t="s">
        <v>2003</v>
      </c>
      <c r="DK83" s="0" t="s">
        <v>2004</v>
      </c>
      <c r="DS83" s="0" t="s">
        <v>158</v>
      </c>
      <c r="DX83" s="0" t="s">
        <v>162</v>
      </c>
      <c r="ER83" s="0" t="str">
        <f aca="false">IF(ISNUMBER(MATCH(U83,{"queued","contacted","replied","call_booked","call_done","yes_in_principle","materials_sent"},0)),"Y","N")</f>
        <v>N</v>
      </c>
      <c r="ES83" s="0" t="str">
        <f aca="false">IF(COUNTIFS($AP$2:$AP$1000,AP83,$ER$2:$ER$1000,"Y")+COUNTIFS($AP$2:$AP$1000,AP83,$T$2:$T$1000,"Y")&gt;0,"Y","N")</f>
        <v>N</v>
      </c>
      <c r="ET83" s="0" t="str">
        <f aca="false">IF(AND(U83="new",T83="N",AT83="Y",AS83="",ES83="N"),"Y","N")</f>
        <v>N</v>
      </c>
      <c r="EU83" s="0" t="str">
        <f aca="false">IF(ET83&lt;&gt;"Y","N",IF(COUNTIFS($AP$2:$AP$1000,AP83,$ET$2:$ET$1000,"Y",$J$2:$J$1000,"&gt;"&amp;J83)+COUNTIFS($AP$2:$AP$1000,AP83,$ET$2:$ET$1000,"Y",$J$2:$J$1000,J83,$EW$2:$EW$1000,"&lt;"&amp;EW83)=0,"Y","N"))</f>
        <v>N</v>
      </c>
      <c r="EV83" s="0" t="str">
        <f aca="false">IF(Y83="","N",IF(Y83&lt;=10,"Y","N"))</f>
        <v>N</v>
      </c>
      <c r="EW83" s="0" t="n">
        <f aca="false">ROW()-1</f>
        <v>82</v>
      </c>
    </row>
    <row r="84" customFormat="false" ht="15" hidden="false" customHeight="false" outlineLevel="0" collapsed="false">
      <c r="A84" s="0" t="s">
        <v>2005</v>
      </c>
      <c r="B84" s="0" t="s">
        <v>2006</v>
      </c>
      <c r="H84" s="5" t="s">
        <v>158</v>
      </c>
      <c r="I84" s="5" t="s">
        <v>159</v>
      </c>
      <c r="J84" s="0" t="n">
        <f aca="false">IF(AX84="pass",ROUND(CU84+CV84+CW84+CX84+CY84+CZ84,1),0)</f>
        <v>38.2</v>
      </c>
      <c r="K84" s="0" t="s">
        <v>2007</v>
      </c>
      <c r="L84" s="0" t="s">
        <v>560</v>
      </c>
      <c r="R84" s="5" t="s">
        <v>162</v>
      </c>
      <c r="S84" s="0" t="s">
        <v>163</v>
      </c>
      <c r="T84" s="5" t="s">
        <v>162</v>
      </c>
      <c r="U84" s="5" t="s">
        <v>561</v>
      </c>
      <c r="V84" s="0" t="s">
        <v>2008</v>
      </c>
      <c r="W84" s="0" t="s">
        <v>166</v>
      </c>
      <c r="X84" s="0" t="s">
        <v>167</v>
      </c>
      <c r="Y84" s="0" t="str">
        <f aca="false">IF(EU84&lt;&gt;"Y","",COUNTIFS($EU$2:$EU$1000,"Y",$J$2:$J$1000,"&gt;"&amp;J84)+COUNTIFS($EU$2:$EU$1000,"Y",$J$2:$J$1000,J84,$EW$2:$EW$1000,"&lt;"&amp;EW84)+1)</f>
        <v/>
      </c>
      <c r="Z84" s="0" t="n">
        <v>83</v>
      </c>
      <c r="AA84" s="0" t="s">
        <v>162</v>
      </c>
      <c r="AB84" s="0" t="s">
        <v>1561</v>
      </c>
      <c r="AD84" s="0" t="s">
        <v>158</v>
      </c>
      <c r="AH84" s="5" t="s">
        <v>158</v>
      </c>
      <c r="AI84" s="0" t="s">
        <v>1473</v>
      </c>
      <c r="AJ84" s="0" t="s">
        <v>163</v>
      </c>
      <c r="AK84" s="0" t="s">
        <v>889</v>
      </c>
      <c r="AL84" s="0" t="n">
        <v>2</v>
      </c>
      <c r="AM84" s="0" t="n">
        <v>228</v>
      </c>
      <c r="AN84" s="0" t="s">
        <v>179</v>
      </c>
      <c r="AO84" s="0" t="s">
        <v>369</v>
      </c>
      <c r="AP84" s="0" t="s">
        <v>2005</v>
      </c>
      <c r="AQ84" s="5" t="s">
        <v>168</v>
      </c>
      <c r="AR84" s="0" t="s">
        <v>890</v>
      </c>
      <c r="AT84" s="0" t="str">
        <f aca="false">IF(AND(AX84="pass",AQ84&lt;&gt;"Y",C84&lt;&gt;"",OR(AW84&lt;&gt;"Y",AV84="Y")),"Y","N")</f>
        <v>N</v>
      </c>
      <c r="AU84" s="0" t="str">
        <f aca="false">_xlfn.TEXTJOIN("; ",TRUE(),IF(AX84&lt;&gt;"pass","gated out",""),IF(AQ84="Y","on hold: "&amp;AR84,""),IF(C84="","no contact named on an opened page",""),IF(AND(AW84="Y",AV84&lt;&gt;"Y"),"Tuesday estimate band "&amp;L84&amp;": founder's call",""))</f>
        <v>on hold: lease signed, move not confirmed: check the lobby directory before outreach (B); no contact named on an opened page; Tuesday estimate band under-40: founder's call</v>
      </c>
      <c r="AW84" s="0" t="s">
        <v>168</v>
      </c>
      <c r="AX84" s="0" t="s">
        <v>181</v>
      </c>
      <c r="AY84" s="0" t="s">
        <v>182</v>
      </c>
      <c r="AZ84" s="0" t="s">
        <v>1</v>
      </c>
      <c r="BA84" s="0" t="s">
        <v>2009</v>
      </c>
      <c r="BB84" s="0" t="s">
        <v>2010</v>
      </c>
      <c r="BC84" s="0" t="s">
        <v>2011</v>
      </c>
      <c r="BD84" s="0" t="s">
        <v>1874</v>
      </c>
      <c r="BE84" s="0" t="s">
        <v>2012</v>
      </c>
      <c r="BF84" s="0" t="s">
        <v>163</v>
      </c>
      <c r="BG84" s="0" t="s">
        <v>163</v>
      </c>
      <c r="BH84" s="0" t="s">
        <v>279</v>
      </c>
      <c r="BI84" s="0" t="s">
        <v>2013</v>
      </c>
      <c r="BJ84" s="0" t="s">
        <v>2014</v>
      </c>
      <c r="BK84" s="0" t="s">
        <v>191</v>
      </c>
      <c r="BL84" s="0" t="s">
        <v>2015</v>
      </c>
      <c r="BM84" s="0" t="s">
        <v>162</v>
      </c>
      <c r="BN84" s="0" t="s">
        <v>163</v>
      </c>
      <c r="BO84" s="0" t="s">
        <v>163</v>
      </c>
      <c r="BP84" s="0" t="s">
        <v>346</v>
      </c>
      <c r="BQ84" s="0" t="n">
        <v>40.741968</v>
      </c>
      <c r="BR84" s="0" t="n">
        <v>-73.985327</v>
      </c>
      <c r="BS84" s="0" t="s">
        <v>168</v>
      </c>
      <c r="BT84" s="0" t="n">
        <v>0</v>
      </c>
      <c r="BU84" s="0" t="s">
        <v>1480</v>
      </c>
      <c r="BV84" s="0" t="s">
        <v>1481</v>
      </c>
      <c r="BW84" s="0" t="s">
        <v>2008</v>
      </c>
      <c r="BX84" s="0" t="s">
        <v>2016</v>
      </c>
      <c r="BY84" s="0" t="s">
        <v>247</v>
      </c>
      <c r="BZ84" s="0" t="s">
        <v>2017</v>
      </c>
      <c r="CA84" s="0" t="s">
        <v>2016</v>
      </c>
      <c r="CC84" s="0" t="s">
        <v>200</v>
      </c>
      <c r="CD84" s="0" t="s">
        <v>163</v>
      </c>
      <c r="CE84" s="0" t="s">
        <v>162</v>
      </c>
      <c r="CH84" s="0" t="s">
        <v>163</v>
      </c>
      <c r="CJ84" s="0" t="s">
        <v>163</v>
      </c>
      <c r="CK84" s="0" t="s">
        <v>162</v>
      </c>
      <c r="CL84" s="0" t="s">
        <v>2018</v>
      </c>
      <c r="CM84" s="0" t="s">
        <v>2013</v>
      </c>
      <c r="CN84" s="0" t="s">
        <v>174</v>
      </c>
      <c r="CO84" s="0" t="n">
        <v>21</v>
      </c>
      <c r="CP84" s="0" t="s">
        <v>1726</v>
      </c>
      <c r="CQ84" s="0" t="s">
        <v>2019</v>
      </c>
      <c r="CR84" s="0" t="s">
        <v>206</v>
      </c>
      <c r="CS84" s="0" t="n">
        <v>0.37</v>
      </c>
      <c r="CT84" s="0" t="n">
        <v>38.2</v>
      </c>
      <c r="CU84" s="0" t="n">
        <v>9.2</v>
      </c>
      <c r="CV84" s="0" t="n">
        <v>15</v>
      </c>
      <c r="CW84" s="0" t="n">
        <v>7</v>
      </c>
      <c r="CX84" s="0" t="n">
        <v>7</v>
      </c>
      <c r="CY84" s="0" t="n">
        <f aca="false">IF(AH84="exact",10,IF(AH84="adjacent",5,0))</f>
        <v>0</v>
      </c>
      <c r="CZ84" s="0" t="n">
        <f aca="false">IF(R84="Y",15,0)</f>
        <v>0</v>
      </c>
      <c r="DF84" s="0" t="s">
        <v>158</v>
      </c>
      <c r="DG84" s="0" t="s">
        <v>211</v>
      </c>
      <c r="DJ84" s="0" t="s">
        <v>2020</v>
      </c>
      <c r="DK84" s="0" t="s">
        <v>2021</v>
      </c>
      <c r="DS84" s="0" t="s">
        <v>158</v>
      </c>
      <c r="DX84" s="0" t="s">
        <v>162</v>
      </c>
      <c r="ER84" s="0" t="str">
        <f aca="false">IF(ISNUMBER(MATCH(U84,{"queued","contacted","replied","call_booked","call_done","yes_in_principle","materials_sent"},0)),"Y","N")</f>
        <v>N</v>
      </c>
      <c r="ES84" s="0" t="str">
        <f aca="false">IF(COUNTIFS($AP$2:$AP$1000,AP84,$ER$2:$ER$1000,"Y")+COUNTIFS($AP$2:$AP$1000,AP84,$T$2:$T$1000,"Y")&gt;0,"Y","N")</f>
        <v>N</v>
      </c>
      <c r="ET84" s="0" t="str">
        <f aca="false">IF(AND(U84="new",T84="N",AT84="Y",AS84="",ES84="N"),"Y","N")</f>
        <v>N</v>
      </c>
      <c r="EU84" s="0" t="str">
        <f aca="false">IF(ET84&lt;&gt;"Y","N",IF(COUNTIFS($AP$2:$AP$1000,AP84,$ET$2:$ET$1000,"Y",$J$2:$J$1000,"&gt;"&amp;J84)+COUNTIFS($AP$2:$AP$1000,AP84,$ET$2:$ET$1000,"Y",$J$2:$J$1000,J84,$EW$2:$EW$1000,"&lt;"&amp;EW84)=0,"Y","N"))</f>
        <v>N</v>
      </c>
      <c r="EV84" s="0" t="str">
        <f aca="false">IF(Y84="","N",IF(Y84&lt;=10,"Y","N"))</f>
        <v>N</v>
      </c>
      <c r="EW84" s="0" t="n">
        <f aca="false">ROW()-1</f>
        <v>83</v>
      </c>
    </row>
    <row r="85" customFormat="false" ht="15" hidden="false" customHeight="false" outlineLevel="0" collapsed="false">
      <c r="A85" s="0" t="s">
        <v>2022</v>
      </c>
      <c r="B85" s="0" t="s">
        <v>2023</v>
      </c>
      <c r="H85" s="5" t="s">
        <v>158</v>
      </c>
      <c r="I85" s="5" t="s">
        <v>159</v>
      </c>
      <c r="J85" s="0" t="n">
        <f aca="false">IF(AX85="pass",ROUND(CU85+CV85+CW85+CX85+CY85+CZ85,1),0)</f>
        <v>37.4</v>
      </c>
      <c r="K85" s="0" t="s">
        <v>2024</v>
      </c>
      <c r="L85" s="0" t="s">
        <v>394</v>
      </c>
      <c r="R85" s="5" t="s">
        <v>162</v>
      </c>
      <c r="S85" s="0" t="s">
        <v>163</v>
      </c>
      <c r="T85" s="5" t="s">
        <v>162</v>
      </c>
      <c r="U85" s="5" t="s">
        <v>561</v>
      </c>
      <c r="V85" s="0" t="s">
        <v>2008</v>
      </c>
      <c r="W85" s="0" t="s">
        <v>166</v>
      </c>
      <c r="X85" s="0" t="s">
        <v>167</v>
      </c>
      <c r="Y85" s="0" t="str">
        <f aca="false">IF(EU85&lt;&gt;"Y","",COUNTIFS($EU$2:$EU$1000,"Y",$J$2:$J$1000,"&gt;"&amp;J85)+COUNTIFS($EU$2:$EU$1000,"Y",$J$2:$J$1000,J85,$EW$2:$EW$1000,"&lt;"&amp;EW85)+1)</f>
        <v/>
      </c>
      <c r="Z85" s="0" t="n">
        <v>84</v>
      </c>
      <c r="AA85" s="0" t="s">
        <v>162</v>
      </c>
      <c r="AD85" s="0" t="s">
        <v>158</v>
      </c>
      <c r="AH85" s="5" t="s">
        <v>158</v>
      </c>
      <c r="AI85" s="0" t="s">
        <v>1473</v>
      </c>
      <c r="AJ85" s="0" t="s">
        <v>2025</v>
      </c>
      <c r="AK85" s="0" t="s">
        <v>434</v>
      </c>
      <c r="AL85" s="0" t="n">
        <v>16</v>
      </c>
      <c r="AM85" s="0" t="n">
        <v>314</v>
      </c>
      <c r="AN85" s="0" t="s">
        <v>179</v>
      </c>
      <c r="AO85" s="0" t="s">
        <v>163</v>
      </c>
      <c r="AP85" s="0" t="s">
        <v>2022</v>
      </c>
      <c r="AQ85" s="5" t="s">
        <v>162</v>
      </c>
      <c r="AT85" s="0" t="str">
        <f aca="false">IF(AND(AX85="pass",AQ85&lt;&gt;"Y",C85&lt;&gt;"",OR(AW85&lt;&gt;"Y",AV85="Y")),"Y","N")</f>
        <v>N</v>
      </c>
      <c r="AU85" s="0" t="str">
        <f aca="false">_xlfn.TEXTJOIN("; ",TRUE(),IF(AX85&lt;&gt;"pass","gated out",""),IF(AQ85="Y","on hold: "&amp;AR85,""),IF(C85="","no contact named on an opened page",""),IF(AND(AW85="Y",AV85&lt;&gt;"Y"),"Tuesday estimate band "&amp;L85&amp;": founder's call",""))</f>
        <v>no contact named on an opened page</v>
      </c>
      <c r="AW85" s="0" t="s">
        <v>162</v>
      </c>
      <c r="AX85" s="0" t="s">
        <v>181</v>
      </c>
      <c r="AY85" s="0" t="s">
        <v>182</v>
      </c>
      <c r="AZ85" s="0" t="s">
        <v>1</v>
      </c>
      <c r="BA85" s="0" t="s">
        <v>2026</v>
      </c>
      <c r="BB85" s="0" t="s">
        <v>2027</v>
      </c>
      <c r="BC85" s="0" t="s">
        <v>2028</v>
      </c>
      <c r="BD85" s="0" t="s">
        <v>2029</v>
      </c>
      <c r="BF85" s="0" t="s">
        <v>1322</v>
      </c>
      <c r="BG85" s="0" t="s">
        <v>188</v>
      </c>
      <c r="BH85" s="0" t="s">
        <v>189</v>
      </c>
      <c r="BI85" s="0" t="s">
        <v>2030</v>
      </c>
      <c r="BK85" s="0" t="s">
        <v>1263</v>
      </c>
      <c r="BL85" s="0" t="s">
        <v>163</v>
      </c>
      <c r="BM85" s="0" t="s">
        <v>163</v>
      </c>
      <c r="BN85" s="0" t="s">
        <v>163</v>
      </c>
      <c r="BO85" s="0" t="s">
        <v>163</v>
      </c>
      <c r="BP85" s="0" t="s">
        <v>346</v>
      </c>
      <c r="BQ85" s="0" t="n">
        <v>40.741968</v>
      </c>
      <c r="BR85" s="0" t="n">
        <v>-73.985327</v>
      </c>
      <c r="BS85" s="0" t="s">
        <v>168</v>
      </c>
      <c r="BT85" s="0" t="n">
        <v>0</v>
      </c>
      <c r="BU85" s="0" t="s">
        <v>1480</v>
      </c>
      <c r="BV85" s="0" t="s">
        <v>1481</v>
      </c>
      <c r="BW85" s="0" t="s">
        <v>2008</v>
      </c>
      <c r="BX85" s="0" t="s">
        <v>2016</v>
      </c>
      <c r="BY85" s="0" t="s">
        <v>247</v>
      </c>
      <c r="BZ85" s="0" t="s">
        <v>2031</v>
      </c>
      <c r="CA85" s="0" t="s">
        <v>2032</v>
      </c>
      <c r="CC85" s="0" t="s">
        <v>200</v>
      </c>
      <c r="CE85" s="0" t="s">
        <v>162</v>
      </c>
      <c r="CH85" s="0" t="s">
        <v>163</v>
      </c>
      <c r="CJ85" s="0" t="s">
        <v>163</v>
      </c>
      <c r="CK85" s="0" t="s">
        <v>162</v>
      </c>
      <c r="CL85" s="0" t="s">
        <v>163</v>
      </c>
      <c r="CO85" s="0" t="n">
        <v>71</v>
      </c>
      <c r="CP85" s="0" t="s">
        <v>767</v>
      </c>
      <c r="CQ85" s="0" t="s">
        <v>2033</v>
      </c>
      <c r="CR85" s="0" t="s">
        <v>206</v>
      </c>
      <c r="CS85" s="0" t="n">
        <v>0.62</v>
      </c>
      <c r="CT85" s="0" t="n">
        <v>37.4</v>
      </c>
      <c r="CU85" s="0" t="n">
        <v>15.4</v>
      </c>
      <c r="CV85" s="0" t="n">
        <v>6</v>
      </c>
      <c r="CW85" s="0" t="n">
        <v>6</v>
      </c>
      <c r="CX85" s="0" t="n">
        <v>10</v>
      </c>
      <c r="CY85" s="0" t="n">
        <f aca="false">IF(AH85="exact",10,IF(AH85="adjacent",5,0))</f>
        <v>0</v>
      </c>
      <c r="CZ85" s="0" t="n">
        <f aca="false">IF(R85="Y",15,0)</f>
        <v>0</v>
      </c>
      <c r="DF85" s="0" t="s">
        <v>158</v>
      </c>
      <c r="DG85" s="0" t="s">
        <v>1335</v>
      </c>
      <c r="DH85" s="0" t="s">
        <v>1336</v>
      </c>
      <c r="DI85" s="0" t="s">
        <v>162</v>
      </c>
      <c r="DJ85" s="0" t="s">
        <v>2034</v>
      </c>
      <c r="DK85" s="0" t="s">
        <v>2035</v>
      </c>
      <c r="DS85" s="0" t="s">
        <v>158</v>
      </c>
      <c r="DX85" s="0" t="s">
        <v>162</v>
      </c>
      <c r="ER85" s="0" t="str">
        <f aca="false">IF(ISNUMBER(MATCH(U85,{"queued","contacted","replied","call_booked","call_done","yes_in_principle","materials_sent"},0)),"Y","N")</f>
        <v>N</v>
      </c>
      <c r="ES85" s="0" t="str">
        <f aca="false">IF(COUNTIFS($AP$2:$AP$1000,AP85,$ER$2:$ER$1000,"Y")+COUNTIFS($AP$2:$AP$1000,AP85,$T$2:$T$1000,"Y")&gt;0,"Y","N")</f>
        <v>N</v>
      </c>
      <c r="ET85" s="0" t="str">
        <f aca="false">IF(AND(U85="new",T85="N",AT85="Y",AS85="",ES85="N"),"Y","N")</f>
        <v>N</v>
      </c>
      <c r="EU85" s="0" t="str">
        <f aca="false">IF(ET85&lt;&gt;"Y","N",IF(COUNTIFS($AP$2:$AP$1000,AP85,$ET$2:$ET$1000,"Y",$J$2:$J$1000,"&gt;"&amp;J85)+COUNTIFS($AP$2:$AP$1000,AP85,$ET$2:$ET$1000,"Y",$J$2:$J$1000,J85,$EW$2:$EW$1000,"&lt;"&amp;EW85)=0,"Y","N"))</f>
        <v>N</v>
      </c>
      <c r="EV85" s="0" t="str">
        <f aca="false">IF(Y85="","N",IF(Y85&lt;=10,"Y","N"))</f>
        <v>N</v>
      </c>
      <c r="EW85" s="0" t="n">
        <f aca="false">ROW()-1</f>
        <v>84</v>
      </c>
    </row>
    <row r="86" customFormat="false" ht="15" hidden="false" customHeight="false" outlineLevel="0" collapsed="false">
      <c r="A86" s="0" t="s">
        <v>2036</v>
      </c>
      <c r="B86" s="0" t="s">
        <v>2037</v>
      </c>
      <c r="H86" s="5" t="s">
        <v>158</v>
      </c>
      <c r="I86" s="5" t="s">
        <v>159</v>
      </c>
      <c r="J86" s="0" t="n">
        <f aca="false">IF(AX86="pass",ROUND(CU86+CV86+CW86+CX86+CY86+CZ86,1),0)</f>
        <v>37.4</v>
      </c>
      <c r="K86" s="0" t="s">
        <v>2038</v>
      </c>
      <c r="L86" s="0" t="s">
        <v>560</v>
      </c>
      <c r="O86" s="0" t="s">
        <v>2039</v>
      </c>
      <c r="P86" s="0" t="s">
        <v>1313</v>
      </c>
      <c r="Q86" s="0" t="s">
        <v>1327</v>
      </c>
      <c r="R86" s="5" t="s">
        <v>162</v>
      </c>
      <c r="S86" s="0" t="s">
        <v>163</v>
      </c>
      <c r="T86" s="5" t="s">
        <v>162</v>
      </c>
      <c r="U86" s="5" t="s">
        <v>561</v>
      </c>
      <c r="V86" s="0" t="s">
        <v>1313</v>
      </c>
      <c r="W86" s="0" t="s">
        <v>166</v>
      </c>
      <c r="X86" s="0" t="s">
        <v>167</v>
      </c>
      <c r="Y86" s="0" t="str">
        <f aca="false">IF(EU86&lt;&gt;"Y","",COUNTIFS($EU$2:$EU$1000,"Y",$J$2:$J$1000,"&gt;"&amp;J86)+COUNTIFS($EU$2:$EU$1000,"Y",$J$2:$J$1000,J86,$EW$2:$EW$1000,"&lt;"&amp;EW86)+1)</f>
        <v/>
      </c>
      <c r="Z86" s="0" t="n">
        <v>85</v>
      </c>
      <c r="AA86" s="0" t="s">
        <v>162</v>
      </c>
      <c r="AB86" s="0" t="s">
        <v>1561</v>
      </c>
      <c r="AD86" s="0" t="s">
        <v>158</v>
      </c>
      <c r="AH86" s="5" t="s">
        <v>158</v>
      </c>
      <c r="AI86" s="0" t="s">
        <v>1316</v>
      </c>
      <c r="AJ86" s="0" t="s">
        <v>163</v>
      </c>
      <c r="AK86" s="0" t="s">
        <v>178</v>
      </c>
      <c r="AL86" s="0" t="n">
        <v>22</v>
      </c>
      <c r="AM86" s="0" t="n">
        <v>44</v>
      </c>
      <c r="AN86" s="0" t="s">
        <v>179</v>
      </c>
      <c r="AO86" s="0" t="s">
        <v>163</v>
      </c>
      <c r="AP86" s="0" t="s">
        <v>2036</v>
      </c>
      <c r="AQ86" s="5" t="s">
        <v>162</v>
      </c>
      <c r="AT86" s="0" t="str">
        <f aca="false">IF(AND(AX86="pass",AQ86&lt;&gt;"Y",C86&lt;&gt;"",OR(AW86&lt;&gt;"Y",AV86="Y")),"Y","N")</f>
        <v>N</v>
      </c>
      <c r="AU86" s="0" t="str">
        <f aca="false">_xlfn.TEXTJOIN("; ",TRUE(),IF(AX86&lt;&gt;"pass","gated out",""),IF(AQ86="Y","on hold: "&amp;AR86,""),IF(C86="","no contact named on an opened page",""),IF(AND(AW86="Y",AV86&lt;&gt;"Y"),"Tuesday estimate band "&amp;L86&amp;": founder's call",""))</f>
        <v>no contact named on an opened page; Tuesday estimate band under-40: founder's call</v>
      </c>
      <c r="AW86" s="0" t="s">
        <v>168</v>
      </c>
      <c r="AX86" s="0" t="s">
        <v>181</v>
      </c>
      <c r="AY86" s="0" t="s">
        <v>182</v>
      </c>
      <c r="AZ86" s="0" t="s">
        <v>1</v>
      </c>
      <c r="BA86" s="0" t="s">
        <v>2040</v>
      </c>
      <c r="BB86" s="0" t="s">
        <v>2041</v>
      </c>
      <c r="BC86" s="0" t="s">
        <v>1736</v>
      </c>
      <c r="BD86" s="0" t="s">
        <v>1219</v>
      </c>
      <c r="BF86" s="0" t="s">
        <v>394</v>
      </c>
      <c r="BG86" s="0" t="s">
        <v>188</v>
      </c>
      <c r="BH86" s="0" t="s">
        <v>189</v>
      </c>
      <c r="BI86" s="0" t="s">
        <v>2042</v>
      </c>
      <c r="BK86" s="0" t="s">
        <v>191</v>
      </c>
      <c r="BL86" s="0" t="s">
        <v>192</v>
      </c>
      <c r="BM86" s="0" t="s">
        <v>168</v>
      </c>
      <c r="BN86" s="0" t="s">
        <v>163</v>
      </c>
      <c r="BO86" s="0" t="s">
        <v>163</v>
      </c>
      <c r="BP86" s="0" t="s">
        <v>193</v>
      </c>
      <c r="BQ86" s="0" t="n">
        <v>40.73716</v>
      </c>
      <c r="BR86" s="0" t="n">
        <v>-73.990073</v>
      </c>
      <c r="BS86" s="0" t="s">
        <v>168</v>
      </c>
      <c r="BT86" s="0" t="n">
        <v>0</v>
      </c>
      <c r="BU86" s="0" t="s">
        <v>1326</v>
      </c>
      <c r="BV86" s="0" t="s">
        <v>1316</v>
      </c>
      <c r="BW86" s="0" t="s">
        <v>1313</v>
      </c>
      <c r="BX86" s="0" t="s">
        <v>1327</v>
      </c>
      <c r="BY86" s="0" t="s">
        <v>247</v>
      </c>
      <c r="BZ86" s="0" t="s">
        <v>2043</v>
      </c>
      <c r="CA86" s="0" t="s">
        <v>1327</v>
      </c>
      <c r="CC86" s="0" t="s">
        <v>738</v>
      </c>
      <c r="CE86" s="0" t="s">
        <v>162</v>
      </c>
      <c r="CH86" s="0" t="s">
        <v>163</v>
      </c>
      <c r="CJ86" s="0" t="s">
        <v>163</v>
      </c>
      <c r="CK86" s="0" t="s">
        <v>162</v>
      </c>
      <c r="CL86" s="0" t="s">
        <v>163</v>
      </c>
      <c r="CO86" s="0" t="n">
        <v>31</v>
      </c>
      <c r="CP86" s="0" t="s">
        <v>578</v>
      </c>
      <c r="CQ86" s="0" t="s">
        <v>2044</v>
      </c>
      <c r="CR86" s="0" t="s">
        <v>206</v>
      </c>
      <c r="CS86" s="0" t="n">
        <v>0.14</v>
      </c>
      <c r="CT86" s="0" t="n">
        <v>37.4</v>
      </c>
      <c r="CU86" s="0" t="n">
        <v>3.4</v>
      </c>
      <c r="CV86" s="0" t="n">
        <v>15</v>
      </c>
      <c r="CW86" s="0" t="n">
        <v>6</v>
      </c>
      <c r="CX86" s="0" t="n">
        <v>13</v>
      </c>
      <c r="CY86" s="0" t="n">
        <f aca="false">IF(AH86="exact",10,IF(AH86="adjacent",5,0))</f>
        <v>0</v>
      </c>
      <c r="CZ86" s="0" t="n">
        <f aca="false">IF(R86="Y",15,0)</f>
        <v>0</v>
      </c>
      <c r="DF86" s="0" t="s">
        <v>158</v>
      </c>
      <c r="DG86" s="0" t="s">
        <v>211</v>
      </c>
      <c r="DJ86" s="0" t="s">
        <v>1337</v>
      </c>
      <c r="DK86" s="0" t="s">
        <v>2045</v>
      </c>
      <c r="DS86" s="0" t="s">
        <v>158</v>
      </c>
      <c r="DX86" s="0" t="s">
        <v>162</v>
      </c>
      <c r="ER86" s="0" t="str">
        <f aca="false">IF(ISNUMBER(MATCH(U86,{"queued","contacted","replied","call_booked","call_done","yes_in_principle","materials_sent"},0)),"Y","N")</f>
        <v>N</v>
      </c>
      <c r="ES86" s="0" t="str">
        <f aca="false">IF(COUNTIFS($AP$2:$AP$1000,AP86,$ER$2:$ER$1000,"Y")+COUNTIFS($AP$2:$AP$1000,AP86,$T$2:$T$1000,"Y")&gt;0,"Y","N")</f>
        <v>N</v>
      </c>
      <c r="ET86" s="0" t="str">
        <f aca="false">IF(AND(U86="new",T86="N",AT86="Y",AS86="",ES86="N"),"Y","N")</f>
        <v>N</v>
      </c>
      <c r="EU86" s="0" t="str">
        <f aca="false">IF(ET86&lt;&gt;"Y","N",IF(COUNTIFS($AP$2:$AP$1000,AP86,$ET$2:$ET$1000,"Y",$J$2:$J$1000,"&gt;"&amp;J86)+COUNTIFS($AP$2:$AP$1000,AP86,$ET$2:$ET$1000,"Y",$J$2:$J$1000,J86,$EW$2:$EW$1000,"&lt;"&amp;EW86)=0,"Y","N"))</f>
        <v>N</v>
      </c>
      <c r="EV86" s="0" t="str">
        <f aca="false">IF(Y86="","N",IF(Y86&lt;=10,"Y","N"))</f>
        <v>N</v>
      </c>
      <c r="EW86" s="0" t="n">
        <f aca="false">ROW()-1</f>
        <v>85</v>
      </c>
    </row>
    <row r="87" customFormat="false" ht="15" hidden="false" customHeight="false" outlineLevel="0" collapsed="false">
      <c r="A87" s="0" t="s">
        <v>2046</v>
      </c>
      <c r="B87" s="0" t="s">
        <v>2047</v>
      </c>
      <c r="H87" s="5" t="s">
        <v>158</v>
      </c>
      <c r="I87" s="5" t="s">
        <v>159</v>
      </c>
      <c r="J87" s="0" t="n">
        <f aca="false">IF(AX87="pass",ROUND(CU87+CV87+CW87+CX87+CY87+CZ87,1),0)</f>
        <v>37.3</v>
      </c>
      <c r="K87" s="0" t="s">
        <v>2048</v>
      </c>
      <c r="L87" s="0" t="s">
        <v>161</v>
      </c>
      <c r="R87" s="5" t="s">
        <v>162</v>
      </c>
      <c r="S87" s="0" t="s">
        <v>163</v>
      </c>
      <c r="T87" s="5" t="s">
        <v>162</v>
      </c>
      <c r="U87" s="5" t="s">
        <v>561</v>
      </c>
      <c r="V87" s="0" t="s">
        <v>2049</v>
      </c>
      <c r="W87" s="0" t="s">
        <v>166</v>
      </c>
      <c r="X87" s="0" t="s">
        <v>167</v>
      </c>
      <c r="Y87" s="0" t="str">
        <f aca="false">IF(EU87&lt;&gt;"Y","",COUNTIFS($EU$2:$EU$1000,"Y",$J$2:$J$1000,"&gt;"&amp;J87)+COUNTIFS($EU$2:$EU$1000,"Y",$J$2:$J$1000,J87,$EW$2:$EW$1000,"&lt;"&amp;EW87)+1)</f>
        <v/>
      </c>
      <c r="Z87" s="0" t="n">
        <v>86</v>
      </c>
      <c r="AA87" s="0" t="s">
        <v>162</v>
      </c>
      <c r="AD87" s="0" t="s">
        <v>158</v>
      </c>
      <c r="AH87" s="5" t="s">
        <v>158</v>
      </c>
      <c r="AI87" s="0" t="s">
        <v>2050</v>
      </c>
      <c r="AJ87" s="0" t="s">
        <v>163</v>
      </c>
      <c r="AK87" s="0" t="s">
        <v>434</v>
      </c>
      <c r="AL87" s="0" t="n">
        <v>31</v>
      </c>
      <c r="AM87" s="0" t="n">
        <v>625</v>
      </c>
      <c r="AN87" s="0" t="s">
        <v>179</v>
      </c>
      <c r="AO87" s="0" t="s">
        <v>180</v>
      </c>
      <c r="AP87" s="0" t="s">
        <v>2046</v>
      </c>
      <c r="AQ87" s="5" t="s">
        <v>162</v>
      </c>
      <c r="AT87" s="0" t="str">
        <f aca="false">IF(AND(AX87="pass",AQ87&lt;&gt;"Y",C87&lt;&gt;"",OR(AW87&lt;&gt;"Y",AV87="Y")),"Y","N")</f>
        <v>N</v>
      </c>
      <c r="AU87" s="0" t="str">
        <f aca="false">_xlfn.TEXTJOIN("; ",TRUE(),IF(AX87&lt;&gt;"pass","gated out",""),IF(AQ87="Y","on hold: "&amp;AR87,""),IF(C87="","no contact named on an opened page",""),IF(AND(AW87="Y",AV87&lt;&gt;"Y"),"Tuesday estimate band "&amp;L87&amp;": founder's call",""))</f>
        <v>no contact named on an opened page</v>
      </c>
      <c r="AW87" s="0" t="s">
        <v>162</v>
      </c>
      <c r="AX87" s="0" t="s">
        <v>181</v>
      </c>
      <c r="AY87" s="0" t="s">
        <v>182</v>
      </c>
      <c r="AZ87" s="0" t="s">
        <v>1</v>
      </c>
      <c r="BA87" s="0" t="s">
        <v>2051</v>
      </c>
      <c r="BB87" s="0" t="s">
        <v>2052</v>
      </c>
      <c r="BC87" s="0" t="s">
        <v>2053</v>
      </c>
      <c r="BD87" s="0" t="s">
        <v>2054</v>
      </c>
      <c r="BF87" s="0" t="s">
        <v>1322</v>
      </c>
      <c r="BG87" s="0" t="s">
        <v>188</v>
      </c>
      <c r="BH87" s="0" t="s">
        <v>189</v>
      </c>
      <c r="BI87" s="0" t="s">
        <v>2055</v>
      </c>
      <c r="BK87" s="0" t="s">
        <v>1439</v>
      </c>
      <c r="BL87" s="0" t="s">
        <v>2056</v>
      </c>
      <c r="BM87" s="0" t="s">
        <v>162</v>
      </c>
      <c r="BN87" s="0" t="s">
        <v>163</v>
      </c>
      <c r="BO87" s="0" t="s">
        <v>163</v>
      </c>
      <c r="BP87" s="0" t="s">
        <v>346</v>
      </c>
      <c r="BQ87" s="0" t="n">
        <v>40.74118</v>
      </c>
      <c r="BR87" s="0" t="n">
        <v>-73.99129</v>
      </c>
      <c r="BS87" s="0" t="s">
        <v>168</v>
      </c>
      <c r="BT87" s="0" t="n">
        <v>0</v>
      </c>
      <c r="BU87" s="0" t="s">
        <v>2057</v>
      </c>
      <c r="BV87" s="0" t="s">
        <v>2058</v>
      </c>
      <c r="BW87" s="0" t="s">
        <v>2049</v>
      </c>
      <c r="BX87" s="0" t="s">
        <v>844</v>
      </c>
      <c r="BY87" s="0" t="s">
        <v>247</v>
      </c>
      <c r="CC87" s="0" t="s">
        <v>179</v>
      </c>
      <c r="CE87" s="0" t="s">
        <v>162</v>
      </c>
      <c r="CH87" s="0" t="s">
        <v>163</v>
      </c>
      <c r="CJ87" s="0" t="s">
        <v>163</v>
      </c>
      <c r="CK87" s="0" t="s">
        <v>162</v>
      </c>
      <c r="CL87" s="0" t="s">
        <v>2059</v>
      </c>
      <c r="CM87" s="0" t="s">
        <v>2060</v>
      </c>
      <c r="CN87" s="0" t="s">
        <v>174</v>
      </c>
      <c r="CO87" s="0" t="n">
        <v>139</v>
      </c>
      <c r="CP87" s="0" t="s">
        <v>250</v>
      </c>
      <c r="CQ87" s="0" t="s">
        <v>2061</v>
      </c>
      <c r="CR87" s="0" t="s">
        <v>206</v>
      </c>
      <c r="CS87" s="0" t="n">
        <v>0.61</v>
      </c>
      <c r="CT87" s="0" t="n">
        <v>37.3</v>
      </c>
      <c r="CU87" s="0" t="n">
        <v>15.3</v>
      </c>
      <c r="CV87" s="0" t="n">
        <v>2</v>
      </c>
      <c r="CW87" s="0" t="n">
        <v>15</v>
      </c>
      <c r="CX87" s="0" t="n">
        <v>5</v>
      </c>
      <c r="CY87" s="0" t="n">
        <f aca="false">IF(AH87="exact",10,IF(AH87="adjacent",5,0))</f>
        <v>0</v>
      </c>
      <c r="CZ87" s="0" t="n">
        <f aca="false">IF(R87="Y",15,0)</f>
        <v>0</v>
      </c>
      <c r="DF87" s="0" t="s">
        <v>158</v>
      </c>
      <c r="DG87" s="0" t="s">
        <v>1335</v>
      </c>
      <c r="DH87" s="0" t="s">
        <v>1446</v>
      </c>
      <c r="DI87" s="0" t="s">
        <v>162</v>
      </c>
      <c r="DJ87" s="0" t="s">
        <v>2062</v>
      </c>
      <c r="DK87" s="0" t="s">
        <v>2063</v>
      </c>
      <c r="DS87" s="0" t="s">
        <v>158</v>
      </c>
      <c r="DX87" s="0" t="s">
        <v>162</v>
      </c>
      <c r="ER87" s="0" t="str">
        <f aca="false">IF(ISNUMBER(MATCH(U87,{"queued","contacted","replied","call_booked","call_done","yes_in_principle","materials_sent"},0)),"Y","N")</f>
        <v>N</v>
      </c>
      <c r="ES87" s="0" t="str">
        <f aca="false">IF(COUNTIFS($AP$2:$AP$1000,AP87,$ER$2:$ER$1000,"Y")+COUNTIFS($AP$2:$AP$1000,AP87,$T$2:$T$1000,"Y")&gt;0,"Y","N")</f>
        <v>N</v>
      </c>
      <c r="ET87" s="0" t="str">
        <f aca="false">IF(AND(U87="new",T87="N",AT87="Y",AS87="",ES87="N"),"Y","N")</f>
        <v>N</v>
      </c>
      <c r="EU87" s="0" t="str">
        <f aca="false">IF(ET87&lt;&gt;"Y","N",IF(COUNTIFS($AP$2:$AP$1000,AP87,$ET$2:$ET$1000,"Y",$J$2:$J$1000,"&gt;"&amp;J87)+COUNTIFS($AP$2:$AP$1000,AP87,$ET$2:$ET$1000,"Y",$J$2:$J$1000,J87,$EW$2:$EW$1000,"&lt;"&amp;EW87)=0,"Y","N"))</f>
        <v>N</v>
      </c>
      <c r="EV87" s="0" t="str">
        <f aca="false">IF(Y87="","N",IF(Y87&lt;=10,"Y","N"))</f>
        <v>N</v>
      </c>
      <c r="EW87" s="0" t="n">
        <f aca="false">ROW()-1</f>
        <v>86</v>
      </c>
    </row>
    <row r="88" customFormat="false" ht="15" hidden="false" customHeight="false" outlineLevel="0" collapsed="false">
      <c r="A88" s="0" t="s">
        <v>2064</v>
      </c>
      <c r="B88" s="0" t="s">
        <v>2065</v>
      </c>
      <c r="H88" s="5" t="s">
        <v>158</v>
      </c>
      <c r="I88" s="5" t="s">
        <v>159</v>
      </c>
      <c r="J88" s="0" t="n">
        <f aca="false">IF(AX88="pass",ROUND(CU88+CV88+CW88+CX88+CY88+CZ88,1),0)</f>
        <v>37.1</v>
      </c>
      <c r="K88" s="0" t="s">
        <v>2066</v>
      </c>
      <c r="L88" s="0" t="s">
        <v>239</v>
      </c>
      <c r="R88" s="5" t="s">
        <v>162</v>
      </c>
      <c r="S88" s="0" t="s">
        <v>163</v>
      </c>
      <c r="T88" s="5" t="s">
        <v>162</v>
      </c>
      <c r="U88" s="5" t="s">
        <v>561</v>
      </c>
      <c r="V88" s="0" t="s">
        <v>2067</v>
      </c>
      <c r="W88" s="0" t="s">
        <v>166</v>
      </c>
      <c r="X88" s="0" t="s">
        <v>167</v>
      </c>
      <c r="Y88" s="0" t="str">
        <f aca="false">IF(EU88&lt;&gt;"Y","",COUNTIFS($EU$2:$EU$1000,"Y",$J$2:$J$1000,"&gt;"&amp;J88)+COUNTIFS($EU$2:$EU$1000,"Y",$J$2:$J$1000,J88,$EW$2:$EW$1000,"&lt;"&amp;EW88)+1)</f>
        <v/>
      </c>
      <c r="Z88" s="0" t="n">
        <v>87</v>
      </c>
      <c r="AA88" s="0" t="s">
        <v>162</v>
      </c>
      <c r="AB88" s="0" t="s">
        <v>1661</v>
      </c>
      <c r="AD88" s="0" t="s">
        <v>158</v>
      </c>
      <c r="AH88" s="5" t="s">
        <v>158</v>
      </c>
      <c r="AI88" s="0" t="s">
        <v>753</v>
      </c>
      <c r="AJ88" s="0" t="s">
        <v>2068</v>
      </c>
      <c r="AK88" s="0" t="s">
        <v>434</v>
      </c>
      <c r="AL88" s="0" t="n">
        <v>59</v>
      </c>
      <c r="AM88" s="0" t="n">
        <v>1176</v>
      </c>
      <c r="AN88" s="0" t="s">
        <v>179</v>
      </c>
      <c r="AO88" s="0" t="s">
        <v>180</v>
      </c>
      <c r="AP88" s="0" t="s">
        <v>2064</v>
      </c>
      <c r="AQ88" s="5" t="s">
        <v>162</v>
      </c>
      <c r="AT88" s="0" t="str">
        <f aca="false">IF(AND(AX88="pass",AQ88&lt;&gt;"Y",C88&lt;&gt;"",OR(AW88&lt;&gt;"Y",AV88="Y")),"Y","N")</f>
        <v>N</v>
      </c>
      <c r="AU88" s="0" t="str">
        <f aca="false">_xlfn.TEXTJOIN("; ",TRUE(),IF(AX88&lt;&gt;"pass","gated out",""),IF(AQ88="Y","on hold: "&amp;AR88,""),IF(C88="","no contact named on an opened page",""),IF(AND(AW88="Y",AV88&lt;&gt;"Y"),"Tuesday estimate band "&amp;L88&amp;": founder's call",""))</f>
        <v>no contact named on an opened page; Tuesday estimate band 251-500: founder's call</v>
      </c>
      <c r="AW88" s="0" t="s">
        <v>168</v>
      </c>
      <c r="AX88" s="0" t="s">
        <v>181</v>
      </c>
      <c r="AY88" s="0" t="s">
        <v>182</v>
      </c>
      <c r="AZ88" s="0" t="s">
        <v>1</v>
      </c>
      <c r="BA88" s="0" t="s">
        <v>2069</v>
      </c>
      <c r="BB88" s="0" t="s">
        <v>2070</v>
      </c>
      <c r="BC88" s="0" t="s">
        <v>2071</v>
      </c>
      <c r="BD88" s="0" t="s">
        <v>2072</v>
      </c>
      <c r="BF88" s="0" t="s">
        <v>1322</v>
      </c>
      <c r="BG88" s="0" t="s">
        <v>188</v>
      </c>
      <c r="BH88" s="0" t="s">
        <v>189</v>
      </c>
      <c r="BI88" s="0" t="s">
        <v>2073</v>
      </c>
      <c r="BK88" s="0" t="s">
        <v>1439</v>
      </c>
      <c r="BL88" s="0" t="s">
        <v>2074</v>
      </c>
      <c r="BM88" s="0" t="s">
        <v>162</v>
      </c>
      <c r="BN88" s="0" t="s">
        <v>163</v>
      </c>
      <c r="BO88" s="0" t="s">
        <v>163</v>
      </c>
      <c r="BP88" s="0" t="s">
        <v>346</v>
      </c>
      <c r="BQ88" s="0" t="n">
        <v>40.743309</v>
      </c>
      <c r="BR88" s="0" t="n">
        <v>-73.987329</v>
      </c>
      <c r="BS88" s="0" t="s">
        <v>168</v>
      </c>
      <c r="BT88" s="0" t="n">
        <v>0</v>
      </c>
      <c r="BU88" s="0" t="s">
        <v>763</v>
      </c>
      <c r="BV88" s="0" t="s">
        <v>764</v>
      </c>
      <c r="BW88" s="0" t="s">
        <v>2067</v>
      </c>
      <c r="BX88" s="0" t="s">
        <v>2075</v>
      </c>
      <c r="BY88" s="0" t="s">
        <v>247</v>
      </c>
      <c r="CC88" s="0" t="s">
        <v>738</v>
      </c>
      <c r="CE88" s="0" t="s">
        <v>162</v>
      </c>
      <c r="CH88" s="0" t="s">
        <v>163</v>
      </c>
      <c r="CJ88" s="0" t="s">
        <v>163</v>
      </c>
      <c r="CK88" s="0" t="s">
        <v>162</v>
      </c>
      <c r="CL88" s="0" t="s">
        <v>577</v>
      </c>
      <c r="CM88" s="0" t="s">
        <v>2073</v>
      </c>
      <c r="CN88" s="0" t="s">
        <v>174</v>
      </c>
      <c r="CO88" s="0" t="n">
        <v>263</v>
      </c>
      <c r="CP88" s="0" t="s">
        <v>250</v>
      </c>
      <c r="CQ88" s="0" t="s">
        <v>2076</v>
      </c>
      <c r="CR88" s="0" t="s">
        <v>206</v>
      </c>
      <c r="CS88" s="0" t="n">
        <v>0.48</v>
      </c>
      <c r="CT88" s="0" t="n">
        <v>37.1</v>
      </c>
      <c r="CU88" s="0" t="n">
        <v>12.1</v>
      </c>
      <c r="CV88" s="0" t="n">
        <v>2</v>
      </c>
      <c r="CW88" s="0" t="n">
        <v>15</v>
      </c>
      <c r="CX88" s="0" t="n">
        <v>8</v>
      </c>
      <c r="CY88" s="0" t="n">
        <f aca="false">IF(AH88="exact",10,IF(AH88="adjacent",5,0))</f>
        <v>0</v>
      </c>
      <c r="CZ88" s="0" t="n">
        <f aca="false">IF(R88="Y",15,0)</f>
        <v>0</v>
      </c>
      <c r="DF88" s="0" t="s">
        <v>158</v>
      </c>
      <c r="DG88" s="0" t="s">
        <v>1335</v>
      </c>
      <c r="DH88" s="0" t="s">
        <v>1446</v>
      </c>
      <c r="DI88" s="0" t="s">
        <v>162</v>
      </c>
      <c r="DJ88" s="0" t="s">
        <v>2077</v>
      </c>
      <c r="DK88" s="0" t="s">
        <v>2078</v>
      </c>
      <c r="DS88" s="0" t="s">
        <v>158</v>
      </c>
      <c r="DX88" s="0" t="s">
        <v>162</v>
      </c>
      <c r="ER88" s="0" t="str">
        <f aca="false">IF(ISNUMBER(MATCH(U88,{"queued","contacted","replied","call_booked","call_done","yes_in_principle","materials_sent"},0)),"Y","N")</f>
        <v>N</v>
      </c>
      <c r="ES88" s="0" t="str">
        <f aca="false">IF(COUNTIFS($AP$2:$AP$1000,AP88,$ER$2:$ER$1000,"Y")+COUNTIFS($AP$2:$AP$1000,AP88,$T$2:$T$1000,"Y")&gt;0,"Y","N")</f>
        <v>N</v>
      </c>
      <c r="ET88" s="0" t="str">
        <f aca="false">IF(AND(U88="new",T88="N",AT88="Y",AS88="",ES88="N"),"Y","N")</f>
        <v>N</v>
      </c>
      <c r="EU88" s="0" t="str">
        <f aca="false">IF(ET88&lt;&gt;"Y","N",IF(COUNTIFS($AP$2:$AP$1000,AP88,$ET$2:$ET$1000,"Y",$J$2:$J$1000,"&gt;"&amp;J88)+COUNTIFS($AP$2:$AP$1000,AP88,$ET$2:$ET$1000,"Y",$J$2:$J$1000,J88,$EW$2:$EW$1000,"&lt;"&amp;EW88)=0,"Y","N"))</f>
        <v>N</v>
      </c>
      <c r="EV88" s="0" t="str">
        <f aca="false">IF(Y88="","N",IF(Y88&lt;=10,"Y","N"))</f>
        <v>N</v>
      </c>
      <c r="EW88" s="0" t="n">
        <f aca="false">ROW()-1</f>
        <v>87</v>
      </c>
    </row>
    <row r="89" customFormat="false" ht="15" hidden="false" customHeight="false" outlineLevel="0" collapsed="false">
      <c r="A89" s="0" t="s">
        <v>2079</v>
      </c>
      <c r="B89" s="0" t="s">
        <v>2080</v>
      </c>
      <c r="H89" s="5" t="s">
        <v>158</v>
      </c>
      <c r="I89" s="5" t="s">
        <v>159</v>
      </c>
      <c r="J89" s="0" t="n">
        <f aca="false">IF(AX89="pass",ROUND(CU89+CV89+CW89+CX89+CY89+CZ89,1),0)</f>
        <v>37.1</v>
      </c>
      <c r="K89" s="0" t="s">
        <v>2081</v>
      </c>
      <c r="L89" s="0" t="s">
        <v>394</v>
      </c>
      <c r="O89" s="0" t="s">
        <v>951</v>
      </c>
      <c r="P89" s="0" t="s">
        <v>952</v>
      </c>
      <c r="Q89" s="0" t="s">
        <v>953</v>
      </c>
      <c r="R89" s="5" t="s">
        <v>162</v>
      </c>
      <c r="S89" s="0" t="s">
        <v>163</v>
      </c>
      <c r="T89" s="5" t="s">
        <v>162</v>
      </c>
      <c r="U89" s="5" t="s">
        <v>561</v>
      </c>
      <c r="V89" s="0" t="s">
        <v>952</v>
      </c>
      <c r="W89" s="0" t="s">
        <v>166</v>
      </c>
      <c r="X89" s="0" t="s">
        <v>167</v>
      </c>
      <c r="Y89" s="0" t="str">
        <f aca="false">IF(EU89&lt;&gt;"Y","",COUNTIFS($EU$2:$EU$1000,"Y",$J$2:$J$1000,"&gt;"&amp;J89)+COUNTIFS($EU$2:$EU$1000,"Y",$J$2:$J$1000,J89,$EW$2:$EW$1000,"&lt;"&amp;EW89)+1)</f>
        <v/>
      </c>
      <c r="Z89" s="0" t="n">
        <v>88</v>
      </c>
      <c r="AA89" s="0" t="s">
        <v>162</v>
      </c>
      <c r="AD89" s="0" t="s">
        <v>158</v>
      </c>
      <c r="AH89" s="5" t="s">
        <v>158</v>
      </c>
      <c r="AI89" s="0" t="s">
        <v>956</v>
      </c>
      <c r="AJ89" s="0" t="s">
        <v>2082</v>
      </c>
      <c r="AK89" s="0" t="s">
        <v>889</v>
      </c>
      <c r="AL89" s="0" t="n">
        <v>9</v>
      </c>
      <c r="AM89" s="0" t="n">
        <v>549</v>
      </c>
      <c r="AN89" s="0" t="s">
        <v>179</v>
      </c>
      <c r="AO89" s="0" t="s">
        <v>180</v>
      </c>
      <c r="AP89" s="0" t="s">
        <v>2079</v>
      </c>
      <c r="AQ89" s="5" t="s">
        <v>168</v>
      </c>
      <c r="AR89" s="0" t="s">
        <v>890</v>
      </c>
      <c r="AT89" s="0" t="str">
        <f aca="false">IF(AND(AX89="pass",AQ89&lt;&gt;"Y",C89&lt;&gt;"",OR(AW89&lt;&gt;"Y",AV89="Y")),"Y","N")</f>
        <v>N</v>
      </c>
      <c r="AU89" s="0" t="str">
        <f aca="false">_xlfn.TEXTJOIN("; ",TRUE(),IF(AX89&lt;&gt;"pass","gated out",""),IF(AQ89="Y","on hold: "&amp;AR89,""),IF(C89="","no contact named on an opened page",""),IF(AND(AW89="Y",AV89&lt;&gt;"Y"),"Tuesday estimate band "&amp;L89&amp;": founder's call",""))</f>
        <v>on hold: lease signed, move not confirmed: check the lobby directory before outreach (B); no contact named on an opened page</v>
      </c>
      <c r="AW89" s="0" t="s">
        <v>162</v>
      </c>
      <c r="AX89" s="0" t="s">
        <v>181</v>
      </c>
      <c r="AY89" s="0" t="s">
        <v>182</v>
      </c>
      <c r="AZ89" s="0" t="s">
        <v>1</v>
      </c>
      <c r="BA89" s="0" t="s">
        <v>2083</v>
      </c>
      <c r="BB89" s="0" t="s">
        <v>2084</v>
      </c>
      <c r="BC89" s="0" t="s">
        <v>2085</v>
      </c>
      <c r="BD89" s="0" t="s">
        <v>2086</v>
      </c>
      <c r="BE89" s="0" t="s">
        <v>2087</v>
      </c>
      <c r="BF89" s="0" t="s">
        <v>1322</v>
      </c>
      <c r="BG89" s="0" t="s">
        <v>188</v>
      </c>
      <c r="BH89" s="0" t="s">
        <v>1323</v>
      </c>
      <c r="BI89" s="0" t="s">
        <v>2088</v>
      </c>
      <c r="BJ89" s="0" t="s">
        <v>2089</v>
      </c>
      <c r="BK89" s="0" t="s">
        <v>1263</v>
      </c>
      <c r="BL89" s="0" t="s">
        <v>656</v>
      </c>
      <c r="BM89" s="0" t="s">
        <v>162</v>
      </c>
      <c r="BN89" s="0" t="s">
        <v>163</v>
      </c>
      <c r="BO89" s="0" t="s">
        <v>163</v>
      </c>
      <c r="BP89" s="0" t="s">
        <v>243</v>
      </c>
      <c r="BQ89" s="0" t="n">
        <v>40.74291</v>
      </c>
      <c r="BR89" s="0" t="n">
        <v>-73.984627</v>
      </c>
      <c r="BS89" s="0" t="s">
        <v>168</v>
      </c>
      <c r="BT89" s="0" t="n">
        <v>0</v>
      </c>
      <c r="BU89" s="0" t="s">
        <v>965</v>
      </c>
      <c r="BV89" s="0" t="s">
        <v>966</v>
      </c>
      <c r="BW89" s="0" t="s">
        <v>952</v>
      </c>
      <c r="BX89" s="0" t="s">
        <v>953</v>
      </c>
      <c r="BY89" s="0" t="s">
        <v>247</v>
      </c>
      <c r="CC89" s="0" t="s">
        <v>738</v>
      </c>
      <c r="CD89" s="0" t="s">
        <v>163</v>
      </c>
      <c r="CE89" s="0" t="s">
        <v>162</v>
      </c>
      <c r="CH89" s="0" t="s">
        <v>163</v>
      </c>
      <c r="CJ89" s="0" t="s">
        <v>163</v>
      </c>
      <c r="CK89" s="0" t="s">
        <v>162</v>
      </c>
      <c r="CL89" s="0" t="s">
        <v>2090</v>
      </c>
      <c r="CM89" s="0" t="s">
        <v>2091</v>
      </c>
      <c r="CN89" s="0" t="s">
        <v>2092</v>
      </c>
      <c r="CO89" s="0" t="n">
        <v>70</v>
      </c>
      <c r="CP89" s="0" t="s">
        <v>767</v>
      </c>
      <c r="CQ89" s="0" t="s">
        <v>2093</v>
      </c>
      <c r="CR89" s="0" t="s">
        <v>206</v>
      </c>
      <c r="CS89" s="0" t="n">
        <v>0.45</v>
      </c>
      <c r="CT89" s="0" t="n">
        <v>37.1</v>
      </c>
      <c r="CU89" s="0" t="n">
        <v>11.1</v>
      </c>
      <c r="CV89" s="0" t="n">
        <v>6</v>
      </c>
      <c r="CW89" s="0" t="n">
        <v>15</v>
      </c>
      <c r="CX89" s="0" t="n">
        <v>5</v>
      </c>
      <c r="CY89" s="0" t="n">
        <f aca="false">IF(AH89="exact",10,IF(AH89="adjacent",5,0))</f>
        <v>0</v>
      </c>
      <c r="CZ89" s="0" t="n">
        <f aca="false">IF(R89="Y",15,0)</f>
        <v>0</v>
      </c>
      <c r="DF89" s="0" t="s">
        <v>158</v>
      </c>
      <c r="DG89" s="0" t="s">
        <v>1335</v>
      </c>
      <c r="DH89" s="0" t="s">
        <v>1336</v>
      </c>
      <c r="DI89" s="0" t="s">
        <v>168</v>
      </c>
      <c r="DJ89" s="0" t="s">
        <v>973</v>
      </c>
      <c r="DK89" s="0" t="s">
        <v>2094</v>
      </c>
      <c r="DS89" s="0" t="s">
        <v>158</v>
      </c>
      <c r="DX89" s="0" t="s">
        <v>162</v>
      </c>
      <c r="ER89" s="0" t="str">
        <f aca="false">IF(ISNUMBER(MATCH(U89,{"queued","contacted","replied","call_booked","call_done","yes_in_principle","materials_sent"},0)),"Y","N")</f>
        <v>N</v>
      </c>
      <c r="ES89" s="0" t="str">
        <f aca="false">IF(COUNTIFS($AP$2:$AP$1000,AP89,$ER$2:$ER$1000,"Y")+COUNTIFS($AP$2:$AP$1000,AP89,$T$2:$T$1000,"Y")&gt;0,"Y","N")</f>
        <v>N</v>
      </c>
      <c r="ET89" s="0" t="str">
        <f aca="false">IF(AND(U89="new",T89="N",AT89="Y",AS89="",ES89="N"),"Y","N")</f>
        <v>N</v>
      </c>
      <c r="EU89" s="0" t="str">
        <f aca="false">IF(ET89&lt;&gt;"Y","N",IF(COUNTIFS($AP$2:$AP$1000,AP89,$ET$2:$ET$1000,"Y",$J$2:$J$1000,"&gt;"&amp;J89)+COUNTIFS($AP$2:$AP$1000,AP89,$ET$2:$ET$1000,"Y",$J$2:$J$1000,J89,$EW$2:$EW$1000,"&lt;"&amp;EW89)=0,"Y","N"))</f>
        <v>N</v>
      </c>
      <c r="EV89" s="0" t="str">
        <f aca="false">IF(Y89="","N",IF(Y89&lt;=10,"Y","N"))</f>
        <v>N</v>
      </c>
      <c r="EW89" s="0" t="n">
        <f aca="false">ROW()-1</f>
        <v>88</v>
      </c>
    </row>
    <row r="90" customFormat="false" ht="15" hidden="false" customHeight="false" outlineLevel="0" collapsed="false">
      <c r="A90" s="0" t="s">
        <v>2095</v>
      </c>
      <c r="B90" s="0" t="s">
        <v>2096</v>
      </c>
      <c r="H90" s="5" t="s">
        <v>158</v>
      </c>
      <c r="I90" s="5" t="s">
        <v>159</v>
      </c>
      <c r="J90" s="0" t="n">
        <f aca="false">IF(AX90="pass",ROUND(CU90+CV90+CW90+CX90+CY90+CZ90,1),0)</f>
        <v>37</v>
      </c>
      <c r="K90" s="0" t="s">
        <v>2097</v>
      </c>
      <c r="L90" s="0" t="s">
        <v>560</v>
      </c>
      <c r="R90" s="5" t="s">
        <v>162</v>
      </c>
      <c r="S90" s="0" t="s">
        <v>163</v>
      </c>
      <c r="T90" s="5" t="s">
        <v>162</v>
      </c>
      <c r="U90" s="5" t="s">
        <v>561</v>
      </c>
      <c r="V90" s="0" t="s">
        <v>2098</v>
      </c>
      <c r="W90" s="0" t="s">
        <v>166</v>
      </c>
      <c r="X90" s="0" t="s">
        <v>167</v>
      </c>
      <c r="Y90" s="0" t="str">
        <f aca="false">IF(EU90&lt;&gt;"Y","",COUNTIFS($EU$2:$EU$1000,"Y",$J$2:$J$1000,"&gt;"&amp;J90)+COUNTIFS($EU$2:$EU$1000,"Y",$J$2:$J$1000,J90,$EW$2:$EW$1000,"&lt;"&amp;EW90)+1)</f>
        <v/>
      </c>
      <c r="Z90" s="0" t="n">
        <v>89</v>
      </c>
      <c r="AA90" s="0" t="s">
        <v>162</v>
      </c>
      <c r="AB90" s="0" t="s">
        <v>1561</v>
      </c>
      <c r="AD90" s="0" t="s">
        <v>158</v>
      </c>
      <c r="AH90" s="5" t="s">
        <v>158</v>
      </c>
      <c r="AI90" s="0" t="s">
        <v>2099</v>
      </c>
      <c r="AJ90" s="0" t="s">
        <v>888</v>
      </c>
      <c r="AK90" s="0" t="s">
        <v>434</v>
      </c>
      <c r="AL90" s="0" t="n">
        <v>3</v>
      </c>
      <c r="AM90" s="0" t="n">
        <v>50</v>
      </c>
      <c r="AN90" s="0" t="s">
        <v>179</v>
      </c>
      <c r="AO90" s="0" t="s">
        <v>180</v>
      </c>
      <c r="AP90" s="0" t="s">
        <v>2095</v>
      </c>
      <c r="AQ90" s="5" t="s">
        <v>162</v>
      </c>
      <c r="AT90" s="0" t="str">
        <f aca="false">IF(AND(AX90="pass",AQ90&lt;&gt;"Y",C90&lt;&gt;"",OR(AW90&lt;&gt;"Y",AV90="Y")),"Y","N")</f>
        <v>N</v>
      </c>
      <c r="AU90" s="0" t="str">
        <f aca="false">_xlfn.TEXTJOIN("; ",TRUE(),IF(AX90&lt;&gt;"pass","gated out",""),IF(AQ90="Y","on hold: "&amp;AR90,""),IF(C90="","no contact named on an opened page",""),IF(AND(AW90="Y",AV90&lt;&gt;"Y"),"Tuesday estimate band "&amp;L90&amp;": founder's call",""))</f>
        <v>no contact named on an opened page; Tuesday estimate band under-40: founder's call</v>
      </c>
      <c r="AW90" s="0" t="s">
        <v>168</v>
      </c>
      <c r="AX90" s="0" t="s">
        <v>181</v>
      </c>
      <c r="AY90" s="0" t="s">
        <v>182</v>
      </c>
      <c r="AZ90" s="0" t="s">
        <v>1</v>
      </c>
      <c r="BA90" s="0" t="s">
        <v>2100</v>
      </c>
      <c r="BB90" s="0" t="s">
        <v>2101</v>
      </c>
      <c r="BC90" s="0" t="s">
        <v>2102</v>
      </c>
      <c r="BD90" s="0" t="s">
        <v>1194</v>
      </c>
      <c r="BF90" s="0" t="s">
        <v>394</v>
      </c>
      <c r="BG90" s="0" t="s">
        <v>188</v>
      </c>
      <c r="BH90" s="0" t="s">
        <v>189</v>
      </c>
      <c r="BI90" s="0" t="s">
        <v>2103</v>
      </c>
      <c r="BK90" s="0" t="s">
        <v>191</v>
      </c>
      <c r="BL90" s="0" t="s">
        <v>163</v>
      </c>
      <c r="BM90" s="0" t="s">
        <v>163</v>
      </c>
      <c r="BN90" s="0" t="s">
        <v>163</v>
      </c>
      <c r="BO90" s="0" t="s">
        <v>163</v>
      </c>
      <c r="BP90" s="0" t="s">
        <v>193</v>
      </c>
      <c r="BQ90" s="0" t="n">
        <v>40.736419</v>
      </c>
      <c r="BR90" s="0" t="n">
        <v>-73.993096</v>
      </c>
      <c r="BS90" s="0" t="s">
        <v>168</v>
      </c>
      <c r="BT90" s="0" t="n">
        <v>0</v>
      </c>
      <c r="BU90" s="0" t="s">
        <v>2104</v>
      </c>
      <c r="BV90" s="0" t="s">
        <v>2099</v>
      </c>
      <c r="BW90" s="0" t="s">
        <v>2098</v>
      </c>
      <c r="BX90" s="0" t="s">
        <v>2105</v>
      </c>
      <c r="BY90" s="0" t="s">
        <v>247</v>
      </c>
      <c r="CC90" s="0" t="s">
        <v>179</v>
      </c>
      <c r="CE90" s="0" t="s">
        <v>162</v>
      </c>
      <c r="CH90" s="0" t="s">
        <v>163</v>
      </c>
      <c r="CJ90" s="0" t="s">
        <v>163</v>
      </c>
      <c r="CK90" s="0" t="s">
        <v>162</v>
      </c>
      <c r="CL90" s="0" t="s">
        <v>1537</v>
      </c>
      <c r="CM90" s="0" t="s">
        <v>2106</v>
      </c>
      <c r="CN90" s="0" t="s">
        <v>174</v>
      </c>
      <c r="CO90" s="0" t="n">
        <v>12</v>
      </c>
      <c r="CP90" s="0" t="s">
        <v>1726</v>
      </c>
      <c r="CQ90" s="0" t="s">
        <v>2107</v>
      </c>
      <c r="CR90" s="0" t="s">
        <v>206</v>
      </c>
      <c r="CS90" s="0" t="n">
        <v>0.08</v>
      </c>
      <c r="CT90" s="0" t="n">
        <v>37</v>
      </c>
      <c r="CU90" s="0" t="n">
        <v>2</v>
      </c>
      <c r="CV90" s="0" t="n">
        <v>15</v>
      </c>
      <c r="CW90" s="0" t="n">
        <v>15</v>
      </c>
      <c r="CX90" s="0" t="n">
        <v>5</v>
      </c>
      <c r="CY90" s="0" t="n">
        <f aca="false">IF(AH90="exact",10,IF(AH90="adjacent",5,0))</f>
        <v>0</v>
      </c>
      <c r="CZ90" s="0" t="n">
        <f aca="false">IF(R90="Y",15,0)</f>
        <v>0</v>
      </c>
      <c r="DF90" s="0" t="s">
        <v>158</v>
      </c>
      <c r="DG90" s="0" t="s">
        <v>211</v>
      </c>
      <c r="DJ90" s="0" t="s">
        <v>2108</v>
      </c>
      <c r="DK90" s="0" t="s">
        <v>2109</v>
      </c>
      <c r="DS90" s="0" t="s">
        <v>158</v>
      </c>
      <c r="DX90" s="0" t="s">
        <v>162</v>
      </c>
      <c r="ER90" s="0" t="str">
        <f aca="false">IF(ISNUMBER(MATCH(U90,{"queued","contacted","replied","call_booked","call_done","yes_in_principle","materials_sent"},0)),"Y","N")</f>
        <v>N</v>
      </c>
      <c r="ES90" s="0" t="str">
        <f aca="false">IF(COUNTIFS($AP$2:$AP$1000,AP90,$ER$2:$ER$1000,"Y")+COUNTIFS($AP$2:$AP$1000,AP90,$T$2:$T$1000,"Y")&gt;0,"Y","N")</f>
        <v>N</v>
      </c>
      <c r="ET90" s="0" t="str">
        <f aca="false">IF(AND(U90="new",T90="N",AT90="Y",AS90="",ES90="N"),"Y","N")</f>
        <v>N</v>
      </c>
      <c r="EU90" s="0" t="str">
        <f aca="false">IF(ET90&lt;&gt;"Y","N",IF(COUNTIFS($AP$2:$AP$1000,AP90,$ET$2:$ET$1000,"Y",$J$2:$J$1000,"&gt;"&amp;J90)+COUNTIFS($AP$2:$AP$1000,AP90,$ET$2:$ET$1000,"Y",$J$2:$J$1000,J90,$EW$2:$EW$1000,"&lt;"&amp;EW90)=0,"Y","N"))</f>
        <v>N</v>
      </c>
      <c r="EV90" s="0" t="str">
        <f aca="false">IF(Y90="","N",IF(Y90&lt;=10,"Y","N"))</f>
        <v>N</v>
      </c>
      <c r="EW90" s="0" t="n">
        <f aca="false">ROW()-1</f>
        <v>89</v>
      </c>
    </row>
    <row r="91" customFormat="false" ht="15" hidden="false" customHeight="false" outlineLevel="0" collapsed="false">
      <c r="A91" s="0" t="s">
        <v>2110</v>
      </c>
      <c r="B91" s="0" t="s">
        <v>2111</v>
      </c>
      <c r="H91" s="5" t="s">
        <v>158</v>
      </c>
      <c r="I91" s="5" t="s">
        <v>159</v>
      </c>
      <c r="J91" s="0" t="n">
        <f aca="false">IF(AX91="pass",ROUND(CU91+CV91+CW91+CX91+CY91+CZ91,1),0)</f>
        <v>36.6</v>
      </c>
      <c r="K91" s="0" t="s">
        <v>2112</v>
      </c>
      <c r="L91" s="0" t="s">
        <v>560</v>
      </c>
      <c r="R91" s="5" t="s">
        <v>162</v>
      </c>
      <c r="S91" s="0" t="s">
        <v>163</v>
      </c>
      <c r="T91" s="5" t="s">
        <v>162</v>
      </c>
      <c r="U91" s="5" t="s">
        <v>561</v>
      </c>
      <c r="V91" s="0" t="s">
        <v>1392</v>
      </c>
      <c r="W91" s="0" t="s">
        <v>166</v>
      </c>
      <c r="X91" s="0" t="s">
        <v>167</v>
      </c>
      <c r="Y91" s="0" t="str">
        <f aca="false">IF(EU91&lt;&gt;"Y","",COUNTIFS($EU$2:$EU$1000,"Y",$J$2:$J$1000,"&gt;"&amp;J91)+COUNTIFS($EU$2:$EU$1000,"Y",$J$2:$J$1000,J91,$EW$2:$EW$1000,"&lt;"&amp;EW91)+1)</f>
        <v/>
      </c>
      <c r="Z91" s="0" t="n">
        <v>90</v>
      </c>
      <c r="AA91" s="0" t="s">
        <v>162</v>
      </c>
      <c r="AB91" s="0" t="s">
        <v>1561</v>
      </c>
      <c r="AD91" s="0" t="s">
        <v>158</v>
      </c>
      <c r="AH91" s="5" t="s">
        <v>158</v>
      </c>
      <c r="AI91" s="0" t="s">
        <v>601</v>
      </c>
      <c r="AJ91" s="0" t="s">
        <v>624</v>
      </c>
      <c r="AK91" s="0" t="s">
        <v>889</v>
      </c>
      <c r="AL91" s="0" t="n">
        <v>2</v>
      </c>
      <c r="AM91" s="0" t="n">
        <v>49</v>
      </c>
      <c r="AN91" s="0" t="s">
        <v>179</v>
      </c>
      <c r="AO91" s="0" t="s">
        <v>180</v>
      </c>
      <c r="AP91" s="0" t="s">
        <v>2110</v>
      </c>
      <c r="AQ91" s="5" t="s">
        <v>168</v>
      </c>
      <c r="AR91" s="0" t="s">
        <v>890</v>
      </c>
      <c r="AT91" s="0" t="str">
        <f aca="false">IF(AND(AX91="pass",AQ91&lt;&gt;"Y",C91&lt;&gt;"",OR(AW91&lt;&gt;"Y",AV91="Y")),"Y","N")</f>
        <v>N</v>
      </c>
      <c r="AU91" s="0" t="str">
        <f aca="false">_xlfn.TEXTJOIN("; ",TRUE(),IF(AX91&lt;&gt;"pass","gated out",""),IF(AQ91="Y","on hold: "&amp;AR91,""),IF(C91="","no contact named on an opened page",""),IF(AND(AW91="Y",AV91&lt;&gt;"Y"),"Tuesday estimate band "&amp;L91&amp;": founder's call",""))</f>
        <v>on hold: lease signed, move not confirmed: check the lobby directory before outreach (B); no contact named on an opened page; Tuesday estimate band under-40: founder's call</v>
      </c>
      <c r="AW91" s="0" t="s">
        <v>168</v>
      </c>
      <c r="AX91" s="0" t="s">
        <v>181</v>
      </c>
      <c r="AY91" s="0" t="s">
        <v>182</v>
      </c>
      <c r="AZ91" s="0" t="s">
        <v>1</v>
      </c>
      <c r="BA91" s="0" t="s">
        <v>2113</v>
      </c>
      <c r="BB91" s="0" t="s">
        <v>2114</v>
      </c>
      <c r="BC91" s="0" t="s">
        <v>2115</v>
      </c>
      <c r="BD91" s="0" t="s">
        <v>2116</v>
      </c>
      <c r="BF91" s="0" t="s">
        <v>394</v>
      </c>
      <c r="BG91" s="0" t="s">
        <v>188</v>
      </c>
      <c r="BH91" s="0" t="s">
        <v>189</v>
      </c>
      <c r="BI91" s="0" t="s">
        <v>2117</v>
      </c>
      <c r="BK91" s="0" t="s">
        <v>191</v>
      </c>
      <c r="BL91" s="0" t="s">
        <v>656</v>
      </c>
      <c r="BM91" s="0" t="s">
        <v>162</v>
      </c>
      <c r="BN91" s="0" t="s">
        <v>163</v>
      </c>
      <c r="BO91" s="0" t="s">
        <v>163</v>
      </c>
      <c r="BP91" s="0" t="s">
        <v>193</v>
      </c>
      <c r="BQ91" s="0" t="n">
        <v>40.73865</v>
      </c>
      <c r="BR91" s="0" t="n">
        <v>-73.991471</v>
      </c>
      <c r="BS91" s="0" t="s">
        <v>168</v>
      </c>
      <c r="BT91" s="0" t="n">
        <v>0</v>
      </c>
      <c r="BU91" s="0" t="s">
        <v>608</v>
      </c>
      <c r="BV91" s="0" t="s">
        <v>609</v>
      </c>
      <c r="BW91" s="0" t="s">
        <v>1392</v>
      </c>
      <c r="BX91" s="0" t="s">
        <v>1401</v>
      </c>
      <c r="BY91" s="0" t="s">
        <v>247</v>
      </c>
      <c r="CC91" s="0" t="s">
        <v>738</v>
      </c>
      <c r="CD91" s="0" t="s">
        <v>163</v>
      </c>
      <c r="CE91" s="0" t="s">
        <v>162</v>
      </c>
      <c r="CH91" s="0" t="s">
        <v>163</v>
      </c>
      <c r="CJ91" s="0" t="s">
        <v>163</v>
      </c>
      <c r="CK91" s="0" t="s">
        <v>162</v>
      </c>
      <c r="CL91" s="0" t="s">
        <v>2118</v>
      </c>
      <c r="CM91" s="0" t="s">
        <v>2119</v>
      </c>
      <c r="CN91" s="0" t="s">
        <v>174</v>
      </c>
      <c r="CO91" s="0" t="n">
        <v>10</v>
      </c>
      <c r="CP91" s="0" t="s">
        <v>1726</v>
      </c>
      <c r="CQ91" s="0" t="s">
        <v>2120</v>
      </c>
      <c r="CR91" s="0" t="s">
        <v>206</v>
      </c>
      <c r="CS91" s="0" t="n">
        <v>0.06</v>
      </c>
      <c r="CT91" s="0" t="n">
        <v>36.6</v>
      </c>
      <c r="CU91" s="0" t="n">
        <v>1.6</v>
      </c>
      <c r="CV91" s="0" t="n">
        <v>15</v>
      </c>
      <c r="CW91" s="0" t="n">
        <v>15</v>
      </c>
      <c r="CX91" s="0" t="n">
        <v>5</v>
      </c>
      <c r="CY91" s="0" t="n">
        <f aca="false">IF(AH91="exact",10,IF(AH91="adjacent",5,0))</f>
        <v>0</v>
      </c>
      <c r="CZ91" s="0" t="n">
        <f aca="false">IF(R91="Y",15,0)</f>
        <v>0</v>
      </c>
      <c r="DF91" s="0" t="s">
        <v>158</v>
      </c>
      <c r="DG91" s="0" t="s">
        <v>211</v>
      </c>
      <c r="DJ91" s="0" t="s">
        <v>1655</v>
      </c>
      <c r="DK91" s="0" t="s">
        <v>2121</v>
      </c>
      <c r="DS91" s="0" t="s">
        <v>158</v>
      </c>
      <c r="DX91" s="0" t="s">
        <v>162</v>
      </c>
      <c r="ER91" s="0" t="str">
        <f aca="false">IF(ISNUMBER(MATCH(U91,{"queued","contacted","replied","call_booked","call_done","yes_in_principle","materials_sent"},0)),"Y","N")</f>
        <v>N</v>
      </c>
      <c r="ES91" s="0" t="str">
        <f aca="false">IF(COUNTIFS($AP$2:$AP$1000,AP91,$ER$2:$ER$1000,"Y")+COUNTIFS($AP$2:$AP$1000,AP91,$T$2:$T$1000,"Y")&gt;0,"Y","N")</f>
        <v>N</v>
      </c>
      <c r="ET91" s="0" t="str">
        <f aca="false">IF(AND(U91="new",T91="N",AT91="Y",AS91="",ES91="N"),"Y","N")</f>
        <v>N</v>
      </c>
      <c r="EU91" s="0" t="str">
        <f aca="false">IF(ET91&lt;&gt;"Y","N",IF(COUNTIFS($AP$2:$AP$1000,AP91,$ET$2:$ET$1000,"Y",$J$2:$J$1000,"&gt;"&amp;J91)+COUNTIFS($AP$2:$AP$1000,AP91,$ET$2:$ET$1000,"Y",$J$2:$J$1000,J91,$EW$2:$EW$1000,"&lt;"&amp;EW91)=0,"Y","N"))</f>
        <v>N</v>
      </c>
      <c r="EV91" s="0" t="str">
        <f aca="false">IF(Y91="","N",IF(Y91&lt;=10,"Y","N"))</f>
        <v>N</v>
      </c>
      <c r="EW91" s="0" t="n">
        <f aca="false">ROW()-1</f>
        <v>90</v>
      </c>
    </row>
    <row r="92" customFormat="false" ht="15" hidden="false" customHeight="false" outlineLevel="0" collapsed="false">
      <c r="A92" s="0" t="s">
        <v>2122</v>
      </c>
      <c r="B92" s="0" t="s">
        <v>2123</v>
      </c>
      <c r="H92" s="5" t="s">
        <v>158</v>
      </c>
      <c r="I92" s="5" t="s">
        <v>159</v>
      </c>
      <c r="J92" s="0" t="n">
        <f aca="false">IF(AX92="pass",ROUND(CU92+CV92+CW92+CX92+CY92+CZ92,1),0)</f>
        <v>36.3</v>
      </c>
      <c r="K92" s="0" t="s">
        <v>2124</v>
      </c>
      <c r="L92" s="0" t="s">
        <v>187</v>
      </c>
      <c r="R92" s="5" t="s">
        <v>162</v>
      </c>
      <c r="S92" s="0" t="s">
        <v>163</v>
      </c>
      <c r="T92" s="5" t="s">
        <v>162</v>
      </c>
      <c r="U92" s="5" t="s">
        <v>561</v>
      </c>
      <c r="V92" s="0" t="s">
        <v>2125</v>
      </c>
      <c r="W92" s="0" t="s">
        <v>166</v>
      </c>
      <c r="X92" s="0" t="s">
        <v>167</v>
      </c>
      <c r="Y92" s="0" t="str">
        <f aca="false">IF(EU92&lt;&gt;"Y","",COUNTIFS($EU$2:$EU$1000,"Y",$J$2:$J$1000,"&gt;"&amp;J92)+COUNTIFS($EU$2:$EU$1000,"Y",$J$2:$J$1000,J92,$EW$2:$EW$1000,"&lt;"&amp;EW92)+1)</f>
        <v/>
      </c>
      <c r="Z92" s="0" t="n">
        <v>91</v>
      </c>
      <c r="AA92" s="0" t="s">
        <v>162</v>
      </c>
      <c r="AD92" s="0" t="s">
        <v>158</v>
      </c>
      <c r="AH92" s="5" t="s">
        <v>158</v>
      </c>
      <c r="AI92" s="0" t="s">
        <v>1644</v>
      </c>
      <c r="AJ92" s="0" t="s">
        <v>163</v>
      </c>
      <c r="AK92" s="0" t="s">
        <v>434</v>
      </c>
      <c r="AL92" s="0" t="n">
        <v>45</v>
      </c>
      <c r="AM92" s="0" t="n">
        <v>910</v>
      </c>
      <c r="AN92" s="0" t="s">
        <v>179</v>
      </c>
      <c r="AO92" s="0" t="s">
        <v>180</v>
      </c>
      <c r="AP92" s="0" t="s">
        <v>2122</v>
      </c>
      <c r="AQ92" s="5" t="s">
        <v>162</v>
      </c>
      <c r="AT92" s="0" t="str">
        <f aca="false">IF(AND(AX92="pass",AQ92&lt;&gt;"Y",C92&lt;&gt;"",OR(AW92&lt;&gt;"Y",AV92="Y")),"Y","N")</f>
        <v>N</v>
      </c>
      <c r="AU92" s="0" t="str">
        <f aca="false">_xlfn.TEXTJOIN("; ",TRUE(),IF(AX92&lt;&gt;"pass","gated out",""),IF(AQ92="Y","on hold: "&amp;AR92,""),IF(C92="","no contact named on an opened page",""),IF(AND(AW92="Y",AV92&lt;&gt;"Y"),"Tuesday estimate band "&amp;L92&amp;": founder's call",""))</f>
        <v>no contact named on an opened page</v>
      </c>
      <c r="AW92" s="0" t="s">
        <v>162</v>
      </c>
      <c r="AX92" s="0" t="s">
        <v>181</v>
      </c>
      <c r="AY92" s="0" t="s">
        <v>182</v>
      </c>
      <c r="AZ92" s="0" t="s">
        <v>1</v>
      </c>
      <c r="BA92" s="0" t="s">
        <v>2126</v>
      </c>
      <c r="BB92" s="0" t="s">
        <v>163</v>
      </c>
      <c r="BC92" s="0" t="s">
        <v>2127</v>
      </c>
      <c r="BD92" s="0" t="s">
        <v>2128</v>
      </c>
      <c r="BF92" s="0" t="s">
        <v>1322</v>
      </c>
      <c r="BG92" s="0" t="s">
        <v>188</v>
      </c>
      <c r="BH92" s="0" t="s">
        <v>189</v>
      </c>
      <c r="BI92" s="0" t="s">
        <v>2129</v>
      </c>
      <c r="BK92" s="0" t="s">
        <v>1439</v>
      </c>
      <c r="BL92" s="0" t="s">
        <v>2130</v>
      </c>
      <c r="BM92" s="0" t="s">
        <v>162</v>
      </c>
      <c r="BN92" s="0" t="s">
        <v>163</v>
      </c>
      <c r="BO92" s="0" t="s">
        <v>163</v>
      </c>
      <c r="BP92" s="0" t="s">
        <v>243</v>
      </c>
      <c r="BQ92" s="0" t="n">
        <v>40.746186</v>
      </c>
      <c r="BR92" s="0" t="n">
        <v>-73.985981</v>
      </c>
      <c r="BS92" s="0" t="s">
        <v>168</v>
      </c>
      <c r="BT92" s="0" t="n">
        <v>0</v>
      </c>
      <c r="BU92" s="0" t="s">
        <v>1652</v>
      </c>
      <c r="BV92" s="0" t="s">
        <v>1653</v>
      </c>
      <c r="BW92" s="0" t="s">
        <v>2125</v>
      </c>
      <c r="BX92" s="0" t="s">
        <v>2131</v>
      </c>
      <c r="BY92" s="0" t="s">
        <v>247</v>
      </c>
      <c r="CC92" s="0" t="s">
        <v>179</v>
      </c>
      <c r="CE92" s="0" t="s">
        <v>162</v>
      </c>
      <c r="CH92" s="0" t="s">
        <v>163</v>
      </c>
      <c r="CJ92" s="0" t="s">
        <v>163</v>
      </c>
      <c r="CK92" s="0" t="s">
        <v>162</v>
      </c>
      <c r="CL92" s="0" t="s">
        <v>448</v>
      </c>
      <c r="CM92" s="0" t="s">
        <v>2129</v>
      </c>
      <c r="CN92" s="0" t="s">
        <v>174</v>
      </c>
      <c r="CO92" s="0" t="n">
        <v>202</v>
      </c>
      <c r="CP92" s="0" t="s">
        <v>250</v>
      </c>
      <c r="CQ92" s="0" t="s">
        <v>2132</v>
      </c>
      <c r="CR92" s="0" t="s">
        <v>206</v>
      </c>
      <c r="CS92" s="0" t="n">
        <v>0.57</v>
      </c>
      <c r="CT92" s="0" t="n">
        <v>36.3</v>
      </c>
      <c r="CU92" s="0" t="n">
        <v>14.3</v>
      </c>
      <c r="CV92" s="0" t="n">
        <v>2</v>
      </c>
      <c r="CW92" s="0" t="n">
        <v>15</v>
      </c>
      <c r="CX92" s="0" t="n">
        <v>5</v>
      </c>
      <c r="CY92" s="0" t="n">
        <f aca="false">IF(AH92="exact",10,IF(AH92="adjacent",5,0))</f>
        <v>0</v>
      </c>
      <c r="CZ92" s="0" t="n">
        <f aca="false">IF(R92="Y",15,0)</f>
        <v>0</v>
      </c>
      <c r="DF92" s="0" t="s">
        <v>158</v>
      </c>
      <c r="DG92" s="0" t="s">
        <v>1335</v>
      </c>
      <c r="DH92" s="0" t="s">
        <v>1446</v>
      </c>
      <c r="DI92" s="0" t="s">
        <v>162</v>
      </c>
      <c r="DJ92" s="0" t="s">
        <v>2133</v>
      </c>
      <c r="DK92" s="0" t="s">
        <v>2134</v>
      </c>
      <c r="DS92" s="0" t="s">
        <v>158</v>
      </c>
      <c r="DX92" s="0" t="s">
        <v>162</v>
      </c>
      <c r="ER92" s="0" t="str">
        <f aca="false">IF(ISNUMBER(MATCH(U92,{"queued","contacted","replied","call_booked","call_done","yes_in_principle","materials_sent"},0)),"Y","N")</f>
        <v>N</v>
      </c>
      <c r="ES92" s="0" t="str">
        <f aca="false">IF(COUNTIFS($AP$2:$AP$1000,AP92,$ER$2:$ER$1000,"Y")+COUNTIFS($AP$2:$AP$1000,AP92,$T$2:$T$1000,"Y")&gt;0,"Y","N")</f>
        <v>N</v>
      </c>
      <c r="ET92" s="0" t="str">
        <f aca="false">IF(AND(U92="new",T92="N",AT92="Y",AS92="",ES92="N"),"Y","N")</f>
        <v>N</v>
      </c>
      <c r="EU92" s="0" t="str">
        <f aca="false">IF(ET92&lt;&gt;"Y","N",IF(COUNTIFS($AP$2:$AP$1000,AP92,$ET$2:$ET$1000,"Y",$J$2:$J$1000,"&gt;"&amp;J92)+COUNTIFS($AP$2:$AP$1000,AP92,$ET$2:$ET$1000,"Y",$J$2:$J$1000,J92,$EW$2:$EW$1000,"&lt;"&amp;EW92)=0,"Y","N"))</f>
        <v>N</v>
      </c>
      <c r="EV92" s="0" t="str">
        <f aca="false">IF(Y92="","N",IF(Y92&lt;=10,"Y","N"))</f>
        <v>N</v>
      </c>
      <c r="EW92" s="0" t="n">
        <f aca="false">ROW()-1</f>
        <v>91</v>
      </c>
    </row>
    <row r="93" customFormat="false" ht="15" hidden="false" customHeight="false" outlineLevel="0" collapsed="false">
      <c r="A93" s="0" t="s">
        <v>2135</v>
      </c>
      <c r="B93" s="0" t="s">
        <v>2136</v>
      </c>
      <c r="H93" s="5" t="s">
        <v>158</v>
      </c>
      <c r="I93" s="5" t="s">
        <v>159</v>
      </c>
      <c r="J93" s="0" t="n">
        <f aca="false">IF(AX93="pass",ROUND(CU93+CV93+CW93+CX93+CY93+CZ93,1),0)</f>
        <v>36.3</v>
      </c>
      <c r="K93" s="0" t="s">
        <v>2137</v>
      </c>
      <c r="L93" s="0" t="s">
        <v>239</v>
      </c>
      <c r="O93" s="0" t="s">
        <v>2138</v>
      </c>
      <c r="P93" s="0" t="s">
        <v>2139</v>
      </c>
      <c r="Q93" s="0" t="s">
        <v>2140</v>
      </c>
      <c r="R93" s="5" t="s">
        <v>162</v>
      </c>
      <c r="S93" s="0" t="s">
        <v>163</v>
      </c>
      <c r="T93" s="5" t="s">
        <v>162</v>
      </c>
      <c r="U93" s="5" t="s">
        <v>561</v>
      </c>
      <c r="V93" s="0" t="s">
        <v>2139</v>
      </c>
      <c r="W93" s="0" t="s">
        <v>166</v>
      </c>
      <c r="X93" s="0" t="s">
        <v>167</v>
      </c>
      <c r="Y93" s="0" t="str">
        <f aca="false">IF(EU93&lt;&gt;"Y","",COUNTIFS($EU$2:$EU$1000,"Y",$J$2:$J$1000,"&gt;"&amp;J93)+COUNTIFS($EU$2:$EU$1000,"Y",$J$2:$J$1000,J93,$EW$2:$EW$1000,"&lt;"&amp;EW93)+1)</f>
        <v/>
      </c>
      <c r="Z93" s="0" t="n">
        <v>92</v>
      </c>
      <c r="AA93" s="0" t="s">
        <v>162</v>
      </c>
      <c r="AB93" s="0" t="s">
        <v>1661</v>
      </c>
      <c r="AD93" s="0" t="s">
        <v>158</v>
      </c>
      <c r="AH93" s="5" t="s">
        <v>158</v>
      </c>
      <c r="AI93" s="0" t="s">
        <v>1167</v>
      </c>
      <c r="AJ93" s="0" t="s">
        <v>2141</v>
      </c>
      <c r="AK93" s="0" t="s">
        <v>889</v>
      </c>
      <c r="AL93" s="0" t="n">
        <v>188</v>
      </c>
      <c r="AM93" s="0" t="n">
        <v>376</v>
      </c>
      <c r="AN93" s="0" t="s">
        <v>179</v>
      </c>
      <c r="AO93" s="0" t="s">
        <v>180</v>
      </c>
      <c r="AP93" s="0" t="s">
        <v>2135</v>
      </c>
      <c r="AQ93" s="5" t="s">
        <v>168</v>
      </c>
      <c r="AR93" s="0" t="s">
        <v>890</v>
      </c>
      <c r="AT93" s="0" t="str">
        <f aca="false">IF(AND(AX93="pass",AQ93&lt;&gt;"Y",C93&lt;&gt;"",OR(AW93&lt;&gt;"Y",AV93="Y")),"Y","N")</f>
        <v>N</v>
      </c>
      <c r="AU93" s="0" t="str">
        <f aca="false">_xlfn.TEXTJOIN("; ",TRUE(),IF(AX93&lt;&gt;"pass","gated out",""),IF(AQ93="Y","on hold: "&amp;AR93,""),IF(C93="","no contact named on an opened page",""),IF(AND(AW93="Y",AV93&lt;&gt;"Y"),"Tuesday estimate band "&amp;L93&amp;": founder's call",""))</f>
        <v>on hold: lease signed, move not confirmed: check the lobby directory before outreach (B); no contact named on an opened page; Tuesday estimate band 251-500: founder's call</v>
      </c>
      <c r="AW93" s="0" t="s">
        <v>168</v>
      </c>
      <c r="AX93" s="0" t="s">
        <v>181</v>
      </c>
      <c r="AY93" s="0" t="s">
        <v>182</v>
      </c>
      <c r="AZ93" s="0" t="s">
        <v>1</v>
      </c>
      <c r="BA93" s="0" t="s">
        <v>2142</v>
      </c>
      <c r="BB93" s="0" t="s">
        <v>2143</v>
      </c>
      <c r="BC93" s="0" t="s">
        <v>2144</v>
      </c>
      <c r="BD93" s="0" t="s">
        <v>2145</v>
      </c>
      <c r="BF93" s="0" t="s">
        <v>1322</v>
      </c>
      <c r="BG93" s="0" t="s">
        <v>188</v>
      </c>
      <c r="BH93" s="0" t="s">
        <v>189</v>
      </c>
      <c r="BI93" s="0" t="s">
        <v>2146</v>
      </c>
      <c r="BK93" s="0" t="s">
        <v>1263</v>
      </c>
      <c r="BL93" s="0" t="s">
        <v>192</v>
      </c>
      <c r="BM93" s="0" t="s">
        <v>168</v>
      </c>
      <c r="BN93" s="0" t="s">
        <v>163</v>
      </c>
      <c r="BO93" s="0" t="s">
        <v>163</v>
      </c>
      <c r="BP93" s="0" t="s">
        <v>193</v>
      </c>
      <c r="BQ93" s="0" t="n">
        <v>40.734305</v>
      </c>
      <c r="BR93" s="0" t="n">
        <v>-73.991059</v>
      </c>
      <c r="BS93" s="0" t="s">
        <v>168</v>
      </c>
      <c r="BT93" s="0" t="n">
        <v>0</v>
      </c>
      <c r="BU93" s="0" t="s">
        <v>735</v>
      </c>
      <c r="BV93" s="0" t="s">
        <v>736</v>
      </c>
      <c r="BW93" s="0" t="s">
        <v>2139</v>
      </c>
      <c r="BX93" s="0" t="s">
        <v>2140</v>
      </c>
      <c r="BY93" s="0" t="s">
        <v>247</v>
      </c>
      <c r="BZ93" s="0" t="s">
        <v>2147</v>
      </c>
      <c r="CA93" s="0" t="s">
        <v>2148</v>
      </c>
      <c r="CC93" s="0" t="s">
        <v>738</v>
      </c>
      <c r="CD93" s="0" t="s">
        <v>163</v>
      </c>
      <c r="CE93" s="0" t="s">
        <v>162</v>
      </c>
      <c r="CH93" s="0" t="s">
        <v>201</v>
      </c>
      <c r="CI93" s="0" t="s">
        <v>739</v>
      </c>
      <c r="CJ93" s="0" t="s">
        <v>163</v>
      </c>
      <c r="CK93" s="0" t="s">
        <v>162</v>
      </c>
      <c r="CL93" s="0" t="s">
        <v>577</v>
      </c>
      <c r="CM93" s="0" t="s">
        <v>2149</v>
      </c>
      <c r="CN93" s="0" t="s">
        <v>174</v>
      </c>
      <c r="CO93" s="0" t="n">
        <v>266</v>
      </c>
      <c r="CP93" s="0" t="s">
        <v>250</v>
      </c>
      <c r="CQ93" s="0" t="s">
        <v>2150</v>
      </c>
      <c r="CR93" s="0" t="s">
        <v>206</v>
      </c>
      <c r="CS93" s="0" t="n">
        <v>0.41</v>
      </c>
      <c r="CT93" s="0" t="n">
        <v>36.3</v>
      </c>
      <c r="CU93" s="0" t="n">
        <v>10.3</v>
      </c>
      <c r="CV93" s="0" t="n">
        <v>6</v>
      </c>
      <c r="CW93" s="0" t="n">
        <v>15</v>
      </c>
      <c r="CX93" s="0" t="n">
        <v>5</v>
      </c>
      <c r="CY93" s="0" t="n">
        <f aca="false">IF(AH93="exact",10,IF(AH93="adjacent",5,0))</f>
        <v>0</v>
      </c>
      <c r="CZ93" s="0" t="n">
        <f aca="false">IF(R93="Y",15,0)</f>
        <v>0</v>
      </c>
      <c r="DF93" s="0" t="s">
        <v>158</v>
      </c>
      <c r="DG93" s="0" t="s">
        <v>1335</v>
      </c>
      <c r="DH93" s="0" t="s">
        <v>1336</v>
      </c>
      <c r="DI93" s="0" t="s">
        <v>162</v>
      </c>
      <c r="DJ93" s="0" t="s">
        <v>2151</v>
      </c>
      <c r="DK93" s="0" t="s">
        <v>2152</v>
      </c>
      <c r="DS93" s="0" t="s">
        <v>158</v>
      </c>
      <c r="DX93" s="0" t="s">
        <v>162</v>
      </c>
      <c r="ER93" s="0" t="str">
        <f aca="false">IF(ISNUMBER(MATCH(U93,{"queued","contacted","replied","call_booked","call_done","yes_in_principle","materials_sent"},0)),"Y","N")</f>
        <v>N</v>
      </c>
      <c r="ES93" s="0" t="str">
        <f aca="false">IF(COUNTIFS($AP$2:$AP$1000,AP93,$ER$2:$ER$1000,"Y")+COUNTIFS($AP$2:$AP$1000,AP93,$T$2:$T$1000,"Y")&gt;0,"Y","N")</f>
        <v>N</v>
      </c>
      <c r="ET93" s="0" t="str">
        <f aca="false">IF(AND(U93="new",T93="N",AT93="Y",AS93="",ES93="N"),"Y","N")</f>
        <v>N</v>
      </c>
      <c r="EU93" s="0" t="str">
        <f aca="false">IF(ET93&lt;&gt;"Y","N",IF(COUNTIFS($AP$2:$AP$1000,AP93,$ET$2:$ET$1000,"Y",$J$2:$J$1000,"&gt;"&amp;J93)+COUNTIFS($AP$2:$AP$1000,AP93,$ET$2:$ET$1000,"Y",$J$2:$J$1000,J93,$EW$2:$EW$1000,"&lt;"&amp;EW93)=0,"Y","N"))</f>
        <v>N</v>
      </c>
      <c r="EV93" s="0" t="str">
        <f aca="false">IF(Y93="","N",IF(Y93&lt;=10,"Y","N"))</f>
        <v>N</v>
      </c>
      <c r="EW93" s="0" t="n">
        <f aca="false">ROW()-1</f>
        <v>92</v>
      </c>
    </row>
    <row r="94" customFormat="false" ht="15" hidden="false" customHeight="false" outlineLevel="0" collapsed="false">
      <c r="A94" s="0" t="s">
        <v>2153</v>
      </c>
      <c r="B94" s="0" t="s">
        <v>2154</v>
      </c>
      <c r="H94" s="5" t="s">
        <v>158</v>
      </c>
      <c r="I94" s="5" t="s">
        <v>159</v>
      </c>
      <c r="J94" s="0" t="n">
        <f aca="false">IF(AX94="pass",ROUND(CU94+CV94+CW94+CX94+CY94+CZ94,1),0)</f>
        <v>36.3</v>
      </c>
      <c r="K94" s="0" t="s">
        <v>2155</v>
      </c>
      <c r="L94" s="0" t="s">
        <v>394</v>
      </c>
      <c r="O94" s="0" t="s">
        <v>2156</v>
      </c>
      <c r="P94" s="0" t="s">
        <v>2157</v>
      </c>
      <c r="Q94" s="0" t="s">
        <v>2158</v>
      </c>
      <c r="R94" s="5" t="s">
        <v>162</v>
      </c>
      <c r="S94" s="0" t="s">
        <v>163</v>
      </c>
      <c r="T94" s="5" t="s">
        <v>162</v>
      </c>
      <c r="U94" s="5" t="s">
        <v>561</v>
      </c>
      <c r="V94" s="0" t="s">
        <v>2157</v>
      </c>
      <c r="W94" s="0" t="s">
        <v>166</v>
      </c>
      <c r="X94" s="0" t="s">
        <v>167</v>
      </c>
      <c r="Y94" s="0" t="str">
        <f aca="false">IF(EU94&lt;&gt;"Y","",COUNTIFS($EU$2:$EU$1000,"Y",$J$2:$J$1000,"&gt;"&amp;J94)+COUNTIFS($EU$2:$EU$1000,"Y",$J$2:$J$1000,J94,$EW$2:$EW$1000,"&lt;"&amp;EW94)+1)</f>
        <v/>
      </c>
      <c r="Z94" s="0" t="n">
        <v>93</v>
      </c>
      <c r="AA94" s="0" t="s">
        <v>162</v>
      </c>
      <c r="AD94" s="0" t="s">
        <v>158</v>
      </c>
      <c r="AH94" s="5" t="s">
        <v>158</v>
      </c>
      <c r="AI94" s="0" t="s">
        <v>753</v>
      </c>
      <c r="AJ94" s="0" t="s">
        <v>163</v>
      </c>
      <c r="AK94" s="0" t="s">
        <v>889</v>
      </c>
      <c r="AL94" s="0" t="n">
        <v>5</v>
      </c>
      <c r="AM94" s="0" t="n">
        <v>431</v>
      </c>
      <c r="AN94" s="0" t="s">
        <v>179</v>
      </c>
      <c r="AO94" s="0" t="s">
        <v>180</v>
      </c>
      <c r="AP94" s="0" t="s">
        <v>2153</v>
      </c>
      <c r="AQ94" s="5" t="s">
        <v>168</v>
      </c>
      <c r="AR94" s="0" t="s">
        <v>890</v>
      </c>
      <c r="AT94" s="0" t="str">
        <f aca="false">IF(AND(AX94="pass",AQ94&lt;&gt;"Y",C94&lt;&gt;"",OR(AW94&lt;&gt;"Y",AV94="Y")),"Y","N")</f>
        <v>N</v>
      </c>
      <c r="AU94" s="0" t="str">
        <f aca="false">_xlfn.TEXTJOIN("; ",TRUE(),IF(AX94&lt;&gt;"pass","gated out",""),IF(AQ94="Y","on hold: "&amp;AR94,""),IF(C94="","no contact named on an opened page",""),IF(AND(AW94="Y",AV94&lt;&gt;"Y"),"Tuesday estimate band "&amp;L94&amp;": founder's call",""))</f>
        <v>on hold: lease signed, move not confirmed: check the lobby directory before outreach (B); no contact named on an opened page</v>
      </c>
      <c r="AW94" s="0" t="s">
        <v>162</v>
      </c>
      <c r="AX94" s="0" t="s">
        <v>181</v>
      </c>
      <c r="AY94" s="0" t="s">
        <v>182</v>
      </c>
      <c r="AZ94" s="0" t="s">
        <v>1</v>
      </c>
      <c r="BA94" s="0" t="s">
        <v>2159</v>
      </c>
      <c r="BB94" s="0" t="s">
        <v>2160</v>
      </c>
      <c r="BC94" s="0" t="s">
        <v>2161</v>
      </c>
      <c r="BD94" s="0" t="s">
        <v>2162</v>
      </c>
      <c r="BE94" s="0" t="s">
        <v>2163</v>
      </c>
      <c r="BF94" s="0" t="s">
        <v>1322</v>
      </c>
      <c r="BG94" s="0" t="s">
        <v>188</v>
      </c>
      <c r="BH94" s="0" t="s">
        <v>1323</v>
      </c>
      <c r="BI94" s="0" t="s">
        <v>2164</v>
      </c>
      <c r="BJ94" s="0" t="s">
        <v>2165</v>
      </c>
      <c r="BK94" s="0" t="s">
        <v>1263</v>
      </c>
      <c r="BL94" s="0" t="s">
        <v>656</v>
      </c>
      <c r="BM94" s="0" t="s">
        <v>162</v>
      </c>
      <c r="BN94" s="0" t="s">
        <v>163</v>
      </c>
      <c r="BO94" s="0" t="s">
        <v>163</v>
      </c>
      <c r="BP94" s="0" t="s">
        <v>346</v>
      </c>
      <c r="BQ94" s="0" t="n">
        <v>40.743309</v>
      </c>
      <c r="BR94" s="0" t="n">
        <v>-73.987329</v>
      </c>
      <c r="BS94" s="0" t="s">
        <v>168</v>
      </c>
      <c r="BT94" s="0" t="n">
        <v>0</v>
      </c>
      <c r="BU94" s="0" t="s">
        <v>763</v>
      </c>
      <c r="BV94" s="0" t="s">
        <v>764</v>
      </c>
      <c r="BW94" s="0" t="s">
        <v>2157</v>
      </c>
      <c r="BX94" s="0" t="s">
        <v>2158</v>
      </c>
      <c r="BY94" s="0" t="s">
        <v>247</v>
      </c>
      <c r="BZ94" s="0" t="s">
        <v>2166</v>
      </c>
      <c r="CA94" s="0" t="s">
        <v>1291</v>
      </c>
      <c r="CC94" s="0" t="s">
        <v>738</v>
      </c>
      <c r="CD94" s="0" t="s">
        <v>163</v>
      </c>
      <c r="CE94" s="0" t="s">
        <v>162</v>
      </c>
      <c r="CH94" s="0" t="s">
        <v>163</v>
      </c>
      <c r="CJ94" s="0" t="s">
        <v>163</v>
      </c>
      <c r="CK94" s="0" t="s">
        <v>162</v>
      </c>
      <c r="CL94" s="0" t="s">
        <v>448</v>
      </c>
      <c r="CM94" s="0" t="s">
        <v>2165</v>
      </c>
      <c r="CN94" s="0" t="s">
        <v>174</v>
      </c>
      <c r="CO94" s="0" t="n">
        <v>46</v>
      </c>
      <c r="CP94" s="0" t="s">
        <v>767</v>
      </c>
      <c r="CQ94" s="0" t="s">
        <v>2167</v>
      </c>
      <c r="CR94" s="0" t="s">
        <v>206</v>
      </c>
      <c r="CS94" s="0" t="n">
        <v>0.41</v>
      </c>
      <c r="CT94" s="0" t="n">
        <v>36.3</v>
      </c>
      <c r="CU94" s="0" t="n">
        <v>10.3</v>
      </c>
      <c r="CV94" s="0" t="n">
        <v>6</v>
      </c>
      <c r="CW94" s="0" t="n">
        <v>15</v>
      </c>
      <c r="CX94" s="0" t="n">
        <v>5</v>
      </c>
      <c r="CY94" s="0" t="n">
        <f aca="false">IF(AH94="exact",10,IF(AH94="adjacent",5,0))</f>
        <v>0</v>
      </c>
      <c r="CZ94" s="0" t="n">
        <f aca="false">IF(R94="Y",15,0)</f>
        <v>0</v>
      </c>
      <c r="DF94" s="0" t="s">
        <v>158</v>
      </c>
      <c r="DG94" s="0" t="s">
        <v>1335</v>
      </c>
      <c r="DH94" s="0" t="s">
        <v>1336</v>
      </c>
      <c r="DI94" s="0" t="s">
        <v>162</v>
      </c>
      <c r="DJ94" s="0" t="s">
        <v>2168</v>
      </c>
      <c r="DK94" s="0" t="s">
        <v>2169</v>
      </c>
      <c r="DS94" s="0" t="s">
        <v>158</v>
      </c>
      <c r="DX94" s="0" t="s">
        <v>162</v>
      </c>
      <c r="ER94" s="0" t="str">
        <f aca="false">IF(ISNUMBER(MATCH(U94,{"queued","contacted","replied","call_booked","call_done","yes_in_principle","materials_sent"},0)),"Y","N")</f>
        <v>N</v>
      </c>
      <c r="ES94" s="0" t="str">
        <f aca="false">IF(COUNTIFS($AP$2:$AP$1000,AP94,$ER$2:$ER$1000,"Y")+COUNTIFS($AP$2:$AP$1000,AP94,$T$2:$T$1000,"Y")&gt;0,"Y","N")</f>
        <v>N</v>
      </c>
      <c r="ET94" s="0" t="str">
        <f aca="false">IF(AND(U94="new",T94="N",AT94="Y",AS94="",ES94="N"),"Y","N")</f>
        <v>N</v>
      </c>
      <c r="EU94" s="0" t="str">
        <f aca="false">IF(ET94&lt;&gt;"Y","N",IF(COUNTIFS($AP$2:$AP$1000,AP94,$ET$2:$ET$1000,"Y",$J$2:$J$1000,"&gt;"&amp;J94)+COUNTIFS($AP$2:$AP$1000,AP94,$ET$2:$ET$1000,"Y",$J$2:$J$1000,J94,$EW$2:$EW$1000,"&lt;"&amp;EW94)=0,"Y","N"))</f>
        <v>N</v>
      </c>
      <c r="EV94" s="0" t="str">
        <f aca="false">IF(Y94="","N",IF(Y94&lt;=10,"Y","N"))</f>
        <v>N</v>
      </c>
      <c r="EW94" s="0" t="n">
        <f aca="false">ROW()-1</f>
        <v>93</v>
      </c>
    </row>
    <row r="95" customFormat="false" ht="15" hidden="false" customHeight="false" outlineLevel="0" collapsed="false">
      <c r="A95" s="0" t="s">
        <v>2170</v>
      </c>
      <c r="B95" s="0" t="s">
        <v>2171</v>
      </c>
      <c r="H95" s="5" t="s">
        <v>158</v>
      </c>
      <c r="I95" s="5" t="s">
        <v>159</v>
      </c>
      <c r="J95" s="0" t="n">
        <f aca="false">IF(AX95="pass",ROUND(CU95+CV95+CW95+CX95+CY95+CZ95,1),0)</f>
        <v>36.1</v>
      </c>
      <c r="K95" s="0" t="s">
        <v>2172</v>
      </c>
      <c r="L95" s="0" t="s">
        <v>187</v>
      </c>
      <c r="R95" s="5" t="s">
        <v>162</v>
      </c>
      <c r="S95" s="0" t="s">
        <v>163</v>
      </c>
      <c r="T95" s="5" t="s">
        <v>162</v>
      </c>
      <c r="U95" s="5" t="s">
        <v>561</v>
      </c>
      <c r="V95" s="0" t="s">
        <v>2173</v>
      </c>
      <c r="W95" s="0" t="s">
        <v>166</v>
      </c>
      <c r="X95" s="0" t="s">
        <v>167</v>
      </c>
      <c r="Y95" s="0" t="str">
        <f aca="false">IF(EU95&lt;&gt;"Y","",COUNTIFS($EU$2:$EU$1000,"Y",$J$2:$J$1000,"&gt;"&amp;J95)+COUNTIFS($EU$2:$EU$1000,"Y",$J$2:$J$1000,J95,$EW$2:$EW$1000,"&lt;"&amp;EW95)+1)</f>
        <v/>
      </c>
      <c r="Z95" s="0" t="n">
        <v>94</v>
      </c>
      <c r="AA95" s="0" t="s">
        <v>162</v>
      </c>
      <c r="AD95" s="0" t="s">
        <v>158</v>
      </c>
      <c r="AH95" s="5" t="s">
        <v>158</v>
      </c>
      <c r="AI95" s="0" t="s">
        <v>2174</v>
      </c>
      <c r="AJ95" s="0" t="s">
        <v>624</v>
      </c>
      <c r="AK95" s="0" t="s">
        <v>434</v>
      </c>
      <c r="AL95" s="0" t="n">
        <v>46</v>
      </c>
      <c r="AM95" s="0" t="n">
        <v>922</v>
      </c>
      <c r="AN95" s="0" t="s">
        <v>179</v>
      </c>
      <c r="AO95" s="0" t="s">
        <v>180</v>
      </c>
      <c r="AP95" s="0" t="s">
        <v>2170</v>
      </c>
      <c r="AQ95" s="5" t="s">
        <v>162</v>
      </c>
      <c r="AT95" s="0" t="str">
        <f aca="false">IF(AND(AX95="pass",AQ95&lt;&gt;"Y",C95&lt;&gt;"",OR(AW95&lt;&gt;"Y",AV95="Y")),"Y","N")</f>
        <v>N</v>
      </c>
      <c r="AU95" s="0" t="str">
        <f aca="false">_xlfn.TEXTJOIN("; ",TRUE(),IF(AX95&lt;&gt;"pass","gated out",""),IF(AQ95="Y","on hold: "&amp;AR95,""),IF(C95="","no contact named on an opened page",""),IF(AND(AW95="Y",AV95&lt;&gt;"Y"),"Tuesday estimate band "&amp;L95&amp;": founder's call",""))</f>
        <v>no contact named on an opened page</v>
      </c>
      <c r="AW95" s="0" t="s">
        <v>162</v>
      </c>
      <c r="AX95" s="0" t="s">
        <v>181</v>
      </c>
      <c r="AY95" s="0" t="s">
        <v>182</v>
      </c>
      <c r="AZ95" s="0" t="s">
        <v>1</v>
      </c>
      <c r="BA95" s="0" t="s">
        <v>2175</v>
      </c>
      <c r="BB95" s="0" t="s">
        <v>2176</v>
      </c>
      <c r="BC95" s="0" t="s">
        <v>2177</v>
      </c>
      <c r="BD95" s="0" t="s">
        <v>2178</v>
      </c>
      <c r="BF95" s="0" t="s">
        <v>1322</v>
      </c>
      <c r="BG95" s="0" t="s">
        <v>188</v>
      </c>
      <c r="BH95" s="0" t="s">
        <v>189</v>
      </c>
      <c r="BI95" s="0" t="s">
        <v>2179</v>
      </c>
      <c r="BK95" s="0" t="s">
        <v>1439</v>
      </c>
      <c r="BL95" s="0" t="s">
        <v>2180</v>
      </c>
      <c r="BM95" s="0" t="s">
        <v>162</v>
      </c>
      <c r="BN95" s="0" t="s">
        <v>163</v>
      </c>
      <c r="BO95" s="0" t="s">
        <v>163</v>
      </c>
      <c r="BP95" s="0" t="s">
        <v>377</v>
      </c>
      <c r="BQ95" s="0" t="n">
        <v>40.740084</v>
      </c>
      <c r="BR95" s="0" t="n">
        <v>-73.994613</v>
      </c>
      <c r="BS95" s="0" t="s">
        <v>168</v>
      </c>
      <c r="BT95" s="0" t="n">
        <v>0</v>
      </c>
      <c r="BU95" s="0" t="s">
        <v>2181</v>
      </c>
      <c r="BV95" s="0" t="s">
        <v>2182</v>
      </c>
      <c r="BW95" s="0" t="s">
        <v>2173</v>
      </c>
      <c r="BX95" s="0" t="s">
        <v>2183</v>
      </c>
      <c r="BY95" s="0" t="s">
        <v>247</v>
      </c>
      <c r="BZ95" s="0" t="s">
        <v>2184</v>
      </c>
      <c r="CA95" s="0" t="s">
        <v>166</v>
      </c>
      <c r="CC95" s="0" t="s">
        <v>179</v>
      </c>
      <c r="CE95" s="0" t="s">
        <v>162</v>
      </c>
      <c r="CH95" s="0" t="s">
        <v>1706</v>
      </c>
      <c r="CI95" s="0" t="s">
        <v>2185</v>
      </c>
      <c r="CJ95" s="0" t="s">
        <v>163</v>
      </c>
      <c r="CK95" s="0" t="s">
        <v>162</v>
      </c>
      <c r="CL95" s="0" t="s">
        <v>448</v>
      </c>
      <c r="CM95" s="0" t="s">
        <v>2184</v>
      </c>
      <c r="CN95" s="0" t="s">
        <v>174</v>
      </c>
      <c r="CO95" s="0" t="n">
        <v>206</v>
      </c>
      <c r="CP95" s="0" t="s">
        <v>250</v>
      </c>
      <c r="CQ95" s="0" t="s">
        <v>2186</v>
      </c>
      <c r="CR95" s="0" t="s">
        <v>206</v>
      </c>
      <c r="CS95" s="0" t="n">
        <v>0.56</v>
      </c>
      <c r="CT95" s="0" t="n">
        <v>36.1</v>
      </c>
      <c r="CU95" s="0" t="n">
        <v>14.1</v>
      </c>
      <c r="CV95" s="0" t="n">
        <v>2</v>
      </c>
      <c r="CW95" s="0" t="n">
        <v>15</v>
      </c>
      <c r="CX95" s="0" t="n">
        <v>5</v>
      </c>
      <c r="CY95" s="0" t="n">
        <f aca="false">IF(AH95="exact",10,IF(AH95="adjacent",5,0))</f>
        <v>0</v>
      </c>
      <c r="CZ95" s="0" t="n">
        <f aca="false">IF(R95="Y",15,0)</f>
        <v>0</v>
      </c>
      <c r="DF95" s="0" t="s">
        <v>158</v>
      </c>
      <c r="DG95" s="0" t="s">
        <v>1335</v>
      </c>
      <c r="DH95" s="0" t="s">
        <v>1446</v>
      </c>
      <c r="DI95" s="0" t="s">
        <v>162</v>
      </c>
      <c r="DJ95" s="0" t="s">
        <v>2187</v>
      </c>
      <c r="DK95" s="0" t="s">
        <v>2188</v>
      </c>
      <c r="DS95" s="0" t="s">
        <v>158</v>
      </c>
      <c r="DX95" s="0" t="s">
        <v>162</v>
      </c>
      <c r="ER95" s="0" t="str">
        <f aca="false">IF(ISNUMBER(MATCH(U95,{"queued","contacted","replied","call_booked","call_done","yes_in_principle","materials_sent"},0)),"Y","N")</f>
        <v>N</v>
      </c>
      <c r="ES95" s="0" t="str">
        <f aca="false">IF(COUNTIFS($AP$2:$AP$1000,AP95,$ER$2:$ER$1000,"Y")+COUNTIFS($AP$2:$AP$1000,AP95,$T$2:$T$1000,"Y")&gt;0,"Y","N")</f>
        <v>N</v>
      </c>
      <c r="ET95" s="0" t="str">
        <f aca="false">IF(AND(U95="new",T95="N",AT95="Y",AS95="",ES95="N"),"Y","N")</f>
        <v>N</v>
      </c>
      <c r="EU95" s="0" t="str">
        <f aca="false">IF(ET95&lt;&gt;"Y","N",IF(COUNTIFS($AP$2:$AP$1000,AP95,$ET$2:$ET$1000,"Y",$J$2:$J$1000,"&gt;"&amp;J95)+COUNTIFS($AP$2:$AP$1000,AP95,$ET$2:$ET$1000,"Y",$J$2:$J$1000,J95,$EW$2:$EW$1000,"&lt;"&amp;EW95)=0,"Y","N"))</f>
        <v>N</v>
      </c>
      <c r="EV95" s="0" t="str">
        <f aca="false">IF(Y95="","N",IF(Y95&lt;=10,"Y","N"))</f>
        <v>N</v>
      </c>
      <c r="EW95" s="0" t="n">
        <f aca="false">ROW()-1</f>
        <v>94</v>
      </c>
    </row>
    <row r="96" customFormat="false" ht="15" hidden="false" customHeight="false" outlineLevel="0" collapsed="false">
      <c r="A96" s="0" t="s">
        <v>2189</v>
      </c>
      <c r="B96" s="0" t="s">
        <v>2190</v>
      </c>
      <c r="H96" s="5" t="s">
        <v>158</v>
      </c>
      <c r="I96" s="5" t="s">
        <v>159</v>
      </c>
      <c r="J96" s="0" t="n">
        <f aca="false">IF(AX96="pass",ROUND(CU96+CV96+CW96+CX96+CY96+CZ96,1),0)</f>
        <v>36</v>
      </c>
      <c r="K96" s="0" t="s">
        <v>2191</v>
      </c>
      <c r="L96" s="0" t="s">
        <v>163</v>
      </c>
      <c r="R96" s="5" t="s">
        <v>162</v>
      </c>
      <c r="S96" s="0" t="s">
        <v>163</v>
      </c>
      <c r="T96" s="5" t="s">
        <v>162</v>
      </c>
      <c r="U96" s="5" t="s">
        <v>561</v>
      </c>
      <c r="V96" s="0" t="s">
        <v>2192</v>
      </c>
      <c r="W96" s="0" t="s">
        <v>166</v>
      </c>
      <c r="X96" s="0" t="s">
        <v>167</v>
      </c>
      <c r="Y96" s="0" t="str">
        <f aca="false">IF(EU96&lt;&gt;"Y","",COUNTIFS($EU$2:$EU$1000,"Y",$J$2:$J$1000,"&gt;"&amp;J96)+COUNTIFS($EU$2:$EU$1000,"Y",$J$2:$J$1000,J96,$EW$2:$EW$1000,"&lt;"&amp;EW96)+1)</f>
        <v/>
      </c>
      <c r="Z96" s="0" t="n">
        <v>95</v>
      </c>
      <c r="AA96" s="0" t="s">
        <v>162</v>
      </c>
      <c r="AD96" s="0" t="s">
        <v>158</v>
      </c>
      <c r="AH96" s="5" t="s">
        <v>158</v>
      </c>
      <c r="AI96" s="0" t="s">
        <v>1492</v>
      </c>
      <c r="AJ96" s="0" t="s">
        <v>624</v>
      </c>
      <c r="AK96" s="0" t="s">
        <v>178</v>
      </c>
      <c r="AL96" s="0" t="s">
        <v>163</v>
      </c>
      <c r="AM96" s="0" t="s">
        <v>163</v>
      </c>
      <c r="AN96" s="0" t="s">
        <v>158</v>
      </c>
      <c r="AO96" s="0" t="s">
        <v>163</v>
      </c>
      <c r="AP96" s="0" t="s">
        <v>2189</v>
      </c>
      <c r="AQ96" s="5" t="s">
        <v>162</v>
      </c>
      <c r="AT96" s="0" t="str">
        <f aca="false">IF(AND(AX96="pass",AQ96&lt;&gt;"Y",C96&lt;&gt;"",OR(AW96&lt;&gt;"Y",AV96="Y")),"Y","N")</f>
        <v>N</v>
      </c>
      <c r="AU96" s="0" t="str">
        <f aca="false">_xlfn.TEXTJOIN("; ",TRUE(),IF(AX96&lt;&gt;"pass","gated out",""),IF(AQ96="Y","on hold: "&amp;AR96,""),IF(C96="","no contact named on an opened page",""),IF(AND(AW96="Y",AV96&lt;&gt;"Y"),"Tuesday estimate band "&amp;L96&amp;": founder's call",""))</f>
        <v>no contact named on an opened page</v>
      </c>
      <c r="AW96" s="0" t="s">
        <v>162</v>
      </c>
      <c r="AX96" s="0" t="s">
        <v>181</v>
      </c>
      <c r="AY96" s="0" t="s">
        <v>182</v>
      </c>
      <c r="AZ96" s="0" t="s">
        <v>1</v>
      </c>
      <c r="BA96" s="0" t="s">
        <v>2193</v>
      </c>
      <c r="BB96" s="0" t="s">
        <v>2194</v>
      </c>
      <c r="BC96" s="0" t="s">
        <v>960</v>
      </c>
      <c r="BD96" s="0" t="s">
        <v>163</v>
      </c>
      <c r="BF96" s="0" t="s">
        <v>163</v>
      </c>
      <c r="BG96" s="0" t="s">
        <v>163</v>
      </c>
      <c r="BH96" s="0" t="s">
        <v>2195</v>
      </c>
      <c r="BK96" s="0" t="s">
        <v>163</v>
      </c>
      <c r="BL96" s="0" t="s">
        <v>163</v>
      </c>
      <c r="BM96" s="0" t="s">
        <v>163</v>
      </c>
      <c r="BN96" s="0" t="s">
        <v>163</v>
      </c>
      <c r="BO96" s="0" t="s">
        <v>163</v>
      </c>
      <c r="BP96" s="0" t="s">
        <v>377</v>
      </c>
      <c r="BQ96" s="0" t="n">
        <v>40.736981</v>
      </c>
      <c r="BR96" s="0" t="n">
        <v>-73.993144</v>
      </c>
      <c r="BS96" s="0" t="s">
        <v>168</v>
      </c>
      <c r="BT96" s="0" t="n">
        <v>0</v>
      </c>
      <c r="BU96" s="0" t="s">
        <v>1501</v>
      </c>
      <c r="BV96" s="0" t="s">
        <v>1502</v>
      </c>
      <c r="BW96" s="0" t="s">
        <v>2192</v>
      </c>
      <c r="BX96" s="0" t="s">
        <v>166</v>
      </c>
      <c r="BY96" s="0" t="s">
        <v>196</v>
      </c>
      <c r="BZ96" s="0" t="s">
        <v>1490</v>
      </c>
      <c r="CA96" s="0" t="s">
        <v>1491</v>
      </c>
      <c r="CC96" s="0" t="s">
        <v>200</v>
      </c>
      <c r="CE96" s="0" t="s">
        <v>162</v>
      </c>
      <c r="CH96" s="0" t="s">
        <v>163</v>
      </c>
      <c r="CJ96" s="0" t="s">
        <v>163</v>
      </c>
      <c r="CK96" s="0" t="s">
        <v>162</v>
      </c>
      <c r="CL96" s="0" t="s">
        <v>163</v>
      </c>
      <c r="CO96" s="0" t="s">
        <v>163</v>
      </c>
      <c r="CQ96" s="0" t="s">
        <v>2196</v>
      </c>
      <c r="CR96" s="0" t="s">
        <v>206</v>
      </c>
      <c r="CS96" s="0" t="s">
        <v>163</v>
      </c>
      <c r="CT96" s="0" t="n">
        <v>36</v>
      </c>
      <c r="CU96" s="0" t="n">
        <v>7</v>
      </c>
      <c r="CV96" s="0" t="n">
        <v>8</v>
      </c>
      <c r="CW96" s="0" t="n">
        <v>6</v>
      </c>
      <c r="CX96" s="0" t="n">
        <v>15</v>
      </c>
      <c r="CY96" s="0" t="n">
        <f aca="false">IF(AH96="exact",10,IF(AH96="adjacent",5,0))</f>
        <v>0</v>
      </c>
      <c r="CZ96" s="0" t="n">
        <f aca="false">IF(R96="Y",15,0)</f>
        <v>0</v>
      </c>
      <c r="DF96" s="0" t="s">
        <v>158</v>
      </c>
      <c r="DG96" s="0" t="s">
        <v>211</v>
      </c>
      <c r="DJ96" s="0" t="s">
        <v>2197</v>
      </c>
      <c r="DK96" s="0" t="s">
        <v>2198</v>
      </c>
      <c r="DS96" s="0" t="s">
        <v>158</v>
      </c>
      <c r="DX96" s="0" t="s">
        <v>162</v>
      </c>
      <c r="ER96" s="0" t="str">
        <f aca="false">IF(ISNUMBER(MATCH(U96,{"queued","contacted","replied","call_booked","call_done","yes_in_principle","materials_sent"},0)),"Y","N")</f>
        <v>N</v>
      </c>
      <c r="ES96" s="0" t="str">
        <f aca="false">IF(COUNTIFS($AP$2:$AP$1000,AP96,$ER$2:$ER$1000,"Y")+COUNTIFS($AP$2:$AP$1000,AP96,$T$2:$T$1000,"Y")&gt;0,"Y","N")</f>
        <v>N</v>
      </c>
      <c r="ET96" s="0" t="str">
        <f aca="false">IF(AND(U96="new",T96="N",AT96="Y",AS96="",ES96="N"),"Y","N")</f>
        <v>N</v>
      </c>
      <c r="EU96" s="0" t="str">
        <f aca="false">IF(ET96&lt;&gt;"Y","N",IF(COUNTIFS($AP$2:$AP$1000,AP96,$ET$2:$ET$1000,"Y",$J$2:$J$1000,"&gt;"&amp;J96)+COUNTIFS($AP$2:$AP$1000,AP96,$ET$2:$ET$1000,"Y",$J$2:$J$1000,J96,$EW$2:$EW$1000,"&lt;"&amp;EW96)=0,"Y","N"))</f>
        <v>N</v>
      </c>
      <c r="EV96" s="0" t="str">
        <f aca="false">IF(Y96="","N",IF(Y96&lt;=10,"Y","N"))</f>
        <v>N</v>
      </c>
      <c r="EW96" s="0" t="n">
        <f aca="false">ROW()-1</f>
        <v>95</v>
      </c>
    </row>
    <row r="97" customFormat="false" ht="15" hidden="false" customHeight="false" outlineLevel="0" collapsed="false">
      <c r="A97" s="0" t="s">
        <v>2199</v>
      </c>
      <c r="B97" s="0" t="s">
        <v>2200</v>
      </c>
      <c r="H97" s="5" t="s">
        <v>158</v>
      </c>
      <c r="I97" s="5" t="s">
        <v>159</v>
      </c>
      <c r="J97" s="0" t="n">
        <f aca="false">IF(AX97="pass",ROUND(CU97+CV97+CW97+CX97+CY97+CZ97,1),0)</f>
        <v>36</v>
      </c>
      <c r="K97" s="0" t="s">
        <v>2191</v>
      </c>
      <c r="L97" s="0" t="s">
        <v>163</v>
      </c>
      <c r="R97" s="5" t="s">
        <v>162</v>
      </c>
      <c r="S97" s="0" t="s">
        <v>163</v>
      </c>
      <c r="T97" s="5" t="s">
        <v>162</v>
      </c>
      <c r="U97" s="5" t="s">
        <v>561</v>
      </c>
      <c r="V97" s="0" t="s">
        <v>2201</v>
      </c>
      <c r="W97" s="0" t="s">
        <v>166</v>
      </c>
      <c r="X97" s="0" t="s">
        <v>167</v>
      </c>
      <c r="Y97" s="0" t="str">
        <f aca="false">IF(EU97&lt;&gt;"Y","",COUNTIFS($EU$2:$EU$1000,"Y",$J$2:$J$1000,"&gt;"&amp;J97)+COUNTIFS($EU$2:$EU$1000,"Y",$J$2:$J$1000,J97,$EW$2:$EW$1000,"&lt;"&amp;EW97)+1)</f>
        <v/>
      </c>
      <c r="Z97" s="0" t="n">
        <v>96</v>
      </c>
      <c r="AA97" s="0" t="s">
        <v>162</v>
      </c>
      <c r="AD97" s="0" t="s">
        <v>158</v>
      </c>
      <c r="AH97" s="5" t="s">
        <v>158</v>
      </c>
      <c r="AI97" s="0" t="s">
        <v>1733</v>
      </c>
      <c r="AJ97" s="0" t="s">
        <v>471</v>
      </c>
      <c r="AK97" s="0" t="s">
        <v>178</v>
      </c>
      <c r="AL97" s="0" t="s">
        <v>163</v>
      </c>
      <c r="AM97" s="0" t="s">
        <v>163</v>
      </c>
      <c r="AN97" s="0" t="s">
        <v>158</v>
      </c>
      <c r="AO97" s="0" t="s">
        <v>163</v>
      </c>
      <c r="AP97" s="0" t="s">
        <v>2199</v>
      </c>
      <c r="AQ97" s="5" t="s">
        <v>162</v>
      </c>
      <c r="AT97" s="0" t="str">
        <f aca="false">IF(AND(AX97="pass",AQ97&lt;&gt;"Y",C97&lt;&gt;"",OR(AW97&lt;&gt;"Y",AV97="Y")),"Y","N")</f>
        <v>N</v>
      </c>
      <c r="AU97" s="0" t="str">
        <f aca="false">_xlfn.TEXTJOIN("; ",TRUE(),IF(AX97&lt;&gt;"pass","gated out",""),IF(AQ97="Y","on hold: "&amp;AR97,""),IF(C97="","no contact named on an opened page",""),IF(AND(AW97="Y",AV97&lt;&gt;"Y"),"Tuesday estimate band "&amp;L97&amp;": founder's call",""))</f>
        <v>no contact named on an opened page</v>
      </c>
      <c r="AW97" s="0" t="s">
        <v>162</v>
      </c>
      <c r="AX97" s="0" t="s">
        <v>181</v>
      </c>
      <c r="AY97" s="0" t="s">
        <v>182</v>
      </c>
      <c r="AZ97" s="0" t="s">
        <v>1</v>
      </c>
      <c r="BA97" s="0" t="s">
        <v>2202</v>
      </c>
      <c r="BB97" s="0" t="s">
        <v>2203</v>
      </c>
      <c r="BC97" s="0" t="s">
        <v>2204</v>
      </c>
      <c r="BD97" s="0" t="s">
        <v>163</v>
      </c>
      <c r="BF97" s="0" t="s">
        <v>163</v>
      </c>
      <c r="BG97" s="0" t="s">
        <v>163</v>
      </c>
      <c r="BH97" s="0" t="s">
        <v>2195</v>
      </c>
      <c r="BK97" s="0" t="s">
        <v>163</v>
      </c>
      <c r="BL97" s="0" t="s">
        <v>163</v>
      </c>
      <c r="BM97" s="0" t="s">
        <v>163</v>
      </c>
      <c r="BN97" s="0" t="s">
        <v>163</v>
      </c>
      <c r="BO97" s="0" t="s">
        <v>163</v>
      </c>
      <c r="BP97" s="0" t="s">
        <v>346</v>
      </c>
      <c r="BQ97" s="0" t="n">
        <v>40.743288</v>
      </c>
      <c r="BR97" s="0" t="n">
        <v>-73.986627</v>
      </c>
      <c r="BS97" s="0" t="s">
        <v>168</v>
      </c>
      <c r="BT97" s="0" t="n">
        <v>0</v>
      </c>
      <c r="BU97" s="0" t="s">
        <v>1739</v>
      </c>
      <c r="BV97" s="0" t="s">
        <v>1740</v>
      </c>
      <c r="BW97" s="0" t="s">
        <v>2201</v>
      </c>
      <c r="BX97" s="0" t="s">
        <v>2205</v>
      </c>
      <c r="BY97" s="0" t="s">
        <v>247</v>
      </c>
      <c r="BZ97" s="0" t="s">
        <v>2206</v>
      </c>
      <c r="CA97" s="0" t="s">
        <v>166</v>
      </c>
      <c r="CC97" s="0" t="s">
        <v>200</v>
      </c>
      <c r="CE97" s="0" t="s">
        <v>162</v>
      </c>
      <c r="CH97" s="0" t="s">
        <v>163</v>
      </c>
      <c r="CJ97" s="0" t="s">
        <v>163</v>
      </c>
      <c r="CK97" s="0" t="s">
        <v>162</v>
      </c>
      <c r="CL97" s="0" t="s">
        <v>163</v>
      </c>
      <c r="CO97" s="0" t="s">
        <v>163</v>
      </c>
      <c r="CQ97" s="0" t="s">
        <v>2196</v>
      </c>
      <c r="CR97" s="0" t="s">
        <v>206</v>
      </c>
      <c r="CS97" s="0" t="s">
        <v>163</v>
      </c>
      <c r="CT97" s="0" t="n">
        <v>36</v>
      </c>
      <c r="CU97" s="0" t="n">
        <v>7</v>
      </c>
      <c r="CV97" s="0" t="n">
        <v>8</v>
      </c>
      <c r="CW97" s="0" t="n">
        <v>6</v>
      </c>
      <c r="CX97" s="0" t="n">
        <v>15</v>
      </c>
      <c r="CY97" s="0" t="n">
        <f aca="false">IF(AH97="exact",10,IF(AH97="adjacent",5,0))</f>
        <v>0</v>
      </c>
      <c r="CZ97" s="0" t="n">
        <f aca="false">IF(R97="Y",15,0)</f>
        <v>0</v>
      </c>
      <c r="DF97" s="0" t="s">
        <v>158</v>
      </c>
      <c r="DG97" s="0" t="s">
        <v>211</v>
      </c>
      <c r="DJ97" s="0" t="s">
        <v>1589</v>
      </c>
      <c r="DK97" s="0" t="s">
        <v>2207</v>
      </c>
      <c r="DS97" s="0" t="s">
        <v>158</v>
      </c>
      <c r="DX97" s="0" t="s">
        <v>162</v>
      </c>
      <c r="ER97" s="0" t="str">
        <f aca="false">IF(ISNUMBER(MATCH(U97,{"queued","contacted","replied","call_booked","call_done","yes_in_principle","materials_sent"},0)),"Y","N")</f>
        <v>N</v>
      </c>
      <c r="ES97" s="0" t="str">
        <f aca="false">IF(COUNTIFS($AP$2:$AP$1000,AP97,$ER$2:$ER$1000,"Y")+COUNTIFS($AP$2:$AP$1000,AP97,$T$2:$T$1000,"Y")&gt;0,"Y","N")</f>
        <v>N</v>
      </c>
      <c r="ET97" s="0" t="str">
        <f aca="false">IF(AND(U97="new",T97="N",AT97="Y",AS97="",ES97="N"),"Y","N")</f>
        <v>N</v>
      </c>
      <c r="EU97" s="0" t="str">
        <f aca="false">IF(ET97&lt;&gt;"Y","N",IF(COUNTIFS($AP$2:$AP$1000,AP97,$ET$2:$ET$1000,"Y",$J$2:$J$1000,"&gt;"&amp;J97)+COUNTIFS($AP$2:$AP$1000,AP97,$ET$2:$ET$1000,"Y",$J$2:$J$1000,J97,$EW$2:$EW$1000,"&lt;"&amp;EW97)=0,"Y","N"))</f>
        <v>N</v>
      </c>
      <c r="EV97" s="0" t="str">
        <f aca="false">IF(Y97="","N",IF(Y97&lt;=10,"Y","N"))</f>
        <v>N</v>
      </c>
      <c r="EW97" s="0" t="n">
        <f aca="false">ROW()-1</f>
        <v>96</v>
      </c>
    </row>
    <row r="98" customFormat="false" ht="15" hidden="false" customHeight="false" outlineLevel="0" collapsed="false">
      <c r="A98" s="0" t="s">
        <v>2208</v>
      </c>
      <c r="B98" s="0" t="s">
        <v>2209</v>
      </c>
      <c r="H98" s="5" t="s">
        <v>158</v>
      </c>
      <c r="I98" s="5" t="s">
        <v>159</v>
      </c>
      <c r="J98" s="0" t="n">
        <f aca="false">IF(AX98="pass",ROUND(CU98+CV98+CW98+CX98+CY98+CZ98,1),0)</f>
        <v>36</v>
      </c>
      <c r="K98" s="0" t="s">
        <v>2191</v>
      </c>
      <c r="L98" s="0" t="s">
        <v>163</v>
      </c>
      <c r="R98" s="5" t="s">
        <v>162</v>
      </c>
      <c r="S98" s="0" t="s">
        <v>163</v>
      </c>
      <c r="T98" s="5" t="s">
        <v>162</v>
      </c>
      <c r="U98" s="5" t="s">
        <v>561</v>
      </c>
      <c r="V98" s="0" t="s">
        <v>2210</v>
      </c>
      <c r="W98" s="0" t="s">
        <v>166</v>
      </c>
      <c r="X98" s="0" t="s">
        <v>167</v>
      </c>
      <c r="Y98" s="0" t="str">
        <f aca="false">IF(EU98&lt;&gt;"Y","",COUNTIFS($EU$2:$EU$1000,"Y",$J$2:$J$1000,"&gt;"&amp;J98)+COUNTIFS($EU$2:$EU$1000,"Y",$J$2:$J$1000,J98,$EW$2:$EW$1000,"&lt;"&amp;EW98)+1)</f>
        <v/>
      </c>
      <c r="Z98" s="0" t="n">
        <v>97</v>
      </c>
      <c r="AA98" s="0" t="s">
        <v>162</v>
      </c>
      <c r="AD98" s="0" t="s">
        <v>158</v>
      </c>
      <c r="AH98" s="5" t="s">
        <v>158</v>
      </c>
      <c r="AI98" s="0" t="s">
        <v>2211</v>
      </c>
      <c r="AJ98" s="0" t="s">
        <v>2212</v>
      </c>
      <c r="AK98" s="0" t="s">
        <v>178</v>
      </c>
      <c r="AL98" s="0" t="s">
        <v>163</v>
      </c>
      <c r="AM98" s="0" t="s">
        <v>163</v>
      </c>
      <c r="AN98" s="0" t="s">
        <v>158</v>
      </c>
      <c r="AO98" s="0" t="s">
        <v>163</v>
      </c>
      <c r="AP98" s="0" t="s">
        <v>2208</v>
      </c>
      <c r="AQ98" s="5" t="s">
        <v>162</v>
      </c>
      <c r="AT98" s="0" t="str">
        <f aca="false">IF(AND(AX98="pass",AQ98&lt;&gt;"Y",C98&lt;&gt;"",OR(AW98&lt;&gt;"Y",AV98="Y")),"Y","N")</f>
        <v>N</v>
      </c>
      <c r="AU98" s="0" t="str">
        <f aca="false">_xlfn.TEXTJOIN("; ",TRUE(),IF(AX98&lt;&gt;"pass","gated out",""),IF(AQ98="Y","on hold: "&amp;AR98,""),IF(C98="","no contact named on an opened page",""),IF(AND(AW98="Y",AV98&lt;&gt;"Y"),"Tuesday estimate band "&amp;L98&amp;": founder's call",""))</f>
        <v>no contact named on an opened page</v>
      </c>
      <c r="AW98" s="0" t="s">
        <v>162</v>
      </c>
      <c r="AX98" s="0" t="s">
        <v>181</v>
      </c>
      <c r="AY98" s="0" t="s">
        <v>182</v>
      </c>
      <c r="AZ98" s="0" t="s">
        <v>1</v>
      </c>
      <c r="BA98" s="0" t="s">
        <v>2213</v>
      </c>
      <c r="BB98" s="0" t="s">
        <v>2214</v>
      </c>
      <c r="BC98" s="0" t="s">
        <v>2215</v>
      </c>
      <c r="BD98" s="0" t="s">
        <v>163</v>
      </c>
      <c r="BF98" s="0" t="s">
        <v>163</v>
      </c>
      <c r="BG98" s="0" t="s">
        <v>163</v>
      </c>
      <c r="BH98" s="0" t="s">
        <v>2195</v>
      </c>
      <c r="BK98" s="0" t="s">
        <v>163</v>
      </c>
      <c r="BL98" s="0" t="s">
        <v>163</v>
      </c>
      <c r="BM98" s="0" t="s">
        <v>163</v>
      </c>
      <c r="BN98" s="0" t="s">
        <v>163</v>
      </c>
      <c r="BO98" s="0" t="s">
        <v>163</v>
      </c>
      <c r="BP98" s="0" t="s">
        <v>711</v>
      </c>
      <c r="BQ98" s="0" t="n">
        <v>40.745609</v>
      </c>
      <c r="BR98" s="0" t="n">
        <v>-73.990014</v>
      </c>
      <c r="BS98" s="0" t="s">
        <v>168</v>
      </c>
      <c r="BT98" s="0" t="n">
        <v>0</v>
      </c>
      <c r="BU98" s="0" t="s">
        <v>2216</v>
      </c>
      <c r="BV98" s="0" t="s">
        <v>2217</v>
      </c>
      <c r="BW98" s="0" t="s">
        <v>2210</v>
      </c>
      <c r="BX98" s="0" t="s">
        <v>2218</v>
      </c>
      <c r="BY98" s="0" t="s">
        <v>247</v>
      </c>
      <c r="BZ98" s="0" t="s">
        <v>2219</v>
      </c>
      <c r="CA98" s="0" t="s">
        <v>166</v>
      </c>
      <c r="CC98" s="0" t="s">
        <v>200</v>
      </c>
      <c r="CE98" s="0" t="s">
        <v>162</v>
      </c>
      <c r="CH98" s="0" t="s">
        <v>163</v>
      </c>
      <c r="CJ98" s="0" t="s">
        <v>163</v>
      </c>
      <c r="CK98" s="0" t="s">
        <v>162</v>
      </c>
      <c r="CL98" s="0" t="s">
        <v>163</v>
      </c>
      <c r="CO98" s="0" t="s">
        <v>163</v>
      </c>
      <c r="CQ98" s="0" t="s">
        <v>2196</v>
      </c>
      <c r="CR98" s="0" t="s">
        <v>206</v>
      </c>
      <c r="CS98" s="0" t="s">
        <v>163</v>
      </c>
      <c r="CT98" s="0" t="n">
        <v>36</v>
      </c>
      <c r="CU98" s="0" t="n">
        <v>7</v>
      </c>
      <c r="CV98" s="0" t="n">
        <v>8</v>
      </c>
      <c r="CW98" s="0" t="n">
        <v>6</v>
      </c>
      <c r="CX98" s="0" t="n">
        <v>15</v>
      </c>
      <c r="CY98" s="0" t="n">
        <f aca="false">IF(AH98="exact",10,IF(AH98="adjacent",5,0))</f>
        <v>0</v>
      </c>
      <c r="CZ98" s="0" t="n">
        <f aca="false">IF(R98="Y",15,0)</f>
        <v>0</v>
      </c>
      <c r="DF98" s="0" t="s">
        <v>158</v>
      </c>
      <c r="DG98" s="0" t="s">
        <v>211</v>
      </c>
      <c r="DJ98" s="0" t="s">
        <v>2220</v>
      </c>
      <c r="DK98" s="0" t="s">
        <v>2221</v>
      </c>
      <c r="DS98" s="0" t="s">
        <v>158</v>
      </c>
      <c r="DX98" s="0" t="s">
        <v>162</v>
      </c>
      <c r="ER98" s="0" t="str">
        <f aca="false">IF(ISNUMBER(MATCH(U98,{"queued","contacted","replied","call_booked","call_done","yes_in_principle","materials_sent"},0)),"Y","N")</f>
        <v>N</v>
      </c>
      <c r="ES98" s="0" t="str">
        <f aca="false">IF(COUNTIFS($AP$2:$AP$1000,AP98,$ER$2:$ER$1000,"Y")+COUNTIFS($AP$2:$AP$1000,AP98,$T$2:$T$1000,"Y")&gt;0,"Y","N")</f>
        <v>N</v>
      </c>
      <c r="ET98" s="0" t="str">
        <f aca="false">IF(AND(U98="new",T98="N",AT98="Y",AS98="",ES98="N"),"Y","N")</f>
        <v>N</v>
      </c>
      <c r="EU98" s="0" t="str">
        <f aca="false">IF(ET98&lt;&gt;"Y","N",IF(COUNTIFS($AP$2:$AP$1000,AP98,$ET$2:$ET$1000,"Y",$J$2:$J$1000,"&gt;"&amp;J98)+COUNTIFS($AP$2:$AP$1000,AP98,$ET$2:$ET$1000,"Y",$J$2:$J$1000,J98,$EW$2:$EW$1000,"&lt;"&amp;EW98)=0,"Y","N"))</f>
        <v>N</v>
      </c>
      <c r="EV98" s="0" t="str">
        <f aca="false">IF(Y98="","N",IF(Y98&lt;=10,"Y","N"))</f>
        <v>N</v>
      </c>
      <c r="EW98" s="0" t="n">
        <f aca="false">ROW()-1</f>
        <v>97</v>
      </c>
    </row>
    <row r="99" customFormat="false" ht="15" hidden="false" customHeight="false" outlineLevel="0" collapsed="false">
      <c r="A99" s="0" t="s">
        <v>2222</v>
      </c>
      <c r="B99" s="0" t="s">
        <v>2223</v>
      </c>
      <c r="H99" s="5" t="s">
        <v>158</v>
      </c>
      <c r="I99" s="5" t="s">
        <v>159</v>
      </c>
      <c r="J99" s="0" t="n">
        <f aca="false">IF(AX99="pass",ROUND(CU99+CV99+CW99+CX99+CY99+CZ99,1),0)</f>
        <v>36</v>
      </c>
      <c r="K99" s="0" t="s">
        <v>2224</v>
      </c>
      <c r="L99" s="0" t="s">
        <v>163</v>
      </c>
      <c r="R99" s="5" t="s">
        <v>162</v>
      </c>
      <c r="S99" s="0" t="s">
        <v>163</v>
      </c>
      <c r="T99" s="5" t="s">
        <v>162</v>
      </c>
      <c r="U99" s="5" t="s">
        <v>561</v>
      </c>
      <c r="V99" s="0" t="s">
        <v>2225</v>
      </c>
      <c r="W99" s="0" t="s">
        <v>174</v>
      </c>
      <c r="X99" s="0" t="s">
        <v>167</v>
      </c>
      <c r="Y99" s="0" t="str">
        <f aca="false">IF(EU99&lt;&gt;"Y","",COUNTIFS($EU$2:$EU$1000,"Y",$J$2:$J$1000,"&gt;"&amp;J99)+COUNTIFS($EU$2:$EU$1000,"Y",$J$2:$J$1000,J99,$EW$2:$EW$1000,"&lt;"&amp;EW99)+1)</f>
        <v/>
      </c>
      <c r="Z99" s="0" t="n">
        <v>98</v>
      </c>
      <c r="AA99" s="0" t="s">
        <v>162</v>
      </c>
      <c r="AD99" s="0" t="s">
        <v>158</v>
      </c>
      <c r="AH99" s="5" t="s">
        <v>158</v>
      </c>
      <c r="AI99" s="0" t="s">
        <v>2226</v>
      </c>
      <c r="AJ99" s="0" t="s">
        <v>163</v>
      </c>
      <c r="AK99" s="0" t="s">
        <v>2227</v>
      </c>
      <c r="AL99" s="0" t="s">
        <v>163</v>
      </c>
      <c r="AM99" s="0" t="s">
        <v>163</v>
      </c>
      <c r="AN99" s="0" t="s">
        <v>158</v>
      </c>
      <c r="AO99" s="0" t="s">
        <v>163</v>
      </c>
      <c r="AP99" s="0" t="s">
        <v>2222</v>
      </c>
      <c r="AQ99" s="5" t="s">
        <v>162</v>
      </c>
      <c r="AT99" s="0" t="str">
        <f aca="false">IF(AND(AX99="pass",AQ99&lt;&gt;"Y",C99&lt;&gt;"",OR(AW99&lt;&gt;"Y",AV99="Y")),"Y","N")</f>
        <v>N</v>
      </c>
      <c r="AU99" s="0" t="str">
        <f aca="false">_xlfn.TEXTJOIN("; ",TRUE(),IF(AX99&lt;&gt;"pass","gated out",""),IF(AQ99="Y","on hold: "&amp;AR99,""),IF(C99="","no contact named on an opened page",""),IF(AND(AW99="Y",AV99&lt;&gt;"Y"),"Tuesday estimate band "&amp;L99&amp;": founder's call",""))</f>
        <v>no contact named on an opened page</v>
      </c>
      <c r="AW99" s="0" t="s">
        <v>162</v>
      </c>
      <c r="AX99" s="0" t="s">
        <v>181</v>
      </c>
      <c r="AY99" s="0" t="s">
        <v>182</v>
      </c>
      <c r="AZ99" s="0" t="s">
        <v>2228</v>
      </c>
      <c r="BA99" s="0" t="s">
        <v>2229</v>
      </c>
      <c r="BB99" s="0" t="s">
        <v>2230</v>
      </c>
      <c r="BC99" s="0" t="s">
        <v>2231</v>
      </c>
      <c r="BD99" s="0" t="s">
        <v>163</v>
      </c>
      <c r="BF99" s="0" t="s">
        <v>163</v>
      </c>
      <c r="BG99" s="0" t="s">
        <v>163</v>
      </c>
      <c r="BK99" s="0" t="s">
        <v>163</v>
      </c>
      <c r="BL99" s="0" t="s">
        <v>2232</v>
      </c>
      <c r="BM99" s="0" t="s">
        <v>163</v>
      </c>
      <c r="BN99" s="0" t="s">
        <v>2233</v>
      </c>
      <c r="BP99" s="0" t="s">
        <v>346</v>
      </c>
      <c r="BQ99" s="0" t="n">
        <v>40.741737</v>
      </c>
      <c r="BR99" s="0" t="n">
        <v>-73.984856</v>
      </c>
      <c r="BS99" s="0" t="s">
        <v>168</v>
      </c>
      <c r="BT99" s="0" t="n">
        <v>0</v>
      </c>
      <c r="BU99" s="0" t="s">
        <v>2234</v>
      </c>
      <c r="BV99" s="0" t="s">
        <v>2235</v>
      </c>
      <c r="BW99" s="0" t="s">
        <v>2225</v>
      </c>
      <c r="BX99" s="0" t="s">
        <v>174</v>
      </c>
      <c r="BY99" s="0" t="s">
        <v>2236</v>
      </c>
      <c r="BZ99" s="0" t="s">
        <v>2237</v>
      </c>
      <c r="CC99" s="0" t="s">
        <v>200</v>
      </c>
      <c r="CE99" s="0" t="s">
        <v>162</v>
      </c>
      <c r="CF99" s="0" t="s">
        <v>2229</v>
      </c>
      <c r="CG99" s="0" t="s">
        <v>2238</v>
      </c>
      <c r="CH99" s="0" t="s">
        <v>163</v>
      </c>
      <c r="CJ99" s="0" t="s">
        <v>163</v>
      </c>
      <c r="CK99" s="0" t="s">
        <v>162</v>
      </c>
      <c r="CL99" s="0" t="s">
        <v>163</v>
      </c>
      <c r="CO99" s="0" t="s">
        <v>163</v>
      </c>
      <c r="CQ99" s="0" t="s">
        <v>2239</v>
      </c>
      <c r="CR99" s="0" t="s">
        <v>206</v>
      </c>
      <c r="CS99" s="0" t="s">
        <v>163</v>
      </c>
      <c r="CT99" s="0" t="n">
        <v>36</v>
      </c>
      <c r="CU99" s="0" t="n">
        <v>7</v>
      </c>
      <c r="CV99" s="0" t="n">
        <v>8</v>
      </c>
      <c r="CW99" s="0" t="n">
        <v>6</v>
      </c>
      <c r="CX99" s="0" t="n">
        <v>15</v>
      </c>
      <c r="CY99" s="0" t="n">
        <f aca="false">IF(AH99="exact",10,IF(AH99="adjacent",5,0))</f>
        <v>0</v>
      </c>
      <c r="CZ99" s="0" t="n">
        <f aca="false">IF(R99="Y",15,0)</f>
        <v>0</v>
      </c>
      <c r="DF99" s="0" t="s">
        <v>158</v>
      </c>
      <c r="DG99" s="0" t="s">
        <v>2228</v>
      </c>
      <c r="DK99" s="0" t="s">
        <v>2240</v>
      </c>
      <c r="DS99" s="0" t="s">
        <v>158</v>
      </c>
      <c r="DX99" s="0" t="s">
        <v>162</v>
      </c>
      <c r="ER99" s="0" t="str">
        <f aca="false">IF(ISNUMBER(MATCH(U99,{"queued","contacted","replied","call_booked","call_done","yes_in_principle","materials_sent"},0)),"Y","N")</f>
        <v>N</v>
      </c>
      <c r="ES99" s="0" t="str">
        <f aca="false">IF(COUNTIFS($AP$2:$AP$1000,AP99,$ER$2:$ER$1000,"Y")+COUNTIFS($AP$2:$AP$1000,AP99,$T$2:$T$1000,"Y")&gt;0,"Y","N")</f>
        <v>N</v>
      </c>
      <c r="ET99" s="0" t="str">
        <f aca="false">IF(AND(U99="new",T99="N",AT99="Y",AS99="",ES99="N"),"Y","N")</f>
        <v>N</v>
      </c>
      <c r="EU99" s="0" t="str">
        <f aca="false">IF(ET99&lt;&gt;"Y","N",IF(COUNTIFS($AP$2:$AP$1000,AP99,$ET$2:$ET$1000,"Y",$J$2:$J$1000,"&gt;"&amp;J99)+COUNTIFS($AP$2:$AP$1000,AP99,$ET$2:$ET$1000,"Y",$J$2:$J$1000,J99,$EW$2:$EW$1000,"&lt;"&amp;EW99)=0,"Y","N"))</f>
        <v>N</v>
      </c>
      <c r="EV99" s="0" t="str">
        <f aca="false">IF(Y99="","N",IF(Y99&lt;=10,"Y","N"))</f>
        <v>N</v>
      </c>
      <c r="EW99" s="0" t="n">
        <f aca="false">ROW()-1</f>
        <v>98</v>
      </c>
    </row>
    <row r="100" customFormat="false" ht="15" hidden="false" customHeight="false" outlineLevel="0" collapsed="false">
      <c r="A100" s="0" t="s">
        <v>2241</v>
      </c>
      <c r="B100" s="0" t="s">
        <v>2242</v>
      </c>
      <c r="H100" s="5" t="s">
        <v>158</v>
      </c>
      <c r="I100" s="5" t="s">
        <v>159</v>
      </c>
      <c r="J100" s="0" t="n">
        <f aca="false">IF(AX100="pass",ROUND(CU100+CV100+CW100+CX100+CY100+CZ100,1),0)</f>
        <v>36</v>
      </c>
      <c r="K100" s="0" t="s">
        <v>2191</v>
      </c>
      <c r="L100" s="0" t="s">
        <v>163</v>
      </c>
      <c r="O100" s="0" t="s">
        <v>2243</v>
      </c>
      <c r="P100" s="0" t="s">
        <v>2244</v>
      </c>
      <c r="Q100" s="0" t="s">
        <v>1327</v>
      </c>
      <c r="R100" s="5" t="s">
        <v>162</v>
      </c>
      <c r="S100" s="0" t="s">
        <v>163</v>
      </c>
      <c r="T100" s="5" t="s">
        <v>162</v>
      </c>
      <c r="U100" s="5" t="s">
        <v>561</v>
      </c>
      <c r="V100" s="0" t="s">
        <v>2244</v>
      </c>
      <c r="W100" s="0" t="s">
        <v>166</v>
      </c>
      <c r="X100" s="0" t="s">
        <v>167</v>
      </c>
      <c r="Y100" s="0" t="str">
        <f aca="false">IF(EU100&lt;&gt;"Y","",COUNTIFS($EU$2:$EU$1000,"Y",$J$2:$J$1000,"&gt;"&amp;J100)+COUNTIFS($EU$2:$EU$1000,"Y",$J$2:$J$1000,J100,$EW$2:$EW$1000,"&lt;"&amp;EW100)+1)</f>
        <v/>
      </c>
      <c r="Z100" s="0" t="n">
        <v>99</v>
      </c>
      <c r="AA100" s="0" t="s">
        <v>162</v>
      </c>
      <c r="AD100" s="0" t="s">
        <v>158</v>
      </c>
      <c r="AH100" s="5" t="s">
        <v>158</v>
      </c>
      <c r="AI100" s="0" t="s">
        <v>2245</v>
      </c>
      <c r="AJ100" s="0" t="s">
        <v>888</v>
      </c>
      <c r="AK100" s="0" t="s">
        <v>178</v>
      </c>
      <c r="AL100" s="0" t="s">
        <v>163</v>
      </c>
      <c r="AM100" s="0" t="s">
        <v>163</v>
      </c>
      <c r="AN100" s="0" t="s">
        <v>158</v>
      </c>
      <c r="AO100" s="0" t="s">
        <v>163</v>
      </c>
      <c r="AP100" s="0" t="s">
        <v>2241</v>
      </c>
      <c r="AQ100" s="5" t="s">
        <v>162</v>
      </c>
      <c r="AT100" s="0" t="str">
        <f aca="false">IF(AND(AX100="pass",AQ100&lt;&gt;"Y",C100&lt;&gt;"",OR(AW100&lt;&gt;"Y",AV100="Y")),"Y","N")</f>
        <v>N</v>
      </c>
      <c r="AU100" s="0" t="str">
        <f aca="false">_xlfn.TEXTJOIN("; ",TRUE(),IF(AX100&lt;&gt;"pass","gated out",""),IF(AQ100="Y","on hold: "&amp;AR100,""),IF(C100="","no contact named on an opened page",""),IF(AND(AW100="Y",AV100&lt;&gt;"Y"),"Tuesday estimate band "&amp;L100&amp;": founder's call",""))</f>
        <v>no contact named on an opened page</v>
      </c>
      <c r="AW100" s="0" t="s">
        <v>162</v>
      </c>
      <c r="AX100" s="0" t="s">
        <v>181</v>
      </c>
      <c r="AY100" s="0" t="s">
        <v>182</v>
      </c>
      <c r="AZ100" s="0" t="s">
        <v>1</v>
      </c>
      <c r="BA100" s="0" t="s">
        <v>2246</v>
      </c>
      <c r="BB100" s="0" t="s">
        <v>2247</v>
      </c>
      <c r="BC100" s="0" t="s">
        <v>2248</v>
      </c>
      <c r="BD100" s="0" t="s">
        <v>163</v>
      </c>
      <c r="BF100" s="0" t="s">
        <v>163</v>
      </c>
      <c r="BG100" s="0" t="s">
        <v>163</v>
      </c>
      <c r="BH100" s="0" t="s">
        <v>2195</v>
      </c>
      <c r="BK100" s="0" t="s">
        <v>163</v>
      </c>
      <c r="BL100" s="0" t="s">
        <v>163</v>
      </c>
      <c r="BM100" s="0" t="s">
        <v>163</v>
      </c>
      <c r="BN100" s="0" t="s">
        <v>163</v>
      </c>
      <c r="BO100" s="0" t="s">
        <v>163</v>
      </c>
      <c r="BP100" s="0" t="s">
        <v>193</v>
      </c>
      <c r="BQ100" s="0" t="n">
        <v>40.739138</v>
      </c>
      <c r="BR100" s="0" t="n">
        <v>-73.991116</v>
      </c>
      <c r="BS100" s="0" t="s">
        <v>168</v>
      </c>
      <c r="BT100" s="0" t="n">
        <v>0</v>
      </c>
      <c r="BU100" s="0" t="s">
        <v>2249</v>
      </c>
      <c r="BV100" s="0" t="s">
        <v>2245</v>
      </c>
      <c r="BW100" s="0" t="s">
        <v>2244</v>
      </c>
      <c r="BX100" s="0" t="s">
        <v>1327</v>
      </c>
      <c r="BY100" s="0" t="s">
        <v>247</v>
      </c>
      <c r="BZ100" s="0" t="s">
        <v>2250</v>
      </c>
      <c r="CA100" s="0" t="s">
        <v>166</v>
      </c>
      <c r="CC100" s="0" t="s">
        <v>200</v>
      </c>
      <c r="CE100" s="0" t="s">
        <v>162</v>
      </c>
      <c r="CH100" s="0" t="s">
        <v>163</v>
      </c>
      <c r="CJ100" s="0" t="s">
        <v>163</v>
      </c>
      <c r="CK100" s="0" t="s">
        <v>162</v>
      </c>
      <c r="CL100" s="0" t="s">
        <v>163</v>
      </c>
      <c r="CO100" s="0" t="s">
        <v>163</v>
      </c>
      <c r="CQ100" s="0" t="s">
        <v>2196</v>
      </c>
      <c r="CR100" s="0" t="s">
        <v>206</v>
      </c>
      <c r="CS100" s="0" t="s">
        <v>163</v>
      </c>
      <c r="CT100" s="0" t="n">
        <v>36</v>
      </c>
      <c r="CU100" s="0" t="n">
        <v>7</v>
      </c>
      <c r="CV100" s="0" t="n">
        <v>8</v>
      </c>
      <c r="CW100" s="0" t="n">
        <v>6</v>
      </c>
      <c r="CX100" s="0" t="n">
        <v>15</v>
      </c>
      <c r="CY100" s="0" t="n">
        <f aca="false">IF(AH100="exact",10,IF(AH100="adjacent",5,0))</f>
        <v>0</v>
      </c>
      <c r="CZ100" s="0" t="n">
        <f aca="false">IF(R100="Y",15,0)</f>
        <v>0</v>
      </c>
      <c r="DF100" s="0" t="s">
        <v>158</v>
      </c>
      <c r="DG100" s="0" t="s">
        <v>211</v>
      </c>
      <c r="DJ100" s="0" t="s">
        <v>2251</v>
      </c>
      <c r="DK100" s="0" t="s">
        <v>2252</v>
      </c>
      <c r="DS100" s="0" t="s">
        <v>158</v>
      </c>
      <c r="DX100" s="0" t="s">
        <v>162</v>
      </c>
      <c r="ER100" s="0" t="str">
        <f aca="false">IF(ISNUMBER(MATCH(U100,{"queued","contacted","replied","call_booked","call_done","yes_in_principle","materials_sent"},0)),"Y","N")</f>
        <v>N</v>
      </c>
      <c r="ES100" s="0" t="str">
        <f aca="false">IF(COUNTIFS($AP$2:$AP$1000,AP100,$ER$2:$ER$1000,"Y")+COUNTIFS($AP$2:$AP$1000,AP100,$T$2:$T$1000,"Y")&gt;0,"Y","N")</f>
        <v>N</v>
      </c>
      <c r="ET100" s="0" t="str">
        <f aca="false">IF(AND(U100="new",T100="N",AT100="Y",AS100="",ES100="N"),"Y","N")</f>
        <v>N</v>
      </c>
      <c r="EU100" s="0" t="str">
        <f aca="false">IF(ET100&lt;&gt;"Y","N",IF(COUNTIFS($AP$2:$AP$1000,AP100,$ET$2:$ET$1000,"Y",$J$2:$J$1000,"&gt;"&amp;J100)+COUNTIFS($AP$2:$AP$1000,AP100,$ET$2:$ET$1000,"Y",$J$2:$J$1000,J100,$EW$2:$EW$1000,"&lt;"&amp;EW100)=0,"Y","N"))</f>
        <v>N</v>
      </c>
      <c r="EV100" s="0" t="str">
        <f aca="false">IF(Y100="","N",IF(Y100&lt;=10,"Y","N"))</f>
        <v>N</v>
      </c>
      <c r="EW100" s="0" t="n">
        <f aca="false">ROW()-1</f>
        <v>99</v>
      </c>
    </row>
    <row r="101" customFormat="false" ht="15" hidden="false" customHeight="false" outlineLevel="0" collapsed="false">
      <c r="A101" s="0" t="s">
        <v>2253</v>
      </c>
      <c r="B101" s="0" t="s">
        <v>2254</v>
      </c>
      <c r="H101" s="5" t="s">
        <v>158</v>
      </c>
      <c r="I101" s="5" t="s">
        <v>159</v>
      </c>
      <c r="J101" s="0" t="n">
        <f aca="false">IF(AX101="pass",ROUND(CU101+CV101+CW101+CX101+CY101+CZ101,1),0)</f>
        <v>36</v>
      </c>
      <c r="K101" s="0" t="s">
        <v>2191</v>
      </c>
      <c r="L101" s="0" t="s">
        <v>163</v>
      </c>
      <c r="R101" s="5" t="s">
        <v>162</v>
      </c>
      <c r="S101" s="0" t="s">
        <v>163</v>
      </c>
      <c r="T101" s="5" t="s">
        <v>162</v>
      </c>
      <c r="U101" s="5" t="s">
        <v>561</v>
      </c>
      <c r="V101" s="0" t="s">
        <v>2255</v>
      </c>
      <c r="W101" s="0" t="s">
        <v>166</v>
      </c>
      <c r="X101" s="0" t="s">
        <v>167</v>
      </c>
      <c r="Y101" s="0" t="str">
        <f aca="false">IF(EU101&lt;&gt;"Y","",COUNTIFS($EU$2:$EU$1000,"Y",$J$2:$J$1000,"&gt;"&amp;J101)+COUNTIFS($EU$2:$EU$1000,"Y",$J$2:$J$1000,J101,$EW$2:$EW$1000,"&lt;"&amp;EW101)+1)</f>
        <v/>
      </c>
      <c r="Z101" s="0" t="n">
        <v>100</v>
      </c>
      <c r="AA101" s="0" t="s">
        <v>162</v>
      </c>
      <c r="AD101" s="0" t="s">
        <v>158</v>
      </c>
      <c r="AH101" s="5" t="s">
        <v>158</v>
      </c>
      <c r="AI101" s="0" t="s">
        <v>1526</v>
      </c>
      <c r="AJ101" s="0" t="s">
        <v>2256</v>
      </c>
      <c r="AK101" s="0" t="s">
        <v>178</v>
      </c>
      <c r="AL101" s="0" t="s">
        <v>163</v>
      </c>
      <c r="AM101" s="0" t="s">
        <v>163</v>
      </c>
      <c r="AN101" s="0" t="s">
        <v>158</v>
      </c>
      <c r="AO101" s="0" t="s">
        <v>163</v>
      </c>
      <c r="AP101" s="0" t="s">
        <v>2253</v>
      </c>
      <c r="AQ101" s="5" t="s">
        <v>162</v>
      </c>
      <c r="AT101" s="0" t="str">
        <f aca="false">IF(AND(AX101="pass",AQ101&lt;&gt;"Y",C101&lt;&gt;"",OR(AW101&lt;&gt;"Y",AV101="Y")),"Y","N")</f>
        <v>N</v>
      </c>
      <c r="AU101" s="0" t="str">
        <f aca="false">_xlfn.TEXTJOIN("; ",TRUE(),IF(AX101&lt;&gt;"pass","gated out",""),IF(AQ101="Y","on hold: "&amp;AR101,""),IF(C101="","no contact named on an opened page",""),IF(AND(AW101="Y",AV101&lt;&gt;"Y"),"Tuesday estimate band "&amp;L101&amp;": founder's call",""))</f>
        <v>no contact named on an opened page</v>
      </c>
      <c r="AW101" s="0" t="s">
        <v>162</v>
      </c>
      <c r="AX101" s="0" t="s">
        <v>181</v>
      </c>
      <c r="AY101" s="0" t="s">
        <v>182</v>
      </c>
      <c r="AZ101" s="0" t="s">
        <v>1</v>
      </c>
      <c r="BA101" s="0" t="s">
        <v>2257</v>
      </c>
      <c r="BB101" s="0" t="s">
        <v>2258</v>
      </c>
      <c r="BC101" s="0" t="s">
        <v>2259</v>
      </c>
      <c r="BD101" s="0" t="s">
        <v>163</v>
      </c>
      <c r="BF101" s="0" t="s">
        <v>163</v>
      </c>
      <c r="BG101" s="0" t="s">
        <v>163</v>
      </c>
      <c r="BH101" s="0" t="s">
        <v>2195</v>
      </c>
      <c r="BK101" s="0" t="s">
        <v>163</v>
      </c>
      <c r="BL101" s="0" t="s">
        <v>2260</v>
      </c>
      <c r="BM101" s="0" t="s">
        <v>162</v>
      </c>
      <c r="BN101" s="0" t="s">
        <v>163</v>
      </c>
      <c r="BO101" s="0" t="s">
        <v>163</v>
      </c>
      <c r="BP101" s="0" t="s">
        <v>243</v>
      </c>
      <c r="BQ101" s="0" t="n">
        <v>40.745027</v>
      </c>
      <c r="BR101" s="0" t="n">
        <v>-73.986825</v>
      </c>
      <c r="BS101" s="0" t="s">
        <v>168</v>
      </c>
      <c r="BT101" s="0" t="n">
        <v>0</v>
      </c>
      <c r="BU101" s="0" t="s">
        <v>1533</v>
      </c>
      <c r="BV101" s="0" t="s">
        <v>1534</v>
      </c>
      <c r="BW101" s="0" t="s">
        <v>2255</v>
      </c>
      <c r="BX101" s="0" t="s">
        <v>2261</v>
      </c>
      <c r="BY101" s="0" t="s">
        <v>247</v>
      </c>
      <c r="BZ101" s="0" t="s">
        <v>2262</v>
      </c>
      <c r="CA101" s="0" t="s">
        <v>166</v>
      </c>
      <c r="CC101" s="0" t="s">
        <v>200</v>
      </c>
      <c r="CE101" s="0" t="s">
        <v>162</v>
      </c>
      <c r="CH101" s="0" t="s">
        <v>201</v>
      </c>
      <c r="CI101" s="0" t="s">
        <v>1536</v>
      </c>
      <c r="CJ101" s="0" t="s">
        <v>163</v>
      </c>
      <c r="CK101" s="0" t="s">
        <v>162</v>
      </c>
      <c r="CL101" s="0" t="s">
        <v>163</v>
      </c>
      <c r="CO101" s="0" t="s">
        <v>163</v>
      </c>
      <c r="CQ101" s="0" t="s">
        <v>2196</v>
      </c>
      <c r="CR101" s="0" t="s">
        <v>206</v>
      </c>
      <c r="CS101" s="0" t="s">
        <v>163</v>
      </c>
      <c r="CT101" s="0" t="n">
        <v>36</v>
      </c>
      <c r="CU101" s="0" t="n">
        <v>7</v>
      </c>
      <c r="CV101" s="0" t="n">
        <v>8</v>
      </c>
      <c r="CW101" s="0" t="n">
        <v>6</v>
      </c>
      <c r="CX101" s="0" t="n">
        <v>15</v>
      </c>
      <c r="CY101" s="0" t="n">
        <f aca="false">IF(AH101="exact",10,IF(AH101="adjacent",5,0))</f>
        <v>0</v>
      </c>
      <c r="CZ101" s="0" t="n">
        <f aca="false">IF(R101="Y",15,0)</f>
        <v>0</v>
      </c>
      <c r="DF101" s="0" t="s">
        <v>158</v>
      </c>
      <c r="DG101" s="0" t="s">
        <v>211</v>
      </c>
      <c r="DJ101" s="0" t="s">
        <v>2263</v>
      </c>
      <c r="DK101" s="0" t="s">
        <v>2264</v>
      </c>
      <c r="DS101" s="0" t="s">
        <v>158</v>
      </c>
      <c r="DX101" s="0" t="s">
        <v>162</v>
      </c>
      <c r="ER101" s="0" t="str">
        <f aca="false">IF(ISNUMBER(MATCH(U101,{"queued","contacted","replied","call_booked","call_done","yes_in_principle","materials_sent"},0)),"Y","N")</f>
        <v>N</v>
      </c>
      <c r="ES101" s="0" t="str">
        <f aca="false">IF(COUNTIFS($AP$2:$AP$1000,AP101,$ER$2:$ER$1000,"Y")+COUNTIFS($AP$2:$AP$1000,AP101,$T$2:$T$1000,"Y")&gt;0,"Y","N")</f>
        <v>N</v>
      </c>
      <c r="ET101" s="0" t="str">
        <f aca="false">IF(AND(U101="new",T101="N",AT101="Y",AS101="",ES101="N"),"Y","N")</f>
        <v>N</v>
      </c>
      <c r="EU101" s="0" t="str">
        <f aca="false">IF(ET101&lt;&gt;"Y","N",IF(COUNTIFS($AP$2:$AP$1000,AP101,$ET$2:$ET$1000,"Y",$J$2:$J$1000,"&gt;"&amp;J101)+COUNTIFS($AP$2:$AP$1000,AP101,$ET$2:$ET$1000,"Y",$J$2:$J$1000,J101,$EW$2:$EW$1000,"&lt;"&amp;EW101)=0,"Y","N"))</f>
        <v>N</v>
      </c>
      <c r="EV101" s="0" t="str">
        <f aca="false">IF(Y101="","N",IF(Y101&lt;=10,"Y","N"))</f>
        <v>N</v>
      </c>
      <c r="EW101" s="0" t="n">
        <f aca="false">ROW()-1</f>
        <v>100</v>
      </c>
    </row>
    <row r="102" customFormat="false" ht="15" hidden="false" customHeight="false" outlineLevel="0" collapsed="false">
      <c r="A102" s="0" t="s">
        <v>2265</v>
      </c>
      <c r="B102" s="0" t="s">
        <v>2266</v>
      </c>
      <c r="H102" s="5" t="s">
        <v>158</v>
      </c>
      <c r="I102" s="5" t="s">
        <v>159</v>
      </c>
      <c r="J102" s="0" t="n">
        <f aca="false">IF(AX102="pass",ROUND(CU102+CV102+CW102+CX102+CY102+CZ102,1),0)</f>
        <v>36</v>
      </c>
      <c r="K102" s="0" t="s">
        <v>2191</v>
      </c>
      <c r="L102" s="0" t="s">
        <v>163</v>
      </c>
      <c r="R102" s="5" t="s">
        <v>162</v>
      </c>
      <c r="S102" s="0" t="s">
        <v>163</v>
      </c>
      <c r="T102" s="5" t="s">
        <v>162</v>
      </c>
      <c r="U102" s="5" t="s">
        <v>561</v>
      </c>
      <c r="V102" s="0" t="s">
        <v>2267</v>
      </c>
      <c r="W102" s="0" t="s">
        <v>166</v>
      </c>
      <c r="X102" s="0" t="s">
        <v>167</v>
      </c>
      <c r="Y102" s="0" t="str">
        <f aca="false">IF(EU102&lt;&gt;"Y","",COUNTIFS($EU$2:$EU$1000,"Y",$J$2:$J$1000,"&gt;"&amp;J102)+COUNTIFS($EU$2:$EU$1000,"Y",$J$2:$J$1000,J102,$EW$2:$EW$1000,"&lt;"&amp;EW102)+1)</f>
        <v/>
      </c>
      <c r="Z102" s="0" t="n">
        <v>101</v>
      </c>
      <c r="AA102" s="0" t="s">
        <v>162</v>
      </c>
      <c r="AD102" s="0" t="s">
        <v>158</v>
      </c>
      <c r="AH102" s="5" t="s">
        <v>158</v>
      </c>
      <c r="AI102" s="0" t="s">
        <v>1733</v>
      </c>
      <c r="AJ102" s="0" t="s">
        <v>2268</v>
      </c>
      <c r="AK102" s="0" t="s">
        <v>178</v>
      </c>
      <c r="AL102" s="0" t="s">
        <v>163</v>
      </c>
      <c r="AM102" s="0" t="s">
        <v>163</v>
      </c>
      <c r="AN102" s="0" t="s">
        <v>158</v>
      </c>
      <c r="AO102" s="0" t="s">
        <v>163</v>
      </c>
      <c r="AP102" s="0" t="s">
        <v>2265</v>
      </c>
      <c r="AQ102" s="5" t="s">
        <v>162</v>
      </c>
      <c r="AT102" s="0" t="str">
        <f aca="false">IF(AND(AX102="pass",AQ102&lt;&gt;"Y",C102&lt;&gt;"",OR(AW102&lt;&gt;"Y",AV102="Y")),"Y","N")</f>
        <v>N</v>
      </c>
      <c r="AU102" s="0" t="str">
        <f aca="false">_xlfn.TEXTJOIN("; ",TRUE(),IF(AX102&lt;&gt;"pass","gated out",""),IF(AQ102="Y","on hold: "&amp;AR102,""),IF(C102="","no contact named on an opened page",""),IF(AND(AW102="Y",AV102&lt;&gt;"Y"),"Tuesday estimate band "&amp;L102&amp;": founder's call",""))</f>
        <v>no contact named on an opened page</v>
      </c>
      <c r="AW102" s="0" t="s">
        <v>162</v>
      </c>
      <c r="AX102" s="0" t="s">
        <v>181</v>
      </c>
      <c r="AY102" s="0" t="s">
        <v>182</v>
      </c>
      <c r="AZ102" s="0" t="s">
        <v>1</v>
      </c>
      <c r="BA102" s="0" t="s">
        <v>2269</v>
      </c>
      <c r="BB102" s="0" t="s">
        <v>2270</v>
      </c>
      <c r="BC102" s="0" t="s">
        <v>2271</v>
      </c>
      <c r="BD102" s="0" t="s">
        <v>163</v>
      </c>
      <c r="BF102" s="0" t="s">
        <v>163</v>
      </c>
      <c r="BG102" s="0" t="s">
        <v>163</v>
      </c>
      <c r="BH102" s="0" t="s">
        <v>2195</v>
      </c>
      <c r="BK102" s="0" t="s">
        <v>163</v>
      </c>
      <c r="BL102" s="0" t="s">
        <v>163</v>
      </c>
      <c r="BM102" s="0" t="s">
        <v>163</v>
      </c>
      <c r="BN102" s="0" t="s">
        <v>163</v>
      </c>
      <c r="BO102" s="0" t="s">
        <v>163</v>
      </c>
      <c r="BP102" s="0" t="s">
        <v>346</v>
      </c>
      <c r="BQ102" s="0" t="n">
        <v>40.743288</v>
      </c>
      <c r="BR102" s="0" t="n">
        <v>-73.986627</v>
      </c>
      <c r="BS102" s="0" t="s">
        <v>168</v>
      </c>
      <c r="BT102" s="0" t="n">
        <v>0</v>
      </c>
      <c r="BU102" s="0" t="s">
        <v>1739</v>
      </c>
      <c r="BV102" s="0" t="s">
        <v>1740</v>
      </c>
      <c r="BW102" s="0" t="s">
        <v>2267</v>
      </c>
      <c r="BX102" s="0" t="s">
        <v>2140</v>
      </c>
      <c r="BY102" s="0" t="s">
        <v>247</v>
      </c>
      <c r="BZ102" s="0" t="s">
        <v>2272</v>
      </c>
      <c r="CA102" s="0" t="s">
        <v>166</v>
      </c>
      <c r="CC102" s="0" t="s">
        <v>200</v>
      </c>
      <c r="CE102" s="0" t="s">
        <v>162</v>
      </c>
      <c r="CH102" s="0" t="s">
        <v>163</v>
      </c>
      <c r="CJ102" s="0" t="s">
        <v>163</v>
      </c>
      <c r="CK102" s="0" t="s">
        <v>162</v>
      </c>
      <c r="CL102" s="0" t="s">
        <v>163</v>
      </c>
      <c r="CO102" s="0" t="s">
        <v>163</v>
      </c>
      <c r="CQ102" s="0" t="s">
        <v>2196</v>
      </c>
      <c r="CR102" s="0" t="s">
        <v>206</v>
      </c>
      <c r="CS102" s="0" t="s">
        <v>163</v>
      </c>
      <c r="CT102" s="0" t="n">
        <v>36</v>
      </c>
      <c r="CU102" s="0" t="n">
        <v>7</v>
      </c>
      <c r="CV102" s="0" t="n">
        <v>8</v>
      </c>
      <c r="CW102" s="0" t="n">
        <v>6</v>
      </c>
      <c r="CX102" s="0" t="n">
        <v>15</v>
      </c>
      <c r="CY102" s="0" t="n">
        <f aca="false">IF(AH102="exact",10,IF(AH102="adjacent",5,0))</f>
        <v>0</v>
      </c>
      <c r="CZ102" s="0" t="n">
        <f aca="false">IF(R102="Y",15,0)</f>
        <v>0</v>
      </c>
      <c r="DF102" s="0" t="s">
        <v>158</v>
      </c>
      <c r="DG102" s="0" t="s">
        <v>211</v>
      </c>
      <c r="DJ102" s="0" t="s">
        <v>1203</v>
      </c>
      <c r="DK102" s="0" t="s">
        <v>2273</v>
      </c>
      <c r="DS102" s="0" t="s">
        <v>158</v>
      </c>
      <c r="DX102" s="0" t="s">
        <v>162</v>
      </c>
      <c r="ER102" s="0" t="str">
        <f aca="false">IF(ISNUMBER(MATCH(U102,{"queued","contacted","replied","call_booked","call_done","yes_in_principle","materials_sent"},0)),"Y","N")</f>
        <v>N</v>
      </c>
      <c r="ES102" s="0" t="str">
        <f aca="false">IF(COUNTIFS($AP$2:$AP$1000,AP102,$ER$2:$ER$1000,"Y")+COUNTIFS($AP$2:$AP$1000,AP102,$T$2:$T$1000,"Y")&gt;0,"Y","N")</f>
        <v>N</v>
      </c>
      <c r="ET102" s="0" t="str">
        <f aca="false">IF(AND(U102="new",T102="N",AT102="Y",AS102="",ES102="N"),"Y","N")</f>
        <v>N</v>
      </c>
      <c r="EU102" s="0" t="str">
        <f aca="false">IF(ET102&lt;&gt;"Y","N",IF(COUNTIFS($AP$2:$AP$1000,AP102,$ET$2:$ET$1000,"Y",$J$2:$J$1000,"&gt;"&amp;J102)+COUNTIFS($AP$2:$AP$1000,AP102,$ET$2:$ET$1000,"Y",$J$2:$J$1000,J102,$EW$2:$EW$1000,"&lt;"&amp;EW102)=0,"Y","N"))</f>
        <v>N</v>
      </c>
      <c r="EV102" s="0" t="str">
        <f aca="false">IF(Y102="","N",IF(Y102&lt;=10,"Y","N"))</f>
        <v>N</v>
      </c>
      <c r="EW102" s="0" t="n">
        <f aca="false">ROW()-1</f>
        <v>101</v>
      </c>
    </row>
    <row r="103" customFormat="false" ht="15" hidden="false" customHeight="false" outlineLevel="0" collapsed="false">
      <c r="A103" s="0" t="s">
        <v>2274</v>
      </c>
      <c r="B103" s="0" t="s">
        <v>2275</v>
      </c>
      <c r="H103" s="5" t="s">
        <v>158</v>
      </c>
      <c r="I103" s="5" t="s">
        <v>159</v>
      </c>
      <c r="J103" s="0" t="n">
        <f aca="false">IF(AX103="pass",ROUND(CU103+CV103+CW103+CX103+CY103+CZ103,1),0)</f>
        <v>36</v>
      </c>
      <c r="K103" s="0" t="s">
        <v>2224</v>
      </c>
      <c r="L103" s="0" t="s">
        <v>163</v>
      </c>
      <c r="R103" s="5" t="s">
        <v>162</v>
      </c>
      <c r="S103" s="0" t="s">
        <v>163</v>
      </c>
      <c r="T103" s="5" t="s">
        <v>162</v>
      </c>
      <c r="U103" s="5" t="s">
        <v>561</v>
      </c>
      <c r="V103" s="0" t="s">
        <v>2276</v>
      </c>
      <c r="W103" s="0" t="s">
        <v>166</v>
      </c>
      <c r="X103" s="0" t="s">
        <v>167</v>
      </c>
      <c r="Y103" s="0" t="str">
        <f aca="false">IF(EU103&lt;&gt;"Y","",COUNTIFS($EU$2:$EU$1000,"Y",$J$2:$J$1000,"&gt;"&amp;J103)+COUNTIFS($EU$2:$EU$1000,"Y",$J$2:$J$1000,J103,$EW$2:$EW$1000,"&lt;"&amp;EW103)+1)</f>
        <v/>
      </c>
      <c r="Z103" s="0" t="n">
        <v>102</v>
      </c>
      <c r="AA103" s="0" t="s">
        <v>162</v>
      </c>
      <c r="AD103" s="0" t="s">
        <v>158</v>
      </c>
      <c r="AH103" s="5" t="s">
        <v>158</v>
      </c>
      <c r="AI103" s="0" t="s">
        <v>2277</v>
      </c>
      <c r="AJ103" s="0" t="s">
        <v>2278</v>
      </c>
      <c r="AK103" s="0" t="s">
        <v>2227</v>
      </c>
      <c r="AL103" s="0" t="s">
        <v>163</v>
      </c>
      <c r="AM103" s="0" t="s">
        <v>163</v>
      </c>
      <c r="AN103" s="0" t="s">
        <v>158</v>
      </c>
      <c r="AO103" s="0" t="s">
        <v>163</v>
      </c>
      <c r="AP103" s="0" t="s">
        <v>2279</v>
      </c>
      <c r="AQ103" s="5" t="s">
        <v>162</v>
      </c>
      <c r="AT103" s="0" t="str">
        <f aca="false">IF(AND(AX103="pass",AQ103&lt;&gt;"Y",C103&lt;&gt;"",OR(AW103&lt;&gt;"Y",AV103="Y")),"Y","N")</f>
        <v>N</v>
      </c>
      <c r="AU103" s="0" t="str">
        <f aca="false">_xlfn.TEXTJOIN("; ",TRUE(),IF(AX103&lt;&gt;"pass","gated out",""),IF(AQ103="Y","on hold: "&amp;AR103,""),IF(C103="","no contact named on an opened page",""),IF(AND(AW103="Y",AV103&lt;&gt;"Y"),"Tuesday estimate band "&amp;L103&amp;": founder's call",""))</f>
        <v>no contact named on an opened page</v>
      </c>
      <c r="AW103" s="0" t="s">
        <v>162</v>
      </c>
      <c r="AX103" s="0" t="s">
        <v>181</v>
      </c>
      <c r="AY103" s="0" t="s">
        <v>182</v>
      </c>
      <c r="AZ103" s="0" t="s">
        <v>2228</v>
      </c>
      <c r="BA103" s="0" t="s">
        <v>2280</v>
      </c>
      <c r="BB103" s="0" t="s">
        <v>2281</v>
      </c>
      <c r="BC103" s="0" t="s">
        <v>2231</v>
      </c>
      <c r="BD103" s="0" t="s">
        <v>163</v>
      </c>
      <c r="BF103" s="0" t="s">
        <v>163</v>
      </c>
      <c r="BG103" s="0" t="s">
        <v>163</v>
      </c>
      <c r="BK103" s="0" t="s">
        <v>163</v>
      </c>
      <c r="BL103" s="0" t="s">
        <v>2232</v>
      </c>
      <c r="BM103" s="0" t="s">
        <v>163</v>
      </c>
      <c r="BN103" s="0" t="s">
        <v>2282</v>
      </c>
      <c r="BP103" s="0" t="s">
        <v>346</v>
      </c>
      <c r="BQ103" s="0" t="n">
        <v>40.739961</v>
      </c>
      <c r="BR103" s="0" t="n">
        <v>-73.990971</v>
      </c>
      <c r="BS103" s="0" t="s">
        <v>168</v>
      </c>
      <c r="BT103" s="0" t="n">
        <v>0</v>
      </c>
      <c r="BU103" s="0" t="s">
        <v>1196</v>
      </c>
      <c r="BV103" s="0" t="s">
        <v>1197</v>
      </c>
      <c r="BW103" s="0" t="s">
        <v>2276</v>
      </c>
      <c r="BX103" s="0" t="s">
        <v>166</v>
      </c>
      <c r="BY103" s="0" t="s">
        <v>2236</v>
      </c>
      <c r="BZ103" s="0" t="s">
        <v>2283</v>
      </c>
      <c r="CC103" s="0" t="s">
        <v>200</v>
      </c>
      <c r="CE103" s="0" t="s">
        <v>162</v>
      </c>
      <c r="CF103" s="0" t="s">
        <v>2280</v>
      </c>
      <c r="CG103" s="0" t="s">
        <v>2238</v>
      </c>
      <c r="CH103" s="0" t="s">
        <v>163</v>
      </c>
      <c r="CJ103" s="0" t="s">
        <v>163</v>
      </c>
      <c r="CK103" s="0" t="s">
        <v>162</v>
      </c>
      <c r="CL103" s="0" t="s">
        <v>163</v>
      </c>
      <c r="CO103" s="0" t="s">
        <v>163</v>
      </c>
      <c r="CQ103" s="0" t="s">
        <v>2239</v>
      </c>
      <c r="CR103" s="0" t="s">
        <v>206</v>
      </c>
      <c r="CS103" s="0" t="s">
        <v>163</v>
      </c>
      <c r="CT103" s="0" t="n">
        <v>36</v>
      </c>
      <c r="CU103" s="0" t="n">
        <v>7</v>
      </c>
      <c r="CV103" s="0" t="n">
        <v>8</v>
      </c>
      <c r="CW103" s="0" t="n">
        <v>6</v>
      </c>
      <c r="CX103" s="0" t="n">
        <v>15</v>
      </c>
      <c r="CY103" s="0" t="n">
        <f aca="false">IF(AH103="exact",10,IF(AH103="adjacent",5,0))</f>
        <v>0</v>
      </c>
      <c r="CZ103" s="0" t="n">
        <f aca="false">IF(R103="Y",15,0)</f>
        <v>0</v>
      </c>
      <c r="DF103" s="0" t="s">
        <v>158</v>
      </c>
      <c r="DG103" s="0" t="s">
        <v>2228</v>
      </c>
      <c r="DK103" s="0" t="s">
        <v>2284</v>
      </c>
      <c r="DS103" s="0" t="s">
        <v>158</v>
      </c>
      <c r="DX103" s="0" t="s">
        <v>162</v>
      </c>
      <c r="DZ103" s="0" t="s">
        <v>2285</v>
      </c>
      <c r="ER103" s="0" t="str">
        <f aca="false">IF(ISNUMBER(MATCH(U103,{"queued","contacted","replied","call_booked","call_done","yes_in_principle","materials_sent"},0)),"Y","N")</f>
        <v>N</v>
      </c>
      <c r="ES103" s="0" t="str">
        <f aca="false">IF(COUNTIFS($AP$2:$AP$1000,AP103,$ER$2:$ER$1000,"Y")+COUNTIFS($AP$2:$AP$1000,AP103,$T$2:$T$1000,"Y")&gt;0,"Y","N")</f>
        <v>N</v>
      </c>
      <c r="ET103" s="0" t="str">
        <f aca="false">IF(AND(U103="new",T103="N",AT103="Y",AS103="",ES103="N"),"Y","N")</f>
        <v>N</v>
      </c>
      <c r="EU103" s="0" t="str">
        <f aca="false">IF(ET103&lt;&gt;"Y","N",IF(COUNTIFS($AP$2:$AP$1000,AP103,$ET$2:$ET$1000,"Y",$J$2:$J$1000,"&gt;"&amp;J103)+COUNTIFS($AP$2:$AP$1000,AP103,$ET$2:$ET$1000,"Y",$J$2:$J$1000,J103,$EW$2:$EW$1000,"&lt;"&amp;EW103)=0,"Y","N"))</f>
        <v>N</v>
      </c>
      <c r="EV103" s="0" t="str">
        <f aca="false">IF(Y103="","N",IF(Y103&lt;=10,"Y","N"))</f>
        <v>N</v>
      </c>
      <c r="EW103" s="0" t="n">
        <f aca="false">ROW()-1</f>
        <v>102</v>
      </c>
    </row>
    <row r="104" customFormat="false" ht="15" hidden="false" customHeight="false" outlineLevel="0" collapsed="false">
      <c r="A104" s="0" t="s">
        <v>2286</v>
      </c>
      <c r="B104" s="0" t="s">
        <v>2287</v>
      </c>
      <c r="H104" s="5" t="s">
        <v>158</v>
      </c>
      <c r="I104" s="5" t="s">
        <v>159</v>
      </c>
      <c r="J104" s="0" t="n">
        <f aca="false">IF(AX104="pass",ROUND(CU104+CV104+CW104+CX104+CY104+CZ104,1),0)</f>
        <v>36</v>
      </c>
      <c r="K104" s="0" t="s">
        <v>2224</v>
      </c>
      <c r="L104" s="0" t="s">
        <v>163</v>
      </c>
      <c r="R104" s="5" t="s">
        <v>162</v>
      </c>
      <c r="S104" s="0" t="s">
        <v>163</v>
      </c>
      <c r="T104" s="5" t="s">
        <v>162</v>
      </c>
      <c r="U104" s="5" t="s">
        <v>561</v>
      </c>
      <c r="V104" s="0" t="s">
        <v>2276</v>
      </c>
      <c r="W104" s="0" t="s">
        <v>166</v>
      </c>
      <c r="X104" s="0" t="s">
        <v>167</v>
      </c>
      <c r="Y104" s="0" t="str">
        <f aca="false">IF(EU104&lt;&gt;"Y","",COUNTIFS($EU$2:$EU$1000,"Y",$J$2:$J$1000,"&gt;"&amp;J104)+COUNTIFS($EU$2:$EU$1000,"Y",$J$2:$J$1000,J104,$EW$2:$EW$1000,"&lt;"&amp;EW104)+1)</f>
        <v/>
      </c>
      <c r="Z104" s="0" t="n">
        <v>103</v>
      </c>
      <c r="AA104" s="0" t="s">
        <v>162</v>
      </c>
      <c r="AD104" s="0" t="s">
        <v>158</v>
      </c>
      <c r="AH104" s="5" t="s">
        <v>158</v>
      </c>
      <c r="AI104" s="0" t="s">
        <v>2288</v>
      </c>
      <c r="AJ104" s="0" t="s">
        <v>2289</v>
      </c>
      <c r="AK104" s="0" t="s">
        <v>2227</v>
      </c>
      <c r="AL104" s="0" t="s">
        <v>163</v>
      </c>
      <c r="AM104" s="0" t="s">
        <v>163</v>
      </c>
      <c r="AN104" s="0" t="s">
        <v>158</v>
      </c>
      <c r="AO104" s="0" t="s">
        <v>163</v>
      </c>
      <c r="AP104" s="0" t="s">
        <v>2279</v>
      </c>
      <c r="AQ104" s="5" t="s">
        <v>162</v>
      </c>
      <c r="AT104" s="0" t="str">
        <f aca="false">IF(AND(AX104="pass",AQ104&lt;&gt;"Y",C104&lt;&gt;"",OR(AW104&lt;&gt;"Y",AV104="Y")),"Y","N")</f>
        <v>N</v>
      </c>
      <c r="AU104" s="0" t="str">
        <f aca="false">_xlfn.TEXTJOIN("; ",TRUE(),IF(AX104&lt;&gt;"pass","gated out",""),IF(AQ104="Y","on hold: "&amp;AR104,""),IF(C104="","no contact named on an opened page",""),IF(AND(AW104="Y",AV104&lt;&gt;"Y"),"Tuesday estimate band "&amp;L104&amp;": founder's call",""))</f>
        <v>no contact named on an opened page</v>
      </c>
      <c r="AW104" s="0" t="s">
        <v>162</v>
      </c>
      <c r="AX104" s="0" t="s">
        <v>181</v>
      </c>
      <c r="AY104" s="0" t="s">
        <v>182</v>
      </c>
      <c r="AZ104" s="0" t="s">
        <v>2228</v>
      </c>
      <c r="BA104" s="0" t="s">
        <v>2290</v>
      </c>
      <c r="BB104" s="0" t="s">
        <v>2281</v>
      </c>
      <c r="BC104" s="0" t="s">
        <v>2231</v>
      </c>
      <c r="BD104" s="0" t="s">
        <v>163</v>
      </c>
      <c r="BF104" s="0" t="s">
        <v>163</v>
      </c>
      <c r="BG104" s="0" t="s">
        <v>163</v>
      </c>
      <c r="BK104" s="0" t="s">
        <v>163</v>
      </c>
      <c r="BL104" s="0" t="s">
        <v>2232</v>
      </c>
      <c r="BM104" s="0" t="s">
        <v>163</v>
      </c>
      <c r="BN104" s="0" t="s">
        <v>2282</v>
      </c>
      <c r="BP104" s="0" t="s">
        <v>243</v>
      </c>
      <c r="BQ104" s="0" t="n">
        <v>40.74291</v>
      </c>
      <c r="BR104" s="0" t="n">
        <v>-73.984627</v>
      </c>
      <c r="BS104" s="0" t="s">
        <v>168</v>
      </c>
      <c r="BT104" s="0" t="n">
        <v>0</v>
      </c>
      <c r="BU104" s="0" t="s">
        <v>965</v>
      </c>
      <c r="BV104" s="0" t="s">
        <v>966</v>
      </c>
      <c r="BW104" s="0" t="s">
        <v>2276</v>
      </c>
      <c r="BX104" s="0" t="s">
        <v>166</v>
      </c>
      <c r="BY104" s="0" t="s">
        <v>2236</v>
      </c>
      <c r="BZ104" s="0" t="s">
        <v>2291</v>
      </c>
      <c r="CC104" s="0" t="s">
        <v>200</v>
      </c>
      <c r="CE104" s="0" t="s">
        <v>162</v>
      </c>
      <c r="CF104" s="0" t="s">
        <v>2290</v>
      </c>
      <c r="CG104" s="0" t="s">
        <v>2238</v>
      </c>
      <c r="CH104" s="0" t="s">
        <v>163</v>
      </c>
      <c r="CJ104" s="0" t="s">
        <v>163</v>
      </c>
      <c r="CK104" s="0" t="s">
        <v>162</v>
      </c>
      <c r="CL104" s="0" t="s">
        <v>163</v>
      </c>
      <c r="CO104" s="0" t="s">
        <v>163</v>
      </c>
      <c r="CQ104" s="0" t="s">
        <v>2239</v>
      </c>
      <c r="CR104" s="0" t="s">
        <v>206</v>
      </c>
      <c r="CS104" s="0" t="s">
        <v>163</v>
      </c>
      <c r="CT104" s="0" t="n">
        <v>36</v>
      </c>
      <c r="CU104" s="0" t="n">
        <v>7</v>
      </c>
      <c r="CV104" s="0" t="n">
        <v>8</v>
      </c>
      <c r="CW104" s="0" t="n">
        <v>6</v>
      </c>
      <c r="CX104" s="0" t="n">
        <v>15</v>
      </c>
      <c r="CY104" s="0" t="n">
        <f aca="false">IF(AH104="exact",10,IF(AH104="adjacent",5,0))</f>
        <v>0</v>
      </c>
      <c r="CZ104" s="0" t="n">
        <f aca="false">IF(R104="Y",15,0)</f>
        <v>0</v>
      </c>
      <c r="DF104" s="0" t="s">
        <v>158</v>
      </c>
      <c r="DG104" s="0" t="s">
        <v>2228</v>
      </c>
      <c r="DK104" s="0" t="s">
        <v>2292</v>
      </c>
      <c r="DS104" s="0" t="s">
        <v>158</v>
      </c>
      <c r="DX104" s="0" t="s">
        <v>162</v>
      </c>
      <c r="DZ104" s="0" t="s">
        <v>2293</v>
      </c>
      <c r="ER104" s="0" t="str">
        <f aca="false">IF(ISNUMBER(MATCH(U104,{"queued","contacted","replied","call_booked","call_done","yes_in_principle","materials_sent"},0)),"Y","N")</f>
        <v>N</v>
      </c>
      <c r="ES104" s="0" t="str">
        <f aca="false">IF(COUNTIFS($AP$2:$AP$1000,AP104,$ER$2:$ER$1000,"Y")+COUNTIFS($AP$2:$AP$1000,AP104,$T$2:$T$1000,"Y")&gt;0,"Y","N")</f>
        <v>N</v>
      </c>
      <c r="ET104" s="0" t="str">
        <f aca="false">IF(AND(U104="new",T104="N",AT104="Y",AS104="",ES104="N"),"Y","N")</f>
        <v>N</v>
      </c>
      <c r="EU104" s="0" t="str">
        <f aca="false">IF(ET104&lt;&gt;"Y","N",IF(COUNTIFS($AP$2:$AP$1000,AP104,$ET$2:$ET$1000,"Y",$J$2:$J$1000,"&gt;"&amp;J104)+COUNTIFS($AP$2:$AP$1000,AP104,$ET$2:$ET$1000,"Y",$J$2:$J$1000,J104,$EW$2:$EW$1000,"&lt;"&amp;EW104)=0,"Y","N"))</f>
        <v>N</v>
      </c>
      <c r="EV104" s="0" t="str">
        <f aca="false">IF(Y104="","N",IF(Y104&lt;=10,"Y","N"))</f>
        <v>N</v>
      </c>
      <c r="EW104" s="0" t="n">
        <f aca="false">ROW()-1</f>
        <v>103</v>
      </c>
    </row>
    <row r="105" customFormat="false" ht="15" hidden="false" customHeight="false" outlineLevel="0" collapsed="false">
      <c r="A105" s="0" t="s">
        <v>2294</v>
      </c>
      <c r="B105" s="0" t="s">
        <v>2295</v>
      </c>
      <c r="H105" s="5" t="s">
        <v>158</v>
      </c>
      <c r="I105" s="5" t="s">
        <v>159</v>
      </c>
      <c r="J105" s="0" t="n">
        <f aca="false">IF(AX105="pass",ROUND(CU105+CV105+CW105+CX105+CY105+CZ105,1),0)</f>
        <v>36</v>
      </c>
      <c r="K105" s="0" t="s">
        <v>2224</v>
      </c>
      <c r="L105" s="0" t="s">
        <v>163</v>
      </c>
      <c r="R105" s="5" t="s">
        <v>162</v>
      </c>
      <c r="S105" s="0" t="s">
        <v>163</v>
      </c>
      <c r="T105" s="5" t="s">
        <v>162</v>
      </c>
      <c r="U105" s="5" t="s">
        <v>561</v>
      </c>
      <c r="V105" s="0" t="s">
        <v>2276</v>
      </c>
      <c r="W105" s="0" t="s">
        <v>166</v>
      </c>
      <c r="X105" s="0" t="s">
        <v>167</v>
      </c>
      <c r="Y105" s="0" t="str">
        <f aca="false">IF(EU105&lt;&gt;"Y","",COUNTIFS($EU$2:$EU$1000,"Y",$J$2:$J$1000,"&gt;"&amp;J105)+COUNTIFS($EU$2:$EU$1000,"Y",$J$2:$J$1000,J105,$EW$2:$EW$1000,"&lt;"&amp;EW105)+1)</f>
        <v/>
      </c>
      <c r="Z105" s="0" t="n">
        <v>104</v>
      </c>
      <c r="AA105" s="0" t="s">
        <v>162</v>
      </c>
      <c r="AD105" s="0" t="s">
        <v>158</v>
      </c>
      <c r="AH105" s="5" t="s">
        <v>158</v>
      </c>
      <c r="AI105" s="0" t="s">
        <v>2296</v>
      </c>
      <c r="AJ105" s="0" t="s">
        <v>2297</v>
      </c>
      <c r="AK105" s="0" t="s">
        <v>2227</v>
      </c>
      <c r="AL105" s="0" t="s">
        <v>163</v>
      </c>
      <c r="AM105" s="0" t="s">
        <v>163</v>
      </c>
      <c r="AN105" s="0" t="s">
        <v>158</v>
      </c>
      <c r="AO105" s="0" t="s">
        <v>163</v>
      </c>
      <c r="AP105" s="0" t="s">
        <v>2279</v>
      </c>
      <c r="AQ105" s="5" t="s">
        <v>162</v>
      </c>
      <c r="AT105" s="0" t="str">
        <f aca="false">IF(AND(AX105="pass",AQ105&lt;&gt;"Y",C105&lt;&gt;"",OR(AW105&lt;&gt;"Y",AV105="Y")),"Y","N")</f>
        <v>N</v>
      </c>
      <c r="AU105" s="0" t="str">
        <f aca="false">_xlfn.TEXTJOIN("; ",TRUE(),IF(AX105&lt;&gt;"pass","gated out",""),IF(AQ105="Y","on hold: "&amp;AR105,""),IF(C105="","no contact named on an opened page",""),IF(AND(AW105="Y",AV105&lt;&gt;"Y"),"Tuesday estimate band "&amp;L105&amp;": founder's call",""))</f>
        <v>no contact named on an opened page</v>
      </c>
      <c r="AW105" s="0" t="s">
        <v>162</v>
      </c>
      <c r="AX105" s="0" t="s">
        <v>181</v>
      </c>
      <c r="AY105" s="0" t="s">
        <v>182</v>
      </c>
      <c r="AZ105" s="0" t="s">
        <v>2228</v>
      </c>
      <c r="BA105" s="0" t="s">
        <v>2298</v>
      </c>
      <c r="BB105" s="0" t="s">
        <v>2281</v>
      </c>
      <c r="BC105" s="0" t="s">
        <v>2231</v>
      </c>
      <c r="BD105" s="0" t="s">
        <v>163</v>
      </c>
      <c r="BF105" s="0" t="s">
        <v>163</v>
      </c>
      <c r="BG105" s="0" t="s">
        <v>163</v>
      </c>
      <c r="BK105" s="0" t="s">
        <v>163</v>
      </c>
      <c r="BL105" s="0" t="s">
        <v>2232</v>
      </c>
      <c r="BM105" s="0" t="s">
        <v>163</v>
      </c>
      <c r="BN105" s="0" t="s">
        <v>2282</v>
      </c>
      <c r="BP105" s="0" t="s">
        <v>346</v>
      </c>
      <c r="BQ105" s="0" t="n">
        <v>40.739363</v>
      </c>
      <c r="BR105" s="0" t="n">
        <v>-73.989534</v>
      </c>
      <c r="BS105" s="0" t="s">
        <v>168</v>
      </c>
      <c r="BT105" s="0" t="n">
        <v>0</v>
      </c>
      <c r="BU105" s="0" t="s">
        <v>1441</v>
      </c>
      <c r="BV105" s="0" t="s">
        <v>1442</v>
      </c>
      <c r="BW105" s="0" t="s">
        <v>2276</v>
      </c>
      <c r="BX105" s="0" t="s">
        <v>166</v>
      </c>
      <c r="BY105" s="0" t="s">
        <v>2236</v>
      </c>
      <c r="BZ105" s="0" t="s">
        <v>2299</v>
      </c>
      <c r="CC105" s="0" t="s">
        <v>200</v>
      </c>
      <c r="CE105" s="0" t="s">
        <v>162</v>
      </c>
      <c r="CF105" s="0" t="s">
        <v>2298</v>
      </c>
      <c r="CG105" s="0" t="s">
        <v>2238</v>
      </c>
      <c r="CH105" s="0" t="s">
        <v>201</v>
      </c>
      <c r="CI105" s="0" t="s">
        <v>1444</v>
      </c>
      <c r="CJ105" s="0" t="s">
        <v>163</v>
      </c>
      <c r="CK105" s="0" t="s">
        <v>162</v>
      </c>
      <c r="CL105" s="0" t="s">
        <v>163</v>
      </c>
      <c r="CO105" s="0" t="s">
        <v>163</v>
      </c>
      <c r="CQ105" s="0" t="s">
        <v>2239</v>
      </c>
      <c r="CR105" s="0" t="s">
        <v>206</v>
      </c>
      <c r="CS105" s="0" t="s">
        <v>163</v>
      </c>
      <c r="CT105" s="0" t="n">
        <v>36</v>
      </c>
      <c r="CU105" s="0" t="n">
        <v>7</v>
      </c>
      <c r="CV105" s="0" t="n">
        <v>8</v>
      </c>
      <c r="CW105" s="0" t="n">
        <v>6</v>
      </c>
      <c r="CX105" s="0" t="n">
        <v>15</v>
      </c>
      <c r="CY105" s="0" t="n">
        <f aca="false">IF(AH105="exact",10,IF(AH105="adjacent",5,0))</f>
        <v>0</v>
      </c>
      <c r="CZ105" s="0" t="n">
        <f aca="false">IF(R105="Y",15,0)</f>
        <v>0</v>
      </c>
      <c r="DF105" s="0" t="s">
        <v>158</v>
      </c>
      <c r="DG105" s="0" t="s">
        <v>2228</v>
      </c>
      <c r="DK105" s="0" t="s">
        <v>2300</v>
      </c>
      <c r="DS105" s="0" t="s">
        <v>158</v>
      </c>
      <c r="DX105" s="0" t="s">
        <v>162</v>
      </c>
      <c r="DZ105" s="0" t="s">
        <v>2301</v>
      </c>
      <c r="ER105" s="0" t="str">
        <f aca="false">IF(ISNUMBER(MATCH(U105,{"queued","contacted","replied","call_booked","call_done","yes_in_principle","materials_sent"},0)),"Y","N")</f>
        <v>N</v>
      </c>
      <c r="ES105" s="0" t="str">
        <f aca="false">IF(COUNTIFS($AP$2:$AP$1000,AP105,$ER$2:$ER$1000,"Y")+COUNTIFS($AP$2:$AP$1000,AP105,$T$2:$T$1000,"Y")&gt;0,"Y","N")</f>
        <v>N</v>
      </c>
      <c r="ET105" s="0" t="str">
        <f aca="false">IF(AND(U105="new",T105="N",AT105="Y",AS105="",ES105="N"),"Y","N")</f>
        <v>N</v>
      </c>
      <c r="EU105" s="0" t="str">
        <f aca="false">IF(ET105&lt;&gt;"Y","N",IF(COUNTIFS($AP$2:$AP$1000,AP105,$ET$2:$ET$1000,"Y",$J$2:$J$1000,"&gt;"&amp;J105)+COUNTIFS($AP$2:$AP$1000,AP105,$ET$2:$ET$1000,"Y",$J$2:$J$1000,J105,$EW$2:$EW$1000,"&lt;"&amp;EW105)=0,"Y","N"))</f>
        <v>N</v>
      </c>
      <c r="EV105" s="0" t="str">
        <f aca="false">IF(Y105="","N",IF(Y105&lt;=10,"Y","N"))</f>
        <v>N</v>
      </c>
      <c r="EW105" s="0" t="n">
        <f aca="false">ROW()-1</f>
        <v>104</v>
      </c>
    </row>
    <row r="106" customFormat="false" ht="15" hidden="false" customHeight="false" outlineLevel="0" collapsed="false">
      <c r="A106" s="0" t="s">
        <v>2302</v>
      </c>
      <c r="B106" s="0" t="s">
        <v>2303</v>
      </c>
      <c r="H106" s="5" t="s">
        <v>158</v>
      </c>
      <c r="I106" s="5" t="s">
        <v>159</v>
      </c>
      <c r="J106" s="0" t="n">
        <f aca="false">IF(AX106="pass",ROUND(CU106+CV106+CW106+CX106+CY106+CZ106,1),0)</f>
        <v>36</v>
      </c>
      <c r="K106" s="0" t="s">
        <v>2224</v>
      </c>
      <c r="L106" s="0" t="s">
        <v>163</v>
      </c>
      <c r="R106" s="5" t="s">
        <v>162</v>
      </c>
      <c r="S106" s="0" t="s">
        <v>163</v>
      </c>
      <c r="T106" s="5" t="s">
        <v>162</v>
      </c>
      <c r="U106" s="5" t="s">
        <v>561</v>
      </c>
      <c r="V106" s="0" t="s">
        <v>2276</v>
      </c>
      <c r="W106" s="0" t="s">
        <v>166</v>
      </c>
      <c r="X106" s="0" t="s">
        <v>167</v>
      </c>
      <c r="Y106" s="0" t="str">
        <f aca="false">IF(EU106&lt;&gt;"Y","",COUNTIFS($EU$2:$EU$1000,"Y",$J$2:$J$1000,"&gt;"&amp;J106)+COUNTIFS($EU$2:$EU$1000,"Y",$J$2:$J$1000,J106,$EW$2:$EW$1000,"&lt;"&amp;EW106)+1)</f>
        <v/>
      </c>
      <c r="Z106" s="0" t="n">
        <v>105</v>
      </c>
      <c r="AA106" s="0" t="s">
        <v>162</v>
      </c>
      <c r="AD106" s="0" t="s">
        <v>158</v>
      </c>
      <c r="AH106" s="5" t="s">
        <v>158</v>
      </c>
      <c r="AI106" s="0" t="s">
        <v>2304</v>
      </c>
      <c r="AJ106" s="0" t="s">
        <v>163</v>
      </c>
      <c r="AK106" s="0" t="s">
        <v>2227</v>
      </c>
      <c r="AL106" s="0" t="s">
        <v>163</v>
      </c>
      <c r="AM106" s="0" t="s">
        <v>163</v>
      </c>
      <c r="AN106" s="0" t="s">
        <v>158</v>
      </c>
      <c r="AO106" s="0" t="s">
        <v>163</v>
      </c>
      <c r="AP106" s="0" t="s">
        <v>2279</v>
      </c>
      <c r="AQ106" s="5" t="s">
        <v>162</v>
      </c>
      <c r="AT106" s="0" t="str">
        <f aca="false">IF(AND(AX106="pass",AQ106&lt;&gt;"Y",C106&lt;&gt;"",OR(AW106&lt;&gt;"Y",AV106="Y")),"Y","N")</f>
        <v>N</v>
      </c>
      <c r="AU106" s="0" t="str">
        <f aca="false">_xlfn.TEXTJOIN("; ",TRUE(),IF(AX106&lt;&gt;"pass","gated out",""),IF(AQ106="Y","on hold: "&amp;AR106,""),IF(C106="","no contact named on an opened page",""),IF(AND(AW106="Y",AV106&lt;&gt;"Y"),"Tuesday estimate band "&amp;L106&amp;": founder's call",""))</f>
        <v>no contact named on an opened page</v>
      </c>
      <c r="AW106" s="0" t="s">
        <v>162</v>
      </c>
      <c r="AX106" s="0" t="s">
        <v>181</v>
      </c>
      <c r="AY106" s="0" t="s">
        <v>182</v>
      </c>
      <c r="AZ106" s="0" t="s">
        <v>2228</v>
      </c>
      <c r="BA106" s="0" t="s">
        <v>2305</v>
      </c>
      <c r="BB106" s="0" t="s">
        <v>2281</v>
      </c>
      <c r="BC106" s="0" t="s">
        <v>2231</v>
      </c>
      <c r="BD106" s="0" t="s">
        <v>163</v>
      </c>
      <c r="BF106" s="0" t="s">
        <v>163</v>
      </c>
      <c r="BG106" s="0" t="s">
        <v>163</v>
      </c>
      <c r="BK106" s="0" t="s">
        <v>163</v>
      </c>
      <c r="BL106" s="0" t="s">
        <v>2232</v>
      </c>
      <c r="BM106" s="0" t="s">
        <v>163</v>
      </c>
      <c r="BN106" s="0" t="s">
        <v>2282</v>
      </c>
      <c r="BP106" s="0" t="s">
        <v>711</v>
      </c>
      <c r="BQ106" s="0" t="n">
        <v>40.744955</v>
      </c>
      <c r="BR106" s="0" t="n">
        <v>-73.990911</v>
      </c>
      <c r="BS106" s="0" t="s">
        <v>168</v>
      </c>
      <c r="BT106" s="0" t="n">
        <v>0</v>
      </c>
      <c r="BV106" s="0" t="s">
        <v>163</v>
      </c>
      <c r="BW106" s="0" t="s">
        <v>2276</v>
      </c>
      <c r="BX106" s="0" t="s">
        <v>166</v>
      </c>
      <c r="BY106" s="0" t="s">
        <v>2236</v>
      </c>
      <c r="BZ106" s="0" t="s">
        <v>2283</v>
      </c>
      <c r="CC106" s="0" t="s">
        <v>200</v>
      </c>
      <c r="CE106" s="0" t="s">
        <v>162</v>
      </c>
      <c r="CF106" s="0" t="s">
        <v>2305</v>
      </c>
      <c r="CG106" s="0" t="s">
        <v>2238</v>
      </c>
      <c r="CH106" s="0" t="s">
        <v>163</v>
      </c>
      <c r="CJ106" s="0" t="s">
        <v>163</v>
      </c>
      <c r="CK106" s="0" t="s">
        <v>162</v>
      </c>
      <c r="CL106" s="0" t="s">
        <v>163</v>
      </c>
      <c r="CO106" s="0" t="s">
        <v>163</v>
      </c>
      <c r="CQ106" s="0" t="s">
        <v>2239</v>
      </c>
      <c r="CR106" s="0" t="s">
        <v>206</v>
      </c>
      <c r="CS106" s="0" t="s">
        <v>163</v>
      </c>
      <c r="CT106" s="0" t="n">
        <v>36</v>
      </c>
      <c r="CU106" s="0" t="n">
        <v>7</v>
      </c>
      <c r="CV106" s="0" t="n">
        <v>8</v>
      </c>
      <c r="CW106" s="0" t="n">
        <v>6</v>
      </c>
      <c r="CX106" s="0" t="n">
        <v>15</v>
      </c>
      <c r="CY106" s="0" t="n">
        <f aca="false">IF(AH106="exact",10,IF(AH106="adjacent",5,0))</f>
        <v>0</v>
      </c>
      <c r="CZ106" s="0" t="n">
        <f aca="false">IF(R106="Y",15,0)</f>
        <v>0</v>
      </c>
      <c r="DF106" s="0" t="s">
        <v>158</v>
      </c>
      <c r="DG106" s="0" t="s">
        <v>2228</v>
      </c>
      <c r="DK106" s="0" t="s">
        <v>2306</v>
      </c>
      <c r="DS106" s="0" t="s">
        <v>158</v>
      </c>
      <c r="DX106" s="0" t="s">
        <v>162</v>
      </c>
      <c r="DZ106" s="0" t="s">
        <v>2307</v>
      </c>
      <c r="ER106" s="0" t="str">
        <f aca="false">IF(ISNUMBER(MATCH(U106,{"queued","contacted","replied","call_booked","call_done","yes_in_principle","materials_sent"},0)),"Y","N")</f>
        <v>N</v>
      </c>
      <c r="ES106" s="0" t="str">
        <f aca="false">IF(COUNTIFS($AP$2:$AP$1000,AP106,$ER$2:$ER$1000,"Y")+COUNTIFS($AP$2:$AP$1000,AP106,$T$2:$T$1000,"Y")&gt;0,"Y","N")</f>
        <v>N</v>
      </c>
      <c r="ET106" s="0" t="str">
        <f aca="false">IF(AND(U106="new",T106="N",AT106="Y",AS106="",ES106="N"),"Y","N")</f>
        <v>N</v>
      </c>
      <c r="EU106" s="0" t="str">
        <f aca="false">IF(ET106&lt;&gt;"Y","N",IF(COUNTIFS($AP$2:$AP$1000,AP106,$ET$2:$ET$1000,"Y",$J$2:$J$1000,"&gt;"&amp;J106)+COUNTIFS($AP$2:$AP$1000,AP106,$ET$2:$ET$1000,"Y",$J$2:$J$1000,J106,$EW$2:$EW$1000,"&lt;"&amp;EW106)=0,"Y","N"))</f>
        <v>N</v>
      </c>
      <c r="EV106" s="0" t="str">
        <f aca="false">IF(Y106="","N",IF(Y106&lt;=10,"Y","N"))</f>
        <v>N</v>
      </c>
      <c r="EW106" s="0" t="n">
        <f aca="false">ROW()-1</f>
        <v>105</v>
      </c>
    </row>
    <row r="107" customFormat="false" ht="15" hidden="false" customHeight="false" outlineLevel="0" collapsed="false">
      <c r="A107" s="0" t="s">
        <v>2308</v>
      </c>
      <c r="B107" s="0" t="s">
        <v>2309</v>
      </c>
      <c r="H107" s="5" t="s">
        <v>158</v>
      </c>
      <c r="I107" s="5" t="s">
        <v>159</v>
      </c>
      <c r="J107" s="0" t="n">
        <f aca="false">IF(AX107="pass",ROUND(CU107+CV107+CW107+CX107+CY107+CZ107,1),0)</f>
        <v>36</v>
      </c>
      <c r="K107" s="0" t="s">
        <v>2224</v>
      </c>
      <c r="L107" s="0" t="s">
        <v>163</v>
      </c>
      <c r="R107" s="5" t="s">
        <v>162</v>
      </c>
      <c r="S107" s="0" t="s">
        <v>163</v>
      </c>
      <c r="T107" s="5" t="s">
        <v>162</v>
      </c>
      <c r="U107" s="5" t="s">
        <v>561</v>
      </c>
      <c r="V107" s="0" t="s">
        <v>2276</v>
      </c>
      <c r="W107" s="0" t="s">
        <v>166</v>
      </c>
      <c r="X107" s="0" t="s">
        <v>167</v>
      </c>
      <c r="Y107" s="0" t="str">
        <f aca="false">IF(EU107&lt;&gt;"Y","",COUNTIFS($EU$2:$EU$1000,"Y",$J$2:$J$1000,"&gt;"&amp;J107)+COUNTIFS($EU$2:$EU$1000,"Y",$J$2:$J$1000,J107,$EW$2:$EW$1000,"&lt;"&amp;EW107)+1)</f>
        <v/>
      </c>
      <c r="Z107" s="0" t="n">
        <v>106</v>
      </c>
      <c r="AA107" s="0" t="s">
        <v>162</v>
      </c>
      <c r="AD107" s="0" t="s">
        <v>158</v>
      </c>
      <c r="AH107" s="5" t="s">
        <v>158</v>
      </c>
      <c r="AI107" s="0" t="s">
        <v>2310</v>
      </c>
      <c r="AJ107" s="0" t="s">
        <v>2311</v>
      </c>
      <c r="AK107" s="0" t="s">
        <v>2227</v>
      </c>
      <c r="AL107" s="0" t="s">
        <v>163</v>
      </c>
      <c r="AM107" s="0" t="s">
        <v>163</v>
      </c>
      <c r="AN107" s="0" t="s">
        <v>158</v>
      </c>
      <c r="AO107" s="0" t="s">
        <v>163</v>
      </c>
      <c r="AP107" s="0" t="s">
        <v>2279</v>
      </c>
      <c r="AQ107" s="5" t="s">
        <v>162</v>
      </c>
      <c r="AT107" s="0" t="str">
        <f aca="false">IF(AND(AX107="pass",AQ107&lt;&gt;"Y",C107&lt;&gt;"",OR(AW107&lt;&gt;"Y",AV107="Y")),"Y","N")</f>
        <v>N</v>
      </c>
      <c r="AU107" s="0" t="str">
        <f aca="false">_xlfn.TEXTJOIN("; ",TRUE(),IF(AX107&lt;&gt;"pass","gated out",""),IF(AQ107="Y","on hold: "&amp;AR107,""),IF(C107="","no contact named on an opened page",""),IF(AND(AW107="Y",AV107&lt;&gt;"Y"),"Tuesday estimate band "&amp;L107&amp;": founder's call",""))</f>
        <v>no contact named on an opened page</v>
      </c>
      <c r="AW107" s="0" t="s">
        <v>162</v>
      </c>
      <c r="AX107" s="0" t="s">
        <v>181</v>
      </c>
      <c r="AY107" s="0" t="s">
        <v>182</v>
      </c>
      <c r="AZ107" s="0" t="s">
        <v>2228</v>
      </c>
      <c r="BA107" s="0" t="s">
        <v>2312</v>
      </c>
      <c r="BB107" s="0" t="s">
        <v>2281</v>
      </c>
      <c r="BC107" s="0" t="s">
        <v>2231</v>
      </c>
      <c r="BD107" s="0" t="s">
        <v>163</v>
      </c>
      <c r="BF107" s="0" t="s">
        <v>163</v>
      </c>
      <c r="BG107" s="0" t="s">
        <v>163</v>
      </c>
      <c r="BK107" s="0" t="s">
        <v>163</v>
      </c>
      <c r="BL107" s="0" t="s">
        <v>2232</v>
      </c>
      <c r="BM107" s="0" t="s">
        <v>163</v>
      </c>
      <c r="BN107" s="0" t="s">
        <v>2282</v>
      </c>
      <c r="BP107" s="0" t="s">
        <v>193</v>
      </c>
      <c r="BQ107" s="0" t="n">
        <v>40.73686</v>
      </c>
      <c r="BR107" s="0" t="n">
        <v>-73.988546</v>
      </c>
      <c r="BS107" s="0" t="s">
        <v>168</v>
      </c>
      <c r="BT107" s="0" t="n">
        <v>0</v>
      </c>
      <c r="BU107" s="0" t="s">
        <v>194</v>
      </c>
      <c r="BV107" s="0" t="s">
        <v>195</v>
      </c>
      <c r="BW107" s="0" t="s">
        <v>2276</v>
      </c>
      <c r="BX107" s="0" t="s">
        <v>166</v>
      </c>
      <c r="BY107" s="0" t="s">
        <v>2236</v>
      </c>
      <c r="BZ107" s="0" t="s">
        <v>197</v>
      </c>
      <c r="CB107" s="0" t="s">
        <v>199</v>
      </c>
      <c r="CC107" s="0" t="s">
        <v>200</v>
      </c>
      <c r="CE107" s="0" t="s">
        <v>162</v>
      </c>
      <c r="CF107" s="0" t="s">
        <v>2312</v>
      </c>
      <c r="CG107" s="0" t="s">
        <v>2238</v>
      </c>
      <c r="CH107" s="0" t="s">
        <v>201</v>
      </c>
      <c r="CI107" s="0" t="s">
        <v>202</v>
      </c>
      <c r="CJ107" s="0" t="s">
        <v>163</v>
      </c>
      <c r="CK107" s="0" t="s">
        <v>162</v>
      </c>
      <c r="CL107" s="0" t="s">
        <v>163</v>
      </c>
      <c r="CO107" s="0" t="s">
        <v>163</v>
      </c>
      <c r="CQ107" s="0" t="s">
        <v>2239</v>
      </c>
      <c r="CR107" s="0" t="s">
        <v>206</v>
      </c>
      <c r="CS107" s="0" t="s">
        <v>163</v>
      </c>
      <c r="CT107" s="0" t="n">
        <v>36</v>
      </c>
      <c r="CU107" s="0" t="n">
        <v>7</v>
      </c>
      <c r="CV107" s="0" t="n">
        <v>8</v>
      </c>
      <c r="CW107" s="0" t="n">
        <v>6</v>
      </c>
      <c r="CX107" s="0" t="n">
        <v>15</v>
      </c>
      <c r="CY107" s="0" t="n">
        <f aca="false">IF(AH107="exact",10,IF(AH107="adjacent",5,0))</f>
        <v>0</v>
      </c>
      <c r="CZ107" s="0" t="n">
        <f aca="false">IF(R107="Y",15,0)</f>
        <v>0</v>
      </c>
      <c r="DF107" s="0" t="s">
        <v>158</v>
      </c>
      <c r="DG107" s="0" t="s">
        <v>2228</v>
      </c>
      <c r="DK107" s="0" t="s">
        <v>2313</v>
      </c>
      <c r="DS107" s="0" t="s">
        <v>158</v>
      </c>
      <c r="DX107" s="0" t="s">
        <v>162</v>
      </c>
      <c r="DZ107" s="0" t="s">
        <v>2314</v>
      </c>
      <c r="ER107" s="0" t="str">
        <f aca="false">IF(ISNUMBER(MATCH(U107,{"queued","contacted","replied","call_booked","call_done","yes_in_principle","materials_sent"},0)),"Y","N")</f>
        <v>N</v>
      </c>
      <c r="ES107" s="0" t="str">
        <f aca="false">IF(COUNTIFS($AP$2:$AP$1000,AP107,$ER$2:$ER$1000,"Y")+COUNTIFS($AP$2:$AP$1000,AP107,$T$2:$T$1000,"Y")&gt;0,"Y","N")</f>
        <v>N</v>
      </c>
      <c r="ET107" s="0" t="str">
        <f aca="false">IF(AND(U107="new",T107="N",AT107="Y",AS107="",ES107="N"),"Y","N")</f>
        <v>N</v>
      </c>
      <c r="EU107" s="0" t="str">
        <f aca="false">IF(ET107&lt;&gt;"Y","N",IF(COUNTIFS($AP$2:$AP$1000,AP107,$ET$2:$ET$1000,"Y",$J$2:$J$1000,"&gt;"&amp;J107)+COUNTIFS($AP$2:$AP$1000,AP107,$ET$2:$ET$1000,"Y",$J$2:$J$1000,J107,$EW$2:$EW$1000,"&lt;"&amp;EW107)=0,"Y","N"))</f>
        <v>N</v>
      </c>
      <c r="EV107" s="0" t="str">
        <f aca="false">IF(Y107="","N",IF(Y107&lt;=10,"Y","N"))</f>
        <v>N</v>
      </c>
      <c r="EW107" s="0" t="n">
        <f aca="false">ROW()-1</f>
        <v>106</v>
      </c>
    </row>
    <row r="108" customFormat="false" ht="15" hidden="false" customHeight="false" outlineLevel="0" collapsed="false">
      <c r="A108" s="0" t="s">
        <v>2315</v>
      </c>
      <c r="B108" s="0" t="s">
        <v>2316</v>
      </c>
      <c r="H108" s="5" t="s">
        <v>158</v>
      </c>
      <c r="I108" s="5" t="s">
        <v>159</v>
      </c>
      <c r="J108" s="0" t="n">
        <f aca="false">IF(AX108="pass",ROUND(CU108+CV108+CW108+CX108+CY108+CZ108,1),0)</f>
        <v>36</v>
      </c>
      <c r="K108" s="0" t="s">
        <v>2191</v>
      </c>
      <c r="L108" s="0" t="s">
        <v>163</v>
      </c>
      <c r="R108" s="5" t="s">
        <v>162</v>
      </c>
      <c r="S108" s="0" t="s">
        <v>163</v>
      </c>
      <c r="T108" s="5" t="s">
        <v>162</v>
      </c>
      <c r="U108" s="5" t="s">
        <v>561</v>
      </c>
      <c r="V108" s="0" t="s">
        <v>2317</v>
      </c>
      <c r="W108" s="0" t="s">
        <v>166</v>
      </c>
      <c r="X108" s="0" t="s">
        <v>167</v>
      </c>
      <c r="Y108" s="0" t="str">
        <f aca="false">IF(EU108&lt;&gt;"Y","",COUNTIFS($EU$2:$EU$1000,"Y",$J$2:$J$1000,"&gt;"&amp;J108)+COUNTIFS($EU$2:$EU$1000,"Y",$J$2:$J$1000,J108,$EW$2:$EW$1000,"&lt;"&amp;EW108)+1)</f>
        <v/>
      </c>
      <c r="Z108" s="0" t="n">
        <v>107</v>
      </c>
      <c r="AA108" s="0" t="s">
        <v>162</v>
      </c>
      <c r="AD108" s="0" t="s">
        <v>158</v>
      </c>
      <c r="AH108" s="5" t="s">
        <v>158</v>
      </c>
      <c r="AI108" s="0" t="s">
        <v>565</v>
      </c>
      <c r="AJ108" s="0" t="s">
        <v>233</v>
      </c>
      <c r="AK108" s="0" t="s">
        <v>178</v>
      </c>
      <c r="AL108" s="0" t="s">
        <v>163</v>
      </c>
      <c r="AM108" s="0" t="s">
        <v>163</v>
      </c>
      <c r="AN108" s="0" t="s">
        <v>158</v>
      </c>
      <c r="AO108" s="0" t="s">
        <v>163</v>
      </c>
      <c r="AP108" s="0" t="s">
        <v>2315</v>
      </c>
      <c r="AQ108" s="5" t="s">
        <v>162</v>
      </c>
      <c r="AT108" s="0" t="str">
        <f aca="false">IF(AND(AX108="pass",AQ108&lt;&gt;"Y",C108&lt;&gt;"",OR(AW108&lt;&gt;"Y",AV108="Y")),"Y","N")</f>
        <v>N</v>
      </c>
      <c r="AU108" s="0" t="str">
        <f aca="false">_xlfn.TEXTJOIN("; ",TRUE(),IF(AX108&lt;&gt;"pass","gated out",""),IF(AQ108="Y","on hold: "&amp;AR108,""),IF(C108="","no contact named on an opened page",""),IF(AND(AW108="Y",AV108&lt;&gt;"Y"),"Tuesday estimate band "&amp;L108&amp;": founder's call",""))</f>
        <v>no contact named on an opened page</v>
      </c>
      <c r="AW108" s="0" t="s">
        <v>162</v>
      </c>
      <c r="AX108" s="0" t="s">
        <v>181</v>
      </c>
      <c r="AY108" s="0" t="s">
        <v>182</v>
      </c>
      <c r="AZ108" s="0" t="s">
        <v>1</v>
      </c>
      <c r="BA108" s="0" t="s">
        <v>2318</v>
      </c>
      <c r="BB108" s="0" t="s">
        <v>2319</v>
      </c>
      <c r="BC108" s="0" t="s">
        <v>2320</v>
      </c>
      <c r="BD108" s="0" t="s">
        <v>163</v>
      </c>
      <c r="BF108" s="0" t="s">
        <v>163</v>
      </c>
      <c r="BG108" s="0" t="s">
        <v>163</v>
      </c>
      <c r="BH108" s="0" t="s">
        <v>2195</v>
      </c>
      <c r="BK108" s="0" t="s">
        <v>163</v>
      </c>
      <c r="BL108" s="0" t="s">
        <v>163</v>
      </c>
      <c r="BM108" s="0" t="s">
        <v>163</v>
      </c>
      <c r="BN108" s="0" t="s">
        <v>163</v>
      </c>
      <c r="BO108" s="0" t="s">
        <v>163</v>
      </c>
      <c r="BP108" s="0" t="s">
        <v>243</v>
      </c>
      <c r="BQ108" s="0" t="n">
        <v>40.744442</v>
      </c>
      <c r="BR108" s="0" t="n">
        <v>-73.983525</v>
      </c>
      <c r="BS108" s="0" t="s">
        <v>168</v>
      </c>
      <c r="BT108" s="0" t="n">
        <v>0</v>
      </c>
      <c r="BU108" s="0" t="s">
        <v>573</v>
      </c>
      <c r="BV108" s="0" t="s">
        <v>574</v>
      </c>
      <c r="BW108" s="0" t="s">
        <v>2317</v>
      </c>
      <c r="BX108" s="0" t="s">
        <v>2321</v>
      </c>
      <c r="BY108" s="0" t="s">
        <v>247</v>
      </c>
      <c r="BZ108" s="0" t="s">
        <v>2322</v>
      </c>
      <c r="CA108" s="0" t="s">
        <v>166</v>
      </c>
      <c r="CC108" s="0" t="s">
        <v>200</v>
      </c>
      <c r="CE108" s="0" t="s">
        <v>162</v>
      </c>
      <c r="CH108" s="0" t="s">
        <v>163</v>
      </c>
      <c r="CJ108" s="0" t="s">
        <v>163</v>
      </c>
      <c r="CK108" s="0" t="s">
        <v>162</v>
      </c>
      <c r="CL108" s="0" t="s">
        <v>163</v>
      </c>
      <c r="CO108" s="0" t="s">
        <v>163</v>
      </c>
      <c r="CQ108" s="0" t="s">
        <v>2196</v>
      </c>
      <c r="CR108" s="0" t="s">
        <v>206</v>
      </c>
      <c r="CS108" s="0" t="s">
        <v>163</v>
      </c>
      <c r="CT108" s="0" t="n">
        <v>36</v>
      </c>
      <c r="CU108" s="0" t="n">
        <v>7</v>
      </c>
      <c r="CV108" s="0" t="n">
        <v>8</v>
      </c>
      <c r="CW108" s="0" t="n">
        <v>6</v>
      </c>
      <c r="CX108" s="0" t="n">
        <v>15</v>
      </c>
      <c r="CY108" s="0" t="n">
        <f aca="false">IF(AH108="exact",10,IF(AH108="adjacent",5,0))</f>
        <v>0</v>
      </c>
      <c r="CZ108" s="0" t="n">
        <f aca="false">IF(R108="Y",15,0)</f>
        <v>0</v>
      </c>
      <c r="DF108" s="0" t="s">
        <v>158</v>
      </c>
      <c r="DG108" s="0" t="s">
        <v>211</v>
      </c>
      <c r="DJ108" s="0" t="s">
        <v>2323</v>
      </c>
      <c r="DK108" s="0" t="s">
        <v>2324</v>
      </c>
      <c r="DS108" s="0" t="s">
        <v>158</v>
      </c>
      <c r="DX108" s="0" t="s">
        <v>162</v>
      </c>
      <c r="ER108" s="0" t="str">
        <f aca="false">IF(ISNUMBER(MATCH(U108,{"queued","contacted","replied","call_booked","call_done","yes_in_principle","materials_sent"},0)),"Y","N")</f>
        <v>N</v>
      </c>
      <c r="ES108" s="0" t="str">
        <f aca="false">IF(COUNTIFS($AP$2:$AP$1000,AP108,$ER$2:$ER$1000,"Y")+COUNTIFS($AP$2:$AP$1000,AP108,$T$2:$T$1000,"Y")&gt;0,"Y","N")</f>
        <v>N</v>
      </c>
      <c r="ET108" s="0" t="str">
        <f aca="false">IF(AND(U108="new",T108="N",AT108="Y",AS108="",ES108="N"),"Y","N")</f>
        <v>N</v>
      </c>
      <c r="EU108" s="0" t="str">
        <f aca="false">IF(ET108&lt;&gt;"Y","N",IF(COUNTIFS($AP$2:$AP$1000,AP108,$ET$2:$ET$1000,"Y",$J$2:$J$1000,"&gt;"&amp;J108)+COUNTIFS($AP$2:$AP$1000,AP108,$ET$2:$ET$1000,"Y",$J$2:$J$1000,J108,$EW$2:$EW$1000,"&lt;"&amp;EW108)=0,"Y","N"))</f>
        <v>N</v>
      </c>
      <c r="EV108" s="0" t="str">
        <f aca="false">IF(Y108="","N",IF(Y108&lt;=10,"Y","N"))</f>
        <v>N</v>
      </c>
      <c r="EW108" s="0" t="n">
        <f aca="false">ROW()-1</f>
        <v>107</v>
      </c>
    </row>
    <row r="109" customFormat="false" ht="15" hidden="false" customHeight="false" outlineLevel="0" collapsed="false">
      <c r="A109" s="0" t="s">
        <v>2325</v>
      </c>
      <c r="B109" s="0" t="s">
        <v>2326</v>
      </c>
      <c r="H109" s="5" t="s">
        <v>158</v>
      </c>
      <c r="I109" s="5" t="s">
        <v>159</v>
      </c>
      <c r="J109" s="0" t="n">
        <f aca="false">IF(AX109="pass",ROUND(CU109+CV109+CW109+CX109+CY109+CZ109,1),0)</f>
        <v>36</v>
      </c>
      <c r="K109" s="0" t="s">
        <v>2191</v>
      </c>
      <c r="L109" s="0" t="s">
        <v>163</v>
      </c>
      <c r="R109" s="5" t="s">
        <v>162</v>
      </c>
      <c r="S109" s="0" t="s">
        <v>163</v>
      </c>
      <c r="T109" s="5" t="s">
        <v>162</v>
      </c>
      <c r="U109" s="5" t="s">
        <v>561</v>
      </c>
      <c r="V109" s="0" t="s">
        <v>2327</v>
      </c>
      <c r="W109" s="0" t="s">
        <v>166</v>
      </c>
      <c r="X109" s="0" t="s">
        <v>167</v>
      </c>
      <c r="Y109" s="0" t="str">
        <f aca="false">IF(EU109&lt;&gt;"Y","",COUNTIFS($EU$2:$EU$1000,"Y",$J$2:$J$1000,"&gt;"&amp;J109)+COUNTIFS($EU$2:$EU$1000,"Y",$J$2:$J$1000,J109,$EW$2:$EW$1000,"&lt;"&amp;EW109)+1)</f>
        <v/>
      </c>
      <c r="Z109" s="0" t="n">
        <v>108</v>
      </c>
      <c r="AA109" s="0" t="s">
        <v>162</v>
      </c>
      <c r="AD109" s="0" t="s">
        <v>158</v>
      </c>
      <c r="AH109" s="5" t="s">
        <v>158</v>
      </c>
      <c r="AI109" s="0" t="s">
        <v>1139</v>
      </c>
      <c r="AJ109" s="0" t="s">
        <v>233</v>
      </c>
      <c r="AK109" s="0" t="s">
        <v>178</v>
      </c>
      <c r="AL109" s="0" t="s">
        <v>163</v>
      </c>
      <c r="AM109" s="0" t="s">
        <v>163</v>
      </c>
      <c r="AN109" s="0" t="s">
        <v>158</v>
      </c>
      <c r="AO109" s="0" t="s">
        <v>163</v>
      </c>
      <c r="AP109" s="0" t="s">
        <v>2325</v>
      </c>
      <c r="AQ109" s="5" t="s">
        <v>162</v>
      </c>
      <c r="AT109" s="0" t="str">
        <f aca="false">IF(AND(AX109="pass",AQ109&lt;&gt;"Y",C109&lt;&gt;"",OR(AW109&lt;&gt;"Y",AV109="Y")),"Y","N")</f>
        <v>N</v>
      </c>
      <c r="AU109" s="0" t="str">
        <f aca="false">_xlfn.TEXTJOIN("; ",TRUE(),IF(AX109&lt;&gt;"pass","gated out",""),IF(AQ109="Y","on hold: "&amp;AR109,""),IF(C109="","no contact named on an opened page",""),IF(AND(AW109="Y",AV109&lt;&gt;"Y"),"Tuesday estimate band "&amp;L109&amp;": founder's call",""))</f>
        <v>no contact named on an opened page</v>
      </c>
      <c r="AW109" s="0" t="s">
        <v>162</v>
      </c>
      <c r="AX109" s="0" t="s">
        <v>181</v>
      </c>
      <c r="AY109" s="0" t="s">
        <v>182</v>
      </c>
      <c r="AZ109" s="0" t="s">
        <v>1</v>
      </c>
      <c r="BA109" s="0" t="s">
        <v>2328</v>
      </c>
      <c r="BB109" s="0" t="s">
        <v>2329</v>
      </c>
      <c r="BC109" s="0" t="s">
        <v>2330</v>
      </c>
      <c r="BD109" s="0" t="s">
        <v>163</v>
      </c>
      <c r="BF109" s="0" t="s">
        <v>163</v>
      </c>
      <c r="BG109" s="0" t="s">
        <v>163</v>
      </c>
      <c r="BH109" s="0" t="s">
        <v>2195</v>
      </c>
      <c r="BK109" s="0" t="s">
        <v>163</v>
      </c>
      <c r="BL109" s="0" t="s">
        <v>163</v>
      </c>
      <c r="BM109" s="0" t="s">
        <v>163</v>
      </c>
      <c r="BN109" s="0" t="s">
        <v>163</v>
      </c>
      <c r="BO109" s="0" t="s">
        <v>163</v>
      </c>
      <c r="BP109" s="0" t="s">
        <v>193</v>
      </c>
      <c r="BQ109" s="0" t="n">
        <v>40.738063</v>
      </c>
      <c r="BR109" s="0" t="n">
        <v>-73.991898</v>
      </c>
      <c r="BS109" s="0" t="s">
        <v>168</v>
      </c>
      <c r="BT109" s="0" t="n">
        <v>0</v>
      </c>
      <c r="BU109" s="0" t="s">
        <v>1148</v>
      </c>
      <c r="BV109" s="0" t="s">
        <v>1139</v>
      </c>
      <c r="BW109" s="0" t="s">
        <v>2327</v>
      </c>
      <c r="BX109" s="0" t="s">
        <v>166</v>
      </c>
      <c r="BY109" s="0" t="s">
        <v>196</v>
      </c>
      <c r="BZ109" s="0" t="s">
        <v>1136</v>
      </c>
      <c r="CA109" s="0" t="s">
        <v>1149</v>
      </c>
      <c r="CC109" s="0" t="s">
        <v>200</v>
      </c>
      <c r="CE109" s="0" t="s">
        <v>162</v>
      </c>
      <c r="CH109" s="0" t="s">
        <v>163</v>
      </c>
      <c r="CJ109" s="0" t="s">
        <v>163</v>
      </c>
      <c r="CK109" s="0" t="s">
        <v>162</v>
      </c>
      <c r="CL109" s="0" t="s">
        <v>163</v>
      </c>
      <c r="CO109" s="0" t="s">
        <v>163</v>
      </c>
      <c r="CQ109" s="0" t="s">
        <v>2196</v>
      </c>
      <c r="CR109" s="0" t="s">
        <v>206</v>
      </c>
      <c r="CS109" s="0" t="s">
        <v>163</v>
      </c>
      <c r="CT109" s="0" t="n">
        <v>36</v>
      </c>
      <c r="CU109" s="0" t="n">
        <v>7</v>
      </c>
      <c r="CV109" s="0" t="n">
        <v>8</v>
      </c>
      <c r="CW109" s="0" t="n">
        <v>6</v>
      </c>
      <c r="CX109" s="0" t="n">
        <v>15</v>
      </c>
      <c r="CY109" s="0" t="n">
        <f aca="false">IF(AH109="exact",10,IF(AH109="adjacent",5,0))</f>
        <v>0</v>
      </c>
      <c r="CZ109" s="0" t="n">
        <f aca="false">IF(R109="Y",15,0)</f>
        <v>0</v>
      </c>
      <c r="DF109" s="0" t="s">
        <v>158</v>
      </c>
      <c r="DG109" s="0" t="s">
        <v>211</v>
      </c>
      <c r="DK109" s="0" t="s">
        <v>2331</v>
      </c>
      <c r="DS109" s="0" t="s">
        <v>158</v>
      </c>
      <c r="DX109" s="0" t="s">
        <v>162</v>
      </c>
      <c r="ER109" s="0" t="str">
        <f aca="false">IF(ISNUMBER(MATCH(U109,{"queued","contacted","replied","call_booked","call_done","yes_in_principle","materials_sent"},0)),"Y","N")</f>
        <v>N</v>
      </c>
      <c r="ES109" s="0" t="str">
        <f aca="false">IF(COUNTIFS($AP$2:$AP$1000,AP109,$ER$2:$ER$1000,"Y")+COUNTIFS($AP$2:$AP$1000,AP109,$T$2:$T$1000,"Y")&gt;0,"Y","N")</f>
        <v>N</v>
      </c>
      <c r="ET109" s="0" t="str">
        <f aca="false">IF(AND(U109="new",T109="N",AT109="Y",AS109="",ES109="N"),"Y","N")</f>
        <v>N</v>
      </c>
      <c r="EU109" s="0" t="str">
        <f aca="false">IF(ET109&lt;&gt;"Y","N",IF(COUNTIFS($AP$2:$AP$1000,AP109,$ET$2:$ET$1000,"Y",$J$2:$J$1000,"&gt;"&amp;J109)+COUNTIFS($AP$2:$AP$1000,AP109,$ET$2:$ET$1000,"Y",$J$2:$J$1000,J109,$EW$2:$EW$1000,"&lt;"&amp;EW109)=0,"Y","N"))</f>
        <v>N</v>
      </c>
      <c r="EV109" s="0" t="str">
        <f aca="false">IF(Y109="","N",IF(Y109&lt;=10,"Y","N"))</f>
        <v>N</v>
      </c>
      <c r="EW109" s="0" t="n">
        <f aca="false">ROW()-1</f>
        <v>108</v>
      </c>
    </row>
    <row r="110" customFormat="false" ht="15" hidden="false" customHeight="false" outlineLevel="0" collapsed="false">
      <c r="A110" s="0" t="s">
        <v>2332</v>
      </c>
      <c r="B110" s="0" t="s">
        <v>2333</v>
      </c>
      <c r="H110" s="5" t="s">
        <v>158</v>
      </c>
      <c r="I110" s="5" t="s">
        <v>159</v>
      </c>
      <c r="J110" s="0" t="n">
        <f aca="false">IF(AX110="pass",ROUND(CU110+CV110+CW110+CX110+CY110+CZ110,1),0)</f>
        <v>36</v>
      </c>
      <c r="K110" s="0" t="s">
        <v>2191</v>
      </c>
      <c r="L110" s="0" t="s">
        <v>163</v>
      </c>
      <c r="R110" s="5" t="s">
        <v>162</v>
      </c>
      <c r="S110" s="0" t="s">
        <v>163</v>
      </c>
      <c r="T110" s="5" t="s">
        <v>162</v>
      </c>
      <c r="U110" s="5" t="s">
        <v>561</v>
      </c>
      <c r="V110" s="0" t="s">
        <v>2334</v>
      </c>
      <c r="W110" s="0" t="s">
        <v>166</v>
      </c>
      <c r="X110" s="0" t="s">
        <v>167</v>
      </c>
      <c r="Y110" s="0" t="str">
        <f aca="false">IF(EU110&lt;&gt;"Y","",COUNTIFS($EU$2:$EU$1000,"Y",$J$2:$J$1000,"&gt;"&amp;J110)+COUNTIFS($EU$2:$EU$1000,"Y",$J$2:$J$1000,J110,$EW$2:$EW$1000,"&lt;"&amp;EW110)+1)</f>
        <v/>
      </c>
      <c r="Z110" s="0" t="n">
        <v>109</v>
      </c>
      <c r="AA110" s="0" t="s">
        <v>162</v>
      </c>
      <c r="AD110" s="0" t="s">
        <v>158</v>
      </c>
      <c r="AH110" s="5" t="s">
        <v>158</v>
      </c>
      <c r="AI110" s="0" t="s">
        <v>2335</v>
      </c>
      <c r="AJ110" s="0" t="s">
        <v>2336</v>
      </c>
      <c r="AK110" s="0" t="s">
        <v>178</v>
      </c>
      <c r="AL110" s="0" t="s">
        <v>163</v>
      </c>
      <c r="AM110" s="0" t="s">
        <v>163</v>
      </c>
      <c r="AN110" s="0" t="s">
        <v>158</v>
      </c>
      <c r="AO110" s="0" t="s">
        <v>163</v>
      </c>
      <c r="AP110" s="0" t="s">
        <v>2332</v>
      </c>
      <c r="AQ110" s="5" t="s">
        <v>162</v>
      </c>
      <c r="AT110" s="0" t="str">
        <f aca="false">IF(AND(AX110="pass",AQ110&lt;&gt;"Y",C110&lt;&gt;"",OR(AW110&lt;&gt;"Y",AV110="Y")),"Y","N")</f>
        <v>N</v>
      </c>
      <c r="AU110" s="0" t="str">
        <f aca="false">_xlfn.TEXTJOIN("; ",TRUE(),IF(AX110&lt;&gt;"pass","gated out",""),IF(AQ110="Y","on hold: "&amp;AR110,""),IF(C110="","no contact named on an opened page",""),IF(AND(AW110="Y",AV110&lt;&gt;"Y"),"Tuesday estimate band "&amp;L110&amp;": founder's call",""))</f>
        <v>no contact named on an opened page</v>
      </c>
      <c r="AW110" s="0" t="s">
        <v>162</v>
      </c>
      <c r="AX110" s="0" t="s">
        <v>181</v>
      </c>
      <c r="AY110" s="0" t="s">
        <v>182</v>
      </c>
      <c r="AZ110" s="0" t="s">
        <v>1</v>
      </c>
      <c r="BA110" s="0" t="s">
        <v>2337</v>
      </c>
      <c r="BB110" s="0" t="s">
        <v>2338</v>
      </c>
      <c r="BC110" s="0" t="s">
        <v>2339</v>
      </c>
      <c r="BD110" s="0" t="s">
        <v>163</v>
      </c>
      <c r="BF110" s="0" t="s">
        <v>163</v>
      </c>
      <c r="BG110" s="0" t="s">
        <v>163</v>
      </c>
      <c r="BH110" s="0" t="s">
        <v>2195</v>
      </c>
      <c r="BK110" s="0" t="s">
        <v>163</v>
      </c>
      <c r="BL110" s="0" t="s">
        <v>163</v>
      </c>
      <c r="BM110" s="0" t="s">
        <v>163</v>
      </c>
      <c r="BN110" s="0" t="s">
        <v>163</v>
      </c>
      <c r="BO110" s="0" t="s">
        <v>163</v>
      </c>
      <c r="BP110" s="0" t="s">
        <v>243</v>
      </c>
      <c r="BQ110" s="0" t="n">
        <v>40.7425</v>
      </c>
      <c r="BR110" s="0" t="n">
        <v>-73.984446</v>
      </c>
      <c r="BS110" s="0" t="s">
        <v>168</v>
      </c>
      <c r="BT110" s="0" t="n">
        <v>0</v>
      </c>
      <c r="BU110" s="0" t="s">
        <v>2340</v>
      </c>
      <c r="BV110" s="0" t="s">
        <v>2341</v>
      </c>
      <c r="BW110" s="0" t="s">
        <v>2334</v>
      </c>
      <c r="BX110" s="0" t="s">
        <v>166</v>
      </c>
      <c r="BY110" s="0" t="s">
        <v>196</v>
      </c>
      <c r="BZ110" s="0" t="s">
        <v>2342</v>
      </c>
      <c r="CA110" s="0" t="s">
        <v>2343</v>
      </c>
      <c r="CC110" s="0" t="s">
        <v>200</v>
      </c>
      <c r="CE110" s="0" t="s">
        <v>162</v>
      </c>
      <c r="CH110" s="0" t="s">
        <v>163</v>
      </c>
      <c r="CJ110" s="0" t="s">
        <v>163</v>
      </c>
      <c r="CK110" s="0" t="s">
        <v>162</v>
      </c>
      <c r="CL110" s="0" t="s">
        <v>163</v>
      </c>
      <c r="CO110" s="0" t="s">
        <v>163</v>
      </c>
      <c r="CQ110" s="0" t="s">
        <v>2196</v>
      </c>
      <c r="CR110" s="0" t="s">
        <v>206</v>
      </c>
      <c r="CS110" s="0" t="s">
        <v>163</v>
      </c>
      <c r="CT110" s="0" t="n">
        <v>36</v>
      </c>
      <c r="CU110" s="0" t="n">
        <v>7</v>
      </c>
      <c r="CV110" s="0" t="n">
        <v>8</v>
      </c>
      <c r="CW110" s="0" t="n">
        <v>6</v>
      </c>
      <c r="CX110" s="0" t="n">
        <v>15</v>
      </c>
      <c r="CY110" s="0" t="n">
        <f aca="false">IF(AH110="exact",10,IF(AH110="adjacent",5,0))</f>
        <v>0</v>
      </c>
      <c r="CZ110" s="0" t="n">
        <f aca="false">IF(R110="Y",15,0)</f>
        <v>0</v>
      </c>
      <c r="DF110" s="0" t="s">
        <v>158</v>
      </c>
      <c r="DG110" s="0" t="s">
        <v>211</v>
      </c>
      <c r="DJ110" s="0" t="s">
        <v>2344</v>
      </c>
      <c r="DK110" s="0" t="s">
        <v>2345</v>
      </c>
      <c r="DS110" s="0" t="s">
        <v>158</v>
      </c>
      <c r="DX110" s="0" t="s">
        <v>162</v>
      </c>
      <c r="ER110" s="0" t="str">
        <f aca="false">IF(ISNUMBER(MATCH(U110,{"queued","contacted","replied","call_booked","call_done","yes_in_principle","materials_sent"},0)),"Y","N")</f>
        <v>N</v>
      </c>
      <c r="ES110" s="0" t="str">
        <f aca="false">IF(COUNTIFS($AP$2:$AP$1000,AP110,$ER$2:$ER$1000,"Y")+COUNTIFS($AP$2:$AP$1000,AP110,$T$2:$T$1000,"Y")&gt;0,"Y","N")</f>
        <v>N</v>
      </c>
      <c r="ET110" s="0" t="str">
        <f aca="false">IF(AND(U110="new",T110="N",AT110="Y",AS110="",ES110="N"),"Y","N")</f>
        <v>N</v>
      </c>
      <c r="EU110" s="0" t="str">
        <f aca="false">IF(ET110&lt;&gt;"Y","N",IF(COUNTIFS($AP$2:$AP$1000,AP110,$ET$2:$ET$1000,"Y",$J$2:$J$1000,"&gt;"&amp;J110)+COUNTIFS($AP$2:$AP$1000,AP110,$ET$2:$ET$1000,"Y",$J$2:$J$1000,J110,$EW$2:$EW$1000,"&lt;"&amp;EW110)=0,"Y","N"))</f>
        <v>N</v>
      </c>
      <c r="EV110" s="0" t="str">
        <f aca="false">IF(Y110="","N",IF(Y110&lt;=10,"Y","N"))</f>
        <v>N</v>
      </c>
      <c r="EW110" s="0" t="n">
        <f aca="false">ROW()-1</f>
        <v>109</v>
      </c>
    </row>
    <row r="111" customFormat="false" ht="15" hidden="false" customHeight="false" outlineLevel="0" collapsed="false">
      <c r="A111" s="0" t="s">
        <v>2346</v>
      </c>
      <c r="B111" s="0" t="s">
        <v>2347</v>
      </c>
      <c r="H111" s="5" t="s">
        <v>158</v>
      </c>
      <c r="I111" s="5" t="s">
        <v>159</v>
      </c>
      <c r="J111" s="0" t="n">
        <f aca="false">IF(AX111="pass",ROUND(CU111+CV111+CW111+CX111+CY111+CZ111,1),0)</f>
        <v>36</v>
      </c>
      <c r="K111" s="0" t="s">
        <v>2191</v>
      </c>
      <c r="L111" s="0" t="s">
        <v>163</v>
      </c>
      <c r="R111" s="5" t="s">
        <v>162</v>
      </c>
      <c r="S111" s="0" t="s">
        <v>163</v>
      </c>
      <c r="T111" s="5" t="s">
        <v>162</v>
      </c>
      <c r="U111" s="5" t="s">
        <v>561</v>
      </c>
      <c r="V111" s="0" t="s">
        <v>2348</v>
      </c>
      <c r="W111" s="0" t="s">
        <v>166</v>
      </c>
      <c r="X111" s="0" t="s">
        <v>167</v>
      </c>
      <c r="Y111" s="0" t="str">
        <f aca="false">IF(EU111&lt;&gt;"Y","",COUNTIFS($EU$2:$EU$1000,"Y",$J$2:$J$1000,"&gt;"&amp;J111)+COUNTIFS($EU$2:$EU$1000,"Y",$J$2:$J$1000,J111,$EW$2:$EW$1000,"&lt;"&amp;EW111)+1)</f>
        <v/>
      </c>
      <c r="Z111" s="0" t="n">
        <v>110</v>
      </c>
      <c r="AA111" s="0" t="s">
        <v>162</v>
      </c>
      <c r="AD111" s="0" t="s">
        <v>158</v>
      </c>
      <c r="AH111" s="5" t="s">
        <v>158</v>
      </c>
      <c r="AI111" s="0" t="s">
        <v>727</v>
      </c>
      <c r="AJ111" s="0" t="s">
        <v>310</v>
      </c>
      <c r="AK111" s="0" t="s">
        <v>178</v>
      </c>
      <c r="AL111" s="0" t="s">
        <v>163</v>
      </c>
      <c r="AM111" s="0" t="s">
        <v>163</v>
      </c>
      <c r="AN111" s="0" t="s">
        <v>158</v>
      </c>
      <c r="AO111" s="0" t="s">
        <v>163</v>
      </c>
      <c r="AP111" s="0" t="s">
        <v>2346</v>
      </c>
      <c r="AQ111" s="5" t="s">
        <v>162</v>
      </c>
      <c r="AT111" s="0" t="str">
        <f aca="false">IF(AND(AX111="pass",AQ111&lt;&gt;"Y",C111&lt;&gt;"",OR(AW111&lt;&gt;"Y",AV111="Y")),"Y","N")</f>
        <v>N</v>
      </c>
      <c r="AU111" s="0" t="str">
        <f aca="false">_xlfn.TEXTJOIN("; ",TRUE(),IF(AX111&lt;&gt;"pass","gated out",""),IF(AQ111="Y","on hold: "&amp;AR111,""),IF(C111="","no contact named on an opened page",""),IF(AND(AW111="Y",AV111&lt;&gt;"Y"),"Tuesday estimate band "&amp;L111&amp;": founder's call",""))</f>
        <v>no contact named on an opened page</v>
      </c>
      <c r="AW111" s="0" t="s">
        <v>162</v>
      </c>
      <c r="AX111" s="0" t="s">
        <v>181</v>
      </c>
      <c r="AY111" s="0" t="s">
        <v>182</v>
      </c>
      <c r="AZ111" s="0" t="s">
        <v>1</v>
      </c>
      <c r="BA111" s="0" t="s">
        <v>2349</v>
      </c>
      <c r="BB111" s="0" t="s">
        <v>2350</v>
      </c>
      <c r="BC111" s="0" t="s">
        <v>2351</v>
      </c>
      <c r="BD111" s="0" t="s">
        <v>163</v>
      </c>
      <c r="BF111" s="0" t="s">
        <v>163</v>
      </c>
      <c r="BG111" s="0" t="s">
        <v>163</v>
      </c>
      <c r="BH111" s="0" t="s">
        <v>2195</v>
      </c>
      <c r="BK111" s="0" t="s">
        <v>163</v>
      </c>
      <c r="BL111" s="0" t="s">
        <v>163</v>
      </c>
      <c r="BM111" s="0" t="s">
        <v>163</v>
      </c>
      <c r="BN111" s="0" t="s">
        <v>163</v>
      </c>
      <c r="BO111" s="0" t="s">
        <v>163</v>
      </c>
      <c r="BP111" s="0" t="s">
        <v>193</v>
      </c>
      <c r="BQ111" s="0" t="n">
        <v>40.734626</v>
      </c>
      <c r="BR111" s="0" t="n">
        <v>-73.9911</v>
      </c>
      <c r="BS111" s="0" t="s">
        <v>168</v>
      </c>
      <c r="BT111" s="0" t="n">
        <v>0</v>
      </c>
      <c r="BU111" s="0" t="s">
        <v>735</v>
      </c>
      <c r="BV111" s="0" t="s">
        <v>736</v>
      </c>
      <c r="BW111" s="0" t="s">
        <v>2348</v>
      </c>
      <c r="BX111" s="0" t="s">
        <v>166</v>
      </c>
      <c r="BY111" s="0" t="s">
        <v>196</v>
      </c>
      <c r="BZ111" s="0" t="s">
        <v>726</v>
      </c>
      <c r="CA111" s="0" t="s">
        <v>737</v>
      </c>
      <c r="CC111" s="0" t="s">
        <v>200</v>
      </c>
      <c r="CE111" s="0" t="s">
        <v>162</v>
      </c>
      <c r="CH111" s="0" t="s">
        <v>201</v>
      </c>
      <c r="CI111" s="0" t="s">
        <v>739</v>
      </c>
      <c r="CJ111" s="0" t="s">
        <v>163</v>
      </c>
      <c r="CK111" s="0" t="s">
        <v>162</v>
      </c>
      <c r="CL111" s="0" t="s">
        <v>163</v>
      </c>
      <c r="CO111" s="0" t="s">
        <v>163</v>
      </c>
      <c r="CQ111" s="0" t="s">
        <v>2196</v>
      </c>
      <c r="CR111" s="0" t="s">
        <v>206</v>
      </c>
      <c r="CS111" s="0" t="s">
        <v>163</v>
      </c>
      <c r="CT111" s="0" t="n">
        <v>36</v>
      </c>
      <c r="CU111" s="0" t="n">
        <v>7</v>
      </c>
      <c r="CV111" s="0" t="n">
        <v>8</v>
      </c>
      <c r="CW111" s="0" t="n">
        <v>6</v>
      </c>
      <c r="CX111" s="0" t="n">
        <v>15</v>
      </c>
      <c r="CY111" s="0" t="n">
        <f aca="false">IF(AH111="exact",10,IF(AH111="adjacent",5,0))</f>
        <v>0</v>
      </c>
      <c r="CZ111" s="0" t="n">
        <f aca="false">IF(R111="Y",15,0)</f>
        <v>0</v>
      </c>
      <c r="DF111" s="0" t="s">
        <v>158</v>
      </c>
      <c r="DG111" s="0" t="s">
        <v>211</v>
      </c>
      <c r="DJ111" s="0" t="s">
        <v>2352</v>
      </c>
      <c r="DK111" s="0" t="s">
        <v>2353</v>
      </c>
      <c r="DS111" s="0" t="s">
        <v>158</v>
      </c>
      <c r="DX111" s="0" t="s">
        <v>162</v>
      </c>
      <c r="ER111" s="0" t="str">
        <f aca="false">IF(ISNUMBER(MATCH(U111,{"queued","contacted","replied","call_booked","call_done","yes_in_principle","materials_sent"},0)),"Y","N")</f>
        <v>N</v>
      </c>
      <c r="ES111" s="0" t="str">
        <f aca="false">IF(COUNTIFS($AP$2:$AP$1000,AP111,$ER$2:$ER$1000,"Y")+COUNTIFS($AP$2:$AP$1000,AP111,$T$2:$T$1000,"Y")&gt;0,"Y","N")</f>
        <v>N</v>
      </c>
      <c r="ET111" s="0" t="str">
        <f aca="false">IF(AND(U111="new",T111="N",AT111="Y",AS111="",ES111="N"),"Y","N")</f>
        <v>N</v>
      </c>
      <c r="EU111" s="0" t="str">
        <f aca="false">IF(ET111&lt;&gt;"Y","N",IF(COUNTIFS($AP$2:$AP$1000,AP111,$ET$2:$ET$1000,"Y",$J$2:$J$1000,"&gt;"&amp;J111)+COUNTIFS($AP$2:$AP$1000,AP111,$ET$2:$ET$1000,"Y",$J$2:$J$1000,J111,$EW$2:$EW$1000,"&lt;"&amp;EW111)=0,"Y","N"))</f>
        <v>N</v>
      </c>
      <c r="EV111" s="0" t="str">
        <f aca="false">IF(Y111="","N",IF(Y111&lt;=10,"Y","N"))</f>
        <v>N</v>
      </c>
      <c r="EW111" s="0" t="n">
        <f aca="false">ROW()-1</f>
        <v>110</v>
      </c>
    </row>
    <row r="112" customFormat="false" ht="15" hidden="false" customHeight="false" outlineLevel="0" collapsed="false">
      <c r="A112" s="0" t="s">
        <v>2354</v>
      </c>
      <c r="B112" s="0" t="s">
        <v>2355</v>
      </c>
      <c r="H112" s="5" t="s">
        <v>158</v>
      </c>
      <c r="I112" s="5" t="s">
        <v>159</v>
      </c>
      <c r="J112" s="0" t="n">
        <f aca="false">IF(AX112="pass",ROUND(CU112+CV112+CW112+CX112+CY112+CZ112,1),0)</f>
        <v>36</v>
      </c>
      <c r="K112" s="0" t="s">
        <v>2224</v>
      </c>
      <c r="L112" s="0" t="s">
        <v>163</v>
      </c>
      <c r="R112" s="5" t="s">
        <v>162</v>
      </c>
      <c r="S112" s="0" t="s">
        <v>163</v>
      </c>
      <c r="T112" s="5" t="s">
        <v>162</v>
      </c>
      <c r="U112" s="5" t="s">
        <v>561</v>
      </c>
      <c r="V112" s="0" t="s">
        <v>2356</v>
      </c>
      <c r="W112" s="0" t="s">
        <v>166</v>
      </c>
      <c r="X112" s="0" t="s">
        <v>167</v>
      </c>
      <c r="Y112" s="0" t="str">
        <f aca="false">IF(EU112&lt;&gt;"Y","",COUNTIFS($EU$2:$EU$1000,"Y",$J$2:$J$1000,"&gt;"&amp;J112)+COUNTIFS($EU$2:$EU$1000,"Y",$J$2:$J$1000,J112,$EW$2:$EW$1000,"&lt;"&amp;EW112)+1)</f>
        <v/>
      </c>
      <c r="Z112" s="0" t="n">
        <v>111</v>
      </c>
      <c r="AA112" s="0" t="s">
        <v>162</v>
      </c>
      <c r="AD112" s="0" t="s">
        <v>158</v>
      </c>
      <c r="AH112" s="5" t="s">
        <v>158</v>
      </c>
      <c r="AI112" s="0" t="s">
        <v>2357</v>
      </c>
      <c r="AJ112" s="0" t="s">
        <v>163</v>
      </c>
      <c r="AK112" s="0" t="s">
        <v>2227</v>
      </c>
      <c r="AL112" s="0" t="s">
        <v>163</v>
      </c>
      <c r="AM112" s="0" t="s">
        <v>163</v>
      </c>
      <c r="AN112" s="0" t="s">
        <v>158</v>
      </c>
      <c r="AO112" s="0" t="s">
        <v>163</v>
      </c>
      <c r="AP112" s="0" t="s">
        <v>2354</v>
      </c>
      <c r="AQ112" s="5" t="s">
        <v>162</v>
      </c>
      <c r="AT112" s="0" t="str">
        <f aca="false">IF(AND(AX112="pass",AQ112&lt;&gt;"Y",C112&lt;&gt;"",OR(AW112&lt;&gt;"Y",AV112="Y")),"Y","N")</f>
        <v>N</v>
      </c>
      <c r="AU112" s="0" t="str">
        <f aca="false">_xlfn.TEXTJOIN("; ",TRUE(),IF(AX112&lt;&gt;"pass","gated out",""),IF(AQ112="Y","on hold: "&amp;AR112,""),IF(C112="","no contact named on an opened page",""),IF(AND(AW112="Y",AV112&lt;&gt;"Y"),"Tuesday estimate band "&amp;L112&amp;": founder's call",""))</f>
        <v>no contact named on an opened page</v>
      </c>
      <c r="AW112" s="0" t="s">
        <v>162</v>
      </c>
      <c r="AX112" s="0" t="s">
        <v>181</v>
      </c>
      <c r="AY112" s="0" t="s">
        <v>182</v>
      </c>
      <c r="AZ112" s="0" t="s">
        <v>2228</v>
      </c>
      <c r="BA112" s="0" t="s">
        <v>2358</v>
      </c>
      <c r="BB112" s="0" t="s">
        <v>2359</v>
      </c>
      <c r="BC112" s="0" t="s">
        <v>2231</v>
      </c>
      <c r="BD112" s="0" t="s">
        <v>163</v>
      </c>
      <c r="BF112" s="0" t="s">
        <v>163</v>
      </c>
      <c r="BG112" s="0" t="s">
        <v>163</v>
      </c>
      <c r="BK112" s="0" t="s">
        <v>163</v>
      </c>
      <c r="BL112" s="0" t="s">
        <v>2232</v>
      </c>
      <c r="BM112" s="0" t="s">
        <v>163</v>
      </c>
      <c r="BN112" s="0" t="s">
        <v>2360</v>
      </c>
      <c r="BP112" s="0" t="s">
        <v>346</v>
      </c>
      <c r="BQ112" s="0" t="n">
        <v>40.741024</v>
      </c>
      <c r="BR112" s="0" t="n">
        <v>-73.984936</v>
      </c>
      <c r="BS112" s="0" t="s">
        <v>168</v>
      </c>
      <c r="BT112" s="0" t="n">
        <v>0</v>
      </c>
      <c r="BU112" s="0" t="s">
        <v>2361</v>
      </c>
      <c r="BV112" s="0" t="s">
        <v>2362</v>
      </c>
      <c r="BW112" s="0" t="s">
        <v>2356</v>
      </c>
      <c r="BX112" s="0" t="s">
        <v>2363</v>
      </c>
      <c r="BY112" s="0" t="s">
        <v>2236</v>
      </c>
      <c r="BZ112" s="0" t="s">
        <v>2364</v>
      </c>
      <c r="CC112" s="0" t="s">
        <v>200</v>
      </c>
      <c r="CE112" s="0" t="s">
        <v>162</v>
      </c>
      <c r="CF112" s="0" t="s">
        <v>2358</v>
      </c>
      <c r="CG112" s="0" t="s">
        <v>2238</v>
      </c>
      <c r="CH112" s="0" t="s">
        <v>163</v>
      </c>
      <c r="CJ112" s="0" t="s">
        <v>163</v>
      </c>
      <c r="CK112" s="0" t="s">
        <v>162</v>
      </c>
      <c r="CL112" s="0" t="s">
        <v>163</v>
      </c>
      <c r="CO112" s="0" t="s">
        <v>163</v>
      </c>
      <c r="CQ112" s="0" t="s">
        <v>2239</v>
      </c>
      <c r="CR112" s="0" t="s">
        <v>206</v>
      </c>
      <c r="CS112" s="0" t="s">
        <v>163</v>
      </c>
      <c r="CT112" s="0" t="n">
        <v>36</v>
      </c>
      <c r="CU112" s="0" t="n">
        <v>7</v>
      </c>
      <c r="CV112" s="0" t="n">
        <v>8</v>
      </c>
      <c r="CW112" s="0" t="n">
        <v>6</v>
      </c>
      <c r="CX112" s="0" t="n">
        <v>15</v>
      </c>
      <c r="CY112" s="0" t="n">
        <f aca="false">IF(AH112="exact",10,IF(AH112="adjacent",5,0))</f>
        <v>0</v>
      </c>
      <c r="CZ112" s="0" t="n">
        <f aca="false">IF(R112="Y",15,0)</f>
        <v>0</v>
      </c>
      <c r="DF112" s="0" t="s">
        <v>158</v>
      </c>
      <c r="DG112" s="0" t="s">
        <v>2228</v>
      </c>
      <c r="DK112" s="0" t="s">
        <v>2365</v>
      </c>
      <c r="DS112" s="0" t="s">
        <v>158</v>
      </c>
      <c r="DX112" s="0" t="s">
        <v>162</v>
      </c>
      <c r="ER112" s="0" t="str">
        <f aca="false">IF(ISNUMBER(MATCH(U112,{"queued","contacted","replied","call_booked","call_done","yes_in_principle","materials_sent"},0)),"Y","N")</f>
        <v>N</v>
      </c>
      <c r="ES112" s="0" t="str">
        <f aca="false">IF(COUNTIFS($AP$2:$AP$1000,AP112,$ER$2:$ER$1000,"Y")+COUNTIFS($AP$2:$AP$1000,AP112,$T$2:$T$1000,"Y")&gt;0,"Y","N")</f>
        <v>N</v>
      </c>
      <c r="ET112" s="0" t="str">
        <f aca="false">IF(AND(U112="new",T112="N",AT112="Y",AS112="",ES112="N"),"Y","N")</f>
        <v>N</v>
      </c>
      <c r="EU112" s="0" t="str">
        <f aca="false">IF(ET112&lt;&gt;"Y","N",IF(COUNTIFS($AP$2:$AP$1000,AP112,$ET$2:$ET$1000,"Y",$J$2:$J$1000,"&gt;"&amp;J112)+COUNTIFS($AP$2:$AP$1000,AP112,$ET$2:$ET$1000,"Y",$J$2:$J$1000,J112,$EW$2:$EW$1000,"&lt;"&amp;EW112)=0,"Y","N"))</f>
        <v>N</v>
      </c>
      <c r="EV112" s="0" t="str">
        <f aca="false">IF(Y112="","N",IF(Y112&lt;=10,"Y","N"))</f>
        <v>N</v>
      </c>
      <c r="EW112" s="0" t="n">
        <f aca="false">ROW()-1</f>
        <v>111</v>
      </c>
    </row>
    <row r="113" customFormat="false" ht="15" hidden="false" customHeight="false" outlineLevel="0" collapsed="false">
      <c r="A113" s="0" t="s">
        <v>2366</v>
      </c>
      <c r="B113" s="0" t="s">
        <v>2367</v>
      </c>
      <c r="H113" s="5" t="s">
        <v>158</v>
      </c>
      <c r="I113" s="5" t="s">
        <v>159</v>
      </c>
      <c r="J113" s="0" t="n">
        <f aca="false">IF(AX113="pass",ROUND(CU113+CV113+CW113+CX113+CY113+CZ113,1),0)</f>
        <v>36</v>
      </c>
      <c r="K113" s="0" t="s">
        <v>2191</v>
      </c>
      <c r="L113" s="0" t="s">
        <v>163</v>
      </c>
      <c r="R113" s="5" t="s">
        <v>162</v>
      </c>
      <c r="S113" s="0" t="s">
        <v>163</v>
      </c>
      <c r="T113" s="5" t="s">
        <v>162</v>
      </c>
      <c r="U113" s="5" t="s">
        <v>561</v>
      </c>
      <c r="V113" s="0" t="s">
        <v>2368</v>
      </c>
      <c r="W113" s="0" t="s">
        <v>166</v>
      </c>
      <c r="X113" s="0" t="s">
        <v>167</v>
      </c>
      <c r="Y113" s="0" t="str">
        <f aca="false">IF(EU113&lt;&gt;"Y","",COUNTIFS($EU$2:$EU$1000,"Y",$J$2:$J$1000,"&gt;"&amp;J113)+COUNTIFS($EU$2:$EU$1000,"Y",$J$2:$J$1000,J113,$EW$2:$EW$1000,"&lt;"&amp;EW113)+1)</f>
        <v/>
      </c>
      <c r="Z113" s="0" t="n">
        <v>112</v>
      </c>
      <c r="AA113" s="0" t="s">
        <v>162</v>
      </c>
      <c r="AD113" s="0" t="s">
        <v>158</v>
      </c>
      <c r="AH113" s="5" t="s">
        <v>158</v>
      </c>
      <c r="AI113" s="0" t="s">
        <v>2369</v>
      </c>
      <c r="AJ113" s="0" t="s">
        <v>2370</v>
      </c>
      <c r="AK113" s="0" t="s">
        <v>178</v>
      </c>
      <c r="AL113" s="0" t="s">
        <v>163</v>
      </c>
      <c r="AM113" s="0" t="s">
        <v>163</v>
      </c>
      <c r="AN113" s="0" t="s">
        <v>158</v>
      </c>
      <c r="AO113" s="0" t="s">
        <v>163</v>
      </c>
      <c r="AP113" s="0" t="s">
        <v>2366</v>
      </c>
      <c r="AQ113" s="5" t="s">
        <v>162</v>
      </c>
      <c r="AT113" s="0" t="str">
        <f aca="false">IF(AND(AX113="pass",AQ113&lt;&gt;"Y",C113&lt;&gt;"",OR(AW113&lt;&gt;"Y",AV113="Y")),"Y","N")</f>
        <v>N</v>
      </c>
      <c r="AU113" s="0" t="str">
        <f aca="false">_xlfn.TEXTJOIN("; ",TRUE(),IF(AX113&lt;&gt;"pass","gated out",""),IF(AQ113="Y","on hold: "&amp;AR113,""),IF(C113="","no contact named on an opened page",""),IF(AND(AW113="Y",AV113&lt;&gt;"Y"),"Tuesday estimate band "&amp;L113&amp;": founder's call",""))</f>
        <v>no contact named on an opened page</v>
      </c>
      <c r="AW113" s="0" t="s">
        <v>162</v>
      </c>
      <c r="AX113" s="0" t="s">
        <v>181</v>
      </c>
      <c r="AY113" s="0" t="s">
        <v>182</v>
      </c>
      <c r="AZ113" s="0" t="s">
        <v>1</v>
      </c>
      <c r="BA113" s="0" t="s">
        <v>2371</v>
      </c>
      <c r="BB113" s="0" t="s">
        <v>2372</v>
      </c>
      <c r="BC113" s="0" t="s">
        <v>2373</v>
      </c>
      <c r="BD113" s="0" t="s">
        <v>163</v>
      </c>
      <c r="BF113" s="0" t="s">
        <v>163</v>
      </c>
      <c r="BG113" s="0" t="s">
        <v>163</v>
      </c>
      <c r="BH113" s="0" t="s">
        <v>2195</v>
      </c>
      <c r="BK113" s="0" t="s">
        <v>163</v>
      </c>
      <c r="BL113" s="0" t="s">
        <v>163</v>
      </c>
      <c r="BM113" s="0" t="s">
        <v>163</v>
      </c>
      <c r="BN113" s="0" t="s">
        <v>163</v>
      </c>
      <c r="BO113" s="0" t="s">
        <v>163</v>
      </c>
      <c r="BP113" s="0" t="s">
        <v>346</v>
      </c>
      <c r="BQ113" s="0" t="n">
        <v>40.744387</v>
      </c>
      <c r="BR113" s="0" t="n">
        <v>-73.989871</v>
      </c>
      <c r="BS113" s="0" t="s">
        <v>168</v>
      </c>
      <c r="BT113" s="0" t="n">
        <v>0</v>
      </c>
      <c r="BU113" s="0" t="s">
        <v>2374</v>
      </c>
      <c r="BV113" s="0" t="s">
        <v>2369</v>
      </c>
      <c r="BW113" s="0" t="s">
        <v>2368</v>
      </c>
      <c r="BX113" s="0" t="s">
        <v>166</v>
      </c>
      <c r="BY113" s="0" t="s">
        <v>196</v>
      </c>
      <c r="BZ113" s="0" t="s">
        <v>2375</v>
      </c>
      <c r="CA113" s="0" t="s">
        <v>2376</v>
      </c>
      <c r="CC113" s="0" t="s">
        <v>200</v>
      </c>
      <c r="CE113" s="0" t="s">
        <v>162</v>
      </c>
      <c r="CH113" s="0" t="s">
        <v>163</v>
      </c>
      <c r="CJ113" s="0" t="s">
        <v>163</v>
      </c>
      <c r="CK113" s="0" t="s">
        <v>162</v>
      </c>
      <c r="CL113" s="0" t="s">
        <v>163</v>
      </c>
      <c r="CO113" s="0" t="s">
        <v>163</v>
      </c>
      <c r="CQ113" s="0" t="s">
        <v>2196</v>
      </c>
      <c r="CR113" s="0" t="s">
        <v>206</v>
      </c>
      <c r="CS113" s="0" t="s">
        <v>163</v>
      </c>
      <c r="CT113" s="0" t="n">
        <v>36</v>
      </c>
      <c r="CU113" s="0" t="n">
        <v>7</v>
      </c>
      <c r="CV113" s="0" t="n">
        <v>8</v>
      </c>
      <c r="CW113" s="0" t="n">
        <v>6</v>
      </c>
      <c r="CX113" s="0" t="n">
        <v>15</v>
      </c>
      <c r="CY113" s="0" t="n">
        <f aca="false">IF(AH113="exact",10,IF(AH113="adjacent",5,0))</f>
        <v>0</v>
      </c>
      <c r="CZ113" s="0" t="n">
        <f aca="false">IF(R113="Y",15,0)</f>
        <v>0</v>
      </c>
      <c r="DF113" s="0" t="s">
        <v>158</v>
      </c>
      <c r="DG113" s="0" t="s">
        <v>211</v>
      </c>
      <c r="DJ113" s="0" t="s">
        <v>2377</v>
      </c>
      <c r="DK113" s="0" t="s">
        <v>2378</v>
      </c>
      <c r="DS113" s="0" t="s">
        <v>158</v>
      </c>
      <c r="DX113" s="0" t="s">
        <v>162</v>
      </c>
      <c r="ER113" s="0" t="str">
        <f aca="false">IF(ISNUMBER(MATCH(U113,{"queued","contacted","replied","call_booked","call_done","yes_in_principle","materials_sent"},0)),"Y","N")</f>
        <v>N</v>
      </c>
      <c r="ES113" s="0" t="str">
        <f aca="false">IF(COUNTIFS($AP$2:$AP$1000,AP113,$ER$2:$ER$1000,"Y")+COUNTIFS($AP$2:$AP$1000,AP113,$T$2:$T$1000,"Y")&gt;0,"Y","N")</f>
        <v>N</v>
      </c>
      <c r="ET113" s="0" t="str">
        <f aca="false">IF(AND(U113="new",T113="N",AT113="Y",AS113="",ES113="N"),"Y","N")</f>
        <v>N</v>
      </c>
      <c r="EU113" s="0" t="str">
        <f aca="false">IF(ET113&lt;&gt;"Y","N",IF(COUNTIFS($AP$2:$AP$1000,AP113,$ET$2:$ET$1000,"Y",$J$2:$J$1000,"&gt;"&amp;J113)+COUNTIFS($AP$2:$AP$1000,AP113,$ET$2:$ET$1000,"Y",$J$2:$J$1000,J113,$EW$2:$EW$1000,"&lt;"&amp;EW113)=0,"Y","N"))</f>
        <v>N</v>
      </c>
      <c r="EV113" s="0" t="str">
        <f aca="false">IF(Y113="","N",IF(Y113&lt;=10,"Y","N"))</f>
        <v>N</v>
      </c>
      <c r="EW113" s="0" t="n">
        <f aca="false">ROW()-1</f>
        <v>112</v>
      </c>
    </row>
    <row r="114" customFormat="false" ht="15" hidden="false" customHeight="false" outlineLevel="0" collapsed="false">
      <c r="A114" s="0" t="s">
        <v>2379</v>
      </c>
      <c r="B114" s="0" t="s">
        <v>2380</v>
      </c>
      <c r="H114" s="5" t="s">
        <v>158</v>
      </c>
      <c r="I114" s="5" t="s">
        <v>159</v>
      </c>
      <c r="J114" s="0" t="n">
        <f aca="false">IF(AX114="pass",ROUND(CU114+CV114+CW114+CX114+CY114+CZ114,1),0)</f>
        <v>36</v>
      </c>
      <c r="K114" s="0" t="s">
        <v>2191</v>
      </c>
      <c r="L114" s="0" t="s">
        <v>163</v>
      </c>
      <c r="R114" s="5" t="s">
        <v>162</v>
      </c>
      <c r="S114" s="0" t="s">
        <v>163</v>
      </c>
      <c r="T114" s="5" t="s">
        <v>162</v>
      </c>
      <c r="U114" s="5" t="s">
        <v>561</v>
      </c>
      <c r="V114" s="0" t="s">
        <v>2381</v>
      </c>
      <c r="W114" s="0" t="s">
        <v>166</v>
      </c>
      <c r="X114" s="0" t="s">
        <v>167</v>
      </c>
      <c r="Y114" s="0" t="str">
        <f aca="false">IF(EU114&lt;&gt;"Y","",COUNTIFS($EU$2:$EU$1000,"Y",$J$2:$J$1000,"&gt;"&amp;J114)+COUNTIFS($EU$2:$EU$1000,"Y",$J$2:$J$1000,J114,$EW$2:$EW$1000,"&lt;"&amp;EW114)+1)</f>
        <v/>
      </c>
      <c r="Z114" s="0" t="n">
        <v>113</v>
      </c>
      <c r="AA114" s="0" t="s">
        <v>162</v>
      </c>
      <c r="AD114" s="0" t="s">
        <v>158</v>
      </c>
      <c r="AH114" s="5" t="s">
        <v>158</v>
      </c>
      <c r="AI114" s="0" t="s">
        <v>2382</v>
      </c>
      <c r="AJ114" s="0" t="s">
        <v>163</v>
      </c>
      <c r="AK114" s="0" t="s">
        <v>178</v>
      </c>
      <c r="AL114" s="0" t="s">
        <v>163</v>
      </c>
      <c r="AM114" s="0" t="s">
        <v>163</v>
      </c>
      <c r="AN114" s="0" t="s">
        <v>158</v>
      </c>
      <c r="AO114" s="0" t="s">
        <v>163</v>
      </c>
      <c r="AP114" s="0" t="s">
        <v>2379</v>
      </c>
      <c r="AQ114" s="5" t="s">
        <v>162</v>
      </c>
      <c r="AT114" s="0" t="str">
        <f aca="false">IF(AND(AX114="pass",AQ114&lt;&gt;"Y",C114&lt;&gt;"",OR(AW114&lt;&gt;"Y",AV114="Y")),"Y","N")</f>
        <v>N</v>
      </c>
      <c r="AU114" s="0" t="str">
        <f aca="false">_xlfn.TEXTJOIN("; ",TRUE(),IF(AX114&lt;&gt;"pass","gated out",""),IF(AQ114="Y","on hold: "&amp;AR114,""),IF(C114="","no contact named on an opened page",""),IF(AND(AW114="Y",AV114&lt;&gt;"Y"),"Tuesday estimate band "&amp;L114&amp;": founder's call",""))</f>
        <v>no contact named on an opened page</v>
      </c>
      <c r="AW114" s="0" t="s">
        <v>162</v>
      </c>
      <c r="AX114" s="0" t="s">
        <v>181</v>
      </c>
      <c r="AY114" s="0" t="s">
        <v>182</v>
      </c>
      <c r="AZ114" s="0" t="s">
        <v>1</v>
      </c>
      <c r="BA114" s="0" t="s">
        <v>2383</v>
      </c>
      <c r="BB114" s="0" t="s">
        <v>2384</v>
      </c>
      <c r="BC114" s="0" t="s">
        <v>2385</v>
      </c>
      <c r="BD114" s="0" t="s">
        <v>163</v>
      </c>
      <c r="BF114" s="0" t="s">
        <v>163</v>
      </c>
      <c r="BG114" s="0" t="s">
        <v>163</v>
      </c>
      <c r="BH114" s="0" t="s">
        <v>2195</v>
      </c>
      <c r="BK114" s="0" t="s">
        <v>163</v>
      </c>
      <c r="BL114" s="0" t="s">
        <v>163</v>
      </c>
      <c r="BM114" s="0" t="s">
        <v>163</v>
      </c>
      <c r="BN114" s="0" t="s">
        <v>163</v>
      </c>
      <c r="BO114" s="0" t="s">
        <v>163</v>
      </c>
      <c r="BP114" s="0" t="s">
        <v>193</v>
      </c>
      <c r="BQ114" s="0" t="n">
        <v>40.73827</v>
      </c>
      <c r="BR114" s="0" t="n">
        <v>-73.988199</v>
      </c>
      <c r="BS114" s="0" t="s">
        <v>168</v>
      </c>
      <c r="BT114" s="0" t="n">
        <v>0</v>
      </c>
      <c r="BU114" s="0" t="s">
        <v>2386</v>
      </c>
      <c r="BV114" s="0" t="s">
        <v>2387</v>
      </c>
      <c r="BW114" s="0" t="s">
        <v>2381</v>
      </c>
      <c r="BX114" s="0" t="s">
        <v>166</v>
      </c>
      <c r="BY114" s="0" t="s">
        <v>196</v>
      </c>
      <c r="BZ114" s="0" t="s">
        <v>2388</v>
      </c>
      <c r="CA114" s="0" t="s">
        <v>2389</v>
      </c>
      <c r="CC114" s="0" t="s">
        <v>200</v>
      </c>
      <c r="CE114" s="0" t="s">
        <v>162</v>
      </c>
      <c r="CH114" s="0" t="s">
        <v>163</v>
      </c>
      <c r="CJ114" s="0" t="s">
        <v>163</v>
      </c>
      <c r="CK114" s="0" t="s">
        <v>162</v>
      </c>
      <c r="CL114" s="0" t="s">
        <v>163</v>
      </c>
      <c r="CO114" s="0" t="s">
        <v>163</v>
      </c>
      <c r="CQ114" s="0" t="s">
        <v>2196</v>
      </c>
      <c r="CR114" s="0" t="s">
        <v>206</v>
      </c>
      <c r="CS114" s="0" t="s">
        <v>163</v>
      </c>
      <c r="CT114" s="0" t="n">
        <v>36</v>
      </c>
      <c r="CU114" s="0" t="n">
        <v>7</v>
      </c>
      <c r="CV114" s="0" t="n">
        <v>8</v>
      </c>
      <c r="CW114" s="0" t="n">
        <v>6</v>
      </c>
      <c r="CX114" s="0" t="n">
        <v>15</v>
      </c>
      <c r="CY114" s="0" t="n">
        <f aca="false">IF(AH114="exact",10,IF(AH114="adjacent",5,0))</f>
        <v>0</v>
      </c>
      <c r="CZ114" s="0" t="n">
        <f aca="false">IF(R114="Y",15,0)</f>
        <v>0</v>
      </c>
      <c r="DF114" s="0" t="s">
        <v>158</v>
      </c>
      <c r="DG114" s="0" t="s">
        <v>211</v>
      </c>
      <c r="DK114" s="0" t="s">
        <v>2390</v>
      </c>
      <c r="DS114" s="0" t="s">
        <v>158</v>
      </c>
      <c r="DX114" s="0" t="s">
        <v>162</v>
      </c>
      <c r="ER114" s="0" t="str">
        <f aca="false">IF(ISNUMBER(MATCH(U114,{"queued","contacted","replied","call_booked","call_done","yes_in_principle","materials_sent"},0)),"Y","N")</f>
        <v>N</v>
      </c>
      <c r="ES114" s="0" t="str">
        <f aca="false">IF(COUNTIFS($AP$2:$AP$1000,AP114,$ER$2:$ER$1000,"Y")+COUNTIFS($AP$2:$AP$1000,AP114,$T$2:$T$1000,"Y")&gt;0,"Y","N")</f>
        <v>N</v>
      </c>
      <c r="ET114" s="0" t="str">
        <f aca="false">IF(AND(U114="new",T114="N",AT114="Y",AS114="",ES114="N"),"Y","N")</f>
        <v>N</v>
      </c>
      <c r="EU114" s="0" t="str">
        <f aca="false">IF(ET114&lt;&gt;"Y","N",IF(COUNTIFS($AP$2:$AP$1000,AP114,$ET$2:$ET$1000,"Y",$J$2:$J$1000,"&gt;"&amp;J114)+COUNTIFS($AP$2:$AP$1000,AP114,$ET$2:$ET$1000,"Y",$J$2:$J$1000,J114,$EW$2:$EW$1000,"&lt;"&amp;EW114)=0,"Y","N"))</f>
        <v>N</v>
      </c>
      <c r="EV114" s="0" t="str">
        <f aca="false">IF(Y114="","N",IF(Y114&lt;=10,"Y","N"))</f>
        <v>N</v>
      </c>
      <c r="EW114" s="0" t="n">
        <f aca="false">ROW()-1</f>
        <v>113</v>
      </c>
    </row>
    <row r="115" customFormat="false" ht="15" hidden="false" customHeight="false" outlineLevel="0" collapsed="false">
      <c r="A115" s="0" t="s">
        <v>2391</v>
      </c>
      <c r="B115" s="0" t="s">
        <v>2392</v>
      </c>
      <c r="H115" s="5" t="s">
        <v>158</v>
      </c>
      <c r="I115" s="5" t="s">
        <v>159</v>
      </c>
      <c r="J115" s="0" t="n">
        <f aca="false">IF(AX115="pass",ROUND(CU115+CV115+CW115+CX115+CY115+CZ115,1),0)</f>
        <v>36</v>
      </c>
      <c r="K115" s="0" t="s">
        <v>2191</v>
      </c>
      <c r="L115" s="0" t="s">
        <v>163</v>
      </c>
      <c r="R115" s="5" t="s">
        <v>162</v>
      </c>
      <c r="S115" s="0" t="s">
        <v>163</v>
      </c>
      <c r="T115" s="5" t="s">
        <v>162</v>
      </c>
      <c r="U115" s="5" t="s">
        <v>561</v>
      </c>
      <c r="V115" s="0" t="s">
        <v>2393</v>
      </c>
      <c r="W115" s="0" t="s">
        <v>166</v>
      </c>
      <c r="X115" s="0" t="s">
        <v>167</v>
      </c>
      <c r="Y115" s="0" t="str">
        <f aca="false">IF(EU115&lt;&gt;"Y","",COUNTIFS($EU$2:$EU$1000,"Y",$J$2:$J$1000,"&gt;"&amp;J115)+COUNTIFS($EU$2:$EU$1000,"Y",$J$2:$J$1000,J115,$EW$2:$EW$1000,"&lt;"&amp;EW115)+1)</f>
        <v/>
      </c>
      <c r="Z115" s="0" t="n">
        <v>114</v>
      </c>
      <c r="AA115" s="0" t="s">
        <v>162</v>
      </c>
      <c r="AD115" s="0" t="s">
        <v>158</v>
      </c>
      <c r="AH115" s="5" t="s">
        <v>158</v>
      </c>
      <c r="AI115" s="0" t="s">
        <v>1611</v>
      </c>
      <c r="AJ115" s="0" t="s">
        <v>2394</v>
      </c>
      <c r="AK115" s="0" t="s">
        <v>178</v>
      </c>
      <c r="AL115" s="0" t="s">
        <v>163</v>
      </c>
      <c r="AM115" s="0" t="s">
        <v>163</v>
      </c>
      <c r="AN115" s="0" t="s">
        <v>158</v>
      </c>
      <c r="AO115" s="0" t="s">
        <v>163</v>
      </c>
      <c r="AP115" s="0" t="s">
        <v>2391</v>
      </c>
      <c r="AQ115" s="5" t="s">
        <v>162</v>
      </c>
      <c r="AT115" s="0" t="str">
        <f aca="false">IF(AND(AX115="pass",AQ115&lt;&gt;"Y",C115&lt;&gt;"",OR(AW115&lt;&gt;"Y",AV115="Y")),"Y","N")</f>
        <v>N</v>
      </c>
      <c r="AU115" s="0" t="str">
        <f aca="false">_xlfn.TEXTJOIN("; ",TRUE(),IF(AX115&lt;&gt;"pass","gated out",""),IF(AQ115="Y","on hold: "&amp;AR115,""),IF(C115="","no contact named on an opened page",""),IF(AND(AW115="Y",AV115&lt;&gt;"Y"),"Tuesday estimate band "&amp;L115&amp;": founder's call",""))</f>
        <v>no contact named on an opened page</v>
      </c>
      <c r="AW115" s="0" t="s">
        <v>162</v>
      </c>
      <c r="AX115" s="0" t="s">
        <v>181</v>
      </c>
      <c r="AY115" s="0" t="s">
        <v>182</v>
      </c>
      <c r="AZ115" s="0" t="s">
        <v>1</v>
      </c>
      <c r="BA115" s="0" t="s">
        <v>2395</v>
      </c>
      <c r="BB115" s="0" t="s">
        <v>2396</v>
      </c>
      <c r="BC115" s="0" t="s">
        <v>2397</v>
      </c>
      <c r="BD115" s="0" t="s">
        <v>163</v>
      </c>
      <c r="BF115" s="0" t="s">
        <v>163</v>
      </c>
      <c r="BG115" s="0" t="s">
        <v>163</v>
      </c>
      <c r="BH115" s="0" t="s">
        <v>2195</v>
      </c>
      <c r="BK115" s="0" t="s">
        <v>163</v>
      </c>
      <c r="BL115" s="0" t="s">
        <v>163</v>
      </c>
      <c r="BM115" s="0" t="s">
        <v>163</v>
      </c>
      <c r="BN115" s="0" t="s">
        <v>163</v>
      </c>
      <c r="BO115" s="0" t="s">
        <v>163</v>
      </c>
      <c r="BP115" s="0" t="s">
        <v>346</v>
      </c>
      <c r="BQ115" s="0" t="n">
        <v>40.738577</v>
      </c>
      <c r="BR115" s="0" t="n">
        <v>-73.987151</v>
      </c>
      <c r="BS115" s="0" t="s">
        <v>168</v>
      </c>
      <c r="BT115" s="0" t="n">
        <v>0</v>
      </c>
      <c r="BU115" s="0" t="s">
        <v>1617</v>
      </c>
      <c r="BV115" s="0" t="s">
        <v>1618</v>
      </c>
      <c r="BW115" s="0" t="s">
        <v>2393</v>
      </c>
      <c r="BX115" s="0" t="s">
        <v>166</v>
      </c>
      <c r="BY115" s="0" t="s">
        <v>196</v>
      </c>
      <c r="BZ115" s="0" t="s">
        <v>2398</v>
      </c>
      <c r="CA115" s="0" t="s">
        <v>2399</v>
      </c>
      <c r="CC115" s="0" t="s">
        <v>200</v>
      </c>
      <c r="CE115" s="0" t="s">
        <v>162</v>
      </c>
      <c r="CH115" s="0" t="s">
        <v>163</v>
      </c>
      <c r="CJ115" s="0" t="s">
        <v>163</v>
      </c>
      <c r="CK115" s="0" t="s">
        <v>162</v>
      </c>
      <c r="CL115" s="0" t="s">
        <v>163</v>
      </c>
      <c r="CO115" s="0" t="s">
        <v>163</v>
      </c>
      <c r="CQ115" s="0" t="s">
        <v>2196</v>
      </c>
      <c r="CR115" s="0" t="s">
        <v>206</v>
      </c>
      <c r="CS115" s="0" t="s">
        <v>163</v>
      </c>
      <c r="CT115" s="0" t="n">
        <v>36</v>
      </c>
      <c r="CU115" s="0" t="n">
        <v>7</v>
      </c>
      <c r="CV115" s="0" t="n">
        <v>8</v>
      </c>
      <c r="CW115" s="0" t="n">
        <v>6</v>
      </c>
      <c r="CX115" s="0" t="n">
        <v>15</v>
      </c>
      <c r="CY115" s="0" t="n">
        <f aca="false">IF(AH115="exact",10,IF(AH115="adjacent",5,0))</f>
        <v>0</v>
      </c>
      <c r="CZ115" s="0" t="n">
        <f aca="false">IF(R115="Y",15,0)</f>
        <v>0</v>
      </c>
      <c r="DF115" s="0" t="s">
        <v>158</v>
      </c>
      <c r="DG115" s="0" t="s">
        <v>211</v>
      </c>
      <c r="DJ115" s="0" t="s">
        <v>2400</v>
      </c>
      <c r="DK115" s="0" t="s">
        <v>2401</v>
      </c>
      <c r="DS115" s="0" t="s">
        <v>158</v>
      </c>
      <c r="DX115" s="0" t="s">
        <v>162</v>
      </c>
      <c r="ER115" s="0" t="str">
        <f aca="false">IF(ISNUMBER(MATCH(U115,{"queued","contacted","replied","call_booked","call_done","yes_in_principle","materials_sent"},0)),"Y","N")</f>
        <v>N</v>
      </c>
      <c r="ES115" s="0" t="str">
        <f aca="false">IF(COUNTIFS($AP$2:$AP$1000,AP115,$ER$2:$ER$1000,"Y")+COUNTIFS($AP$2:$AP$1000,AP115,$T$2:$T$1000,"Y")&gt;0,"Y","N")</f>
        <v>N</v>
      </c>
      <c r="ET115" s="0" t="str">
        <f aca="false">IF(AND(U115="new",T115="N",AT115="Y",AS115="",ES115="N"),"Y","N")</f>
        <v>N</v>
      </c>
      <c r="EU115" s="0" t="str">
        <f aca="false">IF(ET115&lt;&gt;"Y","N",IF(COUNTIFS($AP$2:$AP$1000,AP115,$ET$2:$ET$1000,"Y",$J$2:$J$1000,"&gt;"&amp;J115)+COUNTIFS($AP$2:$AP$1000,AP115,$ET$2:$ET$1000,"Y",$J$2:$J$1000,J115,$EW$2:$EW$1000,"&lt;"&amp;EW115)=0,"Y","N"))</f>
        <v>N</v>
      </c>
      <c r="EV115" s="0" t="str">
        <f aca="false">IF(Y115="","N",IF(Y115&lt;=10,"Y","N"))</f>
        <v>N</v>
      </c>
      <c r="EW115" s="0" t="n">
        <f aca="false">ROW()-1</f>
        <v>114</v>
      </c>
    </row>
    <row r="116" customFormat="false" ht="15" hidden="false" customHeight="false" outlineLevel="0" collapsed="false">
      <c r="A116" s="0" t="s">
        <v>2402</v>
      </c>
      <c r="B116" s="0" t="s">
        <v>2403</v>
      </c>
      <c r="H116" s="5" t="s">
        <v>158</v>
      </c>
      <c r="I116" s="5" t="s">
        <v>159</v>
      </c>
      <c r="J116" s="0" t="n">
        <f aca="false">IF(AX116="pass",ROUND(CU116+CV116+CW116+CX116+CY116+CZ116,1),0)</f>
        <v>36</v>
      </c>
      <c r="K116" s="0" t="s">
        <v>2191</v>
      </c>
      <c r="L116" s="0" t="s">
        <v>163</v>
      </c>
      <c r="O116" s="0" t="s">
        <v>2404</v>
      </c>
      <c r="P116" s="0" t="s">
        <v>2405</v>
      </c>
      <c r="Q116" s="0" t="s">
        <v>2406</v>
      </c>
      <c r="R116" s="5" t="s">
        <v>162</v>
      </c>
      <c r="S116" s="0" t="s">
        <v>163</v>
      </c>
      <c r="T116" s="5" t="s">
        <v>162</v>
      </c>
      <c r="U116" s="5" t="s">
        <v>561</v>
      </c>
      <c r="V116" s="0" t="s">
        <v>2405</v>
      </c>
      <c r="W116" s="0" t="s">
        <v>166</v>
      </c>
      <c r="X116" s="0" t="s">
        <v>167</v>
      </c>
      <c r="Y116" s="0" t="str">
        <f aca="false">IF(EU116&lt;&gt;"Y","",COUNTIFS($EU$2:$EU$1000,"Y",$J$2:$J$1000,"&gt;"&amp;J116)+COUNTIFS($EU$2:$EU$1000,"Y",$J$2:$J$1000,J116,$EW$2:$EW$1000,"&lt;"&amp;EW116)+1)</f>
        <v/>
      </c>
      <c r="Z116" s="0" t="n">
        <v>115</v>
      </c>
      <c r="AA116" s="0" t="s">
        <v>162</v>
      </c>
      <c r="AD116" s="0" t="s">
        <v>158</v>
      </c>
      <c r="AH116" s="5" t="s">
        <v>158</v>
      </c>
      <c r="AI116" s="0" t="s">
        <v>2407</v>
      </c>
      <c r="AJ116" s="0" t="s">
        <v>2408</v>
      </c>
      <c r="AK116" s="0" t="s">
        <v>178</v>
      </c>
      <c r="AL116" s="0" t="s">
        <v>163</v>
      </c>
      <c r="AM116" s="0" t="s">
        <v>163</v>
      </c>
      <c r="AN116" s="0" t="s">
        <v>158</v>
      </c>
      <c r="AO116" s="0" t="s">
        <v>163</v>
      </c>
      <c r="AP116" s="0" t="s">
        <v>2402</v>
      </c>
      <c r="AQ116" s="5" t="s">
        <v>162</v>
      </c>
      <c r="AT116" s="0" t="str">
        <f aca="false">IF(AND(AX116="pass",AQ116&lt;&gt;"Y",C116&lt;&gt;"",OR(AW116&lt;&gt;"Y",AV116="Y")),"Y","N")</f>
        <v>N</v>
      </c>
      <c r="AU116" s="0" t="str">
        <f aca="false">_xlfn.TEXTJOIN("; ",TRUE(),IF(AX116&lt;&gt;"pass","gated out",""),IF(AQ116="Y","on hold: "&amp;AR116,""),IF(C116="","no contact named on an opened page",""),IF(AND(AW116="Y",AV116&lt;&gt;"Y"),"Tuesday estimate band "&amp;L116&amp;": founder's call",""))</f>
        <v>no contact named on an opened page</v>
      </c>
      <c r="AW116" s="0" t="s">
        <v>162</v>
      </c>
      <c r="AX116" s="0" t="s">
        <v>181</v>
      </c>
      <c r="AY116" s="0" t="s">
        <v>182</v>
      </c>
      <c r="AZ116" s="0" t="s">
        <v>1</v>
      </c>
      <c r="BA116" s="0" t="s">
        <v>2409</v>
      </c>
      <c r="BB116" s="0" t="s">
        <v>2410</v>
      </c>
      <c r="BC116" s="0" t="s">
        <v>2411</v>
      </c>
      <c r="BD116" s="0" t="s">
        <v>163</v>
      </c>
      <c r="BF116" s="0" t="s">
        <v>163</v>
      </c>
      <c r="BG116" s="0" t="s">
        <v>163</v>
      </c>
      <c r="BH116" s="0" t="s">
        <v>2195</v>
      </c>
      <c r="BK116" s="0" t="s">
        <v>163</v>
      </c>
      <c r="BL116" s="0" t="s">
        <v>163</v>
      </c>
      <c r="BM116" s="0" t="s">
        <v>163</v>
      </c>
      <c r="BN116" s="0" t="s">
        <v>163</v>
      </c>
      <c r="BO116" s="0" t="s">
        <v>163</v>
      </c>
      <c r="BP116" s="0" t="s">
        <v>346</v>
      </c>
      <c r="BQ116" s="0" t="n">
        <v>40.742477</v>
      </c>
      <c r="BR116" s="0" t="n">
        <v>-73.986608</v>
      </c>
      <c r="BS116" s="0" t="s">
        <v>168</v>
      </c>
      <c r="BT116" s="0" t="n">
        <v>0</v>
      </c>
      <c r="BU116" s="0" t="s">
        <v>2412</v>
      </c>
      <c r="BV116" s="0" t="s">
        <v>2413</v>
      </c>
      <c r="BW116" s="0" t="s">
        <v>2405</v>
      </c>
      <c r="BX116" s="0" t="s">
        <v>2406</v>
      </c>
      <c r="BY116" s="0" t="s">
        <v>247</v>
      </c>
      <c r="BZ116" s="0" t="s">
        <v>2414</v>
      </c>
      <c r="CA116" s="0" t="s">
        <v>166</v>
      </c>
      <c r="CC116" s="0" t="s">
        <v>200</v>
      </c>
      <c r="CE116" s="0" t="s">
        <v>162</v>
      </c>
      <c r="CH116" s="0" t="s">
        <v>201</v>
      </c>
      <c r="CI116" s="0" t="s">
        <v>2415</v>
      </c>
      <c r="CJ116" s="0" t="s">
        <v>163</v>
      </c>
      <c r="CK116" s="0" t="s">
        <v>162</v>
      </c>
      <c r="CL116" s="0" t="s">
        <v>163</v>
      </c>
      <c r="CO116" s="0" t="s">
        <v>163</v>
      </c>
      <c r="CQ116" s="0" t="s">
        <v>2196</v>
      </c>
      <c r="CR116" s="0" t="s">
        <v>206</v>
      </c>
      <c r="CS116" s="0" t="s">
        <v>163</v>
      </c>
      <c r="CT116" s="0" t="n">
        <v>36</v>
      </c>
      <c r="CU116" s="0" t="n">
        <v>7</v>
      </c>
      <c r="CV116" s="0" t="n">
        <v>8</v>
      </c>
      <c r="CW116" s="0" t="n">
        <v>6</v>
      </c>
      <c r="CX116" s="0" t="n">
        <v>15</v>
      </c>
      <c r="CY116" s="0" t="n">
        <f aca="false">IF(AH116="exact",10,IF(AH116="adjacent",5,0))</f>
        <v>0</v>
      </c>
      <c r="CZ116" s="0" t="n">
        <f aca="false">IF(R116="Y",15,0)</f>
        <v>0</v>
      </c>
      <c r="DF116" s="0" t="s">
        <v>158</v>
      </c>
      <c r="DG116" s="0" t="s">
        <v>211</v>
      </c>
      <c r="DJ116" s="0" t="s">
        <v>2416</v>
      </c>
      <c r="DK116" s="0" t="s">
        <v>2417</v>
      </c>
      <c r="DS116" s="0" t="s">
        <v>158</v>
      </c>
      <c r="DX116" s="0" t="s">
        <v>162</v>
      </c>
      <c r="ER116" s="0" t="str">
        <f aca="false">IF(ISNUMBER(MATCH(U116,{"queued","contacted","replied","call_booked","call_done","yes_in_principle","materials_sent"},0)),"Y","N")</f>
        <v>N</v>
      </c>
      <c r="ES116" s="0" t="str">
        <f aca="false">IF(COUNTIFS($AP$2:$AP$1000,AP116,$ER$2:$ER$1000,"Y")+COUNTIFS($AP$2:$AP$1000,AP116,$T$2:$T$1000,"Y")&gt;0,"Y","N")</f>
        <v>N</v>
      </c>
      <c r="ET116" s="0" t="str">
        <f aca="false">IF(AND(U116="new",T116="N",AT116="Y",AS116="",ES116="N"),"Y","N")</f>
        <v>N</v>
      </c>
      <c r="EU116" s="0" t="str">
        <f aca="false">IF(ET116&lt;&gt;"Y","N",IF(COUNTIFS($AP$2:$AP$1000,AP116,$ET$2:$ET$1000,"Y",$J$2:$J$1000,"&gt;"&amp;J116)+COUNTIFS($AP$2:$AP$1000,AP116,$ET$2:$ET$1000,"Y",$J$2:$J$1000,J116,$EW$2:$EW$1000,"&lt;"&amp;EW116)=0,"Y","N"))</f>
        <v>N</v>
      </c>
      <c r="EV116" s="0" t="str">
        <f aca="false">IF(Y116="","N",IF(Y116&lt;=10,"Y","N"))</f>
        <v>N</v>
      </c>
      <c r="EW116" s="0" t="n">
        <f aca="false">ROW()-1</f>
        <v>115</v>
      </c>
    </row>
    <row r="117" customFormat="false" ht="15" hidden="false" customHeight="false" outlineLevel="0" collapsed="false">
      <c r="A117" s="0" t="s">
        <v>2418</v>
      </c>
      <c r="B117" s="0" t="s">
        <v>2419</v>
      </c>
      <c r="H117" s="5" t="s">
        <v>158</v>
      </c>
      <c r="I117" s="5" t="s">
        <v>159</v>
      </c>
      <c r="J117" s="0" t="n">
        <f aca="false">IF(AX117="pass",ROUND(CU117+CV117+CW117+CX117+CY117+CZ117,1),0)</f>
        <v>36</v>
      </c>
      <c r="K117" s="0" t="s">
        <v>2191</v>
      </c>
      <c r="L117" s="0" t="s">
        <v>163</v>
      </c>
      <c r="R117" s="5" t="s">
        <v>162</v>
      </c>
      <c r="S117" s="0" t="s">
        <v>163</v>
      </c>
      <c r="T117" s="5" t="s">
        <v>162</v>
      </c>
      <c r="U117" s="5" t="s">
        <v>561</v>
      </c>
      <c r="V117" s="0" t="s">
        <v>2420</v>
      </c>
      <c r="W117" s="0" t="s">
        <v>166</v>
      </c>
      <c r="X117" s="0" t="s">
        <v>167</v>
      </c>
      <c r="Y117" s="0" t="str">
        <f aca="false">IF(EU117&lt;&gt;"Y","",COUNTIFS($EU$2:$EU$1000,"Y",$J$2:$J$1000,"&gt;"&amp;J117)+COUNTIFS($EU$2:$EU$1000,"Y",$J$2:$J$1000,J117,$EW$2:$EW$1000,"&lt;"&amp;EW117)+1)</f>
        <v/>
      </c>
      <c r="Z117" s="0" t="n">
        <v>116</v>
      </c>
      <c r="AA117" s="0" t="s">
        <v>162</v>
      </c>
      <c r="AD117" s="0" t="s">
        <v>158</v>
      </c>
      <c r="AH117" s="5" t="s">
        <v>158</v>
      </c>
      <c r="AI117" s="0" t="s">
        <v>1473</v>
      </c>
      <c r="AJ117" s="0" t="s">
        <v>2421</v>
      </c>
      <c r="AK117" s="0" t="s">
        <v>178</v>
      </c>
      <c r="AL117" s="0" t="s">
        <v>163</v>
      </c>
      <c r="AM117" s="0" t="s">
        <v>163</v>
      </c>
      <c r="AN117" s="0" t="s">
        <v>158</v>
      </c>
      <c r="AO117" s="0" t="s">
        <v>163</v>
      </c>
      <c r="AP117" s="0" t="s">
        <v>2418</v>
      </c>
      <c r="AQ117" s="5" t="s">
        <v>162</v>
      </c>
      <c r="AT117" s="0" t="str">
        <f aca="false">IF(AND(AX117="pass",AQ117&lt;&gt;"Y",C117&lt;&gt;"",OR(AW117&lt;&gt;"Y",AV117="Y")),"Y","N")</f>
        <v>N</v>
      </c>
      <c r="AU117" s="0" t="str">
        <f aca="false">_xlfn.TEXTJOIN("; ",TRUE(),IF(AX117&lt;&gt;"pass","gated out",""),IF(AQ117="Y","on hold: "&amp;AR117,""),IF(C117="","no contact named on an opened page",""),IF(AND(AW117="Y",AV117&lt;&gt;"Y"),"Tuesday estimate band "&amp;L117&amp;": founder's call",""))</f>
        <v>no contact named on an opened page</v>
      </c>
      <c r="AW117" s="0" t="s">
        <v>162</v>
      </c>
      <c r="AX117" s="0" t="s">
        <v>181</v>
      </c>
      <c r="AY117" s="0" t="s">
        <v>182</v>
      </c>
      <c r="AZ117" s="0" t="s">
        <v>1</v>
      </c>
      <c r="BA117" s="0" t="s">
        <v>2422</v>
      </c>
      <c r="BB117" s="0" t="s">
        <v>2423</v>
      </c>
      <c r="BC117" s="0" t="s">
        <v>2424</v>
      </c>
      <c r="BD117" s="0" t="s">
        <v>163</v>
      </c>
      <c r="BF117" s="0" t="s">
        <v>163</v>
      </c>
      <c r="BG117" s="0" t="s">
        <v>163</v>
      </c>
      <c r="BH117" s="0" t="s">
        <v>2195</v>
      </c>
      <c r="BK117" s="0" t="s">
        <v>163</v>
      </c>
      <c r="BL117" s="0" t="s">
        <v>163</v>
      </c>
      <c r="BM117" s="0" t="s">
        <v>163</v>
      </c>
      <c r="BN117" s="0" t="s">
        <v>163</v>
      </c>
      <c r="BO117" s="0" t="s">
        <v>163</v>
      </c>
      <c r="BP117" s="0" t="s">
        <v>346</v>
      </c>
      <c r="BQ117" s="0" t="n">
        <v>40.741968</v>
      </c>
      <c r="BR117" s="0" t="n">
        <v>-73.985327</v>
      </c>
      <c r="BS117" s="0" t="s">
        <v>168</v>
      </c>
      <c r="BT117" s="0" t="n">
        <v>0</v>
      </c>
      <c r="BU117" s="0" t="s">
        <v>1480</v>
      </c>
      <c r="BV117" s="0" t="s">
        <v>1481</v>
      </c>
      <c r="BW117" s="0" t="s">
        <v>2420</v>
      </c>
      <c r="BX117" s="0" t="s">
        <v>166</v>
      </c>
      <c r="BY117" s="0" t="s">
        <v>196</v>
      </c>
      <c r="BZ117" s="0" t="s">
        <v>2031</v>
      </c>
      <c r="CA117" s="0" t="s">
        <v>2032</v>
      </c>
      <c r="CC117" s="0" t="s">
        <v>200</v>
      </c>
      <c r="CE117" s="0" t="s">
        <v>162</v>
      </c>
      <c r="CH117" s="0" t="s">
        <v>163</v>
      </c>
      <c r="CJ117" s="0" t="s">
        <v>163</v>
      </c>
      <c r="CK117" s="0" t="s">
        <v>162</v>
      </c>
      <c r="CL117" s="0" t="s">
        <v>163</v>
      </c>
      <c r="CO117" s="0" t="s">
        <v>163</v>
      </c>
      <c r="CQ117" s="0" t="s">
        <v>2196</v>
      </c>
      <c r="CR117" s="0" t="s">
        <v>206</v>
      </c>
      <c r="CS117" s="0" t="s">
        <v>163</v>
      </c>
      <c r="CT117" s="0" t="n">
        <v>36</v>
      </c>
      <c r="CU117" s="0" t="n">
        <v>7</v>
      </c>
      <c r="CV117" s="0" t="n">
        <v>8</v>
      </c>
      <c r="CW117" s="0" t="n">
        <v>6</v>
      </c>
      <c r="CX117" s="0" t="n">
        <v>15</v>
      </c>
      <c r="CY117" s="0" t="n">
        <f aca="false">IF(AH117="exact",10,IF(AH117="adjacent",5,0))</f>
        <v>0</v>
      </c>
      <c r="CZ117" s="0" t="n">
        <f aca="false">IF(R117="Y",15,0)</f>
        <v>0</v>
      </c>
      <c r="DF117" s="0" t="s">
        <v>158</v>
      </c>
      <c r="DG117" s="0" t="s">
        <v>211</v>
      </c>
      <c r="DJ117" s="0" t="s">
        <v>2425</v>
      </c>
      <c r="DK117" s="0" t="s">
        <v>2426</v>
      </c>
      <c r="DS117" s="0" t="s">
        <v>158</v>
      </c>
      <c r="DX117" s="0" t="s">
        <v>162</v>
      </c>
      <c r="ER117" s="0" t="str">
        <f aca="false">IF(ISNUMBER(MATCH(U117,{"queued","contacted","replied","call_booked","call_done","yes_in_principle","materials_sent"},0)),"Y","N")</f>
        <v>N</v>
      </c>
      <c r="ES117" s="0" t="str">
        <f aca="false">IF(COUNTIFS($AP$2:$AP$1000,AP117,$ER$2:$ER$1000,"Y")+COUNTIFS($AP$2:$AP$1000,AP117,$T$2:$T$1000,"Y")&gt;0,"Y","N")</f>
        <v>N</v>
      </c>
      <c r="ET117" s="0" t="str">
        <f aca="false">IF(AND(U117="new",T117="N",AT117="Y",AS117="",ES117="N"),"Y","N")</f>
        <v>N</v>
      </c>
      <c r="EU117" s="0" t="str">
        <f aca="false">IF(ET117&lt;&gt;"Y","N",IF(COUNTIFS($AP$2:$AP$1000,AP117,$ET$2:$ET$1000,"Y",$J$2:$J$1000,"&gt;"&amp;J117)+COUNTIFS($AP$2:$AP$1000,AP117,$ET$2:$ET$1000,"Y",$J$2:$J$1000,J117,$EW$2:$EW$1000,"&lt;"&amp;EW117)=0,"Y","N"))</f>
        <v>N</v>
      </c>
      <c r="EV117" s="0" t="str">
        <f aca="false">IF(Y117="","N",IF(Y117&lt;=10,"Y","N"))</f>
        <v>N</v>
      </c>
      <c r="EW117" s="0" t="n">
        <f aca="false">ROW()-1</f>
        <v>116</v>
      </c>
    </row>
    <row r="118" customFormat="false" ht="15" hidden="false" customHeight="false" outlineLevel="0" collapsed="false">
      <c r="A118" s="0" t="s">
        <v>2427</v>
      </c>
      <c r="B118" s="0" t="s">
        <v>2428</v>
      </c>
      <c r="H118" s="5" t="s">
        <v>158</v>
      </c>
      <c r="I118" s="5" t="s">
        <v>159</v>
      </c>
      <c r="J118" s="0" t="n">
        <f aca="false">IF(AX118="pass",ROUND(CU118+CV118+CW118+CX118+CY118+CZ118,1),0)</f>
        <v>36</v>
      </c>
      <c r="K118" s="0" t="s">
        <v>2191</v>
      </c>
      <c r="L118" s="0" t="s">
        <v>163</v>
      </c>
      <c r="R118" s="5" t="s">
        <v>162</v>
      </c>
      <c r="S118" s="0" t="s">
        <v>163</v>
      </c>
      <c r="T118" s="5" t="s">
        <v>162</v>
      </c>
      <c r="U118" s="5" t="s">
        <v>561</v>
      </c>
      <c r="V118" s="0" t="s">
        <v>2429</v>
      </c>
      <c r="W118" s="0" t="s">
        <v>166</v>
      </c>
      <c r="X118" s="0" t="s">
        <v>167</v>
      </c>
      <c r="Y118" s="0" t="str">
        <f aca="false">IF(EU118&lt;&gt;"Y","",COUNTIFS($EU$2:$EU$1000,"Y",$J$2:$J$1000,"&gt;"&amp;J118)+COUNTIFS($EU$2:$EU$1000,"Y",$J$2:$J$1000,J118,$EW$2:$EW$1000,"&lt;"&amp;EW118)+1)</f>
        <v/>
      </c>
      <c r="Z118" s="0" t="n">
        <v>117</v>
      </c>
      <c r="AA118" s="0" t="s">
        <v>162</v>
      </c>
      <c r="AD118" s="0" t="s">
        <v>158</v>
      </c>
      <c r="AH118" s="5" t="s">
        <v>158</v>
      </c>
      <c r="AI118" s="0" t="s">
        <v>2430</v>
      </c>
      <c r="AJ118" s="0" t="s">
        <v>163</v>
      </c>
      <c r="AK118" s="0" t="s">
        <v>178</v>
      </c>
      <c r="AL118" s="0" t="s">
        <v>163</v>
      </c>
      <c r="AM118" s="0" t="s">
        <v>163</v>
      </c>
      <c r="AN118" s="0" t="s">
        <v>158</v>
      </c>
      <c r="AO118" s="0" t="s">
        <v>163</v>
      </c>
      <c r="AP118" s="0" t="s">
        <v>2427</v>
      </c>
      <c r="AQ118" s="5" t="s">
        <v>162</v>
      </c>
      <c r="AT118" s="0" t="str">
        <f aca="false">IF(AND(AX118="pass",AQ118&lt;&gt;"Y",C118&lt;&gt;"",OR(AW118&lt;&gt;"Y",AV118="Y")),"Y","N")</f>
        <v>N</v>
      </c>
      <c r="AU118" s="0" t="str">
        <f aca="false">_xlfn.TEXTJOIN("; ",TRUE(),IF(AX118&lt;&gt;"pass","gated out",""),IF(AQ118="Y","on hold: "&amp;AR118,""),IF(C118="","no contact named on an opened page",""),IF(AND(AW118="Y",AV118&lt;&gt;"Y"),"Tuesday estimate band "&amp;L118&amp;": founder's call",""))</f>
        <v>no contact named on an opened page</v>
      </c>
      <c r="AW118" s="0" t="s">
        <v>162</v>
      </c>
      <c r="AX118" s="0" t="s">
        <v>181</v>
      </c>
      <c r="AY118" s="0" t="s">
        <v>182</v>
      </c>
      <c r="AZ118" s="0" t="s">
        <v>1</v>
      </c>
      <c r="BA118" s="0" t="s">
        <v>2431</v>
      </c>
      <c r="BB118" s="0" t="s">
        <v>2432</v>
      </c>
      <c r="BC118" s="0" t="s">
        <v>2433</v>
      </c>
      <c r="BD118" s="0" t="s">
        <v>163</v>
      </c>
      <c r="BF118" s="0" t="s">
        <v>163</v>
      </c>
      <c r="BG118" s="0" t="s">
        <v>163</v>
      </c>
      <c r="BH118" s="0" t="s">
        <v>2195</v>
      </c>
      <c r="BK118" s="0" t="s">
        <v>163</v>
      </c>
      <c r="BL118" s="0" t="s">
        <v>192</v>
      </c>
      <c r="BM118" s="0" t="s">
        <v>168</v>
      </c>
      <c r="BN118" s="0" t="s">
        <v>163</v>
      </c>
      <c r="BO118" s="0" t="s">
        <v>163</v>
      </c>
      <c r="BP118" s="0" t="s">
        <v>377</v>
      </c>
      <c r="BQ118" s="0" t="n">
        <v>40.739345</v>
      </c>
      <c r="BR118" s="0" t="n">
        <v>-73.993191</v>
      </c>
      <c r="BS118" s="0" t="s">
        <v>168</v>
      </c>
      <c r="BT118" s="0" t="n">
        <v>0</v>
      </c>
      <c r="BU118" s="0" t="s">
        <v>2181</v>
      </c>
      <c r="BV118" s="0" t="s">
        <v>2182</v>
      </c>
      <c r="BW118" s="0" t="s">
        <v>2429</v>
      </c>
      <c r="BX118" s="0" t="s">
        <v>166</v>
      </c>
      <c r="BY118" s="0" t="s">
        <v>196</v>
      </c>
      <c r="BZ118" s="0" t="s">
        <v>2434</v>
      </c>
      <c r="CA118" s="0" t="s">
        <v>166</v>
      </c>
      <c r="CC118" s="0" t="s">
        <v>200</v>
      </c>
      <c r="CE118" s="0" t="s">
        <v>162</v>
      </c>
      <c r="CH118" s="0" t="s">
        <v>1706</v>
      </c>
      <c r="CI118" s="0" t="s">
        <v>2185</v>
      </c>
      <c r="CJ118" s="0" t="s">
        <v>163</v>
      </c>
      <c r="CK118" s="0" t="s">
        <v>162</v>
      </c>
      <c r="CL118" s="0" t="s">
        <v>163</v>
      </c>
      <c r="CO118" s="0" t="s">
        <v>163</v>
      </c>
      <c r="CQ118" s="0" t="s">
        <v>2196</v>
      </c>
      <c r="CR118" s="0" t="s">
        <v>206</v>
      </c>
      <c r="CS118" s="0" t="s">
        <v>163</v>
      </c>
      <c r="CT118" s="0" t="n">
        <v>36</v>
      </c>
      <c r="CU118" s="0" t="n">
        <v>7</v>
      </c>
      <c r="CV118" s="0" t="n">
        <v>8</v>
      </c>
      <c r="CW118" s="0" t="n">
        <v>6</v>
      </c>
      <c r="CX118" s="0" t="n">
        <v>15</v>
      </c>
      <c r="CY118" s="0" t="n">
        <f aca="false">IF(AH118="exact",10,IF(AH118="adjacent",5,0))</f>
        <v>0</v>
      </c>
      <c r="CZ118" s="0" t="n">
        <f aca="false">IF(R118="Y",15,0)</f>
        <v>0</v>
      </c>
      <c r="DF118" s="0" t="s">
        <v>158</v>
      </c>
      <c r="DG118" s="0" t="s">
        <v>211</v>
      </c>
      <c r="DJ118" s="0" t="s">
        <v>2435</v>
      </c>
      <c r="DK118" s="0" t="s">
        <v>2436</v>
      </c>
      <c r="DS118" s="0" t="s">
        <v>158</v>
      </c>
      <c r="DX118" s="0" t="s">
        <v>162</v>
      </c>
      <c r="ER118" s="0" t="str">
        <f aca="false">IF(ISNUMBER(MATCH(U118,{"queued","contacted","replied","call_booked","call_done","yes_in_principle","materials_sent"},0)),"Y","N")</f>
        <v>N</v>
      </c>
      <c r="ES118" s="0" t="str">
        <f aca="false">IF(COUNTIFS($AP$2:$AP$1000,AP118,$ER$2:$ER$1000,"Y")+COUNTIFS($AP$2:$AP$1000,AP118,$T$2:$T$1000,"Y")&gt;0,"Y","N")</f>
        <v>N</v>
      </c>
      <c r="ET118" s="0" t="str">
        <f aca="false">IF(AND(U118="new",T118="N",AT118="Y",AS118="",ES118="N"),"Y","N")</f>
        <v>N</v>
      </c>
      <c r="EU118" s="0" t="str">
        <f aca="false">IF(ET118&lt;&gt;"Y","N",IF(COUNTIFS($AP$2:$AP$1000,AP118,$ET$2:$ET$1000,"Y",$J$2:$J$1000,"&gt;"&amp;J118)+COUNTIFS($AP$2:$AP$1000,AP118,$ET$2:$ET$1000,"Y",$J$2:$J$1000,J118,$EW$2:$EW$1000,"&lt;"&amp;EW118)=0,"Y","N"))</f>
        <v>N</v>
      </c>
      <c r="EV118" s="0" t="str">
        <f aca="false">IF(Y118="","N",IF(Y118&lt;=10,"Y","N"))</f>
        <v>N</v>
      </c>
      <c r="EW118" s="0" t="n">
        <f aca="false">ROW()-1</f>
        <v>117</v>
      </c>
    </row>
    <row r="119" customFormat="false" ht="15" hidden="false" customHeight="false" outlineLevel="0" collapsed="false">
      <c r="A119" s="0" t="s">
        <v>2437</v>
      </c>
      <c r="B119" s="0" t="s">
        <v>2438</v>
      </c>
      <c r="H119" s="5" t="s">
        <v>158</v>
      </c>
      <c r="I119" s="5" t="s">
        <v>159</v>
      </c>
      <c r="J119" s="0" t="n">
        <f aca="false">IF(AX119="pass",ROUND(CU119+CV119+CW119+CX119+CY119+CZ119,1),0)</f>
        <v>36</v>
      </c>
      <c r="K119" s="0" t="s">
        <v>2191</v>
      </c>
      <c r="L119" s="0" t="s">
        <v>163</v>
      </c>
      <c r="R119" s="5" t="s">
        <v>162</v>
      </c>
      <c r="S119" s="0" t="s">
        <v>163</v>
      </c>
      <c r="T119" s="5" t="s">
        <v>162</v>
      </c>
      <c r="U119" s="5" t="s">
        <v>561</v>
      </c>
      <c r="V119" s="0" t="s">
        <v>2439</v>
      </c>
      <c r="W119" s="0" t="s">
        <v>166</v>
      </c>
      <c r="X119" s="0" t="s">
        <v>167</v>
      </c>
      <c r="Y119" s="0" t="str">
        <f aca="false">IF(EU119&lt;&gt;"Y","",COUNTIFS($EU$2:$EU$1000,"Y",$J$2:$J$1000,"&gt;"&amp;J119)+COUNTIFS($EU$2:$EU$1000,"Y",$J$2:$J$1000,J119,$EW$2:$EW$1000,"&lt;"&amp;EW119)+1)</f>
        <v/>
      </c>
      <c r="Z119" s="0" t="n">
        <v>118</v>
      </c>
      <c r="AA119" s="0" t="s">
        <v>162</v>
      </c>
      <c r="AD119" s="0" t="s">
        <v>158</v>
      </c>
      <c r="AH119" s="5" t="s">
        <v>158</v>
      </c>
      <c r="AI119" s="0" t="s">
        <v>2440</v>
      </c>
      <c r="AJ119" s="0" t="s">
        <v>2441</v>
      </c>
      <c r="AK119" s="0" t="s">
        <v>178</v>
      </c>
      <c r="AL119" s="0" t="s">
        <v>163</v>
      </c>
      <c r="AM119" s="0" t="s">
        <v>163</v>
      </c>
      <c r="AN119" s="0" t="s">
        <v>158</v>
      </c>
      <c r="AO119" s="0" t="s">
        <v>163</v>
      </c>
      <c r="AP119" s="0" t="s">
        <v>2437</v>
      </c>
      <c r="AQ119" s="5" t="s">
        <v>162</v>
      </c>
      <c r="AT119" s="0" t="str">
        <f aca="false">IF(AND(AX119="pass",AQ119&lt;&gt;"Y",C119&lt;&gt;"",OR(AW119&lt;&gt;"Y",AV119="Y")),"Y","N")</f>
        <v>N</v>
      </c>
      <c r="AU119" s="0" t="str">
        <f aca="false">_xlfn.TEXTJOIN("; ",TRUE(),IF(AX119&lt;&gt;"pass","gated out",""),IF(AQ119="Y","on hold: "&amp;AR119,""),IF(C119="","no contact named on an opened page",""),IF(AND(AW119="Y",AV119&lt;&gt;"Y"),"Tuesday estimate band "&amp;L119&amp;": founder's call",""))</f>
        <v>no contact named on an opened page</v>
      </c>
      <c r="AW119" s="0" t="s">
        <v>162</v>
      </c>
      <c r="AX119" s="0" t="s">
        <v>181</v>
      </c>
      <c r="AY119" s="0" t="s">
        <v>182</v>
      </c>
      <c r="AZ119" s="0" t="s">
        <v>1</v>
      </c>
      <c r="BA119" s="0" t="s">
        <v>2442</v>
      </c>
      <c r="BB119" s="0" t="s">
        <v>2443</v>
      </c>
      <c r="BC119" s="0" t="s">
        <v>2444</v>
      </c>
      <c r="BD119" s="0" t="s">
        <v>163</v>
      </c>
      <c r="BF119" s="0" t="s">
        <v>163</v>
      </c>
      <c r="BG119" s="0" t="s">
        <v>163</v>
      </c>
      <c r="BH119" s="0" t="s">
        <v>2195</v>
      </c>
      <c r="BK119" s="0" t="s">
        <v>163</v>
      </c>
      <c r="BL119" s="0" t="s">
        <v>2445</v>
      </c>
      <c r="BM119" s="0" t="s">
        <v>162</v>
      </c>
      <c r="BN119" s="0" t="s">
        <v>163</v>
      </c>
      <c r="BO119" s="0" t="s">
        <v>163</v>
      </c>
      <c r="BP119" s="0" t="s">
        <v>711</v>
      </c>
      <c r="BQ119" s="0" t="n">
        <v>40.743942</v>
      </c>
      <c r="BR119" s="0" t="n">
        <v>-73.988072</v>
      </c>
      <c r="BS119" s="0" t="s">
        <v>168</v>
      </c>
      <c r="BT119" s="0" t="n">
        <v>0</v>
      </c>
      <c r="BU119" s="0" t="s">
        <v>2446</v>
      </c>
      <c r="BV119" s="0" t="s">
        <v>2447</v>
      </c>
      <c r="BW119" s="0" t="s">
        <v>2439</v>
      </c>
      <c r="BX119" s="0" t="s">
        <v>2448</v>
      </c>
      <c r="BY119" s="0" t="s">
        <v>247</v>
      </c>
      <c r="BZ119" s="0" t="s">
        <v>2449</v>
      </c>
      <c r="CA119" s="0" t="s">
        <v>166</v>
      </c>
      <c r="CC119" s="0" t="s">
        <v>200</v>
      </c>
      <c r="CE119" s="0" t="s">
        <v>162</v>
      </c>
      <c r="CH119" s="0" t="s">
        <v>163</v>
      </c>
      <c r="CJ119" s="0" t="s">
        <v>163</v>
      </c>
      <c r="CK119" s="0" t="s">
        <v>162</v>
      </c>
      <c r="CL119" s="0" t="s">
        <v>163</v>
      </c>
      <c r="CO119" s="0" t="s">
        <v>163</v>
      </c>
      <c r="CQ119" s="0" t="s">
        <v>2196</v>
      </c>
      <c r="CR119" s="0" t="s">
        <v>206</v>
      </c>
      <c r="CS119" s="0" t="s">
        <v>163</v>
      </c>
      <c r="CT119" s="0" t="n">
        <v>36</v>
      </c>
      <c r="CU119" s="0" t="n">
        <v>7</v>
      </c>
      <c r="CV119" s="0" t="n">
        <v>8</v>
      </c>
      <c r="CW119" s="0" t="n">
        <v>6</v>
      </c>
      <c r="CX119" s="0" t="n">
        <v>15</v>
      </c>
      <c r="CY119" s="0" t="n">
        <f aca="false">IF(AH119="exact",10,IF(AH119="adjacent",5,0))</f>
        <v>0</v>
      </c>
      <c r="CZ119" s="0" t="n">
        <f aca="false">IF(R119="Y",15,0)</f>
        <v>0</v>
      </c>
      <c r="DF119" s="0" t="s">
        <v>158</v>
      </c>
      <c r="DG119" s="0" t="s">
        <v>211</v>
      </c>
      <c r="DJ119" s="0" t="s">
        <v>2450</v>
      </c>
      <c r="DK119" s="0" t="s">
        <v>2451</v>
      </c>
      <c r="DS119" s="0" t="s">
        <v>158</v>
      </c>
      <c r="DX119" s="0" t="s">
        <v>162</v>
      </c>
      <c r="ER119" s="0" t="str">
        <f aca="false">IF(ISNUMBER(MATCH(U119,{"queued","contacted","replied","call_booked","call_done","yes_in_principle","materials_sent"},0)),"Y","N")</f>
        <v>N</v>
      </c>
      <c r="ES119" s="0" t="str">
        <f aca="false">IF(COUNTIFS($AP$2:$AP$1000,AP119,$ER$2:$ER$1000,"Y")+COUNTIFS($AP$2:$AP$1000,AP119,$T$2:$T$1000,"Y")&gt;0,"Y","N")</f>
        <v>N</v>
      </c>
      <c r="ET119" s="0" t="str">
        <f aca="false">IF(AND(U119="new",T119="N",AT119="Y",AS119="",ES119="N"),"Y","N")</f>
        <v>N</v>
      </c>
      <c r="EU119" s="0" t="str">
        <f aca="false">IF(ET119&lt;&gt;"Y","N",IF(COUNTIFS($AP$2:$AP$1000,AP119,$ET$2:$ET$1000,"Y",$J$2:$J$1000,"&gt;"&amp;J119)+COUNTIFS($AP$2:$AP$1000,AP119,$ET$2:$ET$1000,"Y",$J$2:$J$1000,J119,$EW$2:$EW$1000,"&lt;"&amp;EW119)=0,"Y","N"))</f>
        <v>N</v>
      </c>
      <c r="EV119" s="0" t="str">
        <f aca="false">IF(Y119="","N",IF(Y119&lt;=10,"Y","N"))</f>
        <v>N</v>
      </c>
      <c r="EW119" s="0" t="n">
        <f aca="false">ROW()-1</f>
        <v>118</v>
      </c>
    </row>
    <row r="120" customFormat="false" ht="15" hidden="false" customHeight="false" outlineLevel="0" collapsed="false">
      <c r="A120" s="0" t="s">
        <v>2452</v>
      </c>
      <c r="B120" s="0" t="s">
        <v>2453</v>
      </c>
      <c r="H120" s="5" t="s">
        <v>158</v>
      </c>
      <c r="I120" s="5" t="s">
        <v>159</v>
      </c>
      <c r="J120" s="0" t="n">
        <f aca="false">IF(AX120="pass",ROUND(CU120+CV120+CW120+CX120+CY120+CZ120,1),0)</f>
        <v>36</v>
      </c>
      <c r="K120" s="0" t="s">
        <v>2191</v>
      </c>
      <c r="L120" s="0" t="s">
        <v>163</v>
      </c>
      <c r="R120" s="5" t="s">
        <v>162</v>
      </c>
      <c r="S120" s="0" t="s">
        <v>163</v>
      </c>
      <c r="T120" s="5" t="s">
        <v>162</v>
      </c>
      <c r="U120" s="5" t="s">
        <v>561</v>
      </c>
      <c r="V120" s="0" t="s">
        <v>2454</v>
      </c>
      <c r="W120" s="0" t="s">
        <v>166</v>
      </c>
      <c r="X120" s="0" t="s">
        <v>167</v>
      </c>
      <c r="Y120" s="0" t="str">
        <f aca="false">IF(EU120&lt;&gt;"Y","",COUNTIFS($EU$2:$EU$1000,"Y",$J$2:$J$1000,"&gt;"&amp;J120)+COUNTIFS($EU$2:$EU$1000,"Y",$J$2:$J$1000,J120,$EW$2:$EW$1000,"&lt;"&amp;EW120)+1)</f>
        <v/>
      </c>
      <c r="Z120" s="0" t="n">
        <v>119</v>
      </c>
      <c r="AA120" s="0" t="s">
        <v>162</v>
      </c>
      <c r="AD120" s="0" t="s">
        <v>158</v>
      </c>
      <c r="AH120" s="5" t="s">
        <v>158</v>
      </c>
      <c r="AI120" s="0" t="s">
        <v>649</v>
      </c>
      <c r="AJ120" s="0" t="s">
        <v>2455</v>
      </c>
      <c r="AK120" s="0" t="s">
        <v>178</v>
      </c>
      <c r="AL120" s="0" t="s">
        <v>163</v>
      </c>
      <c r="AM120" s="0" t="s">
        <v>163</v>
      </c>
      <c r="AN120" s="0" t="s">
        <v>158</v>
      </c>
      <c r="AO120" s="0" t="s">
        <v>163</v>
      </c>
      <c r="AP120" s="0" t="s">
        <v>2452</v>
      </c>
      <c r="AQ120" s="5" t="s">
        <v>162</v>
      </c>
      <c r="AT120" s="0" t="str">
        <f aca="false">IF(AND(AX120="pass",AQ120&lt;&gt;"Y",C120&lt;&gt;"",OR(AW120&lt;&gt;"Y",AV120="Y")),"Y","N")</f>
        <v>N</v>
      </c>
      <c r="AU120" s="0" t="str">
        <f aca="false">_xlfn.TEXTJOIN("; ",TRUE(),IF(AX120&lt;&gt;"pass","gated out",""),IF(AQ120="Y","on hold: "&amp;AR120,""),IF(C120="","no contact named on an opened page",""),IF(AND(AW120="Y",AV120&lt;&gt;"Y"),"Tuesday estimate band "&amp;L120&amp;": founder's call",""))</f>
        <v>no contact named on an opened page</v>
      </c>
      <c r="AW120" s="0" t="s">
        <v>162</v>
      </c>
      <c r="AX120" s="0" t="s">
        <v>181</v>
      </c>
      <c r="AY120" s="0" t="s">
        <v>182</v>
      </c>
      <c r="AZ120" s="0" t="s">
        <v>1</v>
      </c>
      <c r="BA120" s="0" t="s">
        <v>2456</v>
      </c>
      <c r="BB120" s="0" t="s">
        <v>2457</v>
      </c>
      <c r="BC120" s="0" t="s">
        <v>2458</v>
      </c>
      <c r="BD120" s="0" t="s">
        <v>163</v>
      </c>
      <c r="BF120" s="0" t="s">
        <v>163</v>
      </c>
      <c r="BG120" s="0" t="s">
        <v>163</v>
      </c>
      <c r="BH120" s="0" t="s">
        <v>2195</v>
      </c>
      <c r="BK120" s="0" t="s">
        <v>163</v>
      </c>
      <c r="BL120" s="0" t="s">
        <v>163</v>
      </c>
      <c r="BM120" s="0" t="s">
        <v>163</v>
      </c>
      <c r="BN120" s="0" t="s">
        <v>163</v>
      </c>
      <c r="BO120" s="0" t="s">
        <v>163</v>
      </c>
      <c r="BP120" s="0" t="s">
        <v>193</v>
      </c>
      <c r="BQ120" s="0" t="n">
        <v>40.733674</v>
      </c>
      <c r="BR120" s="0" t="n">
        <v>-73.988766</v>
      </c>
      <c r="BS120" s="0" t="s">
        <v>168</v>
      </c>
      <c r="BT120" s="0" t="n">
        <v>0</v>
      </c>
      <c r="BU120" s="0" t="s">
        <v>657</v>
      </c>
      <c r="BV120" s="0" t="s">
        <v>658</v>
      </c>
      <c r="BW120" s="0" t="s">
        <v>2454</v>
      </c>
      <c r="BX120" s="0" t="s">
        <v>174</v>
      </c>
      <c r="BY120" s="0" t="s">
        <v>196</v>
      </c>
      <c r="BZ120" s="0" t="s">
        <v>2459</v>
      </c>
      <c r="CA120" s="0" t="s">
        <v>2460</v>
      </c>
      <c r="CC120" s="0" t="s">
        <v>200</v>
      </c>
      <c r="CE120" s="0" t="s">
        <v>162</v>
      </c>
      <c r="CH120" s="0" t="s">
        <v>163</v>
      </c>
      <c r="CJ120" s="0" t="s">
        <v>163</v>
      </c>
      <c r="CK120" s="0" t="s">
        <v>162</v>
      </c>
      <c r="CL120" s="0" t="s">
        <v>163</v>
      </c>
      <c r="CO120" s="0" t="s">
        <v>163</v>
      </c>
      <c r="CQ120" s="0" t="s">
        <v>2196</v>
      </c>
      <c r="CR120" s="0" t="s">
        <v>206</v>
      </c>
      <c r="CS120" s="0" t="s">
        <v>163</v>
      </c>
      <c r="CT120" s="0" t="n">
        <v>36</v>
      </c>
      <c r="CU120" s="0" t="n">
        <v>7</v>
      </c>
      <c r="CV120" s="0" t="n">
        <v>8</v>
      </c>
      <c r="CW120" s="0" t="n">
        <v>6</v>
      </c>
      <c r="CX120" s="0" t="n">
        <v>15</v>
      </c>
      <c r="CY120" s="0" t="n">
        <f aca="false">IF(AH120="exact",10,IF(AH120="adjacent",5,0))</f>
        <v>0</v>
      </c>
      <c r="CZ120" s="0" t="n">
        <f aca="false">IF(R120="Y",15,0)</f>
        <v>0</v>
      </c>
      <c r="DF120" s="0" t="s">
        <v>158</v>
      </c>
      <c r="DG120" s="0" t="s">
        <v>211</v>
      </c>
      <c r="DJ120" s="0" t="s">
        <v>2461</v>
      </c>
      <c r="DK120" s="0" t="s">
        <v>2462</v>
      </c>
      <c r="DS120" s="0" t="s">
        <v>158</v>
      </c>
      <c r="DX120" s="0" t="s">
        <v>162</v>
      </c>
      <c r="ER120" s="0" t="str">
        <f aca="false">IF(ISNUMBER(MATCH(U120,{"queued","contacted","replied","call_booked","call_done","yes_in_principle","materials_sent"},0)),"Y","N")</f>
        <v>N</v>
      </c>
      <c r="ES120" s="0" t="str">
        <f aca="false">IF(COUNTIFS($AP$2:$AP$1000,AP120,$ER$2:$ER$1000,"Y")+COUNTIFS($AP$2:$AP$1000,AP120,$T$2:$T$1000,"Y")&gt;0,"Y","N")</f>
        <v>N</v>
      </c>
      <c r="ET120" s="0" t="str">
        <f aca="false">IF(AND(U120="new",T120="N",AT120="Y",AS120="",ES120="N"),"Y","N")</f>
        <v>N</v>
      </c>
      <c r="EU120" s="0" t="str">
        <f aca="false">IF(ET120&lt;&gt;"Y","N",IF(COUNTIFS($AP$2:$AP$1000,AP120,$ET$2:$ET$1000,"Y",$J$2:$J$1000,"&gt;"&amp;J120)+COUNTIFS($AP$2:$AP$1000,AP120,$ET$2:$ET$1000,"Y",$J$2:$J$1000,J120,$EW$2:$EW$1000,"&lt;"&amp;EW120)=0,"Y","N"))</f>
        <v>N</v>
      </c>
      <c r="EV120" s="0" t="str">
        <f aca="false">IF(Y120="","N",IF(Y120&lt;=10,"Y","N"))</f>
        <v>N</v>
      </c>
      <c r="EW120" s="0" t="n">
        <f aca="false">ROW()-1</f>
        <v>119</v>
      </c>
    </row>
    <row r="121" customFormat="false" ht="15" hidden="false" customHeight="false" outlineLevel="0" collapsed="false">
      <c r="A121" s="0" t="s">
        <v>2463</v>
      </c>
      <c r="B121" s="0" t="s">
        <v>2464</v>
      </c>
      <c r="H121" s="5" t="s">
        <v>158</v>
      </c>
      <c r="I121" s="5" t="s">
        <v>159</v>
      </c>
      <c r="J121" s="0" t="n">
        <f aca="false">IF(AX121="pass",ROUND(CU121+CV121+CW121+CX121+CY121+CZ121,1),0)</f>
        <v>36</v>
      </c>
      <c r="K121" s="0" t="s">
        <v>2191</v>
      </c>
      <c r="L121" s="0" t="s">
        <v>163</v>
      </c>
      <c r="R121" s="5" t="s">
        <v>162</v>
      </c>
      <c r="S121" s="0" t="s">
        <v>163</v>
      </c>
      <c r="T121" s="5" t="s">
        <v>162</v>
      </c>
      <c r="U121" s="5" t="s">
        <v>561</v>
      </c>
      <c r="V121" s="0" t="s">
        <v>2465</v>
      </c>
      <c r="W121" s="0" t="s">
        <v>166</v>
      </c>
      <c r="X121" s="0" t="s">
        <v>167</v>
      </c>
      <c r="Y121" s="0" t="str">
        <f aca="false">IF(EU121&lt;&gt;"Y","",COUNTIFS($EU$2:$EU$1000,"Y",$J$2:$J$1000,"&gt;"&amp;J121)+COUNTIFS($EU$2:$EU$1000,"Y",$J$2:$J$1000,J121,$EW$2:$EW$1000,"&lt;"&amp;EW121)+1)</f>
        <v/>
      </c>
      <c r="Z121" s="0" t="n">
        <v>120</v>
      </c>
      <c r="AA121" s="0" t="s">
        <v>162</v>
      </c>
      <c r="AD121" s="0" t="s">
        <v>158</v>
      </c>
      <c r="AH121" s="5" t="s">
        <v>158</v>
      </c>
      <c r="AI121" s="0" t="s">
        <v>2407</v>
      </c>
      <c r="AJ121" s="0" t="s">
        <v>783</v>
      </c>
      <c r="AK121" s="0" t="s">
        <v>178</v>
      </c>
      <c r="AL121" s="0" t="s">
        <v>163</v>
      </c>
      <c r="AM121" s="0" t="s">
        <v>163</v>
      </c>
      <c r="AN121" s="0" t="s">
        <v>158</v>
      </c>
      <c r="AO121" s="0" t="s">
        <v>163</v>
      </c>
      <c r="AP121" s="0" t="s">
        <v>2463</v>
      </c>
      <c r="AQ121" s="5" t="s">
        <v>162</v>
      </c>
      <c r="AT121" s="0" t="str">
        <f aca="false">IF(AND(AX121="pass",AQ121&lt;&gt;"Y",C121&lt;&gt;"",OR(AW121&lt;&gt;"Y",AV121="Y")),"Y","N")</f>
        <v>N</v>
      </c>
      <c r="AU121" s="0" t="str">
        <f aca="false">_xlfn.TEXTJOIN("; ",TRUE(),IF(AX121&lt;&gt;"pass","gated out",""),IF(AQ121="Y","on hold: "&amp;AR121,""),IF(C121="","no contact named on an opened page",""),IF(AND(AW121="Y",AV121&lt;&gt;"Y"),"Tuesday estimate band "&amp;L121&amp;": founder's call",""))</f>
        <v>no contact named on an opened page</v>
      </c>
      <c r="AW121" s="0" t="s">
        <v>162</v>
      </c>
      <c r="AX121" s="0" t="s">
        <v>181</v>
      </c>
      <c r="AY121" s="0" t="s">
        <v>182</v>
      </c>
      <c r="AZ121" s="0" t="s">
        <v>1</v>
      </c>
      <c r="BA121" s="0" t="s">
        <v>2466</v>
      </c>
      <c r="BB121" s="0" t="s">
        <v>2467</v>
      </c>
      <c r="BC121" s="0" t="s">
        <v>1736</v>
      </c>
      <c r="BD121" s="0" t="s">
        <v>163</v>
      </c>
      <c r="BF121" s="0" t="s">
        <v>163</v>
      </c>
      <c r="BG121" s="0" t="s">
        <v>163</v>
      </c>
      <c r="BH121" s="0" t="s">
        <v>2195</v>
      </c>
      <c r="BK121" s="0" t="s">
        <v>163</v>
      </c>
      <c r="BL121" s="0" t="s">
        <v>163</v>
      </c>
      <c r="BM121" s="0" t="s">
        <v>163</v>
      </c>
      <c r="BN121" s="0" t="s">
        <v>163</v>
      </c>
      <c r="BO121" s="0" t="s">
        <v>163</v>
      </c>
      <c r="BP121" s="0" t="s">
        <v>346</v>
      </c>
      <c r="BQ121" s="0" t="n">
        <v>40.742477</v>
      </c>
      <c r="BR121" s="0" t="n">
        <v>-73.986608</v>
      </c>
      <c r="BS121" s="0" t="s">
        <v>168</v>
      </c>
      <c r="BT121" s="0" t="n">
        <v>0</v>
      </c>
      <c r="BU121" s="0" t="s">
        <v>2412</v>
      </c>
      <c r="BV121" s="0" t="s">
        <v>2413</v>
      </c>
      <c r="BW121" s="0" t="s">
        <v>2465</v>
      </c>
      <c r="BX121" s="0" t="s">
        <v>166</v>
      </c>
      <c r="BY121" s="0" t="s">
        <v>196</v>
      </c>
      <c r="BZ121" s="0" t="s">
        <v>2468</v>
      </c>
      <c r="CA121" s="0" t="s">
        <v>408</v>
      </c>
      <c r="CC121" s="0" t="s">
        <v>200</v>
      </c>
      <c r="CE121" s="0" t="s">
        <v>162</v>
      </c>
      <c r="CH121" s="0" t="s">
        <v>201</v>
      </c>
      <c r="CI121" s="0" t="s">
        <v>2415</v>
      </c>
      <c r="CJ121" s="0" t="s">
        <v>163</v>
      </c>
      <c r="CK121" s="0" t="s">
        <v>162</v>
      </c>
      <c r="CL121" s="0" t="s">
        <v>163</v>
      </c>
      <c r="CO121" s="0" t="s">
        <v>163</v>
      </c>
      <c r="CQ121" s="0" t="s">
        <v>2196</v>
      </c>
      <c r="CR121" s="0" t="s">
        <v>206</v>
      </c>
      <c r="CS121" s="0" t="s">
        <v>163</v>
      </c>
      <c r="CT121" s="0" t="n">
        <v>36</v>
      </c>
      <c r="CU121" s="0" t="n">
        <v>7</v>
      </c>
      <c r="CV121" s="0" t="n">
        <v>8</v>
      </c>
      <c r="CW121" s="0" t="n">
        <v>6</v>
      </c>
      <c r="CX121" s="0" t="n">
        <v>15</v>
      </c>
      <c r="CY121" s="0" t="n">
        <f aca="false">IF(AH121="exact",10,IF(AH121="adjacent",5,0))</f>
        <v>0</v>
      </c>
      <c r="CZ121" s="0" t="n">
        <f aca="false">IF(R121="Y",15,0)</f>
        <v>0</v>
      </c>
      <c r="DF121" s="0" t="s">
        <v>158</v>
      </c>
      <c r="DG121" s="0" t="s">
        <v>211</v>
      </c>
      <c r="DJ121" s="0" t="s">
        <v>2469</v>
      </c>
      <c r="DK121" s="0" t="s">
        <v>2470</v>
      </c>
      <c r="DS121" s="0" t="s">
        <v>158</v>
      </c>
      <c r="DX121" s="0" t="s">
        <v>162</v>
      </c>
      <c r="ER121" s="0" t="str">
        <f aca="false">IF(ISNUMBER(MATCH(U121,{"queued","contacted","replied","call_booked","call_done","yes_in_principle","materials_sent"},0)),"Y","N")</f>
        <v>N</v>
      </c>
      <c r="ES121" s="0" t="str">
        <f aca="false">IF(COUNTIFS($AP$2:$AP$1000,AP121,$ER$2:$ER$1000,"Y")+COUNTIFS($AP$2:$AP$1000,AP121,$T$2:$T$1000,"Y")&gt;0,"Y","N")</f>
        <v>N</v>
      </c>
      <c r="ET121" s="0" t="str">
        <f aca="false">IF(AND(U121="new",T121="N",AT121="Y",AS121="",ES121="N"),"Y","N")</f>
        <v>N</v>
      </c>
      <c r="EU121" s="0" t="str">
        <f aca="false">IF(ET121&lt;&gt;"Y","N",IF(COUNTIFS($AP$2:$AP$1000,AP121,$ET$2:$ET$1000,"Y",$J$2:$J$1000,"&gt;"&amp;J121)+COUNTIFS($AP$2:$AP$1000,AP121,$ET$2:$ET$1000,"Y",$J$2:$J$1000,J121,$EW$2:$EW$1000,"&lt;"&amp;EW121)=0,"Y","N"))</f>
        <v>N</v>
      </c>
      <c r="EV121" s="0" t="str">
        <f aca="false">IF(Y121="","N",IF(Y121&lt;=10,"Y","N"))</f>
        <v>N</v>
      </c>
      <c r="EW121" s="0" t="n">
        <f aca="false">ROW()-1</f>
        <v>120</v>
      </c>
    </row>
    <row r="122" customFormat="false" ht="15" hidden="false" customHeight="false" outlineLevel="0" collapsed="false">
      <c r="A122" s="0" t="s">
        <v>2471</v>
      </c>
      <c r="B122" s="0" t="s">
        <v>2472</v>
      </c>
      <c r="H122" s="5" t="s">
        <v>158</v>
      </c>
      <c r="I122" s="5" t="s">
        <v>159</v>
      </c>
      <c r="J122" s="0" t="n">
        <f aca="false">IF(AX122="pass",ROUND(CU122+CV122+CW122+CX122+CY122+CZ122,1),0)</f>
        <v>36</v>
      </c>
      <c r="K122" s="0" t="s">
        <v>2224</v>
      </c>
      <c r="L122" s="0" t="s">
        <v>163</v>
      </c>
      <c r="R122" s="5" t="s">
        <v>162</v>
      </c>
      <c r="S122" s="0" t="s">
        <v>163</v>
      </c>
      <c r="T122" s="5" t="s">
        <v>162</v>
      </c>
      <c r="U122" s="5" t="s">
        <v>561</v>
      </c>
      <c r="V122" s="0" t="s">
        <v>2473</v>
      </c>
      <c r="W122" s="0" t="s">
        <v>166</v>
      </c>
      <c r="X122" s="0" t="s">
        <v>167</v>
      </c>
      <c r="Y122" s="0" t="str">
        <f aca="false">IF(EU122&lt;&gt;"Y","",COUNTIFS($EU$2:$EU$1000,"Y",$J$2:$J$1000,"&gt;"&amp;J122)+COUNTIFS($EU$2:$EU$1000,"Y",$J$2:$J$1000,J122,$EW$2:$EW$1000,"&lt;"&amp;EW122)+1)</f>
        <v/>
      </c>
      <c r="Z122" s="0" t="n">
        <v>121</v>
      </c>
      <c r="AA122" s="0" t="s">
        <v>162</v>
      </c>
      <c r="AD122" s="0" t="s">
        <v>158</v>
      </c>
      <c r="AH122" s="5" t="s">
        <v>158</v>
      </c>
      <c r="AI122" s="0" t="s">
        <v>2474</v>
      </c>
      <c r="AJ122" s="0" t="s">
        <v>2475</v>
      </c>
      <c r="AK122" s="0" t="s">
        <v>2227</v>
      </c>
      <c r="AL122" s="0" t="s">
        <v>163</v>
      </c>
      <c r="AM122" s="0" t="s">
        <v>163</v>
      </c>
      <c r="AN122" s="0" t="s">
        <v>158</v>
      </c>
      <c r="AO122" s="0" t="s">
        <v>163</v>
      </c>
      <c r="AP122" s="0" t="s">
        <v>2476</v>
      </c>
      <c r="AQ122" s="5" t="s">
        <v>162</v>
      </c>
      <c r="AT122" s="0" t="str">
        <f aca="false">IF(AND(AX122="pass",AQ122&lt;&gt;"Y",C122&lt;&gt;"",OR(AW122&lt;&gt;"Y",AV122="Y")),"Y","N")</f>
        <v>N</v>
      </c>
      <c r="AU122" s="0" t="str">
        <f aca="false">_xlfn.TEXTJOIN("; ",TRUE(),IF(AX122&lt;&gt;"pass","gated out",""),IF(AQ122="Y","on hold: "&amp;AR122,""),IF(C122="","no contact named on an opened page",""),IF(AND(AW122="Y",AV122&lt;&gt;"Y"),"Tuesday estimate band "&amp;L122&amp;": founder's call",""))</f>
        <v>no contact named on an opened page</v>
      </c>
      <c r="AW122" s="0" t="s">
        <v>162</v>
      </c>
      <c r="AX122" s="0" t="s">
        <v>181</v>
      </c>
      <c r="AY122" s="0" t="s">
        <v>182</v>
      </c>
      <c r="AZ122" s="0" t="s">
        <v>2228</v>
      </c>
      <c r="BA122" s="0" t="s">
        <v>2477</v>
      </c>
      <c r="BB122" s="0" t="s">
        <v>2478</v>
      </c>
      <c r="BC122" s="0" t="s">
        <v>2231</v>
      </c>
      <c r="BD122" s="0" t="s">
        <v>163</v>
      </c>
      <c r="BF122" s="0" t="s">
        <v>163</v>
      </c>
      <c r="BG122" s="0" t="s">
        <v>163</v>
      </c>
      <c r="BK122" s="0" t="s">
        <v>163</v>
      </c>
      <c r="BL122" s="0" t="s">
        <v>2232</v>
      </c>
      <c r="BM122" s="0" t="s">
        <v>163</v>
      </c>
      <c r="BN122" s="0" t="s">
        <v>2479</v>
      </c>
      <c r="BP122" s="0" t="s">
        <v>193</v>
      </c>
      <c r="BQ122" s="0" t="n">
        <v>40.739015</v>
      </c>
      <c r="BR122" s="0" t="n">
        <v>-73.989998</v>
      </c>
      <c r="BS122" s="0" t="s">
        <v>168</v>
      </c>
      <c r="BT122" s="0" t="n">
        <v>0</v>
      </c>
      <c r="BU122" s="0" t="s">
        <v>2480</v>
      </c>
      <c r="BV122" s="0" t="s">
        <v>2481</v>
      </c>
      <c r="BW122" s="0" t="s">
        <v>2473</v>
      </c>
      <c r="BX122" s="0" t="s">
        <v>2482</v>
      </c>
      <c r="BY122" s="0" t="s">
        <v>2236</v>
      </c>
      <c r="BZ122" s="0" t="s">
        <v>2483</v>
      </c>
      <c r="CC122" s="0" t="s">
        <v>200</v>
      </c>
      <c r="CE122" s="0" t="s">
        <v>162</v>
      </c>
      <c r="CF122" s="0" t="s">
        <v>2477</v>
      </c>
      <c r="CG122" s="0" t="s">
        <v>2238</v>
      </c>
      <c r="CH122" s="0" t="s">
        <v>163</v>
      </c>
      <c r="CJ122" s="0" t="s">
        <v>163</v>
      </c>
      <c r="CK122" s="0" t="s">
        <v>162</v>
      </c>
      <c r="CL122" s="0" t="s">
        <v>163</v>
      </c>
      <c r="CO122" s="0" t="s">
        <v>163</v>
      </c>
      <c r="CQ122" s="0" t="s">
        <v>2239</v>
      </c>
      <c r="CR122" s="0" t="s">
        <v>206</v>
      </c>
      <c r="CS122" s="0" t="s">
        <v>163</v>
      </c>
      <c r="CT122" s="0" t="n">
        <v>36</v>
      </c>
      <c r="CU122" s="0" t="n">
        <v>7</v>
      </c>
      <c r="CV122" s="0" t="n">
        <v>8</v>
      </c>
      <c r="CW122" s="0" t="n">
        <v>6</v>
      </c>
      <c r="CX122" s="0" t="n">
        <v>15</v>
      </c>
      <c r="CY122" s="0" t="n">
        <f aca="false">IF(AH122="exact",10,IF(AH122="adjacent",5,0))</f>
        <v>0</v>
      </c>
      <c r="CZ122" s="0" t="n">
        <f aca="false">IF(R122="Y",15,0)</f>
        <v>0</v>
      </c>
      <c r="DF122" s="0" t="s">
        <v>158</v>
      </c>
      <c r="DG122" s="0" t="s">
        <v>2228</v>
      </c>
      <c r="DK122" s="0" t="s">
        <v>2484</v>
      </c>
      <c r="DS122" s="0" t="s">
        <v>158</v>
      </c>
      <c r="DX122" s="0" t="s">
        <v>162</v>
      </c>
      <c r="DZ122" s="0" t="s">
        <v>2485</v>
      </c>
      <c r="ER122" s="0" t="str">
        <f aca="false">IF(ISNUMBER(MATCH(U122,{"queued","contacted","replied","call_booked","call_done","yes_in_principle","materials_sent"},0)),"Y","N")</f>
        <v>N</v>
      </c>
      <c r="ES122" s="0" t="str">
        <f aca="false">IF(COUNTIFS($AP$2:$AP$1000,AP122,$ER$2:$ER$1000,"Y")+COUNTIFS($AP$2:$AP$1000,AP122,$T$2:$T$1000,"Y")&gt;0,"Y","N")</f>
        <v>N</v>
      </c>
      <c r="ET122" s="0" t="str">
        <f aca="false">IF(AND(U122="new",T122="N",AT122="Y",AS122="",ES122="N"),"Y","N")</f>
        <v>N</v>
      </c>
      <c r="EU122" s="0" t="str">
        <f aca="false">IF(ET122&lt;&gt;"Y","N",IF(COUNTIFS($AP$2:$AP$1000,AP122,$ET$2:$ET$1000,"Y",$J$2:$J$1000,"&gt;"&amp;J122)+COUNTIFS($AP$2:$AP$1000,AP122,$ET$2:$ET$1000,"Y",$J$2:$J$1000,J122,$EW$2:$EW$1000,"&lt;"&amp;EW122)=0,"Y","N"))</f>
        <v>N</v>
      </c>
      <c r="EV122" s="0" t="str">
        <f aca="false">IF(Y122="","N",IF(Y122&lt;=10,"Y","N"))</f>
        <v>N</v>
      </c>
      <c r="EW122" s="0" t="n">
        <f aca="false">ROW()-1</f>
        <v>121</v>
      </c>
    </row>
    <row r="123" customFormat="false" ht="15" hidden="false" customHeight="false" outlineLevel="0" collapsed="false">
      <c r="A123" s="0" t="s">
        <v>2486</v>
      </c>
      <c r="B123" s="0" t="s">
        <v>2487</v>
      </c>
      <c r="H123" s="5" t="s">
        <v>158</v>
      </c>
      <c r="I123" s="5" t="s">
        <v>159</v>
      </c>
      <c r="J123" s="0" t="n">
        <f aca="false">IF(AX123="pass",ROUND(CU123+CV123+CW123+CX123+CY123+CZ123,1),0)</f>
        <v>36</v>
      </c>
      <c r="K123" s="0" t="s">
        <v>2224</v>
      </c>
      <c r="L123" s="0" t="s">
        <v>163</v>
      </c>
      <c r="R123" s="5" t="s">
        <v>162</v>
      </c>
      <c r="S123" s="0" t="s">
        <v>163</v>
      </c>
      <c r="T123" s="5" t="s">
        <v>162</v>
      </c>
      <c r="U123" s="5" t="s">
        <v>561</v>
      </c>
      <c r="V123" s="0" t="s">
        <v>2483</v>
      </c>
      <c r="W123" s="0" t="s">
        <v>166</v>
      </c>
      <c r="X123" s="0" t="s">
        <v>167</v>
      </c>
      <c r="Y123" s="0" t="str">
        <f aca="false">IF(EU123&lt;&gt;"Y","",COUNTIFS($EU$2:$EU$1000,"Y",$J$2:$J$1000,"&gt;"&amp;J123)+COUNTIFS($EU$2:$EU$1000,"Y",$J$2:$J$1000,J123,$EW$2:$EW$1000,"&lt;"&amp;EW123)+1)</f>
        <v/>
      </c>
      <c r="Z123" s="0" t="n">
        <v>122</v>
      </c>
      <c r="AA123" s="0" t="s">
        <v>162</v>
      </c>
      <c r="AD123" s="0" t="s">
        <v>158</v>
      </c>
      <c r="AH123" s="5" t="s">
        <v>158</v>
      </c>
      <c r="AI123" s="0" t="s">
        <v>2488</v>
      </c>
      <c r="AJ123" s="0" t="s">
        <v>2475</v>
      </c>
      <c r="AK123" s="0" t="s">
        <v>2227</v>
      </c>
      <c r="AL123" s="0" t="s">
        <v>163</v>
      </c>
      <c r="AM123" s="0" t="s">
        <v>163</v>
      </c>
      <c r="AN123" s="0" t="s">
        <v>158</v>
      </c>
      <c r="AO123" s="0" t="s">
        <v>163</v>
      </c>
      <c r="AP123" s="0" t="s">
        <v>2476</v>
      </c>
      <c r="AQ123" s="5" t="s">
        <v>162</v>
      </c>
      <c r="AT123" s="0" t="str">
        <f aca="false">IF(AND(AX123="pass",AQ123&lt;&gt;"Y",C123&lt;&gt;"",OR(AW123&lt;&gt;"Y",AV123="Y")),"Y","N")</f>
        <v>N</v>
      </c>
      <c r="AU123" s="0" t="str">
        <f aca="false">_xlfn.TEXTJOIN("; ",TRUE(),IF(AX123&lt;&gt;"pass","gated out",""),IF(AQ123="Y","on hold: "&amp;AR123,""),IF(C123="","no contact named on an opened page",""),IF(AND(AW123="Y",AV123&lt;&gt;"Y"),"Tuesday estimate band "&amp;L123&amp;": founder's call",""))</f>
        <v>no contact named on an opened page</v>
      </c>
      <c r="AW123" s="0" t="s">
        <v>162</v>
      </c>
      <c r="AX123" s="0" t="s">
        <v>181</v>
      </c>
      <c r="AY123" s="0" t="s">
        <v>182</v>
      </c>
      <c r="AZ123" s="0" t="s">
        <v>2228</v>
      </c>
      <c r="BA123" s="0" t="s">
        <v>2489</v>
      </c>
      <c r="BB123" s="0" t="s">
        <v>2490</v>
      </c>
      <c r="BC123" s="0" t="s">
        <v>2231</v>
      </c>
      <c r="BD123" s="0" t="s">
        <v>163</v>
      </c>
      <c r="BF123" s="0" t="s">
        <v>163</v>
      </c>
      <c r="BG123" s="0" t="s">
        <v>163</v>
      </c>
      <c r="BK123" s="0" t="s">
        <v>163</v>
      </c>
      <c r="BL123" s="0" t="s">
        <v>2232</v>
      </c>
      <c r="BM123" s="0" t="s">
        <v>163</v>
      </c>
      <c r="BN123" s="0" t="s">
        <v>2479</v>
      </c>
      <c r="BP123" s="0" t="s">
        <v>243</v>
      </c>
      <c r="BQ123" s="0" t="n">
        <v>40.742833</v>
      </c>
      <c r="BR123" s="0" t="n">
        <v>-73.984174</v>
      </c>
      <c r="BS123" s="0" t="s">
        <v>168</v>
      </c>
      <c r="BT123" s="0" t="n">
        <v>0</v>
      </c>
      <c r="BU123" s="0" t="s">
        <v>244</v>
      </c>
      <c r="BV123" s="0" t="s">
        <v>245</v>
      </c>
      <c r="BW123" s="0" t="s">
        <v>2483</v>
      </c>
      <c r="BX123" s="0" t="s">
        <v>2491</v>
      </c>
      <c r="BY123" s="0" t="s">
        <v>2236</v>
      </c>
      <c r="BZ123" s="0" t="s">
        <v>2492</v>
      </c>
      <c r="CC123" s="0" t="s">
        <v>200</v>
      </c>
      <c r="CE123" s="0" t="s">
        <v>162</v>
      </c>
      <c r="CF123" s="0" t="s">
        <v>2489</v>
      </c>
      <c r="CG123" s="0" t="s">
        <v>2238</v>
      </c>
      <c r="CH123" s="0" t="s">
        <v>163</v>
      </c>
      <c r="CJ123" s="0" t="s">
        <v>163</v>
      </c>
      <c r="CK123" s="0" t="s">
        <v>162</v>
      </c>
      <c r="CL123" s="0" t="s">
        <v>163</v>
      </c>
      <c r="CO123" s="0" t="s">
        <v>163</v>
      </c>
      <c r="CQ123" s="0" t="s">
        <v>2239</v>
      </c>
      <c r="CR123" s="0" t="s">
        <v>206</v>
      </c>
      <c r="CS123" s="0" t="s">
        <v>163</v>
      </c>
      <c r="CT123" s="0" t="n">
        <v>36</v>
      </c>
      <c r="CU123" s="0" t="n">
        <v>7</v>
      </c>
      <c r="CV123" s="0" t="n">
        <v>8</v>
      </c>
      <c r="CW123" s="0" t="n">
        <v>6</v>
      </c>
      <c r="CX123" s="0" t="n">
        <v>15</v>
      </c>
      <c r="CY123" s="0" t="n">
        <f aca="false">IF(AH123="exact",10,IF(AH123="adjacent",5,0))</f>
        <v>0</v>
      </c>
      <c r="CZ123" s="0" t="n">
        <f aca="false">IF(R123="Y",15,0)</f>
        <v>0</v>
      </c>
      <c r="DF123" s="0" t="s">
        <v>158</v>
      </c>
      <c r="DG123" s="0" t="s">
        <v>2228</v>
      </c>
      <c r="DK123" s="0" t="s">
        <v>2493</v>
      </c>
      <c r="DS123" s="0" t="s">
        <v>158</v>
      </c>
      <c r="DX123" s="0" t="s">
        <v>162</v>
      </c>
      <c r="DZ123" s="0" t="s">
        <v>2494</v>
      </c>
      <c r="ER123" s="0" t="str">
        <f aca="false">IF(ISNUMBER(MATCH(U123,{"queued","contacted","replied","call_booked","call_done","yes_in_principle","materials_sent"},0)),"Y","N")</f>
        <v>N</v>
      </c>
      <c r="ES123" s="0" t="str">
        <f aca="false">IF(COUNTIFS($AP$2:$AP$1000,AP123,$ER$2:$ER$1000,"Y")+COUNTIFS($AP$2:$AP$1000,AP123,$T$2:$T$1000,"Y")&gt;0,"Y","N")</f>
        <v>N</v>
      </c>
      <c r="ET123" s="0" t="str">
        <f aca="false">IF(AND(U123="new",T123="N",AT123="Y",AS123="",ES123="N"),"Y","N")</f>
        <v>N</v>
      </c>
      <c r="EU123" s="0" t="str">
        <f aca="false">IF(ET123&lt;&gt;"Y","N",IF(COUNTIFS($AP$2:$AP$1000,AP123,$ET$2:$ET$1000,"Y",$J$2:$J$1000,"&gt;"&amp;J123)+COUNTIFS($AP$2:$AP$1000,AP123,$ET$2:$ET$1000,"Y",$J$2:$J$1000,J123,$EW$2:$EW$1000,"&lt;"&amp;EW123)=0,"Y","N"))</f>
        <v>N</v>
      </c>
      <c r="EV123" s="0" t="str">
        <f aca="false">IF(Y123="","N",IF(Y123&lt;=10,"Y","N"))</f>
        <v>N</v>
      </c>
      <c r="EW123" s="0" t="n">
        <f aca="false">ROW()-1</f>
        <v>122</v>
      </c>
    </row>
    <row r="124" customFormat="false" ht="15" hidden="false" customHeight="false" outlineLevel="0" collapsed="false">
      <c r="A124" s="0" t="s">
        <v>2495</v>
      </c>
      <c r="B124" s="0" t="s">
        <v>2496</v>
      </c>
      <c r="H124" s="5" t="s">
        <v>158</v>
      </c>
      <c r="I124" s="5" t="s">
        <v>159</v>
      </c>
      <c r="J124" s="0" t="n">
        <f aca="false">IF(AX124="pass",ROUND(CU124+CV124+CW124+CX124+CY124+CZ124,1),0)</f>
        <v>36</v>
      </c>
      <c r="K124" s="0" t="s">
        <v>2191</v>
      </c>
      <c r="L124" s="0" t="s">
        <v>163</v>
      </c>
      <c r="R124" s="5" t="s">
        <v>162</v>
      </c>
      <c r="S124" s="0" t="s">
        <v>163</v>
      </c>
      <c r="T124" s="5" t="s">
        <v>162</v>
      </c>
      <c r="U124" s="5" t="s">
        <v>561</v>
      </c>
      <c r="V124" s="0" t="s">
        <v>2497</v>
      </c>
      <c r="W124" s="0" t="s">
        <v>166</v>
      </c>
      <c r="X124" s="0" t="s">
        <v>167</v>
      </c>
      <c r="Y124" s="0" t="str">
        <f aca="false">IF(EU124&lt;&gt;"Y","",COUNTIFS($EU$2:$EU$1000,"Y",$J$2:$J$1000,"&gt;"&amp;J124)+COUNTIFS($EU$2:$EU$1000,"Y",$J$2:$J$1000,J124,$EW$2:$EW$1000,"&lt;"&amp;EW124)+1)</f>
        <v/>
      </c>
      <c r="Z124" s="0" t="n">
        <v>123</v>
      </c>
      <c r="AA124" s="0" t="s">
        <v>162</v>
      </c>
      <c r="AD124" s="0" t="s">
        <v>158</v>
      </c>
      <c r="AH124" s="5" t="s">
        <v>158</v>
      </c>
      <c r="AI124" s="0" t="s">
        <v>727</v>
      </c>
      <c r="AJ124" s="0" t="s">
        <v>783</v>
      </c>
      <c r="AK124" s="0" t="s">
        <v>178</v>
      </c>
      <c r="AL124" s="0" t="s">
        <v>163</v>
      </c>
      <c r="AM124" s="0" t="s">
        <v>163</v>
      </c>
      <c r="AN124" s="0" t="s">
        <v>158</v>
      </c>
      <c r="AO124" s="0" t="s">
        <v>163</v>
      </c>
      <c r="AP124" s="0" t="s">
        <v>2495</v>
      </c>
      <c r="AQ124" s="5" t="s">
        <v>162</v>
      </c>
      <c r="AT124" s="0" t="str">
        <f aca="false">IF(AND(AX124="pass",AQ124&lt;&gt;"Y",C124&lt;&gt;"",OR(AW124&lt;&gt;"Y",AV124="Y")),"Y","N")</f>
        <v>N</v>
      </c>
      <c r="AU124" s="0" t="str">
        <f aca="false">_xlfn.TEXTJOIN("; ",TRUE(),IF(AX124&lt;&gt;"pass","gated out",""),IF(AQ124="Y","on hold: "&amp;AR124,""),IF(C124="","no contact named on an opened page",""),IF(AND(AW124="Y",AV124&lt;&gt;"Y"),"Tuesday estimate band "&amp;L124&amp;": founder's call",""))</f>
        <v>no contact named on an opened page</v>
      </c>
      <c r="AW124" s="0" t="s">
        <v>162</v>
      </c>
      <c r="AX124" s="0" t="s">
        <v>181</v>
      </c>
      <c r="AY124" s="0" t="s">
        <v>182</v>
      </c>
      <c r="AZ124" s="0" t="s">
        <v>1</v>
      </c>
      <c r="BA124" s="0" t="s">
        <v>2498</v>
      </c>
      <c r="BB124" s="0" t="s">
        <v>2499</v>
      </c>
      <c r="BC124" s="0" t="s">
        <v>2500</v>
      </c>
      <c r="BD124" s="0" t="s">
        <v>163</v>
      </c>
      <c r="BF124" s="0" t="s">
        <v>163</v>
      </c>
      <c r="BG124" s="0" t="s">
        <v>163</v>
      </c>
      <c r="BH124" s="0" t="s">
        <v>2195</v>
      </c>
      <c r="BK124" s="0" t="s">
        <v>163</v>
      </c>
      <c r="BL124" s="0" t="s">
        <v>163</v>
      </c>
      <c r="BM124" s="0" t="s">
        <v>163</v>
      </c>
      <c r="BN124" s="0" t="s">
        <v>163</v>
      </c>
      <c r="BO124" s="0" t="s">
        <v>163</v>
      </c>
      <c r="BP124" s="0" t="s">
        <v>193</v>
      </c>
      <c r="BQ124" s="0" t="n">
        <v>40.734626</v>
      </c>
      <c r="BR124" s="0" t="n">
        <v>-73.9911</v>
      </c>
      <c r="BS124" s="0" t="s">
        <v>168</v>
      </c>
      <c r="BT124" s="0" t="n">
        <v>0</v>
      </c>
      <c r="BU124" s="0" t="s">
        <v>735</v>
      </c>
      <c r="BV124" s="0" t="s">
        <v>736</v>
      </c>
      <c r="BW124" s="0" t="s">
        <v>2497</v>
      </c>
      <c r="BX124" s="0" t="s">
        <v>166</v>
      </c>
      <c r="BY124" s="0" t="s">
        <v>196</v>
      </c>
      <c r="BZ124" s="0" t="s">
        <v>2501</v>
      </c>
      <c r="CA124" s="0" t="s">
        <v>2502</v>
      </c>
      <c r="CC124" s="0" t="s">
        <v>200</v>
      </c>
      <c r="CE124" s="0" t="s">
        <v>162</v>
      </c>
      <c r="CH124" s="0" t="s">
        <v>201</v>
      </c>
      <c r="CI124" s="0" t="s">
        <v>739</v>
      </c>
      <c r="CJ124" s="0" t="s">
        <v>163</v>
      </c>
      <c r="CK124" s="0" t="s">
        <v>162</v>
      </c>
      <c r="CL124" s="0" t="s">
        <v>163</v>
      </c>
      <c r="CO124" s="0" t="s">
        <v>163</v>
      </c>
      <c r="CQ124" s="0" t="s">
        <v>2196</v>
      </c>
      <c r="CR124" s="0" t="s">
        <v>206</v>
      </c>
      <c r="CS124" s="0" t="s">
        <v>163</v>
      </c>
      <c r="CT124" s="0" t="n">
        <v>36</v>
      </c>
      <c r="CU124" s="0" t="n">
        <v>7</v>
      </c>
      <c r="CV124" s="0" t="n">
        <v>8</v>
      </c>
      <c r="CW124" s="0" t="n">
        <v>6</v>
      </c>
      <c r="CX124" s="0" t="n">
        <v>15</v>
      </c>
      <c r="CY124" s="0" t="n">
        <f aca="false">IF(AH124="exact",10,IF(AH124="adjacent",5,0))</f>
        <v>0</v>
      </c>
      <c r="CZ124" s="0" t="n">
        <f aca="false">IF(R124="Y",15,0)</f>
        <v>0</v>
      </c>
      <c r="DF124" s="0" t="s">
        <v>158</v>
      </c>
      <c r="DG124" s="0" t="s">
        <v>211</v>
      </c>
      <c r="DJ124" s="0" t="s">
        <v>2503</v>
      </c>
      <c r="DK124" s="0" t="s">
        <v>2504</v>
      </c>
      <c r="DS124" s="0" t="s">
        <v>158</v>
      </c>
      <c r="DX124" s="0" t="s">
        <v>162</v>
      </c>
      <c r="ER124" s="0" t="str">
        <f aca="false">IF(ISNUMBER(MATCH(U124,{"queued","contacted","replied","call_booked","call_done","yes_in_principle","materials_sent"},0)),"Y","N")</f>
        <v>N</v>
      </c>
      <c r="ES124" s="0" t="str">
        <f aca="false">IF(COUNTIFS($AP$2:$AP$1000,AP124,$ER$2:$ER$1000,"Y")+COUNTIFS($AP$2:$AP$1000,AP124,$T$2:$T$1000,"Y")&gt;0,"Y","N")</f>
        <v>N</v>
      </c>
      <c r="ET124" s="0" t="str">
        <f aca="false">IF(AND(U124="new",T124="N",AT124="Y",AS124="",ES124="N"),"Y","N")</f>
        <v>N</v>
      </c>
      <c r="EU124" s="0" t="str">
        <f aca="false">IF(ET124&lt;&gt;"Y","N",IF(COUNTIFS($AP$2:$AP$1000,AP124,$ET$2:$ET$1000,"Y",$J$2:$J$1000,"&gt;"&amp;J124)+COUNTIFS($AP$2:$AP$1000,AP124,$ET$2:$ET$1000,"Y",$J$2:$J$1000,J124,$EW$2:$EW$1000,"&lt;"&amp;EW124)=0,"Y","N"))</f>
        <v>N</v>
      </c>
      <c r="EV124" s="0" t="str">
        <f aca="false">IF(Y124="","N",IF(Y124&lt;=10,"Y","N"))</f>
        <v>N</v>
      </c>
      <c r="EW124" s="0" t="n">
        <f aca="false">ROW()-1</f>
        <v>123</v>
      </c>
    </row>
    <row r="125" customFormat="false" ht="15" hidden="false" customHeight="false" outlineLevel="0" collapsed="false">
      <c r="A125" s="0" t="s">
        <v>2505</v>
      </c>
      <c r="B125" s="0" t="s">
        <v>2506</v>
      </c>
      <c r="H125" s="5" t="s">
        <v>158</v>
      </c>
      <c r="I125" s="5" t="s">
        <v>159</v>
      </c>
      <c r="J125" s="0" t="n">
        <f aca="false">IF(AX125="pass",ROUND(CU125+CV125+CW125+CX125+CY125+CZ125,1),0)</f>
        <v>36</v>
      </c>
      <c r="K125" s="0" t="s">
        <v>2191</v>
      </c>
      <c r="L125" s="0" t="s">
        <v>163</v>
      </c>
      <c r="R125" s="5" t="s">
        <v>162</v>
      </c>
      <c r="S125" s="0" t="s">
        <v>163</v>
      </c>
      <c r="T125" s="5" t="s">
        <v>162</v>
      </c>
      <c r="U125" s="5" t="s">
        <v>561</v>
      </c>
      <c r="V125" s="0" t="s">
        <v>2507</v>
      </c>
      <c r="W125" s="0" t="s">
        <v>166</v>
      </c>
      <c r="X125" s="0" t="s">
        <v>167</v>
      </c>
      <c r="Y125" s="0" t="str">
        <f aca="false">IF(EU125&lt;&gt;"Y","",COUNTIFS($EU$2:$EU$1000,"Y",$J$2:$J$1000,"&gt;"&amp;J125)+COUNTIFS($EU$2:$EU$1000,"Y",$J$2:$J$1000,J125,$EW$2:$EW$1000,"&lt;"&amp;EW125)+1)</f>
        <v/>
      </c>
      <c r="Z125" s="0" t="n">
        <v>124</v>
      </c>
      <c r="AA125" s="0" t="s">
        <v>162</v>
      </c>
      <c r="AD125" s="0" t="s">
        <v>158</v>
      </c>
      <c r="AH125" s="5" t="s">
        <v>158</v>
      </c>
      <c r="AI125" s="0" t="s">
        <v>1214</v>
      </c>
      <c r="AJ125" s="0" t="s">
        <v>650</v>
      </c>
      <c r="AK125" s="0" t="s">
        <v>178</v>
      </c>
      <c r="AL125" s="0" t="s">
        <v>163</v>
      </c>
      <c r="AM125" s="0" t="s">
        <v>163</v>
      </c>
      <c r="AN125" s="0" t="s">
        <v>158</v>
      </c>
      <c r="AO125" s="0" t="s">
        <v>163</v>
      </c>
      <c r="AP125" s="0" t="s">
        <v>2505</v>
      </c>
      <c r="AQ125" s="5" t="s">
        <v>162</v>
      </c>
      <c r="AT125" s="0" t="str">
        <f aca="false">IF(AND(AX125="pass",AQ125&lt;&gt;"Y",C125&lt;&gt;"",OR(AW125&lt;&gt;"Y",AV125="Y")),"Y","N")</f>
        <v>N</v>
      </c>
      <c r="AU125" s="0" t="str">
        <f aca="false">_xlfn.TEXTJOIN("; ",TRUE(),IF(AX125&lt;&gt;"pass","gated out",""),IF(AQ125="Y","on hold: "&amp;AR125,""),IF(C125="","no contact named on an opened page",""),IF(AND(AW125="Y",AV125&lt;&gt;"Y"),"Tuesday estimate band "&amp;L125&amp;": founder's call",""))</f>
        <v>no contact named on an opened page</v>
      </c>
      <c r="AW125" s="0" t="s">
        <v>162</v>
      </c>
      <c r="AX125" s="0" t="s">
        <v>181</v>
      </c>
      <c r="AY125" s="0" t="s">
        <v>182</v>
      </c>
      <c r="AZ125" s="0" t="s">
        <v>1</v>
      </c>
      <c r="BA125" s="0" t="s">
        <v>2508</v>
      </c>
      <c r="BB125" s="0" t="s">
        <v>2509</v>
      </c>
      <c r="BC125" s="0" t="s">
        <v>2510</v>
      </c>
      <c r="BD125" s="0" t="s">
        <v>163</v>
      </c>
      <c r="BF125" s="0" t="s">
        <v>163</v>
      </c>
      <c r="BG125" s="0" t="s">
        <v>163</v>
      </c>
      <c r="BH125" s="0" t="s">
        <v>2195</v>
      </c>
      <c r="BK125" s="0" t="s">
        <v>163</v>
      </c>
      <c r="BL125" s="0" t="s">
        <v>192</v>
      </c>
      <c r="BM125" s="0" t="s">
        <v>168</v>
      </c>
      <c r="BN125" s="0" t="s">
        <v>163</v>
      </c>
      <c r="BO125" s="0" t="s">
        <v>163</v>
      </c>
      <c r="BP125" s="0" t="s">
        <v>346</v>
      </c>
      <c r="BQ125" s="0" t="n">
        <v>40.74082</v>
      </c>
      <c r="BR125" s="0" t="n">
        <v>-73.992366</v>
      </c>
      <c r="BS125" s="0" t="s">
        <v>168</v>
      </c>
      <c r="BT125" s="0" t="n">
        <v>0</v>
      </c>
      <c r="BU125" s="0" t="s">
        <v>1223</v>
      </c>
      <c r="BV125" s="0" t="s">
        <v>1224</v>
      </c>
      <c r="BW125" s="0" t="s">
        <v>2507</v>
      </c>
      <c r="BX125" s="0" t="s">
        <v>166</v>
      </c>
      <c r="BY125" s="0" t="s">
        <v>196</v>
      </c>
      <c r="BZ125" s="0" t="s">
        <v>1212</v>
      </c>
      <c r="CA125" s="0" t="s">
        <v>1225</v>
      </c>
      <c r="CC125" s="0" t="s">
        <v>200</v>
      </c>
      <c r="CE125" s="0" t="s">
        <v>162</v>
      </c>
      <c r="CH125" s="0" t="s">
        <v>163</v>
      </c>
      <c r="CJ125" s="0" t="s">
        <v>163</v>
      </c>
      <c r="CK125" s="0" t="s">
        <v>162</v>
      </c>
      <c r="CL125" s="0" t="s">
        <v>163</v>
      </c>
      <c r="CO125" s="0" t="s">
        <v>163</v>
      </c>
      <c r="CQ125" s="0" t="s">
        <v>2196</v>
      </c>
      <c r="CR125" s="0" t="s">
        <v>206</v>
      </c>
      <c r="CS125" s="0" t="s">
        <v>163</v>
      </c>
      <c r="CT125" s="0" t="n">
        <v>36</v>
      </c>
      <c r="CU125" s="0" t="n">
        <v>7</v>
      </c>
      <c r="CV125" s="0" t="n">
        <v>8</v>
      </c>
      <c r="CW125" s="0" t="n">
        <v>6</v>
      </c>
      <c r="CX125" s="0" t="n">
        <v>15</v>
      </c>
      <c r="CY125" s="0" t="n">
        <f aca="false">IF(AH125="exact",10,IF(AH125="adjacent",5,0))</f>
        <v>0</v>
      </c>
      <c r="CZ125" s="0" t="n">
        <f aca="false">IF(R125="Y",15,0)</f>
        <v>0</v>
      </c>
      <c r="DF125" s="0" t="s">
        <v>158</v>
      </c>
      <c r="DG125" s="0" t="s">
        <v>211</v>
      </c>
      <c r="DK125" s="0" t="s">
        <v>2511</v>
      </c>
      <c r="DS125" s="0" t="s">
        <v>158</v>
      </c>
      <c r="DX125" s="0" t="s">
        <v>162</v>
      </c>
      <c r="ER125" s="0" t="str">
        <f aca="false">IF(ISNUMBER(MATCH(U125,{"queued","contacted","replied","call_booked","call_done","yes_in_principle","materials_sent"},0)),"Y","N")</f>
        <v>N</v>
      </c>
      <c r="ES125" s="0" t="str">
        <f aca="false">IF(COUNTIFS($AP$2:$AP$1000,AP125,$ER$2:$ER$1000,"Y")+COUNTIFS($AP$2:$AP$1000,AP125,$T$2:$T$1000,"Y")&gt;0,"Y","N")</f>
        <v>N</v>
      </c>
      <c r="ET125" s="0" t="str">
        <f aca="false">IF(AND(U125="new",T125="N",AT125="Y",AS125="",ES125="N"),"Y","N")</f>
        <v>N</v>
      </c>
      <c r="EU125" s="0" t="str">
        <f aca="false">IF(ET125&lt;&gt;"Y","N",IF(COUNTIFS($AP$2:$AP$1000,AP125,$ET$2:$ET$1000,"Y",$J$2:$J$1000,"&gt;"&amp;J125)+COUNTIFS($AP$2:$AP$1000,AP125,$ET$2:$ET$1000,"Y",$J$2:$J$1000,J125,$EW$2:$EW$1000,"&lt;"&amp;EW125)=0,"Y","N"))</f>
        <v>N</v>
      </c>
      <c r="EV125" s="0" t="str">
        <f aca="false">IF(Y125="","N",IF(Y125&lt;=10,"Y","N"))</f>
        <v>N</v>
      </c>
      <c r="EW125" s="0" t="n">
        <f aca="false">ROW()-1</f>
        <v>124</v>
      </c>
    </row>
    <row r="126" customFormat="false" ht="15" hidden="false" customHeight="false" outlineLevel="0" collapsed="false">
      <c r="A126" s="0" t="s">
        <v>2512</v>
      </c>
      <c r="B126" s="0" t="s">
        <v>2513</v>
      </c>
      <c r="H126" s="5" t="s">
        <v>158</v>
      </c>
      <c r="I126" s="5" t="s">
        <v>159</v>
      </c>
      <c r="J126" s="0" t="n">
        <f aca="false">IF(AX126="pass",ROUND(CU126+CV126+CW126+CX126+CY126+CZ126,1),0)</f>
        <v>36</v>
      </c>
      <c r="K126" s="0" t="s">
        <v>2191</v>
      </c>
      <c r="L126" s="0" t="s">
        <v>163</v>
      </c>
      <c r="R126" s="5" t="s">
        <v>162</v>
      </c>
      <c r="S126" s="0" t="s">
        <v>163</v>
      </c>
      <c r="T126" s="5" t="s">
        <v>162</v>
      </c>
      <c r="U126" s="5" t="s">
        <v>561</v>
      </c>
      <c r="V126" s="0" t="s">
        <v>2514</v>
      </c>
      <c r="W126" s="0" t="s">
        <v>166</v>
      </c>
      <c r="X126" s="0" t="s">
        <v>167</v>
      </c>
      <c r="Y126" s="0" t="str">
        <f aca="false">IF(EU126&lt;&gt;"Y","",COUNTIFS($EU$2:$EU$1000,"Y",$J$2:$J$1000,"&gt;"&amp;J126)+COUNTIFS($EU$2:$EU$1000,"Y",$J$2:$J$1000,J126,$EW$2:$EW$1000,"&lt;"&amp;EW126)+1)</f>
        <v/>
      </c>
      <c r="Z126" s="0" t="n">
        <v>125</v>
      </c>
      <c r="AA126" s="0" t="s">
        <v>162</v>
      </c>
      <c r="AD126" s="0" t="s">
        <v>158</v>
      </c>
      <c r="AH126" s="5" t="s">
        <v>158</v>
      </c>
      <c r="AI126" s="0" t="s">
        <v>753</v>
      </c>
      <c r="AJ126" s="0" t="s">
        <v>2515</v>
      </c>
      <c r="AK126" s="0" t="s">
        <v>178</v>
      </c>
      <c r="AL126" s="0" t="s">
        <v>163</v>
      </c>
      <c r="AM126" s="0" t="s">
        <v>163</v>
      </c>
      <c r="AN126" s="0" t="s">
        <v>158</v>
      </c>
      <c r="AO126" s="0" t="s">
        <v>163</v>
      </c>
      <c r="AP126" s="0" t="s">
        <v>2512</v>
      </c>
      <c r="AQ126" s="5" t="s">
        <v>162</v>
      </c>
      <c r="AT126" s="0" t="str">
        <f aca="false">IF(AND(AX126="pass",AQ126&lt;&gt;"Y",C126&lt;&gt;"",OR(AW126&lt;&gt;"Y",AV126="Y")),"Y","N")</f>
        <v>N</v>
      </c>
      <c r="AU126" s="0" t="str">
        <f aca="false">_xlfn.TEXTJOIN("; ",TRUE(),IF(AX126&lt;&gt;"pass","gated out",""),IF(AQ126="Y","on hold: "&amp;AR126,""),IF(C126="","no contact named on an opened page",""),IF(AND(AW126="Y",AV126&lt;&gt;"Y"),"Tuesday estimate band "&amp;L126&amp;": founder's call",""))</f>
        <v>no contact named on an opened page</v>
      </c>
      <c r="AW126" s="0" t="s">
        <v>162</v>
      </c>
      <c r="AX126" s="0" t="s">
        <v>181</v>
      </c>
      <c r="AY126" s="0" t="s">
        <v>182</v>
      </c>
      <c r="AZ126" s="0" t="s">
        <v>1</v>
      </c>
      <c r="BA126" s="0" t="s">
        <v>2516</v>
      </c>
      <c r="BB126" s="0" t="s">
        <v>2517</v>
      </c>
      <c r="BC126" s="0" t="s">
        <v>653</v>
      </c>
      <c r="BD126" s="0" t="s">
        <v>163</v>
      </c>
      <c r="BF126" s="0" t="s">
        <v>163</v>
      </c>
      <c r="BG126" s="0" t="s">
        <v>163</v>
      </c>
      <c r="BH126" s="0" t="s">
        <v>2195</v>
      </c>
      <c r="BK126" s="0" t="s">
        <v>163</v>
      </c>
      <c r="BL126" s="0" t="s">
        <v>2518</v>
      </c>
      <c r="BM126" s="0" t="s">
        <v>162</v>
      </c>
      <c r="BN126" s="0" t="s">
        <v>163</v>
      </c>
      <c r="BO126" s="0" t="s">
        <v>163</v>
      </c>
      <c r="BP126" s="0" t="s">
        <v>346</v>
      </c>
      <c r="BQ126" s="0" t="n">
        <v>40.743309</v>
      </c>
      <c r="BR126" s="0" t="n">
        <v>-73.987329</v>
      </c>
      <c r="BS126" s="0" t="s">
        <v>168</v>
      </c>
      <c r="BT126" s="0" t="n">
        <v>0</v>
      </c>
      <c r="BU126" s="0" t="s">
        <v>763</v>
      </c>
      <c r="BV126" s="0" t="s">
        <v>764</v>
      </c>
      <c r="BW126" s="0" t="s">
        <v>2514</v>
      </c>
      <c r="BX126" s="0" t="s">
        <v>2519</v>
      </c>
      <c r="BY126" s="0" t="s">
        <v>247</v>
      </c>
      <c r="BZ126" s="0" t="s">
        <v>2520</v>
      </c>
      <c r="CA126" s="0" t="s">
        <v>166</v>
      </c>
      <c r="CC126" s="0" t="s">
        <v>200</v>
      </c>
      <c r="CE126" s="0" t="s">
        <v>162</v>
      </c>
      <c r="CH126" s="0" t="s">
        <v>163</v>
      </c>
      <c r="CJ126" s="0" t="s">
        <v>163</v>
      </c>
      <c r="CK126" s="0" t="s">
        <v>162</v>
      </c>
      <c r="CL126" s="0" t="s">
        <v>163</v>
      </c>
      <c r="CO126" s="0" t="s">
        <v>163</v>
      </c>
      <c r="CQ126" s="0" t="s">
        <v>2196</v>
      </c>
      <c r="CR126" s="0" t="s">
        <v>206</v>
      </c>
      <c r="CS126" s="0" t="s">
        <v>163</v>
      </c>
      <c r="CT126" s="0" t="n">
        <v>36</v>
      </c>
      <c r="CU126" s="0" t="n">
        <v>7</v>
      </c>
      <c r="CV126" s="0" t="n">
        <v>8</v>
      </c>
      <c r="CW126" s="0" t="n">
        <v>6</v>
      </c>
      <c r="CX126" s="0" t="n">
        <v>15</v>
      </c>
      <c r="CY126" s="0" t="n">
        <f aca="false">IF(AH126="exact",10,IF(AH126="adjacent",5,0))</f>
        <v>0</v>
      </c>
      <c r="CZ126" s="0" t="n">
        <f aca="false">IF(R126="Y",15,0)</f>
        <v>0</v>
      </c>
      <c r="DF126" s="0" t="s">
        <v>158</v>
      </c>
      <c r="DG126" s="0" t="s">
        <v>211</v>
      </c>
      <c r="DJ126" s="0" t="s">
        <v>2521</v>
      </c>
      <c r="DK126" s="0" t="s">
        <v>2522</v>
      </c>
      <c r="DS126" s="0" t="s">
        <v>158</v>
      </c>
      <c r="DX126" s="0" t="s">
        <v>162</v>
      </c>
      <c r="ER126" s="0" t="str">
        <f aca="false">IF(ISNUMBER(MATCH(U126,{"queued","contacted","replied","call_booked","call_done","yes_in_principle","materials_sent"},0)),"Y","N")</f>
        <v>N</v>
      </c>
      <c r="ES126" s="0" t="str">
        <f aca="false">IF(COUNTIFS($AP$2:$AP$1000,AP126,$ER$2:$ER$1000,"Y")+COUNTIFS($AP$2:$AP$1000,AP126,$T$2:$T$1000,"Y")&gt;0,"Y","N")</f>
        <v>N</v>
      </c>
      <c r="ET126" s="0" t="str">
        <f aca="false">IF(AND(U126="new",T126="N",AT126="Y",AS126="",ES126="N"),"Y","N")</f>
        <v>N</v>
      </c>
      <c r="EU126" s="0" t="str">
        <f aca="false">IF(ET126&lt;&gt;"Y","N",IF(COUNTIFS($AP$2:$AP$1000,AP126,$ET$2:$ET$1000,"Y",$J$2:$J$1000,"&gt;"&amp;J126)+COUNTIFS($AP$2:$AP$1000,AP126,$ET$2:$ET$1000,"Y",$J$2:$J$1000,J126,$EW$2:$EW$1000,"&lt;"&amp;EW126)=0,"Y","N"))</f>
        <v>N</v>
      </c>
      <c r="EV126" s="0" t="str">
        <f aca="false">IF(Y126="","N",IF(Y126&lt;=10,"Y","N"))</f>
        <v>N</v>
      </c>
      <c r="EW126" s="0" t="n">
        <f aca="false">ROW()-1</f>
        <v>125</v>
      </c>
    </row>
    <row r="127" customFormat="false" ht="15" hidden="false" customHeight="false" outlineLevel="0" collapsed="false">
      <c r="A127" s="0" t="s">
        <v>2523</v>
      </c>
      <c r="B127" s="0" t="s">
        <v>2524</v>
      </c>
      <c r="H127" s="5" t="s">
        <v>158</v>
      </c>
      <c r="I127" s="5" t="s">
        <v>159</v>
      </c>
      <c r="J127" s="0" t="n">
        <f aca="false">IF(AX127="pass",ROUND(CU127+CV127+CW127+CX127+CY127+CZ127,1),0)</f>
        <v>35.6</v>
      </c>
      <c r="K127" s="0" t="s">
        <v>2525</v>
      </c>
      <c r="L127" s="0" t="s">
        <v>1322</v>
      </c>
      <c r="R127" s="5" t="s">
        <v>162</v>
      </c>
      <c r="S127" s="0" t="s">
        <v>163</v>
      </c>
      <c r="T127" s="5" t="s">
        <v>162</v>
      </c>
      <c r="U127" s="5" t="s">
        <v>561</v>
      </c>
      <c r="V127" s="0" t="s">
        <v>2526</v>
      </c>
      <c r="W127" s="0" t="s">
        <v>166</v>
      </c>
      <c r="X127" s="0" t="s">
        <v>167</v>
      </c>
      <c r="Y127" s="0" t="str">
        <f aca="false">IF(EU127&lt;&gt;"Y","",COUNTIFS($EU$2:$EU$1000,"Y",$J$2:$J$1000,"&gt;"&amp;J127)+COUNTIFS($EU$2:$EU$1000,"Y",$J$2:$J$1000,J127,$EW$2:$EW$1000,"&lt;"&amp;EW127)+1)</f>
        <v/>
      </c>
      <c r="Z127" s="0" t="n">
        <v>126</v>
      </c>
      <c r="AA127" s="0" t="s">
        <v>162</v>
      </c>
      <c r="AB127" s="0" t="s">
        <v>2527</v>
      </c>
      <c r="AD127" s="0" t="s">
        <v>158</v>
      </c>
      <c r="AH127" s="5" t="s">
        <v>158</v>
      </c>
      <c r="AI127" s="0" t="s">
        <v>2528</v>
      </c>
      <c r="AJ127" s="0" t="s">
        <v>163</v>
      </c>
      <c r="AK127" s="0" t="s">
        <v>178</v>
      </c>
      <c r="AL127" s="0" t="n">
        <v>128</v>
      </c>
      <c r="AM127" s="0" t="n">
        <v>2555</v>
      </c>
      <c r="AN127" s="0" t="s">
        <v>179</v>
      </c>
      <c r="AO127" s="0" t="s">
        <v>180</v>
      </c>
      <c r="AP127" s="0" t="s">
        <v>2523</v>
      </c>
      <c r="AQ127" s="5" t="s">
        <v>162</v>
      </c>
      <c r="AT127" s="0" t="str">
        <f aca="false">IF(AND(AX127="pass",AQ127&lt;&gt;"Y",C127&lt;&gt;"",OR(AW127&lt;&gt;"Y",AV127="Y")),"Y","N")</f>
        <v>N</v>
      </c>
      <c r="AU127" s="0" t="str">
        <f aca="false">_xlfn.TEXTJOIN("; ",TRUE(),IF(AX127&lt;&gt;"pass","gated out",""),IF(AQ127="Y","on hold: "&amp;AR127,""),IF(C127="","no contact named on an opened page",""),IF(AND(AW127="Y",AV127&lt;&gt;"Y"),"Tuesday estimate band "&amp;L127&amp;": founder's call",""))</f>
        <v>no contact named on an opened page; Tuesday estimate band over-500: founder's call</v>
      </c>
      <c r="AW127" s="0" t="s">
        <v>168</v>
      </c>
      <c r="AX127" s="0" t="s">
        <v>181</v>
      </c>
      <c r="AY127" s="0" t="s">
        <v>182</v>
      </c>
      <c r="AZ127" s="0" t="s">
        <v>1</v>
      </c>
      <c r="BA127" s="0" t="s">
        <v>2529</v>
      </c>
      <c r="BB127" s="0" t="s">
        <v>2530</v>
      </c>
      <c r="BC127" s="0" t="s">
        <v>2531</v>
      </c>
      <c r="BD127" s="0" t="s">
        <v>2532</v>
      </c>
      <c r="BF127" s="0" t="s">
        <v>1322</v>
      </c>
      <c r="BG127" s="0" t="s">
        <v>188</v>
      </c>
      <c r="BH127" s="0" t="s">
        <v>189</v>
      </c>
      <c r="BI127" s="0" t="s">
        <v>2533</v>
      </c>
      <c r="BK127" s="0" t="s">
        <v>1439</v>
      </c>
      <c r="BL127" s="0" t="s">
        <v>2534</v>
      </c>
      <c r="BM127" s="0" t="s">
        <v>162</v>
      </c>
      <c r="BN127" s="0" t="s">
        <v>163</v>
      </c>
      <c r="BO127" s="0" t="s">
        <v>163</v>
      </c>
      <c r="BP127" s="0" t="s">
        <v>377</v>
      </c>
      <c r="BQ127" s="0" t="n">
        <v>40.737788</v>
      </c>
      <c r="BR127" s="0" t="n">
        <v>-73.992555</v>
      </c>
      <c r="BS127" s="0" t="s">
        <v>168</v>
      </c>
      <c r="BT127" s="0" t="n">
        <v>0</v>
      </c>
      <c r="BU127" s="0" t="s">
        <v>2535</v>
      </c>
      <c r="BV127" s="0" t="s">
        <v>2528</v>
      </c>
      <c r="BW127" s="0" t="s">
        <v>2526</v>
      </c>
      <c r="BX127" s="0" t="s">
        <v>2536</v>
      </c>
      <c r="BY127" s="0" t="s">
        <v>247</v>
      </c>
      <c r="CC127" s="0" t="s">
        <v>738</v>
      </c>
      <c r="CE127" s="0" t="s">
        <v>162</v>
      </c>
      <c r="CH127" s="0" t="s">
        <v>163</v>
      </c>
      <c r="CJ127" s="0" t="s">
        <v>163</v>
      </c>
      <c r="CK127" s="0" t="s">
        <v>162</v>
      </c>
      <c r="CL127" s="0" t="s">
        <v>2537</v>
      </c>
      <c r="CM127" s="0" t="s">
        <v>2538</v>
      </c>
      <c r="CN127" s="0" t="s">
        <v>174</v>
      </c>
      <c r="CO127" s="0" t="n">
        <v>572</v>
      </c>
      <c r="CP127" s="0" t="s">
        <v>250</v>
      </c>
      <c r="CQ127" s="0" t="s">
        <v>2539</v>
      </c>
      <c r="CR127" s="0" t="s">
        <v>206</v>
      </c>
      <c r="CS127" s="0" t="n">
        <v>0.22</v>
      </c>
      <c r="CT127" s="0" t="n">
        <v>35.6</v>
      </c>
      <c r="CU127" s="0" t="n">
        <v>5.6</v>
      </c>
      <c r="CV127" s="0" t="n">
        <v>2</v>
      </c>
      <c r="CW127" s="0" t="n">
        <v>15</v>
      </c>
      <c r="CX127" s="0" t="n">
        <v>13</v>
      </c>
      <c r="CY127" s="0" t="n">
        <f aca="false">IF(AH127="exact",10,IF(AH127="adjacent",5,0))</f>
        <v>0</v>
      </c>
      <c r="CZ127" s="0" t="n">
        <f aca="false">IF(R127="Y",15,0)</f>
        <v>0</v>
      </c>
      <c r="DF127" s="0" t="s">
        <v>158</v>
      </c>
      <c r="DG127" s="0" t="s">
        <v>1335</v>
      </c>
      <c r="DH127" s="0" t="s">
        <v>1446</v>
      </c>
      <c r="DI127" s="0" t="s">
        <v>168</v>
      </c>
      <c r="DK127" s="0" t="s">
        <v>2540</v>
      </c>
      <c r="DS127" s="0" t="s">
        <v>158</v>
      </c>
      <c r="DX127" s="0" t="s">
        <v>162</v>
      </c>
      <c r="ER127" s="0" t="str">
        <f aca="false">IF(ISNUMBER(MATCH(U127,{"queued","contacted","replied","call_booked","call_done","yes_in_principle","materials_sent"},0)),"Y","N")</f>
        <v>N</v>
      </c>
      <c r="ES127" s="0" t="str">
        <f aca="false">IF(COUNTIFS($AP$2:$AP$1000,AP127,$ER$2:$ER$1000,"Y")+COUNTIFS($AP$2:$AP$1000,AP127,$T$2:$T$1000,"Y")&gt;0,"Y","N")</f>
        <v>N</v>
      </c>
      <c r="ET127" s="0" t="str">
        <f aca="false">IF(AND(U127="new",T127="N",AT127="Y",AS127="",ES127="N"),"Y","N")</f>
        <v>N</v>
      </c>
      <c r="EU127" s="0" t="str">
        <f aca="false">IF(ET127&lt;&gt;"Y","N",IF(COUNTIFS($AP$2:$AP$1000,AP127,$ET$2:$ET$1000,"Y",$J$2:$J$1000,"&gt;"&amp;J127)+COUNTIFS($AP$2:$AP$1000,AP127,$ET$2:$ET$1000,"Y",$J$2:$J$1000,J127,$EW$2:$EW$1000,"&lt;"&amp;EW127)=0,"Y","N"))</f>
        <v>N</v>
      </c>
      <c r="EV127" s="0" t="str">
        <f aca="false">IF(Y127="","N",IF(Y127&lt;=10,"Y","N"))</f>
        <v>N</v>
      </c>
      <c r="EW127" s="0" t="n">
        <f aca="false">ROW()-1</f>
        <v>126</v>
      </c>
    </row>
    <row r="128" customFormat="false" ht="15" hidden="false" customHeight="false" outlineLevel="0" collapsed="false">
      <c r="A128" s="0" t="s">
        <v>2541</v>
      </c>
      <c r="B128" s="0" t="s">
        <v>2542</v>
      </c>
      <c r="H128" s="5" t="s">
        <v>158</v>
      </c>
      <c r="I128" s="5" t="s">
        <v>159</v>
      </c>
      <c r="J128" s="0" t="n">
        <f aca="false">IF(AX128="pass",ROUND(CU128+CV128+CW128+CX128+CY128+CZ128,1),0)</f>
        <v>35.4</v>
      </c>
      <c r="K128" s="0" t="s">
        <v>2543</v>
      </c>
      <c r="L128" s="0" t="s">
        <v>239</v>
      </c>
      <c r="R128" s="5" t="s">
        <v>162</v>
      </c>
      <c r="S128" s="0" t="s">
        <v>163</v>
      </c>
      <c r="T128" s="5" t="s">
        <v>162</v>
      </c>
      <c r="U128" s="5" t="s">
        <v>561</v>
      </c>
      <c r="V128" s="0" t="s">
        <v>1785</v>
      </c>
      <c r="W128" s="0" t="s">
        <v>166</v>
      </c>
      <c r="X128" s="0" t="s">
        <v>167</v>
      </c>
      <c r="Y128" s="0" t="str">
        <f aca="false">IF(EU128&lt;&gt;"Y","",COUNTIFS($EU$2:$EU$1000,"Y",$J$2:$J$1000,"&gt;"&amp;J128)+COUNTIFS($EU$2:$EU$1000,"Y",$J$2:$J$1000,J128,$EW$2:$EW$1000,"&lt;"&amp;EW128)+1)</f>
        <v/>
      </c>
      <c r="Z128" s="0" t="n">
        <v>127</v>
      </c>
      <c r="AA128" s="0" t="s">
        <v>162</v>
      </c>
      <c r="AB128" s="0" t="s">
        <v>1661</v>
      </c>
      <c r="AD128" s="0" t="s">
        <v>158</v>
      </c>
      <c r="AH128" s="5" t="s">
        <v>158</v>
      </c>
      <c r="AI128" s="0" t="s">
        <v>1786</v>
      </c>
      <c r="AJ128" s="0" t="s">
        <v>163</v>
      </c>
      <c r="AK128" s="0" t="s">
        <v>178</v>
      </c>
      <c r="AL128" s="0" t="n">
        <v>81</v>
      </c>
      <c r="AM128" s="0" t="n">
        <v>1621</v>
      </c>
      <c r="AN128" s="0" t="s">
        <v>179</v>
      </c>
      <c r="AO128" s="0" t="s">
        <v>180</v>
      </c>
      <c r="AP128" s="0" t="s">
        <v>2541</v>
      </c>
      <c r="AQ128" s="5" t="s">
        <v>162</v>
      </c>
      <c r="AT128" s="0" t="str">
        <f aca="false">IF(AND(AX128="pass",AQ128&lt;&gt;"Y",C128&lt;&gt;"",OR(AW128&lt;&gt;"Y",AV128="Y")),"Y","N")</f>
        <v>N</v>
      </c>
      <c r="AU128" s="0" t="str">
        <f aca="false">_xlfn.TEXTJOIN("; ",TRUE(),IF(AX128&lt;&gt;"pass","gated out",""),IF(AQ128="Y","on hold: "&amp;AR128,""),IF(C128="","no contact named on an opened page",""),IF(AND(AW128="Y",AV128&lt;&gt;"Y"),"Tuesday estimate band "&amp;L128&amp;": founder's call",""))</f>
        <v>no contact named on an opened page; Tuesday estimate band 251-500: founder's call</v>
      </c>
      <c r="AW128" s="0" t="s">
        <v>168</v>
      </c>
      <c r="AX128" s="0" t="s">
        <v>181</v>
      </c>
      <c r="AY128" s="0" t="s">
        <v>182</v>
      </c>
      <c r="AZ128" s="0" t="s">
        <v>1</v>
      </c>
      <c r="BA128" s="0" t="s">
        <v>2544</v>
      </c>
      <c r="BB128" s="0" t="s">
        <v>2545</v>
      </c>
      <c r="BC128" s="0" t="s">
        <v>2546</v>
      </c>
      <c r="BD128" s="0" t="s">
        <v>2547</v>
      </c>
      <c r="BF128" s="0" t="s">
        <v>1322</v>
      </c>
      <c r="BG128" s="0" t="s">
        <v>188</v>
      </c>
      <c r="BH128" s="0" t="s">
        <v>189</v>
      </c>
      <c r="BI128" s="0" t="s">
        <v>2548</v>
      </c>
      <c r="BK128" s="0" t="s">
        <v>1439</v>
      </c>
      <c r="BL128" s="0" t="s">
        <v>2549</v>
      </c>
      <c r="BM128" s="0" t="s">
        <v>162</v>
      </c>
      <c r="BN128" s="0" t="s">
        <v>2550</v>
      </c>
      <c r="BO128" s="0" t="s">
        <v>163</v>
      </c>
      <c r="BP128" s="0" t="s">
        <v>193</v>
      </c>
      <c r="BQ128" s="0" t="n">
        <v>40.737054</v>
      </c>
      <c r="BR128" s="0" t="n">
        <v>-73.992635</v>
      </c>
      <c r="BS128" s="0" t="s">
        <v>168</v>
      </c>
      <c r="BT128" s="0" t="n">
        <v>0</v>
      </c>
      <c r="BU128" s="0" t="s">
        <v>1794</v>
      </c>
      <c r="BV128" s="0" t="s">
        <v>1786</v>
      </c>
      <c r="BW128" s="0" t="s">
        <v>1785</v>
      </c>
      <c r="BX128" s="0" t="s">
        <v>1491</v>
      </c>
      <c r="BY128" s="0" t="s">
        <v>247</v>
      </c>
      <c r="CC128" s="0" t="s">
        <v>738</v>
      </c>
      <c r="CE128" s="0" t="s">
        <v>162</v>
      </c>
      <c r="CH128" s="0" t="s">
        <v>163</v>
      </c>
      <c r="CJ128" s="0" t="s">
        <v>163</v>
      </c>
      <c r="CK128" s="0" t="s">
        <v>162</v>
      </c>
      <c r="CL128" s="0" t="s">
        <v>577</v>
      </c>
      <c r="CM128" s="0" t="s">
        <v>2551</v>
      </c>
      <c r="CN128" s="0" t="s">
        <v>174</v>
      </c>
      <c r="CO128" s="0" t="n">
        <v>362</v>
      </c>
      <c r="CP128" s="0" t="s">
        <v>250</v>
      </c>
      <c r="CQ128" s="0" t="s">
        <v>2552</v>
      </c>
      <c r="CR128" s="0" t="s">
        <v>206</v>
      </c>
      <c r="CS128" s="0" t="n">
        <v>0.38</v>
      </c>
      <c r="CT128" s="0" t="n">
        <v>35.4</v>
      </c>
      <c r="CU128" s="0" t="n">
        <v>9.4</v>
      </c>
      <c r="CV128" s="0" t="n">
        <v>-2</v>
      </c>
      <c r="CW128" s="0" t="n">
        <v>15</v>
      </c>
      <c r="CX128" s="0" t="n">
        <v>13</v>
      </c>
      <c r="CY128" s="0" t="n">
        <f aca="false">IF(AH128="exact",10,IF(AH128="adjacent",5,0))</f>
        <v>0</v>
      </c>
      <c r="CZ128" s="0" t="n">
        <f aca="false">IF(R128="Y",15,0)</f>
        <v>0</v>
      </c>
      <c r="DF128" s="0" t="s">
        <v>158</v>
      </c>
      <c r="DG128" s="0" t="s">
        <v>1335</v>
      </c>
      <c r="DH128" s="0" t="s">
        <v>1446</v>
      </c>
      <c r="DI128" s="0" t="s">
        <v>162</v>
      </c>
      <c r="DK128" s="0" t="s">
        <v>2553</v>
      </c>
      <c r="DS128" s="0" t="s">
        <v>158</v>
      </c>
      <c r="DX128" s="0" t="s">
        <v>162</v>
      </c>
      <c r="ER128" s="0" t="str">
        <f aca="false">IF(ISNUMBER(MATCH(U128,{"queued","contacted","replied","call_booked","call_done","yes_in_principle","materials_sent"},0)),"Y","N")</f>
        <v>N</v>
      </c>
      <c r="ES128" s="0" t="str">
        <f aca="false">IF(COUNTIFS($AP$2:$AP$1000,AP128,$ER$2:$ER$1000,"Y")+COUNTIFS($AP$2:$AP$1000,AP128,$T$2:$T$1000,"Y")&gt;0,"Y","N")</f>
        <v>N</v>
      </c>
      <c r="ET128" s="0" t="str">
        <f aca="false">IF(AND(U128="new",T128="N",AT128="Y",AS128="",ES128="N"),"Y","N")</f>
        <v>N</v>
      </c>
      <c r="EU128" s="0" t="str">
        <f aca="false">IF(ET128&lt;&gt;"Y","N",IF(COUNTIFS($AP$2:$AP$1000,AP128,$ET$2:$ET$1000,"Y",$J$2:$J$1000,"&gt;"&amp;J128)+COUNTIFS($AP$2:$AP$1000,AP128,$ET$2:$ET$1000,"Y",$J$2:$J$1000,J128,$EW$2:$EW$1000,"&lt;"&amp;EW128)=0,"Y","N"))</f>
        <v>N</v>
      </c>
      <c r="EV128" s="0" t="str">
        <f aca="false">IF(Y128="","N",IF(Y128&lt;=10,"Y","N"))</f>
        <v>N</v>
      </c>
      <c r="EW128" s="0" t="n">
        <f aca="false">ROW()-1</f>
        <v>127</v>
      </c>
    </row>
    <row r="129" customFormat="false" ht="15" hidden="false" customHeight="false" outlineLevel="0" collapsed="false">
      <c r="A129" s="0" t="s">
        <v>2554</v>
      </c>
      <c r="B129" s="0" t="s">
        <v>2555</v>
      </c>
      <c r="H129" s="5" t="s">
        <v>158</v>
      </c>
      <c r="I129" s="5" t="s">
        <v>159</v>
      </c>
      <c r="J129" s="0" t="n">
        <f aca="false">IF(AX129="pass",ROUND(CU129+CV129+CW129+CX129+CY129+CZ129,1),0)</f>
        <v>34.9</v>
      </c>
      <c r="K129" s="0" t="s">
        <v>2556</v>
      </c>
      <c r="L129" s="0" t="s">
        <v>560</v>
      </c>
      <c r="O129" s="0" t="s">
        <v>2557</v>
      </c>
      <c r="P129" s="0" t="s">
        <v>2388</v>
      </c>
      <c r="Q129" s="0" t="s">
        <v>2389</v>
      </c>
      <c r="R129" s="5" t="s">
        <v>162</v>
      </c>
      <c r="S129" s="0" t="s">
        <v>163</v>
      </c>
      <c r="T129" s="5" t="s">
        <v>162</v>
      </c>
      <c r="U129" s="5" t="s">
        <v>561</v>
      </c>
      <c r="V129" s="0" t="s">
        <v>2388</v>
      </c>
      <c r="W129" s="0" t="s">
        <v>166</v>
      </c>
      <c r="X129" s="0" t="s">
        <v>167</v>
      </c>
      <c r="Y129" s="0" t="str">
        <f aca="false">IF(EU129&lt;&gt;"Y","",COUNTIFS($EU$2:$EU$1000,"Y",$J$2:$J$1000,"&gt;"&amp;J129)+COUNTIFS($EU$2:$EU$1000,"Y",$J$2:$J$1000,J129,$EW$2:$EW$1000,"&lt;"&amp;EW129)+1)</f>
        <v/>
      </c>
      <c r="Z129" s="0" t="n">
        <v>128</v>
      </c>
      <c r="AA129" s="0" t="s">
        <v>162</v>
      </c>
      <c r="AB129" s="0" t="s">
        <v>1561</v>
      </c>
      <c r="AD129" s="0" t="s">
        <v>158</v>
      </c>
      <c r="AH129" s="5" t="s">
        <v>158</v>
      </c>
      <c r="AI129" s="0" t="s">
        <v>2382</v>
      </c>
      <c r="AJ129" s="0" t="s">
        <v>2370</v>
      </c>
      <c r="AK129" s="0" t="s">
        <v>889</v>
      </c>
      <c r="AL129" s="0" t="n">
        <v>5</v>
      </c>
      <c r="AM129" s="0" t="n">
        <v>155</v>
      </c>
      <c r="AN129" s="0" t="s">
        <v>179</v>
      </c>
      <c r="AO129" s="0" t="s">
        <v>861</v>
      </c>
      <c r="AP129" s="0" t="s">
        <v>2554</v>
      </c>
      <c r="AQ129" s="5" t="s">
        <v>168</v>
      </c>
      <c r="AR129" s="0" t="s">
        <v>890</v>
      </c>
      <c r="AT129" s="0" t="str">
        <f aca="false">IF(AND(AX129="pass",AQ129&lt;&gt;"Y",C129&lt;&gt;"",OR(AW129&lt;&gt;"Y",AV129="Y")),"Y","N")</f>
        <v>N</v>
      </c>
      <c r="AU129" s="0" t="str">
        <f aca="false">_xlfn.TEXTJOIN("; ",TRUE(),IF(AX129&lt;&gt;"pass","gated out",""),IF(AQ129="Y","on hold: "&amp;AR129,""),IF(C129="","no contact named on an opened page",""),IF(AND(AW129="Y",AV129&lt;&gt;"Y"),"Tuesday estimate band "&amp;L129&amp;": founder's call",""))</f>
        <v>on hold: lease signed, move not confirmed: check the lobby directory before outreach (B); no contact named on an opened page; Tuesday estimate band under-40: founder's call</v>
      </c>
      <c r="AW129" s="0" t="s">
        <v>168</v>
      </c>
      <c r="AX129" s="0" t="s">
        <v>181</v>
      </c>
      <c r="AY129" s="0" t="s">
        <v>182</v>
      </c>
      <c r="AZ129" s="0" t="s">
        <v>1</v>
      </c>
      <c r="BA129" s="0" t="s">
        <v>2558</v>
      </c>
      <c r="BB129" s="0" t="s">
        <v>2559</v>
      </c>
      <c r="BC129" s="0" t="s">
        <v>2560</v>
      </c>
      <c r="BD129" s="0" t="s">
        <v>2561</v>
      </c>
      <c r="BE129" s="0" t="s">
        <v>2562</v>
      </c>
      <c r="BF129" s="0" t="s">
        <v>187</v>
      </c>
      <c r="BG129" s="0" t="s">
        <v>188</v>
      </c>
      <c r="BH129" s="0" t="s">
        <v>240</v>
      </c>
      <c r="BI129" s="0" t="s">
        <v>2563</v>
      </c>
      <c r="BJ129" s="0" t="s">
        <v>2564</v>
      </c>
      <c r="BK129" s="0" t="s">
        <v>191</v>
      </c>
      <c r="BL129" s="0" t="s">
        <v>656</v>
      </c>
      <c r="BM129" s="0" t="s">
        <v>162</v>
      </c>
      <c r="BN129" s="0" t="s">
        <v>163</v>
      </c>
      <c r="BO129" s="0" t="s">
        <v>163</v>
      </c>
      <c r="BP129" s="0" t="s">
        <v>193</v>
      </c>
      <c r="BQ129" s="0" t="n">
        <v>40.73827</v>
      </c>
      <c r="BR129" s="0" t="n">
        <v>-73.988199</v>
      </c>
      <c r="BS129" s="0" t="s">
        <v>168</v>
      </c>
      <c r="BT129" s="0" t="n">
        <v>0</v>
      </c>
      <c r="BU129" s="0" t="s">
        <v>2386</v>
      </c>
      <c r="BV129" s="0" t="s">
        <v>2387</v>
      </c>
      <c r="BW129" s="0" t="s">
        <v>2388</v>
      </c>
      <c r="BX129" s="0" t="s">
        <v>2389</v>
      </c>
      <c r="BY129" s="0" t="s">
        <v>247</v>
      </c>
      <c r="BZ129" s="0" t="s">
        <v>2565</v>
      </c>
      <c r="CA129" s="0" t="s">
        <v>2363</v>
      </c>
      <c r="CC129" s="0" t="s">
        <v>738</v>
      </c>
      <c r="CD129" s="0" t="s">
        <v>163</v>
      </c>
      <c r="CE129" s="0" t="s">
        <v>162</v>
      </c>
      <c r="CH129" s="0" t="s">
        <v>163</v>
      </c>
      <c r="CJ129" s="0" t="s">
        <v>163</v>
      </c>
      <c r="CK129" s="0" t="s">
        <v>162</v>
      </c>
      <c r="CL129" s="0" t="s">
        <v>2566</v>
      </c>
      <c r="CM129" s="0" t="s">
        <v>2567</v>
      </c>
      <c r="CN129" s="0" t="s">
        <v>174</v>
      </c>
      <c r="CO129" s="0" t="n">
        <v>28</v>
      </c>
      <c r="CP129" s="0" t="s">
        <v>1726</v>
      </c>
      <c r="CQ129" s="0" t="s">
        <v>2568</v>
      </c>
      <c r="CR129" s="0" t="s">
        <v>206</v>
      </c>
      <c r="CS129" s="0" t="n">
        <v>0.39</v>
      </c>
      <c r="CT129" s="0" t="n">
        <v>34.9</v>
      </c>
      <c r="CU129" s="0" t="n">
        <v>9.9</v>
      </c>
      <c r="CV129" s="0" t="n">
        <v>15</v>
      </c>
      <c r="CW129" s="0" t="n">
        <v>5</v>
      </c>
      <c r="CX129" s="0" t="n">
        <v>5</v>
      </c>
      <c r="CY129" s="0" t="n">
        <f aca="false">IF(AH129="exact",10,IF(AH129="adjacent",5,0))</f>
        <v>0</v>
      </c>
      <c r="CZ129" s="0" t="n">
        <f aca="false">IF(R129="Y",15,0)</f>
        <v>0</v>
      </c>
      <c r="DF129" s="0" t="s">
        <v>158</v>
      </c>
      <c r="DG129" s="0" t="s">
        <v>211</v>
      </c>
      <c r="DK129" s="0" t="s">
        <v>2569</v>
      </c>
      <c r="DS129" s="0" t="s">
        <v>158</v>
      </c>
      <c r="DX129" s="0" t="s">
        <v>162</v>
      </c>
      <c r="ER129" s="0" t="str">
        <f aca="false">IF(ISNUMBER(MATCH(U129,{"queued","contacted","replied","call_booked","call_done","yes_in_principle","materials_sent"},0)),"Y","N")</f>
        <v>N</v>
      </c>
      <c r="ES129" s="0" t="str">
        <f aca="false">IF(COUNTIFS($AP$2:$AP$1000,AP129,$ER$2:$ER$1000,"Y")+COUNTIFS($AP$2:$AP$1000,AP129,$T$2:$T$1000,"Y")&gt;0,"Y","N")</f>
        <v>N</v>
      </c>
      <c r="ET129" s="0" t="str">
        <f aca="false">IF(AND(U129="new",T129="N",AT129="Y",AS129="",ES129="N"),"Y","N")</f>
        <v>N</v>
      </c>
      <c r="EU129" s="0" t="str">
        <f aca="false">IF(ET129&lt;&gt;"Y","N",IF(COUNTIFS($AP$2:$AP$1000,AP129,$ET$2:$ET$1000,"Y",$J$2:$J$1000,"&gt;"&amp;J129)+COUNTIFS($AP$2:$AP$1000,AP129,$ET$2:$ET$1000,"Y",$J$2:$J$1000,J129,$EW$2:$EW$1000,"&lt;"&amp;EW129)=0,"Y","N"))</f>
        <v>N</v>
      </c>
      <c r="EV129" s="0" t="str">
        <f aca="false">IF(Y129="","N",IF(Y129&lt;=10,"Y","N"))</f>
        <v>N</v>
      </c>
      <c r="EW129" s="0" t="n">
        <f aca="false">ROW()-1</f>
        <v>128</v>
      </c>
    </row>
    <row r="130" customFormat="false" ht="15" hidden="false" customHeight="false" outlineLevel="0" collapsed="false">
      <c r="A130" s="0" t="s">
        <v>2570</v>
      </c>
      <c r="B130" s="0" t="s">
        <v>2571</v>
      </c>
      <c r="H130" s="5" t="s">
        <v>158</v>
      </c>
      <c r="I130" s="5" t="s">
        <v>159</v>
      </c>
      <c r="J130" s="0" t="n">
        <f aca="false">IF(AX130="pass",ROUND(CU130+CV130+CW130+CX130+CY130+CZ130,1),0)</f>
        <v>34</v>
      </c>
      <c r="K130" s="0" t="s">
        <v>2572</v>
      </c>
      <c r="L130" s="0" t="s">
        <v>163</v>
      </c>
      <c r="R130" s="5" t="s">
        <v>162</v>
      </c>
      <c r="S130" s="0" t="s">
        <v>163</v>
      </c>
      <c r="T130" s="5" t="s">
        <v>162</v>
      </c>
      <c r="U130" s="5" t="s">
        <v>561</v>
      </c>
      <c r="V130" s="0" t="s">
        <v>2573</v>
      </c>
      <c r="W130" s="0" t="s">
        <v>166</v>
      </c>
      <c r="X130" s="0" t="s">
        <v>167</v>
      </c>
      <c r="Y130" s="0" t="str">
        <f aca="false">IF(EU130&lt;&gt;"Y","",COUNTIFS($EU$2:$EU$1000,"Y",$J$2:$J$1000,"&gt;"&amp;J130)+COUNTIFS($EU$2:$EU$1000,"Y",$J$2:$J$1000,J130,$EW$2:$EW$1000,"&lt;"&amp;EW130)+1)</f>
        <v/>
      </c>
      <c r="Z130" s="0" t="n">
        <v>129</v>
      </c>
      <c r="AA130" s="0" t="s">
        <v>162</v>
      </c>
      <c r="AD130" s="0" t="s">
        <v>158</v>
      </c>
      <c r="AH130" s="5" t="s">
        <v>158</v>
      </c>
      <c r="AI130" s="0" t="s">
        <v>727</v>
      </c>
      <c r="AJ130" s="0" t="s">
        <v>2574</v>
      </c>
      <c r="AK130" s="0" t="s">
        <v>178</v>
      </c>
      <c r="AL130" s="0" t="s">
        <v>163</v>
      </c>
      <c r="AM130" s="0" t="s">
        <v>163</v>
      </c>
      <c r="AN130" s="0" t="s">
        <v>158</v>
      </c>
      <c r="AO130" s="0" t="s">
        <v>163</v>
      </c>
      <c r="AP130" s="0" t="s">
        <v>2570</v>
      </c>
      <c r="AQ130" s="5" t="s">
        <v>162</v>
      </c>
      <c r="AT130" s="0" t="str">
        <f aca="false">IF(AND(AX130="pass",AQ130&lt;&gt;"Y",C130&lt;&gt;"",OR(AW130&lt;&gt;"Y",AV130="Y")),"Y","N")</f>
        <v>N</v>
      </c>
      <c r="AU130" s="0" t="str">
        <f aca="false">_xlfn.TEXTJOIN("; ",TRUE(),IF(AX130&lt;&gt;"pass","gated out",""),IF(AQ130="Y","on hold: "&amp;AR130,""),IF(C130="","no contact named on an opened page",""),IF(AND(AW130="Y",AV130&lt;&gt;"Y"),"Tuesday estimate band "&amp;L130&amp;": founder's call",""))</f>
        <v>no contact named on an opened page</v>
      </c>
      <c r="AW130" s="0" t="s">
        <v>162</v>
      </c>
      <c r="AX130" s="0" t="s">
        <v>181</v>
      </c>
      <c r="AY130" s="0" t="s">
        <v>182</v>
      </c>
      <c r="AZ130" s="0" t="s">
        <v>1</v>
      </c>
      <c r="BA130" s="0" t="s">
        <v>2575</v>
      </c>
      <c r="BB130" s="0" t="s">
        <v>163</v>
      </c>
      <c r="BC130" s="0" t="s">
        <v>2576</v>
      </c>
      <c r="BD130" s="0" t="s">
        <v>163</v>
      </c>
      <c r="BF130" s="0" t="s">
        <v>163</v>
      </c>
      <c r="BG130" s="0" t="s">
        <v>163</v>
      </c>
      <c r="BH130" s="0" t="s">
        <v>2195</v>
      </c>
      <c r="BK130" s="0" t="s">
        <v>163</v>
      </c>
      <c r="BL130" s="0" t="s">
        <v>163</v>
      </c>
      <c r="BM130" s="0" t="s">
        <v>163</v>
      </c>
      <c r="BN130" s="0" t="s">
        <v>163</v>
      </c>
      <c r="BO130" s="0" t="s">
        <v>163</v>
      </c>
      <c r="BP130" s="0" t="s">
        <v>193</v>
      </c>
      <c r="BQ130" s="0" t="n">
        <v>40.734626</v>
      </c>
      <c r="BR130" s="0" t="n">
        <v>-73.9911</v>
      </c>
      <c r="BS130" s="0" t="s">
        <v>168</v>
      </c>
      <c r="BT130" s="0" t="n">
        <v>0</v>
      </c>
      <c r="BU130" s="0" t="s">
        <v>735</v>
      </c>
      <c r="BV130" s="0" t="s">
        <v>736</v>
      </c>
      <c r="BW130" s="0" t="s">
        <v>2573</v>
      </c>
      <c r="BX130" s="0" t="s">
        <v>912</v>
      </c>
      <c r="BY130" s="0" t="s">
        <v>247</v>
      </c>
      <c r="BZ130" s="0" t="s">
        <v>2577</v>
      </c>
      <c r="CA130" s="0" t="s">
        <v>2578</v>
      </c>
      <c r="CC130" s="0" t="s">
        <v>738</v>
      </c>
      <c r="CE130" s="0" t="s">
        <v>162</v>
      </c>
      <c r="CH130" s="0" t="s">
        <v>201</v>
      </c>
      <c r="CI130" s="0" t="s">
        <v>739</v>
      </c>
      <c r="CJ130" s="0" t="s">
        <v>163</v>
      </c>
      <c r="CK130" s="0" t="s">
        <v>162</v>
      </c>
      <c r="CL130" s="0" t="s">
        <v>163</v>
      </c>
      <c r="CO130" s="0" t="s">
        <v>163</v>
      </c>
      <c r="CQ130" s="0" t="s">
        <v>2196</v>
      </c>
      <c r="CR130" s="0" t="s">
        <v>206</v>
      </c>
      <c r="CS130" s="0" t="s">
        <v>163</v>
      </c>
      <c r="CT130" s="0" t="n">
        <v>34</v>
      </c>
      <c r="CU130" s="0" t="n">
        <v>7</v>
      </c>
      <c r="CV130" s="0" t="n">
        <v>8</v>
      </c>
      <c r="CW130" s="0" t="n">
        <v>6</v>
      </c>
      <c r="CX130" s="0" t="n">
        <v>13</v>
      </c>
      <c r="CY130" s="0" t="n">
        <f aca="false">IF(AH130="exact",10,IF(AH130="adjacent",5,0))</f>
        <v>0</v>
      </c>
      <c r="CZ130" s="0" t="n">
        <f aca="false">IF(R130="Y",15,0)</f>
        <v>0</v>
      </c>
      <c r="DF130" s="0" t="s">
        <v>158</v>
      </c>
      <c r="DG130" s="0" t="s">
        <v>211</v>
      </c>
      <c r="DJ130" s="0" t="s">
        <v>2579</v>
      </c>
      <c r="DK130" s="0" t="s">
        <v>2580</v>
      </c>
      <c r="DS130" s="0" t="s">
        <v>158</v>
      </c>
      <c r="DX130" s="0" t="s">
        <v>162</v>
      </c>
      <c r="ER130" s="0" t="str">
        <f aca="false">IF(ISNUMBER(MATCH(U130,{"queued","contacted","replied","call_booked","call_done","yes_in_principle","materials_sent"},0)),"Y","N")</f>
        <v>N</v>
      </c>
      <c r="ES130" s="0" t="str">
        <f aca="false">IF(COUNTIFS($AP$2:$AP$1000,AP130,$ER$2:$ER$1000,"Y")+COUNTIFS($AP$2:$AP$1000,AP130,$T$2:$T$1000,"Y")&gt;0,"Y","N")</f>
        <v>N</v>
      </c>
      <c r="ET130" s="0" t="str">
        <f aca="false">IF(AND(U130="new",T130="N",AT130="Y",AS130="",ES130="N"),"Y","N")</f>
        <v>N</v>
      </c>
      <c r="EU130" s="0" t="str">
        <f aca="false">IF(ET130&lt;&gt;"Y","N",IF(COUNTIFS($AP$2:$AP$1000,AP130,$ET$2:$ET$1000,"Y",$J$2:$J$1000,"&gt;"&amp;J130)+COUNTIFS($AP$2:$AP$1000,AP130,$ET$2:$ET$1000,"Y",$J$2:$J$1000,J130,$EW$2:$EW$1000,"&lt;"&amp;EW130)=0,"Y","N"))</f>
        <v>N</v>
      </c>
      <c r="EV130" s="0" t="str">
        <f aca="false">IF(Y130="","N",IF(Y130&lt;=10,"Y","N"))</f>
        <v>N</v>
      </c>
      <c r="EW130" s="0" t="n">
        <f aca="false">ROW()-1</f>
        <v>129</v>
      </c>
    </row>
    <row r="131" customFormat="false" ht="15" hidden="false" customHeight="false" outlineLevel="0" collapsed="false">
      <c r="A131" s="0" t="s">
        <v>2581</v>
      </c>
      <c r="B131" s="0" t="s">
        <v>2582</v>
      </c>
      <c r="H131" s="5" t="s">
        <v>158</v>
      </c>
      <c r="I131" s="5" t="s">
        <v>159</v>
      </c>
      <c r="J131" s="0" t="n">
        <f aca="false">IF(AX131="pass",ROUND(CU131+CV131+CW131+CX131+CY131+CZ131,1),0)</f>
        <v>34</v>
      </c>
      <c r="K131" s="0" t="s">
        <v>2572</v>
      </c>
      <c r="L131" s="0" t="s">
        <v>163</v>
      </c>
      <c r="R131" s="5" t="s">
        <v>162</v>
      </c>
      <c r="S131" s="0" t="s">
        <v>163</v>
      </c>
      <c r="T131" s="5" t="s">
        <v>162</v>
      </c>
      <c r="U131" s="5" t="s">
        <v>561</v>
      </c>
      <c r="V131" s="0" t="s">
        <v>1027</v>
      </c>
      <c r="W131" s="0" t="s">
        <v>166</v>
      </c>
      <c r="X131" s="0" t="s">
        <v>167</v>
      </c>
      <c r="Y131" s="0" t="str">
        <f aca="false">IF(EU131&lt;&gt;"Y","",COUNTIFS($EU$2:$EU$1000,"Y",$J$2:$J$1000,"&gt;"&amp;J131)+COUNTIFS($EU$2:$EU$1000,"Y",$J$2:$J$1000,J131,$EW$2:$EW$1000,"&lt;"&amp;EW131)+1)</f>
        <v/>
      </c>
      <c r="Z131" s="0" t="n">
        <v>130</v>
      </c>
      <c r="AA131" s="0" t="s">
        <v>162</v>
      </c>
      <c r="AD131" s="0" t="s">
        <v>158</v>
      </c>
      <c r="AH131" s="5" t="s">
        <v>158</v>
      </c>
      <c r="AI131" s="0" t="s">
        <v>1030</v>
      </c>
      <c r="AJ131" s="0" t="s">
        <v>163</v>
      </c>
      <c r="AK131" s="0" t="s">
        <v>178</v>
      </c>
      <c r="AL131" s="0" t="s">
        <v>163</v>
      </c>
      <c r="AM131" s="0" t="s">
        <v>163</v>
      </c>
      <c r="AN131" s="0" t="s">
        <v>158</v>
      </c>
      <c r="AO131" s="0" t="s">
        <v>163</v>
      </c>
      <c r="AP131" s="0" t="s">
        <v>2581</v>
      </c>
      <c r="AQ131" s="5" t="s">
        <v>162</v>
      </c>
      <c r="AT131" s="0" t="str">
        <f aca="false">IF(AND(AX131="pass",AQ131&lt;&gt;"Y",C131&lt;&gt;"",OR(AW131&lt;&gt;"Y",AV131="Y")),"Y","N")</f>
        <v>N</v>
      </c>
      <c r="AU131" s="0" t="str">
        <f aca="false">_xlfn.TEXTJOIN("; ",TRUE(),IF(AX131&lt;&gt;"pass","gated out",""),IF(AQ131="Y","on hold: "&amp;AR131,""),IF(C131="","no contact named on an opened page",""),IF(AND(AW131="Y",AV131&lt;&gt;"Y"),"Tuesday estimate band "&amp;L131&amp;": founder's call",""))</f>
        <v>no contact named on an opened page</v>
      </c>
      <c r="AW131" s="0" t="s">
        <v>162</v>
      </c>
      <c r="AX131" s="0" t="s">
        <v>181</v>
      </c>
      <c r="AY131" s="0" t="s">
        <v>182</v>
      </c>
      <c r="AZ131" s="0" t="s">
        <v>1</v>
      </c>
      <c r="BA131" s="0" t="s">
        <v>2583</v>
      </c>
      <c r="BB131" s="0" t="s">
        <v>2584</v>
      </c>
      <c r="BC131" s="0" t="s">
        <v>2585</v>
      </c>
      <c r="BD131" s="0" t="s">
        <v>163</v>
      </c>
      <c r="BF131" s="0" t="s">
        <v>163</v>
      </c>
      <c r="BG131" s="0" t="s">
        <v>163</v>
      </c>
      <c r="BH131" s="0" t="s">
        <v>2195</v>
      </c>
      <c r="BK131" s="0" t="s">
        <v>163</v>
      </c>
      <c r="BL131" s="0" t="s">
        <v>163</v>
      </c>
      <c r="BM131" s="0" t="s">
        <v>163</v>
      </c>
      <c r="BN131" s="0" t="s">
        <v>163</v>
      </c>
      <c r="BO131" s="0" t="s">
        <v>163</v>
      </c>
      <c r="BP131" s="0" t="s">
        <v>711</v>
      </c>
      <c r="BQ131" s="0" t="n">
        <v>40.744899</v>
      </c>
      <c r="BR131" s="0" t="n">
        <v>-73.989082</v>
      </c>
      <c r="BS131" s="0" t="s">
        <v>168</v>
      </c>
      <c r="BT131" s="0" t="n">
        <v>0</v>
      </c>
      <c r="BU131" s="0" t="s">
        <v>1040</v>
      </c>
      <c r="BV131" s="0" t="s">
        <v>1041</v>
      </c>
      <c r="BW131" s="0" t="s">
        <v>1027</v>
      </c>
      <c r="BX131" s="0" t="s">
        <v>1042</v>
      </c>
      <c r="BY131" s="0" t="s">
        <v>247</v>
      </c>
      <c r="CC131" s="0" t="s">
        <v>738</v>
      </c>
      <c r="CE131" s="0" t="s">
        <v>162</v>
      </c>
      <c r="CH131" s="0" t="s">
        <v>163</v>
      </c>
      <c r="CJ131" s="0" t="s">
        <v>163</v>
      </c>
      <c r="CK131" s="0" t="s">
        <v>162</v>
      </c>
      <c r="CL131" s="0" t="s">
        <v>163</v>
      </c>
      <c r="CO131" s="0" t="s">
        <v>163</v>
      </c>
      <c r="CQ131" s="0" t="s">
        <v>2196</v>
      </c>
      <c r="CR131" s="0" t="s">
        <v>206</v>
      </c>
      <c r="CS131" s="0" t="s">
        <v>163</v>
      </c>
      <c r="CT131" s="0" t="n">
        <v>34</v>
      </c>
      <c r="CU131" s="0" t="n">
        <v>7</v>
      </c>
      <c r="CV131" s="0" t="n">
        <v>8</v>
      </c>
      <c r="CW131" s="0" t="n">
        <v>6</v>
      </c>
      <c r="CX131" s="0" t="n">
        <v>13</v>
      </c>
      <c r="CY131" s="0" t="n">
        <f aca="false">IF(AH131="exact",10,IF(AH131="adjacent",5,0))</f>
        <v>0</v>
      </c>
      <c r="CZ131" s="0" t="n">
        <f aca="false">IF(R131="Y",15,0)</f>
        <v>0</v>
      </c>
      <c r="DF131" s="0" t="s">
        <v>158</v>
      </c>
      <c r="DG131" s="0" t="s">
        <v>211</v>
      </c>
      <c r="DJ131" s="0" t="s">
        <v>2586</v>
      </c>
      <c r="DK131" s="0" t="s">
        <v>2587</v>
      </c>
      <c r="DS131" s="0" t="s">
        <v>158</v>
      </c>
      <c r="DX131" s="0" t="s">
        <v>162</v>
      </c>
      <c r="ER131" s="0" t="str">
        <f aca="false">IF(ISNUMBER(MATCH(U131,{"queued","contacted","replied","call_booked","call_done","yes_in_principle","materials_sent"},0)),"Y","N")</f>
        <v>N</v>
      </c>
      <c r="ES131" s="0" t="str">
        <f aca="false">IF(COUNTIFS($AP$2:$AP$1000,AP131,$ER$2:$ER$1000,"Y")+COUNTIFS($AP$2:$AP$1000,AP131,$T$2:$T$1000,"Y")&gt;0,"Y","N")</f>
        <v>N</v>
      </c>
      <c r="ET131" s="0" t="str">
        <f aca="false">IF(AND(U131="new",T131="N",AT131="Y",AS131="",ES131="N"),"Y","N")</f>
        <v>N</v>
      </c>
      <c r="EU131" s="0" t="str">
        <f aca="false">IF(ET131&lt;&gt;"Y","N",IF(COUNTIFS($AP$2:$AP$1000,AP131,$ET$2:$ET$1000,"Y",$J$2:$J$1000,"&gt;"&amp;J131)+COUNTIFS($AP$2:$AP$1000,AP131,$ET$2:$ET$1000,"Y",$J$2:$J$1000,J131,$EW$2:$EW$1000,"&lt;"&amp;EW131)=0,"Y","N"))</f>
        <v>N</v>
      </c>
      <c r="EV131" s="0" t="str">
        <f aca="false">IF(Y131="","N",IF(Y131&lt;=10,"Y","N"))</f>
        <v>N</v>
      </c>
      <c r="EW131" s="0" t="n">
        <f aca="false">ROW()-1</f>
        <v>130</v>
      </c>
    </row>
    <row r="132" customFormat="false" ht="15" hidden="false" customHeight="false" outlineLevel="0" collapsed="false">
      <c r="A132" s="0" t="s">
        <v>2588</v>
      </c>
      <c r="B132" s="0" t="s">
        <v>2589</v>
      </c>
      <c r="H132" s="5" t="s">
        <v>158</v>
      </c>
      <c r="I132" s="5" t="s">
        <v>159</v>
      </c>
      <c r="J132" s="0" t="n">
        <f aca="false">IF(AX132="pass",ROUND(CU132+CV132+CW132+CX132+CY132+CZ132,1),0)</f>
        <v>34</v>
      </c>
      <c r="K132" s="0" t="s">
        <v>2590</v>
      </c>
      <c r="L132" s="0" t="s">
        <v>163</v>
      </c>
      <c r="R132" s="5" t="s">
        <v>162</v>
      </c>
      <c r="S132" s="0" t="s">
        <v>163</v>
      </c>
      <c r="T132" s="5" t="s">
        <v>162</v>
      </c>
      <c r="U132" s="5" t="s">
        <v>561</v>
      </c>
      <c r="V132" s="0" t="s">
        <v>2591</v>
      </c>
      <c r="W132" s="0" t="s">
        <v>166</v>
      </c>
      <c r="X132" s="0" t="s">
        <v>167</v>
      </c>
      <c r="Y132" s="0" t="str">
        <f aca="false">IF(EU132&lt;&gt;"Y","",COUNTIFS($EU$2:$EU$1000,"Y",$J$2:$J$1000,"&gt;"&amp;J132)+COUNTIFS($EU$2:$EU$1000,"Y",$J$2:$J$1000,J132,$EW$2:$EW$1000,"&lt;"&amp;EW132)+1)</f>
        <v/>
      </c>
      <c r="Z132" s="0" t="n">
        <v>131</v>
      </c>
      <c r="AA132" s="0" t="s">
        <v>162</v>
      </c>
      <c r="AD132" s="0" t="s">
        <v>158</v>
      </c>
      <c r="AH132" s="5" t="s">
        <v>158</v>
      </c>
      <c r="AI132" s="0" t="s">
        <v>2592</v>
      </c>
      <c r="AJ132" s="0" t="s">
        <v>163</v>
      </c>
      <c r="AK132" s="0" t="s">
        <v>2227</v>
      </c>
      <c r="AL132" s="0" t="s">
        <v>163</v>
      </c>
      <c r="AM132" s="0" t="s">
        <v>163</v>
      </c>
      <c r="AN132" s="0" t="s">
        <v>158</v>
      </c>
      <c r="AO132" s="0" t="s">
        <v>163</v>
      </c>
      <c r="AP132" s="0" t="s">
        <v>2588</v>
      </c>
      <c r="AQ132" s="5" t="s">
        <v>162</v>
      </c>
      <c r="AT132" s="0" t="str">
        <f aca="false">IF(AND(AX132="pass",AQ132&lt;&gt;"Y",C132&lt;&gt;"",OR(AW132&lt;&gt;"Y",AV132="Y")),"Y","N")</f>
        <v>N</v>
      </c>
      <c r="AU132" s="0" t="str">
        <f aca="false">_xlfn.TEXTJOIN("; ",TRUE(),IF(AX132&lt;&gt;"pass","gated out",""),IF(AQ132="Y","on hold: "&amp;AR132,""),IF(C132="","no contact named on an opened page",""),IF(AND(AW132="Y",AV132&lt;&gt;"Y"),"Tuesday estimate band "&amp;L132&amp;": founder's call",""))</f>
        <v>no contact named on an opened page</v>
      </c>
      <c r="AW132" s="0" t="s">
        <v>162</v>
      </c>
      <c r="AX132" s="0" t="s">
        <v>181</v>
      </c>
      <c r="AY132" s="0" t="s">
        <v>182</v>
      </c>
      <c r="AZ132" s="0" t="s">
        <v>2228</v>
      </c>
      <c r="BA132" s="0" t="s">
        <v>2593</v>
      </c>
      <c r="BB132" s="0" t="s">
        <v>2594</v>
      </c>
      <c r="BC132" s="0" t="s">
        <v>2231</v>
      </c>
      <c r="BD132" s="0" t="s">
        <v>163</v>
      </c>
      <c r="BF132" s="0" t="s">
        <v>163</v>
      </c>
      <c r="BG132" s="0" t="s">
        <v>163</v>
      </c>
      <c r="BK132" s="0" t="s">
        <v>163</v>
      </c>
      <c r="BL132" s="0" t="s">
        <v>2232</v>
      </c>
      <c r="BM132" s="0" t="s">
        <v>163</v>
      </c>
      <c r="BN132" s="0" t="s">
        <v>2595</v>
      </c>
      <c r="BP132" s="0" t="s">
        <v>193</v>
      </c>
      <c r="BQ132" s="0" t="n">
        <v>40.733674</v>
      </c>
      <c r="BR132" s="0" t="n">
        <v>-73.988766</v>
      </c>
      <c r="BS132" s="0" t="s">
        <v>168</v>
      </c>
      <c r="BT132" s="0" t="n">
        <v>0</v>
      </c>
      <c r="BU132" s="0" t="s">
        <v>657</v>
      </c>
      <c r="BV132" s="0" t="s">
        <v>658</v>
      </c>
      <c r="BW132" s="0" t="s">
        <v>2591</v>
      </c>
      <c r="BX132" s="0" t="s">
        <v>166</v>
      </c>
      <c r="BY132" s="0" t="s">
        <v>2236</v>
      </c>
      <c r="CC132" s="0" t="s">
        <v>738</v>
      </c>
      <c r="CE132" s="0" t="s">
        <v>162</v>
      </c>
      <c r="CF132" s="0" t="s">
        <v>2593</v>
      </c>
      <c r="CG132" s="0" t="s">
        <v>2238</v>
      </c>
      <c r="CH132" s="0" t="s">
        <v>163</v>
      </c>
      <c r="CJ132" s="0" t="s">
        <v>163</v>
      </c>
      <c r="CK132" s="0" t="s">
        <v>162</v>
      </c>
      <c r="CL132" s="0" t="s">
        <v>163</v>
      </c>
      <c r="CO132" s="0" t="s">
        <v>163</v>
      </c>
      <c r="CQ132" s="0" t="s">
        <v>2239</v>
      </c>
      <c r="CR132" s="0" t="s">
        <v>206</v>
      </c>
      <c r="CS132" s="0" t="s">
        <v>163</v>
      </c>
      <c r="CT132" s="0" t="n">
        <v>34</v>
      </c>
      <c r="CU132" s="0" t="n">
        <v>7</v>
      </c>
      <c r="CV132" s="0" t="n">
        <v>8</v>
      </c>
      <c r="CW132" s="0" t="n">
        <v>6</v>
      </c>
      <c r="CX132" s="0" t="n">
        <v>13</v>
      </c>
      <c r="CY132" s="0" t="n">
        <f aca="false">IF(AH132="exact",10,IF(AH132="adjacent",5,0))</f>
        <v>0</v>
      </c>
      <c r="CZ132" s="0" t="n">
        <f aca="false">IF(R132="Y",15,0)</f>
        <v>0</v>
      </c>
      <c r="DF132" s="0" t="s">
        <v>158</v>
      </c>
      <c r="DG132" s="0" t="s">
        <v>2228</v>
      </c>
      <c r="DK132" s="0" t="s">
        <v>2596</v>
      </c>
      <c r="DS132" s="0" t="s">
        <v>158</v>
      </c>
      <c r="DX132" s="0" t="s">
        <v>162</v>
      </c>
      <c r="ER132" s="0" t="str">
        <f aca="false">IF(ISNUMBER(MATCH(U132,{"queued","contacted","replied","call_booked","call_done","yes_in_principle","materials_sent"},0)),"Y","N")</f>
        <v>N</v>
      </c>
      <c r="ES132" s="0" t="str">
        <f aca="false">IF(COUNTIFS($AP$2:$AP$1000,AP132,$ER$2:$ER$1000,"Y")+COUNTIFS($AP$2:$AP$1000,AP132,$T$2:$T$1000,"Y")&gt;0,"Y","N")</f>
        <v>N</v>
      </c>
      <c r="ET132" s="0" t="str">
        <f aca="false">IF(AND(U132="new",T132="N",AT132="Y",AS132="",ES132="N"),"Y","N")</f>
        <v>N</v>
      </c>
      <c r="EU132" s="0" t="str">
        <f aca="false">IF(ET132&lt;&gt;"Y","N",IF(COUNTIFS($AP$2:$AP$1000,AP132,$ET$2:$ET$1000,"Y",$J$2:$J$1000,"&gt;"&amp;J132)+COUNTIFS($AP$2:$AP$1000,AP132,$ET$2:$ET$1000,"Y",$J$2:$J$1000,J132,$EW$2:$EW$1000,"&lt;"&amp;EW132)=0,"Y","N"))</f>
        <v>N</v>
      </c>
      <c r="EV132" s="0" t="str">
        <f aca="false">IF(Y132="","N",IF(Y132&lt;=10,"Y","N"))</f>
        <v>N</v>
      </c>
      <c r="EW132" s="0" t="n">
        <f aca="false">ROW()-1</f>
        <v>131</v>
      </c>
    </row>
    <row r="133" customFormat="false" ht="15" hidden="false" customHeight="false" outlineLevel="0" collapsed="false">
      <c r="A133" s="0" t="s">
        <v>2597</v>
      </c>
      <c r="B133" s="0" t="s">
        <v>2598</v>
      </c>
      <c r="H133" s="5" t="s">
        <v>158</v>
      </c>
      <c r="I133" s="5" t="s">
        <v>159</v>
      </c>
      <c r="J133" s="0" t="n">
        <f aca="false">IF(AX133="pass",ROUND(CU133+CV133+CW133+CX133+CY133+CZ133,1),0)</f>
        <v>34</v>
      </c>
      <c r="K133" s="0" t="s">
        <v>2572</v>
      </c>
      <c r="L133" s="0" t="s">
        <v>163</v>
      </c>
      <c r="R133" s="5" t="s">
        <v>162</v>
      </c>
      <c r="S133" s="0" t="s">
        <v>163</v>
      </c>
      <c r="T133" s="5" t="s">
        <v>162</v>
      </c>
      <c r="U133" s="5" t="s">
        <v>561</v>
      </c>
      <c r="V133" s="0" t="s">
        <v>2599</v>
      </c>
      <c r="W133" s="0" t="s">
        <v>166</v>
      </c>
      <c r="X133" s="0" t="s">
        <v>167</v>
      </c>
      <c r="Y133" s="0" t="str">
        <f aca="false">IF(EU133&lt;&gt;"Y","",COUNTIFS($EU$2:$EU$1000,"Y",$J$2:$J$1000,"&gt;"&amp;J133)+COUNTIFS($EU$2:$EU$1000,"Y",$J$2:$J$1000,J133,$EW$2:$EW$1000,"&lt;"&amp;EW133)+1)</f>
        <v/>
      </c>
      <c r="Z133" s="0" t="n">
        <v>132</v>
      </c>
      <c r="AA133" s="0" t="s">
        <v>162</v>
      </c>
      <c r="AD133" s="0" t="s">
        <v>158</v>
      </c>
      <c r="AH133" s="5" t="s">
        <v>158</v>
      </c>
      <c r="AI133" s="0" t="s">
        <v>1410</v>
      </c>
      <c r="AJ133" s="0" t="s">
        <v>163</v>
      </c>
      <c r="AK133" s="0" t="s">
        <v>178</v>
      </c>
      <c r="AL133" s="0" t="s">
        <v>163</v>
      </c>
      <c r="AM133" s="0" t="s">
        <v>163</v>
      </c>
      <c r="AN133" s="0" t="s">
        <v>158</v>
      </c>
      <c r="AO133" s="0" t="s">
        <v>163</v>
      </c>
      <c r="AP133" s="0" t="s">
        <v>2597</v>
      </c>
      <c r="AQ133" s="5" t="s">
        <v>162</v>
      </c>
      <c r="AT133" s="0" t="str">
        <f aca="false">IF(AND(AX133="pass",AQ133&lt;&gt;"Y",C133&lt;&gt;"",OR(AW133&lt;&gt;"Y",AV133="Y")),"Y","N")</f>
        <v>N</v>
      </c>
      <c r="AU133" s="0" t="str">
        <f aca="false">_xlfn.TEXTJOIN("; ",TRUE(),IF(AX133&lt;&gt;"pass","gated out",""),IF(AQ133="Y","on hold: "&amp;AR133,""),IF(C133="","no contact named on an opened page",""),IF(AND(AW133="Y",AV133&lt;&gt;"Y"),"Tuesday estimate band "&amp;L133&amp;": founder's call",""))</f>
        <v>no contact named on an opened page</v>
      </c>
      <c r="AW133" s="0" t="s">
        <v>162</v>
      </c>
      <c r="AX133" s="0" t="s">
        <v>181</v>
      </c>
      <c r="AY133" s="0" t="s">
        <v>182</v>
      </c>
      <c r="AZ133" s="0" t="s">
        <v>1</v>
      </c>
      <c r="BA133" s="0" t="s">
        <v>2600</v>
      </c>
      <c r="BB133" s="0" t="s">
        <v>2601</v>
      </c>
      <c r="BC133" s="0" t="s">
        <v>2602</v>
      </c>
      <c r="BD133" s="0" t="s">
        <v>163</v>
      </c>
      <c r="BF133" s="0" t="s">
        <v>163</v>
      </c>
      <c r="BG133" s="0" t="s">
        <v>163</v>
      </c>
      <c r="BH133" s="0" t="s">
        <v>2195</v>
      </c>
      <c r="BK133" s="0" t="s">
        <v>163</v>
      </c>
      <c r="BL133" s="0" t="s">
        <v>163</v>
      </c>
      <c r="BM133" s="0" t="s">
        <v>163</v>
      </c>
      <c r="BN133" s="0" t="s">
        <v>163</v>
      </c>
      <c r="BO133" s="0" t="s">
        <v>163</v>
      </c>
      <c r="BP133" s="0" t="s">
        <v>346</v>
      </c>
      <c r="BQ133" s="0" t="n">
        <v>40.741548</v>
      </c>
      <c r="BR133" s="0" t="n">
        <v>-73.993007</v>
      </c>
      <c r="BS133" s="0" t="s">
        <v>168</v>
      </c>
      <c r="BT133" s="0" t="n">
        <v>0</v>
      </c>
      <c r="BU133" s="0" t="s">
        <v>1419</v>
      </c>
      <c r="BV133" s="0" t="s">
        <v>1420</v>
      </c>
      <c r="BW133" s="0" t="s">
        <v>2599</v>
      </c>
      <c r="BX133" s="0" t="s">
        <v>2603</v>
      </c>
      <c r="BY133" s="0" t="s">
        <v>247</v>
      </c>
      <c r="BZ133" s="0" t="s">
        <v>1409</v>
      </c>
      <c r="CA133" s="0" t="s">
        <v>1421</v>
      </c>
      <c r="CC133" s="0" t="s">
        <v>738</v>
      </c>
      <c r="CE133" s="0" t="s">
        <v>162</v>
      </c>
      <c r="CH133" s="0" t="s">
        <v>163</v>
      </c>
      <c r="CJ133" s="0" t="s">
        <v>163</v>
      </c>
      <c r="CK133" s="0" t="s">
        <v>162</v>
      </c>
      <c r="CL133" s="0" t="s">
        <v>163</v>
      </c>
      <c r="CO133" s="0" t="s">
        <v>163</v>
      </c>
      <c r="CQ133" s="0" t="s">
        <v>2196</v>
      </c>
      <c r="CR133" s="0" t="s">
        <v>206</v>
      </c>
      <c r="CS133" s="0" t="s">
        <v>163</v>
      </c>
      <c r="CT133" s="0" t="n">
        <v>34</v>
      </c>
      <c r="CU133" s="0" t="n">
        <v>7</v>
      </c>
      <c r="CV133" s="0" t="n">
        <v>8</v>
      </c>
      <c r="CW133" s="0" t="n">
        <v>6</v>
      </c>
      <c r="CX133" s="0" t="n">
        <v>13</v>
      </c>
      <c r="CY133" s="0" t="n">
        <f aca="false">IF(AH133="exact",10,IF(AH133="adjacent",5,0))</f>
        <v>0</v>
      </c>
      <c r="CZ133" s="0" t="n">
        <f aca="false">IF(R133="Y",15,0)</f>
        <v>0</v>
      </c>
      <c r="DF133" s="0" t="s">
        <v>158</v>
      </c>
      <c r="DG133" s="0" t="s">
        <v>211</v>
      </c>
      <c r="DJ133" s="0" t="s">
        <v>2604</v>
      </c>
      <c r="DK133" s="0" t="s">
        <v>2605</v>
      </c>
      <c r="DS133" s="0" t="s">
        <v>158</v>
      </c>
      <c r="DX133" s="0" t="s">
        <v>162</v>
      </c>
      <c r="ER133" s="0" t="str">
        <f aca="false">IF(ISNUMBER(MATCH(U133,{"queued","contacted","replied","call_booked","call_done","yes_in_principle","materials_sent"},0)),"Y","N")</f>
        <v>N</v>
      </c>
      <c r="ES133" s="0" t="str">
        <f aca="false">IF(COUNTIFS($AP$2:$AP$1000,AP133,$ER$2:$ER$1000,"Y")+COUNTIFS($AP$2:$AP$1000,AP133,$T$2:$T$1000,"Y")&gt;0,"Y","N")</f>
        <v>N</v>
      </c>
      <c r="ET133" s="0" t="str">
        <f aca="false">IF(AND(U133="new",T133="N",AT133="Y",AS133="",ES133="N"),"Y","N")</f>
        <v>N</v>
      </c>
      <c r="EU133" s="0" t="str">
        <f aca="false">IF(ET133&lt;&gt;"Y","N",IF(COUNTIFS($AP$2:$AP$1000,AP133,$ET$2:$ET$1000,"Y",$J$2:$J$1000,"&gt;"&amp;J133)+COUNTIFS($AP$2:$AP$1000,AP133,$ET$2:$ET$1000,"Y",$J$2:$J$1000,J133,$EW$2:$EW$1000,"&lt;"&amp;EW133)=0,"Y","N"))</f>
        <v>N</v>
      </c>
      <c r="EV133" s="0" t="str">
        <f aca="false">IF(Y133="","N",IF(Y133&lt;=10,"Y","N"))</f>
        <v>N</v>
      </c>
      <c r="EW133" s="0" t="n">
        <f aca="false">ROW()-1</f>
        <v>132</v>
      </c>
    </row>
    <row r="134" customFormat="false" ht="15" hidden="false" customHeight="false" outlineLevel="0" collapsed="false">
      <c r="A134" s="0" t="s">
        <v>2606</v>
      </c>
      <c r="B134" s="0" t="s">
        <v>2607</v>
      </c>
      <c r="H134" s="5" t="s">
        <v>158</v>
      </c>
      <c r="I134" s="5" t="s">
        <v>159</v>
      </c>
      <c r="J134" s="0" t="n">
        <f aca="false">IF(AX134="pass",ROUND(CU134+CV134+CW134+CX134+CY134+CZ134,1),0)</f>
        <v>34</v>
      </c>
      <c r="K134" s="0" t="s">
        <v>2572</v>
      </c>
      <c r="L134" s="0" t="s">
        <v>163</v>
      </c>
      <c r="R134" s="5" t="s">
        <v>162</v>
      </c>
      <c r="S134" s="0" t="s">
        <v>163</v>
      </c>
      <c r="T134" s="5" t="s">
        <v>162</v>
      </c>
      <c r="U134" s="5" t="s">
        <v>561</v>
      </c>
      <c r="V134" s="0" t="s">
        <v>2608</v>
      </c>
      <c r="W134" s="0" t="s">
        <v>166</v>
      </c>
      <c r="X134" s="0" t="s">
        <v>167</v>
      </c>
      <c r="Y134" s="0" t="str">
        <f aca="false">IF(EU134&lt;&gt;"Y","",COUNTIFS($EU$2:$EU$1000,"Y",$J$2:$J$1000,"&gt;"&amp;J134)+COUNTIFS($EU$2:$EU$1000,"Y",$J$2:$J$1000,J134,$EW$2:$EW$1000,"&lt;"&amp;EW134)+1)</f>
        <v/>
      </c>
      <c r="Z134" s="0" t="n">
        <v>133</v>
      </c>
      <c r="AA134" s="0" t="s">
        <v>162</v>
      </c>
      <c r="AD134" s="0" t="s">
        <v>158</v>
      </c>
      <c r="AH134" s="5" t="s">
        <v>158</v>
      </c>
      <c r="AI134" s="0" t="s">
        <v>2609</v>
      </c>
      <c r="AJ134" s="0" t="s">
        <v>163</v>
      </c>
      <c r="AK134" s="0" t="s">
        <v>178</v>
      </c>
      <c r="AL134" s="0" t="s">
        <v>163</v>
      </c>
      <c r="AM134" s="0" t="s">
        <v>163</v>
      </c>
      <c r="AN134" s="0" t="s">
        <v>158</v>
      </c>
      <c r="AO134" s="0" t="s">
        <v>163</v>
      </c>
      <c r="AP134" s="0" t="s">
        <v>2606</v>
      </c>
      <c r="AQ134" s="5" t="s">
        <v>162</v>
      </c>
      <c r="AT134" s="0" t="str">
        <f aca="false">IF(AND(AX134="pass",AQ134&lt;&gt;"Y",C134&lt;&gt;"",OR(AW134&lt;&gt;"Y",AV134="Y")),"Y","N")</f>
        <v>N</v>
      </c>
      <c r="AU134" s="0" t="str">
        <f aca="false">_xlfn.TEXTJOIN("; ",TRUE(),IF(AX134&lt;&gt;"pass","gated out",""),IF(AQ134="Y","on hold: "&amp;AR134,""),IF(C134="","no contact named on an opened page",""),IF(AND(AW134="Y",AV134&lt;&gt;"Y"),"Tuesday estimate band "&amp;L134&amp;": founder's call",""))</f>
        <v>no contact named on an opened page</v>
      </c>
      <c r="AW134" s="0" t="s">
        <v>162</v>
      </c>
      <c r="AX134" s="0" t="s">
        <v>181</v>
      </c>
      <c r="AY134" s="0" t="s">
        <v>182</v>
      </c>
      <c r="AZ134" s="0" t="s">
        <v>1</v>
      </c>
      <c r="BA134" s="0" t="s">
        <v>2610</v>
      </c>
      <c r="BB134" s="0" t="s">
        <v>163</v>
      </c>
      <c r="BC134" s="0" t="s">
        <v>2611</v>
      </c>
      <c r="BD134" s="0" t="s">
        <v>163</v>
      </c>
      <c r="BF134" s="0" t="s">
        <v>163</v>
      </c>
      <c r="BG134" s="0" t="s">
        <v>163</v>
      </c>
      <c r="BH134" s="0" t="s">
        <v>2195</v>
      </c>
      <c r="BK134" s="0" t="s">
        <v>163</v>
      </c>
      <c r="BL134" s="0" t="s">
        <v>163</v>
      </c>
      <c r="BM134" s="0" t="s">
        <v>163</v>
      </c>
      <c r="BN134" s="0" t="s">
        <v>163</v>
      </c>
      <c r="BO134" s="0" t="s">
        <v>163</v>
      </c>
      <c r="BP134" s="0" t="s">
        <v>377</v>
      </c>
      <c r="BQ134" s="0" t="n">
        <v>40.738186</v>
      </c>
      <c r="BR134" s="0" t="n">
        <v>-73.992429</v>
      </c>
      <c r="BS134" s="0" t="s">
        <v>168</v>
      </c>
      <c r="BT134" s="0" t="n">
        <v>0</v>
      </c>
      <c r="BU134" s="0" t="s">
        <v>2612</v>
      </c>
      <c r="BV134" s="0" t="s">
        <v>2609</v>
      </c>
      <c r="BW134" s="0" t="s">
        <v>2608</v>
      </c>
      <c r="BX134" s="0" t="s">
        <v>2613</v>
      </c>
      <c r="BY134" s="0" t="s">
        <v>247</v>
      </c>
      <c r="CC134" s="0" t="s">
        <v>738</v>
      </c>
      <c r="CE134" s="0" t="s">
        <v>162</v>
      </c>
      <c r="CH134" s="0" t="s">
        <v>163</v>
      </c>
      <c r="CJ134" s="0" t="s">
        <v>163</v>
      </c>
      <c r="CK134" s="0" t="s">
        <v>162</v>
      </c>
      <c r="CL134" s="0" t="s">
        <v>163</v>
      </c>
      <c r="CO134" s="0" t="s">
        <v>163</v>
      </c>
      <c r="CQ134" s="0" t="s">
        <v>2196</v>
      </c>
      <c r="CR134" s="0" t="s">
        <v>206</v>
      </c>
      <c r="CS134" s="0" t="s">
        <v>163</v>
      </c>
      <c r="CT134" s="0" t="n">
        <v>34</v>
      </c>
      <c r="CU134" s="0" t="n">
        <v>7</v>
      </c>
      <c r="CV134" s="0" t="n">
        <v>8</v>
      </c>
      <c r="CW134" s="0" t="n">
        <v>6</v>
      </c>
      <c r="CX134" s="0" t="n">
        <v>13</v>
      </c>
      <c r="CY134" s="0" t="n">
        <f aca="false">IF(AH134="exact",10,IF(AH134="adjacent",5,0))</f>
        <v>0</v>
      </c>
      <c r="CZ134" s="0" t="n">
        <f aca="false">IF(R134="Y",15,0)</f>
        <v>0</v>
      </c>
      <c r="DF134" s="0" t="s">
        <v>158</v>
      </c>
      <c r="DG134" s="0" t="s">
        <v>211</v>
      </c>
      <c r="DK134" s="0" t="s">
        <v>2614</v>
      </c>
      <c r="DS134" s="0" t="s">
        <v>158</v>
      </c>
      <c r="DX134" s="0" t="s">
        <v>162</v>
      </c>
      <c r="ER134" s="0" t="str">
        <f aca="false">IF(ISNUMBER(MATCH(U134,{"queued","contacted","replied","call_booked","call_done","yes_in_principle","materials_sent"},0)),"Y","N")</f>
        <v>N</v>
      </c>
      <c r="ES134" s="0" t="str">
        <f aca="false">IF(COUNTIFS($AP$2:$AP$1000,AP134,$ER$2:$ER$1000,"Y")+COUNTIFS($AP$2:$AP$1000,AP134,$T$2:$T$1000,"Y")&gt;0,"Y","N")</f>
        <v>N</v>
      </c>
      <c r="ET134" s="0" t="str">
        <f aca="false">IF(AND(U134="new",T134="N",AT134="Y",AS134="",ES134="N"),"Y","N")</f>
        <v>N</v>
      </c>
      <c r="EU134" s="0" t="str">
        <f aca="false">IF(ET134&lt;&gt;"Y","N",IF(COUNTIFS($AP$2:$AP$1000,AP134,$ET$2:$ET$1000,"Y",$J$2:$J$1000,"&gt;"&amp;J134)+COUNTIFS($AP$2:$AP$1000,AP134,$ET$2:$ET$1000,"Y",$J$2:$J$1000,J134,$EW$2:$EW$1000,"&lt;"&amp;EW134)=0,"Y","N"))</f>
        <v>N</v>
      </c>
      <c r="EV134" s="0" t="str">
        <f aca="false">IF(Y134="","N",IF(Y134&lt;=10,"Y","N"))</f>
        <v>N</v>
      </c>
      <c r="EW134" s="0" t="n">
        <f aca="false">ROW()-1</f>
        <v>133</v>
      </c>
    </row>
    <row r="135" customFormat="false" ht="15" hidden="false" customHeight="false" outlineLevel="0" collapsed="false">
      <c r="A135" s="0" t="s">
        <v>2615</v>
      </c>
      <c r="B135" s="0" t="s">
        <v>2616</v>
      </c>
      <c r="H135" s="5" t="s">
        <v>158</v>
      </c>
      <c r="I135" s="5" t="s">
        <v>159</v>
      </c>
      <c r="J135" s="0" t="n">
        <f aca="false">IF(AX135="pass",ROUND(CU135+CV135+CW135+CX135+CY135+CZ135,1),0)</f>
        <v>34</v>
      </c>
      <c r="K135" s="0" t="s">
        <v>2572</v>
      </c>
      <c r="L135" s="0" t="s">
        <v>163</v>
      </c>
      <c r="R135" s="5" t="s">
        <v>162</v>
      </c>
      <c r="S135" s="0" t="s">
        <v>163</v>
      </c>
      <c r="T135" s="5" t="s">
        <v>162</v>
      </c>
      <c r="U135" s="5" t="s">
        <v>561</v>
      </c>
      <c r="V135" s="0" t="s">
        <v>2617</v>
      </c>
      <c r="W135" s="0" t="s">
        <v>166</v>
      </c>
      <c r="X135" s="0" t="s">
        <v>167</v>
      </c>
      <c r="Y135" s="0" t="str">
        <f aca="false">IF(EU135&lt;&gt;"Y","",COUNTIFS($EU$2:$EU$1000,"Y",$J$2:$J$1000,"&gt;"&amp;J135)+COUNTIFS($EU$2:$EU$1000,"Y",$J$2:$J$1000,J135,$EW$2:$EW$1000,"&lt;"&amp;EW135)+1)</f>
        <v/>
      </c>
      <c r="Z135" s="0" t="n">
        <v>134</v>
      </c>
      <c r="AA135" s="0" t="s">
        <v>162</v>
      </c>
      <c r="AD135" s="0" t="s">
        <v>158</v>
      </c>
      <c r="AH135" s="5" t="s">
        <v>158</v>
      </c>
      <c r="AI135" s="0" t="s">
        <v>2440</v>
      </c>
      <c r="AJ135" s="0" t="s">
        <v>163</v>
      </c>
      <c r="AK135" s="0" t="s">
        <v>178</v>
      </c>
      <c r="AL135" s="0" t="s">
        <v>163</v>
      </c>
      <c r="AM135" s="0" t="s">
        <v>163</v>
      </c>
      <c r="AN135" s="0" t="s">
        <v>158</v>
      </c>
      <c r="AO135" s="0" t="s">
        <v>163</v>
      </c>
      <c r="AP135" s="0" t="s">
        <v>2615</v>
      </c>
      <c r="AQ135" s="5" t="s">
        <v>162</v>
      </c>
      <c r="AT135" s="0" t="str">
        <f aca="false">IF(AND(AX135="pass",AQ135&lt;&gt;"Y",C135&lt;&gt;"",OR(AW135&lt;&gt;"Y",AV135="Y")),"Y","N")</f>
        <v>N</v>
      </c>
      <c r="AU135" s="0" t="str">
        <f aca="false">_xlfn.TEXTJOIN("; ",TRUE(),IF(AX135&lt;&gt;"pass","gated out",""),IF(AQ135="Y","on hold: "&amp;AR135,""),IF(C135="","no contact named on an opened page",""),IF(AND(AW135="Y",AV135&lt;&gt;"Y"),"Tuesday estimate band "&amp;L135&amp;": founder's call",""))</f>
        <v>no contact named on an opened page</v>
      </c>
      <c r="AW135" s="0" t="s">
        <v>162</v>
      </c>
      <c r="AX135" s="0" t="s">
        <v>181</v>
      </c>
      <c r="AY135" s="0" t="s">
        <v>182</v>
      </c>
      <c r="AZ135" s="0" t="s">
        <v>1</v>
      </c>
      <c r="BA135" s="0" t="s">
        <v>2618</v>
      </c>
      <c r="BB135" s="0" t="s">
        <v>163</v>
      </c>
      <c r="BC135" s="0" t="s">
        <v>2619</v>
      </c>
      <c r="BD135" s="0" t="s">
        <v>163</v>
      </c>
      <c r="BF135" s="0" t="s">
        <v>163</v>
      </c>
      <c r="BG135" s="0" t="s">
        <v>163</v>
      </c>
      <c r="BH135" s="0" t="s">
        <v>2195</v>
      </c>
      <c r="BK135" s="0" t="s">
        <v>163</v>
      </c>
      <c r="BL135" s="0" t="s">
        <v>163</v>
      </c>
      <c r="BM135" s="0" t="s">
        <v>163</v>
      </c>
      <c r="BN135" s="0" t="s">
        <v>163</v>
      </c>
      <c r="BO135" s="0" t="s">
        <v>163</v>
      </c>
      <c r="BP135" s="0" t="s">
        <v>711</v>
      </c>
      <c r="BQ135" s="0" t="n">
        <v>40.743942</v>
      </c>
      <c r="BR135" s="0" t="n">
        <v>-73.988072</v>
      </c>
      <c r="BS135" s="0" t="s">
        <v>168</v>
      </c>
      <c r="BT135" s="0" t="n">
        <v>0</v>
      </c>
      <c r="BU135" s="0" t="s">
        <v>2446</v>
      </c>
      <c r="BV135" s="0" t="s">
        <v>2447</v>
      </c>
      <c r="BW135" s="0" t="s">
        <v>2617</v>
      </c>
      <c r="BX135" s="0" t="s">
        <v>737</v>
      </c>
      <c r="BY135" s="0" t="s">
        <v>247</v>
      </c>
      <c r="CC135" s="0" t="s">
        <v>738</v>
      </c>
      <c r="CE135" s="0" t="s">
        <v>162</v>
      </c>
      <c r="CH135" s="0" t="s">
        <v>163</v>
      </c>
      <c r="CJ135" s="0" t="s">
        <v>163</v>
      </c>
      <c r="CK135" s="0" t="s">
        <v>162</v>
      </c>
      <c r="CL135" s="0" t="s">
        <v>163</v>
      </c>
      <c r="CO135" s="0" t="s">
        <v>163</v>
      </c>
      <c r="CQ135" s="0" t="s">
        <v>2196</v>
      </c>
      <c r="CR135" s="0" t="s">
        <v>206</v>
      </c>
      <c r="CS135" s="0" t="s">
        <v>163</v>
      </c>
      <c r="CT135" s="0" t="n">
        <v>34</v>
      </c>
      <c r="CU135" s="0" t="n">
        <v>7</v>
      </c>
      <c r="CV135" s="0" t="n">
        <v>8</v>
      </c>
      <c r="CW135" s="0" t="n">
        <v>6</v>
      </c>
      <c r="CX135" s="0" t="n">
        <v>13</v>
      </c>
      <c r="CY135" s="0" t="n">
        <f aca="false">IF(AH135="exact",10,IF(AH135="adjacent",5,0))</f>
        <v>0</v>
      </c>
      <c r="CZ135" s="0" t="n">
        <f aca="false">IF(R135="Y",15,0)</f>
        <v>0</v>
      </c>
      <c r="DF135" s="0" t="s">
        <v>158</v>
      </c>
      <c r="DG135" s="0" t="s">
        <v>211</v>
      </c>
      <c r="DJ135" s="0" t="s">
        <v>2620</v>
      </c>
      <c r="DK135" s="0" t="s">
        <v>2621</v>
      </c>
      <c r="DS135" s="0" t="s">
        <v>158</v>
      </c>
      <c r="DX135" s="0" t="s">
        <v>162</v>
      </c>
      <c r="ER135" s="0" t="str">
        <f aca="false">IF(ISNUMBER(MATCH(U135,{"queued","contacted","replied","call_booked","call_done","yes_in_principle","materials_sent"},0)),"Y","N")</f>
        <v>N</v>
      </c>
      <c r="ES135" s="0" t="str">
        <f aca="false">IF(COUNTIFS($AP$2:$AP$1000,AP135,$ER$2:$ER$1000,"Y")+COUNTIFS($AP$2:$AP$1000,AP135,$T$2:$T$1000,"Y")&gt;0,"Y","N")</f>
        <v>N</v>
      </c>
      <c r="ET135" s="0" t="str">
        <f aca="false">IF(AND(U135="new",T135="N",AT135="Y",AS135="",ES135="N"),"Y","N")</f>
        <v>N</v>
      </c>
      <c r="EU135" s="0" t="str">
        <f aca="false">IF(ET135&lt;&gt;"Y","N",IF(COUNTIFS($AP$2:$AP$1000,AP135,$ET$2:$ET$1000,"Y",$J$2:$J$1000,"&gt;"&amp;J135)+COUNTIFS($AP$2:$AP$1000,AP135,$ET$2:$ET$1000,"Y",$J$2:$J$1000,J135,$EW$2:$EW$1000,"&lt;"&amp;EW135)=0,"Y","N"))</f>
        <v>N</v>
      </c>
      <c r="EV135" s="0" t="str">
        <f aca="false">IF(Y135="","N",IF(Y135&lt;=10,"Y","N"))</f>
        <v>N</v>
      </c>
      <c r="EW135" s="0" t="n">
        <f aca="false">ROW()-1</f>
        <v>134</v>
      </c>
    </row>
    <row r="136" customFormat="false" ht="15" hidden="false" customHeight="false" outlineLevel="0" collapsed="false">
      <c r="A136" s="0" t="s">
        <v>2622</v>
      </c>
      <c r="B136" s="0" t="s">
        <v>2623</v>
      </c>
      <c r="H136" s="5" t="s">
        <v>158</v>
      </c>
      <c r="I136" s="5" t="s">
        <v>159</v>
      </c>
      <c r="J136" s="0" t="n">
        <f aca="false">IF(AX136="pass",ROUND(CU136+CV136+CW136+CX136+CY136+CZ136,1),0)</f>
        <v>34</v>
      </c>
      <c r="K136" s="0" t="s">
        <v>2572</v>
      </c>
      <c r="L136" s="0" t="s">
        <v>163</v>
      </c>
      <c r="R136" s="5" t="s">
        <v>162</v>
      </c>
      <c r="S136" s="0" t="s">
        <v>163</v>
      </c>
      <c r="T136" s="5" t="s">
        <v>162</v>
      </c>
      <c r="U136" s="5" t="s">
        <v>561</v>
      </c>
      <c r="V136" s="0" t="s">
        <v>2624</v>
      </c>
      <c r="W136" s="0" t="s">
        <v>166</v>
      </c>
      <c r="X136" s="0" t="s">
        <v>167</v>
      </c>
      <c r="Y136" s="0" t="str">
        <f aca="false">IF(EU136&lt;&gt;"Y","",COUNTIFS($EU$2:$EU$1000,"Y",$J$2:$J$1000,"&gt;"&amp;J136)+COUNTIFS($EU$2:$EU$1000,"Y",$J$2:$J$1000,J136,$EW$2:$EW$1000,"&lt;"&amp;EW136)+1)</f>
        <v/>
      </c>
      <c r="Z136" s="0" t="n">
        <v>135</v>
      </c>
      <c r="AA136" s="0" t="s">
        <v>162</v>
      </c>
      <c r="AD136" s="0" t="s">
        <v>158</v>
      </c>
      <c r="AH136" s="5" t="s">
        <v>158</v>
      </c>
      <c r="AI136" s="0" t="s">
        <v>2050</v>
      </c>
      <c r="AJ136" s="0" t="s">
        <v>2212</v>
      </c>
      <c r="AK136" s="0" t="s">
        <v>178</v>
      </c>
      <c r="AL136" s="0" t="s">
        <v>163</v>
      </c>
      <c r="AM136" s="0" t="s">
        <v>163</v>
      </c>
      <c r="AN136" s="0" t="s">
        <v>158</v>
      </c>
      <c r="AO136" s="0" t="s">
        <v>163</v>
      </c>
      <c r="AP136" s="0" t="s">
        <v>2622</v>
      </c>
      <c r="AQ136" s="5" t="s">
        <v>162</v>
      </c>
      <c r="AT136" s="0" t="str">
        <f aca="false">IF(AND(AX136="pass",AQ136&lt;&gt;"Y",C136&lt;&gt;"",OR(AW136&lt;&gt;"Y",AV136="Y")),"Y","N")</f>
        <v>N</v>
      </c>
      <c r="AU136" s="0" t="str">
        <f aca="false">_xlfn.TEXTJOIN("; ",TRUE(),IF(AX136&lt;&gt;"pass","gated out",""),IF(AQ136="Y","on hold: "&amp;AR136,""),IF(C136="","no contact named on an opened page",""),IF(AND(AW136="Y",AV136&lt;&gt;"Y"),"Tuesday estimate band "&amp;L136&amp;": founder's call",""))</f>
        <v>no contact named on an opened page</v>
      </c>
      <c r="AW136" s="0" t="s">
        <v>162</v>
      </c>
      <c r="AX136" s="0" t="s">
        <v>181</v>
      </c>
      <c r="AY136" s="0" t="s">
        <v>182</v>
      </c>
      <c r="AZ136" s="0" t="s">
        <v>1</v>
      </c>
      <c r="BA136" s="0" t="s">
        <v>2625</v>
      </c>
      <c r="BB136" s="0" t="s">
        <v>2626</v>
      </c>
      <c r="BC136" s="0" t="s">
        <v>2627</v>
      </c>
      <c r="BD136" s="0" t="s">
        <v>163</v>
      </c>
      <c r="BF136" s="0" t="s">
        <v>163</v>
      </c>
      <c r="BG136" s="0" t="s">
        <v>163</v>
      </c>
      <c r="BH136" s="0" t="s">
        <v>2195</v>
      </c>
      <c r="BK136" s="0" t="s">
        <v>163</v>
      </c>
      <c r="BL136" s="0" t="s">
        <v>163</v>
      </c>
      <c r="BM136" s="0" t="s">
        <v>163</v>
      </c>
      <c r="BN136" s="0" t="s">
        <v>163</v>
      </c>
      <c r="BO136" s="0" t="s">
        <v>163</v>
      </c>
      <c r="BP136" s="0" t="s">
        <v>346</v>
      </c>
      <c r="BQ136" s="0" t="n">
        <v>40.74118</v>
      </c>
      <c r="BR136" s="0" t="n">
        <v>-73.99129</v>
      </c>
      <c r="BS136" s="0" t="s">
        <v>168</v>
      </c>
      <c r="BT136" s="0" t="n">
        <v>0</v>
      </c>
      <c r="BU136" s="0" t="s">
        <v>2057</v>
      </c>
      <c r="BV136" s="0" t="s">
        <v>2058</v>
      </c>
      <c r="BW136" s="0" t="s">
        <v>2624</v>
      </c>
      <c r="BX136" s="0" t="s">
        <v>166</v>
      </c>
      <c r="BY136" s="0" t="s">
        <v>196</v>
      </c>
      <c r="BZ136" s="0" t="s">
        <v>2628</v>
      </c>
      <c r="CA136" s="0" t="s">
        <v>2629</v>
      </c>
      <c r="CC136" s="0" t="s">
        <v>738</v>
      </c>
      <c r="CE136" s="0" t="s">
        <v>162</v>
      </c>
      <c r="CH136" s="0" t="s">
        <v>163</v>
      </c>
      <c r="CJ136" s="0" t="s">
        <v>163</v>
      </c>
      <c r="CK136" s="0" t="s">
        <v>162</v>
      </c>
      <c r="CL136" s="0" t="s">
        <v>163</v>
      </c>
      <c r="CO136" s="0" t="s">
        <v>163</v>
      </c>
      <c r="CQ136" s="0" t="s">
        <v>2196</v>
      </c>
      <c r="CR136" s="0" t="s">
        <v>206</v>
      </c>
      <c r="CS136" s="0" t="s">
        <v>163</v>
      </c>
      <c r="CT136" s="0" t="n">
        <v>34</v>
      </c>
      <c r="CU136" s="0" t="n">
        <v>7</v>
      </c>
      <c r="CV136" s="0" t="n">
        <v>8</v>
      </c>
      <c r="CW136" s="0" t="n">
        <v>6</v>
      </c>
      <c r="CX136" s="0" t="n">
        <v>13</v>
      </c>
      <c r="CY136" s="0" t="n">
        <f aca="false">IF(AH136="exact",10,IF(AH136="adjacent",5,0))</f>
        <v>0</v>
      </c>
      <c r="CZ136" s="0" t="n">
        <f aca="false">IF(R136="Y",15,0)</f>
        <v>0</v>
      </c>
      <c r="DF136" s="0" t="s">
        <v>158</v>
      </c>
      <c r="DG136" s="0" t="s">
        <v>211</v>
      </c>
      <c r="DJ136" s="0" t="s">
        <v>2630</v>
      </c>
      <c r="DK136" s="0" t="s">
        <v>2631</v>
      </c>
      <c r="DS136" s="0" t="s">
        <v>158</v>
      </c>
      <c r="DX136" s="0" t="s">
        <v>162</v>
      </c>
      <c r="ER136" s="0" t="str">
        <f aca="false">IF(ISNUMBER(MATCH(U136,{"queued","contacted","replied","call_booked","call_done","yes_in_principle","materials_sent"},0)),"Y","N")</f>
        <v>N</v>
      </c>
      <c r="ES136" s="0" t="str">
        <f aca="false">IF(COUNTIFS($AP$2:$AP$1000,AP136,$ER$2:$ER$1000,"Y")+COUNTIFS($AP$2:$AP$1000,AP136,$T$2:$T$1000,"Y")&gt;0,"Y","N")</f>
        <v>N</v>
      </c>
      <c r="ET136" s="0" t="str">
        <f aca="false">IF(AND(U136="new",T136="N",AT136="Y",AS136="",ES136="N"),"Y","N")</f>
        <v>N</v>
      </c>
      <c r="EU136" s="0" t="str">
        <f aca="false">IF(ET136&lt;&gt;"Y","N",IF(COUNTIFS($AP$2:$AP$1000,AP136,$ET$2:$ET$1000,"Y",$J$2:$J$1000,"&gt;"&amp;J136)+COUNTIFS($AP$2:$AP$1000,AP136,$ET$2:$ET$1000,"Y",$J$2:$J$1000,J136,$EW$2:$EW$1000,"&lt;"&amp;EW136)=0,"Y","N"))</f>
        <v>N</v>
      </c>
      <c r="EV136" s="0" t="str">
        <f aca="false">IF(Y136="","N",IF(Y136&lt;=10,"Y","N"))</f>
        <v>N</v>
      </c>
      <c r="EW136" s="0" t="n">
        <f aca="false">ROW()-1</f>
        <v>135</v>
      </c>
    </row>
    <row r="137" customFormat="false" ht="15" hidden="false" customHeight="false" outlineLevel="0" collapsed="false">
      <c r="A137" s="0" t="s">
        <v>2632</v>
      </c>
      <c r="B137" s="0" t="s">
        <v>2633</v>
      </c>
      <c r="H137" s="5" t="s">
        <v>158</v>
      </c>
      <c r="I137" s="5" t="s">
        <v>159</v>
      </c>
      <c r="J137" s="0" t="n">
        <f aca="false">IF(AX137="pass",ROUND(CU137+CV137+CW137+CX137+CY137+CZ137,1),0)</f>
        <v>34</v>
      </c>
      <c r="K137" s="0" t="s">
        <v>2572</v>
      </c>
      <c r="L137" s="0" t="s">
        <v>163</v>
      </c>
      <c r="R137" s="5" t="s">
        <v>162</v>
      </c>
      <c r="S137" s="0" t="s">
        <v>163</v>
      </c>
      <c r="T137" s="5" t="s">
        <v>162</v>
      </c>
      <c r="U137" s="5" t="s">
        <v>561</v>
      </c>
      <c r="V137" s="0" t="s">
        <v>2067</v>
      </c>
      <c r="W137" s="0" t="s">
        <v>166</v>
      </c>
      <c r="X137" s="0" t="s">
        <v>167</v>
      </c>
      <c r="Y137" s="0" t="str">
        <f aca="false">IF(EU137&lt;&gt;"Y","",COUNTIFS($EU$2:$EU$1000,"Y",$J$2:$J$1000,"&gt;"&amp;J137)+COUNTIFS($EU$2:$EU$1000,"Y",$J$2:$J$1000,J137,$EW$2:$EW$1000,"&lt;"&amp;EW137)+1)</f>
        <v/>
      </c>
      <c r="Z137" s="0" t="n">
        <v>136</v>
      </c>
      <c r="AA137" s="0" t="s">
        <v>162</v>
      </c>
      <c r="AD137" s="0" t="s">
        <v>158</v>
      </c>
      <c r="AH137" s="5" t="s">
        <v>158</v>
      </c>
      <c r="AI137" s="0" t="s">
        <v>753</v>
      </c>
      <c r="AJ137" s="0" t="s">
        <v>163</v>
      </c>
      <c r="AK137" s="0" t="s">
        <v>178</v>
      </c>
      <c r="AL137" s="0" t="s">
        <v>163</v>
      </c>
      <c r="AM137" s="0" t="s">
        <v>163</v>
      </c>
      <c r="AN137" s="0" t="s">
        <v>158</v>
      </c>
      <c r="AO137" s="0" t="s">
        <v>163</v>
      </c>
      <c r="AP137" s="0" t="s">
        <v>2632</v>
      </c>
      <c r="AQ137" s="5" t="s">
        <v>162</v>
      </c>
      <c r="AT137" s="0" t="str">
        <f aca="false">IF(AND(AX137="pass",AQ137&lt;&gt;"Y",C137&lt;&gt;"",OR(AW137&lt;&gt;"Y",AV137="Y")),"Y","N")</f>
        <v>N</v>
      </c>
      <c r="AU137" s="0" t="str">
        <f aca="false">_xlfn.TEXTJOIN("; ",TRUE(),IF(AX137&lt;&gt;"pass","gated out",""),IF(AQ137="Y","on hold: "&amp;AR137,""),IF(C137="","no contact named on an opened page",""),IF(AND(AW137="Y",AV137&lt;&gt;"Y"),"Tuesday estimate band "&amp;L137&amp;": founder's call",""))</f>
        <v>no contact named on an opened page</v>
      </c>
      <c r="AW137" s="0" t="s">
        <v>162</v>
      </c>
      <c r="AX137" s="0" t="s">
        <v>181</v>
      </c>
      <c r="AY137" s="0" t="s">
        <v>182</v>
      </c>
      <c r="AZ137" s="0" t="s">
        <v>1</v>
      </c>
      <c r="BA137" s="0" t="s">
        <v>2634</v>
      </c>
      <c r="BB137" s="0" t="s">
        <v>2635</v>
      </c>
      <c r="BC137" s="0" t="s">
        <v>2351</v>
      </c>
      <c r="BD137" s="0" t="s">
        <v>163</v>
      </c>
      <c r="BF137" s="0" t="s">
        <v>163</v>
      </c>
      <c r="BG137" s="0" t="s">
        <v>163</v>
      </c>
      <c r="BH137" s="0" t="s">
        <v>2195</v>
      </c>
      <c r="BK137" s="0" t="s">
        <v>163</v>
      </c>
      <c r="BL137" s="0" t="s">
        <v>163</v>
      </c>
      <c r="BM137" s="0" t="s">
        <v>163</v>
      </c>
      <c r="BN137" s="0" t="s">
        <v>163</v>
      </c>
      <c r="BO137" s="0" t="s">
        <v>163</v>
      </c>
      <c r="BP137" s="0" t="s">
        <v>346</v>
      </c>
      <c r="BQ137" s="0" t="n">
        <v>40.743309</v>
      </c>
      <c r="BR137" s="0" t="n">
        <v>-73.987329</v>
      </c>
      <c r="BS137" s="0" t="s">
        <v>168</v>
      </c>
      <c r="BT137" s="0" t="n">
        <v>0</v>
      </c>
      <c r="BU137" s="0" t="s">
        <v>763</v>
      </c>
      <c r="BV137" s="0" t="s">
        <v>764</v>
      </c>
      <c r="BW137" s="0" t="s">
        <v>2067</v>
      </c>
      <c r="BX137" s="0" t="s">
        <v>2075</v>
      </c>
      <c r="BY137" s="0" t="s">
        <v>247</v>
      </c>
      <c r="BZ137" s="0" t="s">
        <v>2636</v>
      </c>
      <c r="CA137" s="0" t="s">
        <v>2637</v>
      </c>
      <c r="CC137" s="0" t="s">
        <v>738</v>
      </c>
      <c r="CE137" s="0" t="s">
        <v>162</v>
      </c>
      <c r="CH137" s="0" t="s">
        <v>163</v>
      </c>
      <c r="CJ137" s="0" t="s">
        <v>163</v>
      </c>
      <c r="CK137" s="0" t="s">
        <v>162</v>
      </c>
      <c r="CL137" s="0" t="s">
        <v>163</v>
      </c>
      <c r="CO137" s="0" t="s">
        <v>163</v>
      </c>
      <c r="CQ137" s="0" t="s">
        <v>2196</v>
      </c>
      <c r="CR137" s="0" t="s">
        <v>206</v>
      </c>
      <c r="CS137" s="0" t="s">
        <v>163</v>
      </c>
      <c r="CT137" s="0" t="n">
        <v>34</v>
      </c>
      <c r="CU137" s="0" t="n">
        <v>7</v>
      </c>
      <c r="CV137" s="0" t="n">
        <v>8</v>
      </c>
      <c r="CW137" s="0" t="n">
        <v>6</v>
      </c>
      <c r="CX137" s="0" t="n">
        <v>13</v>
      </c>
      <c r="CY137" s="0" t="n">
        <f aca="false">IF(AH137="exact",10,IF(AH137="adjacent",5,0))</f>
        <v>0</v>
      </c>
      <c r="CZ137" s="0" t="n">
        <f aca="false">IF(R137="Y",15,0)</f>
        <v>0</v>
      </c>
      <c r="DF137" s="0" t="s">
        <v>158</v>
      </c>
      <c r="DG137" s="0" t="s">
        <v>211</v>
      </c>
      <c r="DJ137" s="0" t="s">
        <v>2638</v>
      </c>
      <c r="DK137" s="0" t="s">
        <v>2639</v>
      </c>
      <c r="DS137" s="0" t="s">
        <v>158</v>
      </c>
      <c r="DX137" s="0" t="s">
        <v>162</v>
      </c>
      <c r="ER137" s="0" t="str">
        <f aca="false">IF(ISNUMBER(MATCH(U137,{"queued","contacted","replied","call_booked","call_done","yes_in_principle","materials_sent"},0)),"Y","N")</f>
        <v>N</v>
      </c>
      <c r="ES137" s="0" t="str">
        <f aca="false">IF(COUNTIFS($AP$2:$AP$1000,AP137,$ER$2:$ER$1000,"Y")+COUNTIFS($AP$2:$AP$1000,AP137,$T$2:$T$1000,"Y")&gt;0,"Y","N")</f>
        <v>N</v>
      </c>
      <c r="ET137" s="0" t="str">
        <f aca="false">IF(AND(U137="new",T137="N",AT137="Y",AS137="",ES137="N"),"Y","N")</f>
        <v>N</v>
      </c>
      <c r="EU137" s="0" t="str">
        <f aca="false">IF(ET137&lt;&gt;"Y","N",IF(COUNTIFS($AP$2:$AP$1000,AP137,$ET$2:$ET$1000,"Y",$J$2:$J$1000,"&gt;"&amp;J137)+COUNTIFS($AP$2:$AP$1000,AP137,$ET$2:$ET$1000,"Y",$J$2:$J$1000,J137,$EW$2:$EW$1000,"&lt;"&amp;EW137)=0,"Y","N"))</f>
        <v>N</v>
      </c>
      <c r="EV137" s="0" t="str">
        <f aca="false">IF(Y137="","N",IF(Y137&lt;=10,"Y","N"))</f>
        <v>N</v>
      </c>
      <c r="EW137" s="0" t="n">
        <f aca="false">ROW()-1</f>
        <v>136</v>
      </c>
    </row>
    <row r="138" customFormat="false" ht="15" hidden="false" customHeight="false" outlineLevel="0" collapsed="false">
      <c r="A138" s="0" t="s">
        <v>2640</v>
      </c>
      <c r="B138" s="0" t="s">
        <v>2641</v>
      </c>
      <c r="H138" s="5" t="s">
        <v>158</v>
      </c>
      <c r="I138" s="5" t="s">
        <v>159</v>
      </c>
      <c r="J138" s="0" t="n">
        <f aca="false">IF(AX138="pass",ROUND(CU138+CV138+CW138+CX138+CY138+CZ138,1),0)</f>
        <v>34</v>
      </c>
      <c r="K138" s="0" t="s">
        <v>2572</v>
      </c>
      <c r="L138" s="0" t="s">
        <v>163</v>
      </c>
      <c r="R138" s="5" t="s">
        <v>162</v>
      </c>
      <c r="S138" s="0" t="s">
        <v>163</v>
      </c>
      <c r="T138" s="5" t="s">
        <v>162</v>
      </c>
      <c r="U138" s="5" t="s">
        <v>561</v>
      </c>
      <c r="V138" s="0" t="s">
        <v>1472</v>
      </c>
      <c r="W138" s="0" t="s">
        <v>166</v>
      </c>
      <c r="X138" s="0" t="s">
        <v>167</v>
      </c>
      <c r="Y138" s="0" t="str">
        <f aca="false">IF(EU138&lt;&gt;"Y","",COUNTIFS($EU$2:$EU$1000,"Y",$J$2:$J$1000,"&gt;"&amp;J138)+COUNTIFS($EU$2:$EU$1000,"Y",$J$2:$J$1000,J138,$EW$2:$EW$1000,"&lt;"&amp;EW138)+1)</f>
        <v/>
      </c>
      <c r="Z138" s="0" t="n">
        <v>137</v>
      </c>
      <c r="AA138" s="0" t="s">
        <v>162</v>
      </c>
      <c r="AD138" s="0" t="s">
        <v>158</v>
      </c>
      <c r="AH138" s="5" t="s">
        <v>158</v>
      </c>
      <c r="AI138" s="0" t="s">
        <v>1473</v>
      </c>
      <c r="AJ138" s="0" t="s">
        <v>163</v>
      </c>
      <c r="AK138" s="0" t="s">
        <v>178</v>
      </c>
      <c r="AL138" s="0" t="s">
        <v>163</v>
      </c>
      <c r="AM138" s="0" t="s">
        <v>163</v>
      </c>
      <c r="AN138" s="0" t="s">
        <v>158</v>
      </c>
      <c r="AO138" s="0" t="s">
        <v>163</v>
      </c>
      <c r="AP138" s="0" t="s">
        <v>2640</v>
      </c>
      <c r="AQ138" s="5" t="s">
        <v>162</v>
      </c>
      <c r="AT138" s="0" t="str">
        <f aca="false">IF(AND(AX138="pass",AQ138&lt;&gt;"Y",C138&lt;&gt;"",OR(AW138&lt;&gt;"Y",AV138="Y")),"Y","N")</f>
        <v>N</v>
      </c>
      <c r="AU138" s="0" t="str">
        <f aca="false">_xlfn.TEXTJOIN("; ",TRUE(),IF(AX138&lt;&gt;"pass","gated out",""),IF(AQ138="Y","on hold: "&amp;AR138,""),IF(C138="","no contact named on an opened page",""),IF(AND(AW138="Y",AV138&lt;&gt;"Y"),"Tuesday estimate band "&amp;L138&amp;": founder's call",""))</f>
        <v>no contact named on an opened page</v>
      </c>
      <c r="AW138" s="0" t="s">
        <v>162</v>
      </c>
      <c r="AX138" s="0" t="s">
        <v>181</v>
      </c>
      <c r="AY138" s="0" t="s">
        <v>182</v>
      </c>
      <c r="AZ138" s="0" t="s">
        <v>1</v>
      </c>
      <c r="BA138" s="0" t="s">
        <v>2642</v>
      </c>
      <c r="BB138" s="0" t="s">
        <v>2643</v>
      </c>
      <c r="BC138" s="0" t="s">
        <v>2644</v>
      </c>
      <c r="BD138" s="0" t="s">
        <v>163</v>
      </c>
      <c r="BF138" s="0" t="s">
        <v>163</v>
      </c>
      <c r="BG138" s="0" t="s">
        <v>163</v>
      </c>
      <c r="BH138" s="0" t="s">
        <v>2195</v>
      </c>
      <c r="BK138" s="0" t="s">
        <v>163</v>
      </c>
      <c r="BL138" s="0" t="s">
        <v>656</v>
      </c>
      <c r="BM138" s="0" t="s">
        <v>162</v>
      </c>
      <c r="BN138" s="0" t="s">
        <v>163</v>
      </c>
      <c r="BO138" s="0" t="s">
        <v>163</v>
      </c>
      <c r="BP138" s="0" t="s">
        <v>346</v>
      </c>
      <c r="BQ138" s="0" t="n">
        <v>40.741968</v>
      </c>
      <c r="BR138" s="0" t="n">
        <v>-73.985327</v>
      </c>
      <c r="BS138" s="0" t="s">
        <v>168</v>
      </c>
      <c r="BT138" s="0" t="n">
        <v>0</v>
      </c>
      <c r="BU138" s="0" t="s">
        <v>1480</v>
      </c>
      <c r="BV138" s="0" t="s">
        <v>1481</v>
      </c>
      <c r="BW138" s="0" t="s">
        <v>1472</v>
      </c>
      <c r="BX138" s="0" t="s">
        <v>1482</v>
      </c>
      <c r="BY138" s="0" t="s">
        <v>247</v>
      </c>
      <c r="CC138" s="0" t="s">
        <v>738</v>
      </c>
      <c r="CE138" s="0" t="s">
        <v>162</v>
      </c>
      <c r="CH138" s="0" t="s">
        <v>163</v>
      </c>
      <c r="CJ138" s="0" t="s">
        <v>163</v>
      </c>
      <c r="CK138" s="0" t="s">
        <v>162</v>
      </c>
      <c r="CL138" s="0" t="s">
        <v>163</v>
      </c>
      <c r="CO138" s="0" t="s">
        <v>163</v>
      </c>
      <c r="CQ138" s="0" t="s">
        <v>2196</v>
      </c>
      <c r="CR138" s="0" t="s">
        <v>206</v>
      </c>
      <c r="CS138" s="0" t="s">
        <v>163</v>
      </c>
      <c r="CT138" s="0" t="n">
        <v>34</v>
      </c>
      <c r="CU138" s="0" t="n">
        <v>7</v>
      </c>
      <c r="CV138" s="0" t="n">
        <v>8</v>
      </c>
      <c r="CW138" s="0" t="n">
        <v>6</v>
      </c>
      <c r="CX138" s="0" t="n">
        <v>13</v>
      </c>
      <c r="CY138" s="0" t="n">
        <f aca="false">IF(AH138="exact",10,IF(AH138="adjacent",5,0))</f>
        <v>0</v>
      </c>
      <c r="CZ138" s="0" t="n">
        <f aca="false">IF(R138="Y",15,0)</f>
        <v>0</v>
      </c>
      <c r="DF138" s="0" t="s">
        <v>158</v>
      </c>
      <c r="DG138" s="0" t="s">
        <v>211</v>
      </c>
      <c r="DK138" s="0" t="s">
        <v>2645</v>
      </c>
      <c r="DS138" s="0" t="s">
        <v>158</v>
      </c>
      <c r="DX138" s="0" t="s">
        <v>162</v>
      </c>
      <c r="ER138" s="0" t="str">
        <f aca="false">IF(ISNUMBER(MATCH(U138,{"queued","contacted","replied","call_booked","call_done","yes_in_principle","materials_sent"},0)),"Y","N")</f>
        <v>N</v>
      </c>
      <c r="ES138" s="0" t="str">
        <f aca="false">IF(COUNTIFS($AP$2:$AP$1000,AP138,$ER$2:$ER$1000,"Y")+COUNTIFS($AP$2:$AP$1000,AP138,$T$2:$T$1000,"Y")&gt;0,"Y","N")</f>
        <v>N</v>
      </c>
      <c r="ET138" s="0" t="str">
        <f aca="false">IF(AND(U138="new",T138="N",AT138="Y",AS138="",ES138="N"),"Y","N")</f>
        <v>N</v>
      </c>
      <c r="EU138" s="0" t="str">
        <f aca="false">IF(ET138&lt;&gt;"Y","N",IF(COUNTIFS($AP$2:$AP$1000,AP138,$ET$2:$ET$1000,"Y",$J$2:$J$1000,"&gt;"&amp;J138)+COUNTIFS($AP$2:$AP$1000,AP138,$ET$2:$ET$1000,"Y",$J$2:$J$1000,J138,$EW$2:$EW$1000,"&lt;"&amp;EW138)=0,"Y","N"))</f>
        <v>N</v>
      </c>
      <c r="EV138" s="0" t="str">
        <f aca="false">IF(Y138="","N",IF(Y138&lt;=10,"Y","N"))</f>
        <v>N</v>
      </c>
      <c r="EW138" s="0" t="n">
        <f aca="false">ROW()-1</f>
        <v>137</v>
      </c>
    </row>
    <row r="139" customFormat="false" ht="15" hidden="false" customHeight="false" outlineLevel="0" collapsed="false">
      <c r="A139" s="0" t="s">
        <v>2646</v>
      </c>
      <c r="B139" s="0" t="s">
        <v>2647</v>
      </c>
      <c r="H139" s="5" t="s">
        <v>158</v>
      </c>
      <c r="I139" s="5" t="s">
        <v>159</v>
      </c>
      <c r="J139" s="0" t="n">
        <f aca="false">IF(AX139="pass",ROUND(CU139+CV139+CW139+CX139+CY139+CZ139,1),0)</f>
        <v>34</v>
      </c>
      <c r="K139" s="0" t="s">
        <v>2572</v>
      </c>
      <c r="L139" s="0" t="s">
        <v>163</v>
      </c>
      <c r="O139" s="0" t="s">
        <v>2648</v>
      </c>
      <c r="P139" s="0" t="s">
        <v>2649</v>
      </c>
      <c r="Q139" s="0" t="s">
        <v>2650</v>
      </c>
      <c r="R139" s="5" t="s">
        <v>162</v>
      </c>
      <c r="S139" s="0" t="s">
        <v>163</v>
      </c>
      <c r="T139" s="5" t="s">
        <v>162</v>
      </c>
      <c r="U139" s="5" t="s">
        <v>561</v>
      </c>
      <c r="V139" s="0" t="s">
        <v>2649</v>
      </c>
      <c r="W139" s="0" t="s">
        <v>166</v>
      </c>
      <c r="X139" s="0" t="s">
        <v>167</v>
      </c>
      <c r="Y139" s="0" t="str">
        <f aca="false">IF(EU139&lt;&gt;"Y","",COUNTIFS($EU$2:$EU$1000,"Y",$J$2:$J$1000,"&gt;"&amp;J139)+COUNTIFS($EU$2:$EU$1000,"Y",$J$2:$J$1000,J139,$EW$2:$EW$1000,"&lt;"&amp;EW139)+1)</f>
        <v/>
      </c>
      <c r="Z139" s="0" t="n">
        <v>138</v>
      </c>
      <c r="AA139" s="0" t="s">
        <v>162</v>
      </c>
      <c r="AD139" s="0" t="s">
        <v>158</v>
      </c>
      <c r="AH139" s="5" t="s">
        <v>158</v>
      </c>
      <c r="AI139" s="0" t="s">
        <v>1611</v>
      </c>
      <c r="AJ139" s="0" t="s">
        <v>471</v>
      </c>
      <c r="AK139" s="0" t="s">
        <v>178</v>
      </c>
      <c r="AL139" s="0" t="s">
        <v>163</v>
      </c>
      <c r="AM139" s="0" t="s">
        <v>163</v>
      </c>
      <c r="AN139" s="0" t="s">
        <v>158</v>
      </c>
      <c r="AO139" s="0" t="s">
        <v>163</v>
      </c>
      <c r="AP139" s="0" t="s">
        <v>2646</v>
      </c>
      <c r="AQ139" s="5" t="s">
        <v>162</v>
      </c>
      <c r="AT139" s="0" t="str">
        <f aca="false">IF(AND(AX139="pass",AQ139&lt;&gt;"Y",C139&lt;&gt;"",OR(AW139&lt;&gt;"Y",AV139="Y")),"Y","N")</f>
        <v>N</v>
      </c>
      <c r="AU139" s="0" t="str">
        <f aca="false">_xlfn.TEXTJOIN("; ",TRUE(),IF(AX139&lt;&gt;"pass","gated out",""),IF(AQ139="Y","on hold: "&amp;AR139,""),IF(C139="","no contact named on an opened page",""),IF(AND(AW139="Y",AV139&lt;&gt;"Y"),"Tuesday estimate band "&amp;L139&amp;": founder's call",""))</f>
        <v>no contact named on an opened page</v>
      </c>
      <c r="AW139" s="0" t="s">
        <v>162</v>
      </c>
      <c r="AX139" s="0" t="s">
        <v>181</v>
      </c>
      <c r="AY139" s="0" t="s">
        <v>182</v>
      </c>
      <c r="AZ139" s="0" t="s">
        <v>1</v>
      </c>
      <c r="BA139" s="0" t="s">
        <v>2651</v>
      </c>
      <c r="BB139" s="0" t="s">
        <v>2652</v>
      </c>
      <c r="BC139" s="0" t="s">
        <v>2653</v>
      </c>
      <c r="BD139" s="0" t="s">
        <v>163</v>
      </c>
      <c r="BF139" s="0" t="s">
        <v>163</v>
      </c>
      <c r="BG139" s="0" t="s">
        <v>163</v>
      </c>
      <c r="BH139" s="0" t="s">
        <v>2195</v>
      </c>
      <c r="BK139" s="0" t="s">
        <v>163</v>
      </c>
      <c r="BL139" s="0" t="s">
        <v>163</v>
      </c>
      <c r="BM139" s="0" t="s">
        <v>163</v>
      </c>
      <c r="BN139" s="0" t="s">
        <v>163</v>
      </c>
      <c r="BO139" s="0" t="s">
        <v>163</v>
      </c>
      <c r="BP139" s="0" t="s">
        <v>346</v>
      </c>
      <c r="BQ139" s="0" t="n">
        <v>40.738577</v>
      </c>
      <c r="BR139" s="0" t="n">
        <v>-73.987151</v>
      </c>
      <c r="BS139" s="0" t="s">
        <v>168</v>
      </c>
      <c r="BT139" s="0" t="n">
        <v>0</v>
      </c>
      <c r="BU139" s="0" t="s">
        <v>1617</v>
      </c>
      <c r="BV139" s="0" t="s">
        <v>1618</v>
      </c>
      <c r="BW139" s="0" t="s">
        <v>2649</v>
      </c>
      <c r="BX139" s="0" t="s">
        <v>2650</v>
      </c>
      <c r="BY139" s="0" t="s">
        <v>247</v>
      </c>
      <c r="CC139" s="0" t="s">
        <v>738</v>
      </c>
      <c r="CE139" s="0" t="s">
        <v>162</v>
      </c>
      <c r="CH139" s="0" t="s">
        <v>163</v>
      </c>
      <c r="CJ139" s="0" t="s">
        <v>163</v>
      </c>
      <c r="CK139" s="0" t="s">
        <v>162</v>
      </c>
      <c r="CL139" s="0" t="s">
        <v>163</v>
      </c>
      <c r="CO139" s="0" t="s">
        <v>163</v>
      </c>
      <c r="CQ139" s="0" t="s">
        <v>2196</v>
      </c>
      <c r="CR139" s="0" t="s">
        <v>206</v>
      </c>
      <c r="CS139" s="0" t="s">
        <v>163</v>
      </c>
      <c r="CT139" s="0" t="n">
        <v>34</v>
      </c>
      <c r="CU139" s="0" t="n">
        <v>7</v>
      </c>
      <c r="CV139" s="0" t="n">
        <v>8</v>
      </c>
      <c r="CW139" s="0" t="n">
        <v>6</v>
      </c>
      <c r="CX139" s="0" t="n">
        <v>13</v>
      </c>
      <c r="CY139" s="0" t="n">
        <f aca="false">IF(AH139="exact",10,IF(AH139="adjacent",5,0))</f>
        <v>0</v>
      </c>
      <c r="CZ139" s="0" t="n">
        <f aca="false">IF(R139="Y",15,0)</f>
        <v>0</v>
      </c>
      <c r="DF139" s="0" t="s">
        <v>158</v>
      </c>
      <c r="DG139" s="0" t="s">
        <v>211</v>
      </c>
      <c r="DJ139" s="0" t="s">
        <v>2630</v>
      </c>
      <c r="DK139" s="0" t="s">
        <v>2654</v>
      </c>
      <c r="DS139" s="0" t="s">
        <v>158</v>
      </c>
      <c r="DX139" s="0" t="s">
        <v>162</v>
      </c>
      <c r="ER139" s="0" t="str">
        <f aca="false">IF(ISNUMBER(MATCH(U139,{"queued","contacted","replied","call_booked","call_done","yes_in_principle","materials_sent"},0)),"Y","N")</f>
        <v>N</v>
      </c>
      <c r="ES139" s="0" t="str">
        <f aca="false">IF(COUNTIFS($AP$2:$AP$1000,AP139,$ER$2:$ER$1000,"Y")+COUNTIFS($AP$2:$AP$1000,AP139,$T$2:$T$1000,"Y")&gt;0,"Y","N")</f>
        <v>N</v>
      </c>
      <c r="ET139" s="0" t="str">
        <f aca="false">IF(AND(U139="new",T139="N",AT139="Y",AS139="",ES139="N"),"Y","N")</f>
        <v>N</v>
      </c>
      <c r="EU139" s="0" t="str">
        <f aca="false">IF(ET139&lt;&gt;"Y","N",IF(COUNTIFS($AP$2:$AP$1000,AP139,$ET$2:$ET$1000,"Y",$J$2:$J$1000,"&gt;"&amp;J139)+COUNTIFS($AP$2:$AP$1000,AP139,$ET$2:$ET$1000,"Y",$J$2:$J$1000,J139,$EW$2:$EW$1000,"&lt;"&amp;EW139)=0,"Y","N"))</f>
        <v>N</v>
      </c>
      <c r="EV139" s="0" t="str">
        <f aca="false">IF(Y139="","N",IF(Y139&lt;=10,"Y","N"))</f>
        <v>N</v>
      </c>
      <c r="EW139" s="0" t="n">
        <f aca="false">ROW()-1</f>
        <v>138</v>
      </c>
    </row>
    <row r="140" customFormat="false" ht="15" hidden="false" customHeight="false" outlineLevel="0" collapsed="false">
      <c r="A140" s="0" t="s">
        <v>2655</v>
      </c>
      <c r="B140" s="0" t="s">
        <v>2656</v>
      </c>
      <c r="H140" s="5" t="s">
        <v>158</v>
      </c>
      <c r="I140" s="5" t="s">
        <v>159</v>
      </c>
      <c r="J140" s="0" t="n">
        <f aca="false">IF(AX140="pass",ROUND(CU140+CV140+CW140+CX140+CY140+CZ140,1),0)</f>
        <v>34</v>
      </c>
      <c r="K140" s="0" t="s">
        <v>2590</v>
      </c>
      <c r="L140" s="0" t="s">
        <v>163</v>
      </c>
      <c r="R140" s="5" t="s">
        <v>162</v>
      </c>
      <c r="S140" s="0" t="s">
        <v>163</v>
      </c>
      <c r="T140" s="5" t="s">
        <v>162</v>
      </c>
      <c r="U140" s="5" t="s">
        <v>561</v>
      </c>
      <c r="V140" s="0" t="s">
        <v>2276</v>
      </c>
      <c r="W140" s="0" t="s">
        <v>166</v>
      </c>
      <c r="X140" s="0" t="s">
        <v>167</v>
      </c>
      <c r="Y140" s="0" t="str">
        <f aca="false">IF(EU140&lt;&gt;"Y","",COUNTIFS($EU$2:$EU$1000,"Y",$J$2:$J$1000,"&gt;"&amp;J140)+COUNTIFS($EU$2:$EU$1000,"Y",$J$2:$J$1000,J140,$EW$2:$EW$1000,"&lt;"&amp;EW140)+1)</f>
        <v/>
      </c>
      <c r="Z140" s="0" t="n">
        <v>139</v>
      </c>
      <c r="AA140" s="0" t="s">
        <v>162</v>
      </c>
      <c r="AD140" s="0" t="s">
        <v>158</v>
      </c>
      <c r="AH140" s="5" t="s">
        <v>158</v>
      </c>
      <c r="AI140" s="0" t="s">
        <v>2657</v>
      </c>
      <c r="AJ140" s="0" t="s">
        <v>2658</v>
      </c>
      <c r="AK140" s="0" t="s">
        <v>2227</v>
      </c>
      <c r="AL140" s="0" t="s">
        <v>163</v>
      </c>
      <c r="AM140" s="0" t="s">
        <v>163</v>
      </c>
      <c r="AN140" s="0" t="s">
        <v>158</v>
      </c>
      <c r="AO140" s="0" t="s">
        <v>163</v>
      </c>
      <c r="AP140" s="0" t="s">
        <v>2279</v>
      </c>
      <c r="AQ140" s="5" t="s">
        <v>162</v>
      </c>
      <c r="AT140" s="0" t="str">
        <f aca="false">IF(AND(AX140="pass",AQ140&lt;&gt;"Y",C140&lt;&gt;"",OR(AW140&lt;&gt;"Y",AV140="Y")),"Y","N")</f>
        <v>N</v>
      </c>
      <c r="AU140" s="0" t="str">
        <f aca="false">_xlfn.TEXTJOIN("; ",TRUE(),IF(AX140&lt;&gt;"pass","gated out",""),IF(AQ140="Y","on hold: "&amp;AR140,""),IF(C140="","no contact named on an opened page",""),IF(AND(AW140="Y",AV140&lt;&gt;"Y"),"Tuesday estimate band "&amp;L140&amp;": founder's call",""))</f>
        <v>no contact named on an opened page</v>
      </c>
      <c r="AW140" s="0" t="s">
        <v>162</v>
      </c>
      <c r="AX140" s="0" t="s">
        <v>181</v>
      </c>
      <c r="AY140" s="0" t="s">
        <v>182</v>
      </c>
      <c r="AZ140" s="0" t="s">
        <v>2228</v>
      </c>
      <c r="BA140" s="0" t="s">
        <v>2659</v>
      </c>
      <c r="BB140" s="0" t="s">
        <v>2281</v>
      </c>
      <c r="BC140" s="0" t="s">
        <v>2231</v>
      </c>
      <c r="BD140" s="0" t="s">
        <v>163</v>
      </c>
      <c r="BF140" s="0" t="s">
        <v>163</v>
      </c>
      <c r="BG140" s="0" t="s">
        <v>163</v>
      </c>
      <c r="BK140" s="0" t="s">
        <v>163</v>
      </c>
      <c r="BL140" s="0" t="s">
        <v>2232</v>
      </c>
      <c r="BM140" s="0" t="s">
        <v>163</v>
      </c>
      <c r="BN140" s="0" t="s">
        <v>2282</v>
      </c>
      <c r="BP140" s="0" t="s">
        <v>193</v>
      </c>
      <c r="BQ140" s="0" t="n">
        <v>40.73716</v>
      </c>
      <c r="BR140" s="0" t="n">
        <v>-73.990073</v>
      </c>
      <c r="BS140" s="0" t="s">
        <v>168</v>
      </c>
      <c r="BT140" s="0" t="n">
        <v>0</v>
      </c>
      <c r="BU140" s="0" t="s">
        <v>1326</v>
      </c>
      <c r="BV140" s="0" t="s">
        <v>1316</v>
      </c>
      <c r="BW140" s="0" t="s">
        <v>2276</v>
      </c>
      <c r="BX140" s="0" t="s">
        <v>166</v>
      </c>
      <c r="BY140" s="0" t="s">
        <v>2236</v>
      </c>
      <c r="BZ140" s="0" t="s">
        <v>2660</v>
      </c>
      <c r="CC140" s="0" t="s">
        <v>738</v>
      </c>
      <c r="CE140" s="0" t="s">
        <v>162</v>
      </c>
      <c r="CF140" s="0" t="s">
        <v>2659</v>
      </c>
      <c r="CG140" s="0" t="s">
        <v>2238</v>
      </c>
      <c r="CH140" s="0" t="s">
        <v>163</v>
      </c>
      <c r="CJ140" s="0" t="s">
        <v>163</v>
      </c>
      <c r="CK140" s="0" t="s">
        <v>162</v>
      </c>
      <c r="CL140" s="0" t="s">
        <v>163</v>
      </c>
      <c r="CO140" s="0" t="s">
        <v>163</v>
      </c>
      <c r="CQ140" s="0" t="s">
        <v>2239</v>
      </c>
      <c r="CR140" s="0" t="s">
        <v>206</v>
      </c>
      <c r="CS140" s="0" t="s">
        <v>163</v>
      </c>
      <c r="CT140" s="0" t="n">
        <v>34</v>
      </c>
      <c r="CU140" s="0" t="n">
        <v>7</v>
      </c>
      <c r="CV140" s="0" t="n">
        <v>8</v>
      </c>
      <c r="CW140" s="0" t="n">
        <v>6</v>
      </c>
      <c r="CX140" s="0" t="n">
        <v>13</v>
      </c>
      <c r="CY140" s="0" t="n">
        <f aca="false">IF(AH140="exact",10,IF(AH140="adjacent",5,0))</f>
        <v>0</v>
      </c>
      <c r="CZ140" s="0" t="n">
        <f aca="false">IF(R140="Y",15,0)</f>
        <v>0</v>
      </c>
      <c r="DF140" s="0" t="s">
        <v>158</v>
      </c>
      <c r="DG140" s="0" t="s">
        <v>2228</v>
      </c>
      <c r="DK140" s="0" t="s">
        <v>2661</v>
      </c>
      <c r="DS140" s="0" t="s">
        <v>158</v>
      </c>
      <c r="DX140" s="0" t="s">
        <v>162</v>
      </c>
      <c r="DZ140" s="0" t="s">
        <v>2662</v>
      </c>
      <c r="ER140" s="0" t="str">
        <f aca="false">IF(ISNUMBER(MATCH(U140,{"queued","contacted","replied","call_booked","call_done","yes_in_principle","materials_sent"},0)),"Y","N")</f>
        <v>N</v>
      </c>
      <c r="ES140" s="0" t="str">
        <f aca="false">IF(COUNTIFS($AP$2:$AP$1000,AP140,$ER$2:$ER$1000,"Y")+COUNTIFS($AP$2:$AP$1000,AP140,$T$2:$T$1000,"Y")&gt;0,"Y","N")</f>
        <v>N</v>
      </c>
      <c r="ET140" s="0" t="str">
        <f aca="false">IF(AND(U140="new",T140="N",AT140="Y",AS140="",ES140="N"),"Y","N")</f>
        <v>N</v>
      </c>
      <c r="EU140" s="0" t="str">
        <f aca="false">IF(ET140&lt;&gt;"Y","N",IF(COUNTIFS($AP$2:$AP$1000,AP140,$ET$2:$ET$1000,"Y",$J$2:$J$1000,"&gt;"&amp;J140)+COUNTIFS($AP$2:$AP$1000,AP140,$ET$2:$ET$1000,"Y",$J$2:$J$1000,J140,$EW$2:$EW$1000,"&lt;"&amp;EW140)=0,"Y","N"))</f>
        <v>N</v>
      </c>
      <c r="EV140" s="0" t="str">
        <f aca="false">IF(Y140="","N",IF(Y140&lt;=10,"Y","N"))</f>
        <v>N</v>
      </c>
      <c r="EW140" s="0" t="n">
        <f aca="false">ROW()-1</f>
        <v>139</v>
      </c>
    </row>
    <row r="141" customFormat="false" ht="15" hidden="false" customHeight="false" outlineLevel="0" collapsed="false">
      <c r="A141" s="0" t="s">
        <v>2663</v>
      </c>
      <c r="B141" s="0" t="s">
        <v>2664</v>
      </c>
      <c r="H141" s="5" t="s">
        <v>158</v>
      </c>
      <c r="I141" s="5" t="s">
        <v>159</v>
      </c>
      <c r="J141" s="0" t="n">
        <f aca="false">IF(AX141="pass",ROUND(CU141+CV141+CW141+CX141+CY141+CZ141,1),0)</f>
        <v>34</v>
      </c>
      <c r="K141" s="0" t="s">
        <v>2572</v>
      </c>
      <c r="L141" s="0" t="s">
        <v>163</v>
      </c>
      <c r="R141" s="5" t="s">
        <v>162</v>
      </c>
      <c r="S141" s="0" t="s">
        <v>163</v>
      </c>
      <c r="T141" s="5" t="s">
        <v>162</v>
      </c>
      <c r="U141" s="5" t="s">
        <v>561</v>
      </c>
      <c r="V141" s="0" t="s">
        <v>2665</v>
      </c>
      <c r="W141" s="0" t="s">
        <v>166</v>
      </c>
      <c r="X141" s="0" t="s">
        <v>167</v>
      </c>
      <c r="Y141" s="0" t="str">
        <f aca="false">IF(EU141&lt;&gt;"Y","",COUNTIFS($EU$2:$EU$1000,"Y",$J$2:$J$1000,"&gt;"&amp;J141)+COUNTIFS($EU$2:$EU$1000,"Y",$J$2:$J$1000,J141,$EW$2:$EW$1000,"&lt;"&amp;EW141)+1)</f>
        <v/>
      </c>
      <c r="Z141" s="0" t="n">
        <v>140</v>
      </c>
      <c r="AA141" s="0" t="s">
        <v>162</v>
      </c>
      <c r="AD141" s="0" t="s">
        <v>158</v>
      </c>
      <c r="AH141" s="5" t="s">
        <v>158</v>
      </c>
      <c r="AI141" s="0" t="s">
        <v>2666</v>
      </c>
      <c r="AJ141" s="0" t="s">
        <v>2370</v>
      </c>
      <c r="AK141" s="0" t="s">
        <v>178</v>
      </c>
      <c r="AL141" s="0" t="s">
        <v>163</v>
      </c>
      <c r="AM141" s="0" t="s">
        <v>163</v>
      </c>
      <c r="AN141" s="0" t="s">
        <v>158</v>
      </c>
      <c r="AO141" s="0" t="s">
        <v>163</v>
      </c>
      <c r="AP141" s="0" t="s">
        <v>2663</v>
      </c>
      <c r="AQ141" s="5" t="s">
        <v>162</v>
      </c>
      <c r="AT141" s="0" t="str">
        <f aca="false">IF(AND(AX141="pass",AQ141&lt;&gt;"Y",C141&lt;&gt;"",OR(AW141&lt;&gt;"Y",AV141="Y")),"Y","N")</f>
        <v>N</v>
      </c>
      <c r="AU141" s="0" t="str">
        <f aca="false">_xlfn.TEXTJOIN("; ",TRUE(),IF(AX141&lt;&gt;"pass","gated out",""),IF(AQ141="Y","on hold: "&amp;AR141,""),IF(C141="","no contact named on an opened page",""),IF(AND(AW141="Y",AV141&lt;&gt;"Y"),"Tuesday estimate band "&amp;L141&amp;": founder's call",""))</f>
        <v>no contact named on an opened page</v>
      </c>
      <c r="AW141" s="0" t="s">
        <v>162</v>
      </c>
      <c r="AX141" s="0" t="s">
        <v>181</v>
      </c>
      <c r="AY141" s="0" t="s">
        <v>182</v>
      </c>
      <c r="AZ141" s="0" t="s">
        <v>1</v>
      </c>
      <c r="BA141" s="0" t="s">
        <v>2667</v>
      </c>
      <c r="BB141" s="0" t="s">
        <v>163</v>
      </c>
      <c r="BC141" s="0" t="s">
        <v>2668</v>
      </c>
      <c r="BD141" s="0" t="s">
        <v>163</v>
      </c>
      <c r="BF141" s="0" t="s">
        <v>163</v>
      </c>
      <c r="BG141" s="0" t="s">
        <v>163</v>
      </c>
      <c r="BH141" s="0" t="s">
        <v>2195</v>
      </c>
      <c r="BK141" s="0" t="s">
        <v>163</v>
      </c>
      <c r="BL141" s="0" t="s">
        <v>163</v>
      </c>
      <c r="BM141" s="0" t="s">
        <v>163</v>
      </c>
      <c r="BN141" s="0" t="s">
        <v>163</v>
      </c>
      <c r="BO141" s="0" t="s">
        <v>163</v>
      </c>
      <c r="BP141" s="0" t="s">
        <v>243</v>
      </c>
      <c r="BQ141" s="0" t="n">
        <v>40.74441</v>
      </c>
      <c r="BR141" s="0" t="n">
        <v>-73.987275</v>
      </c>
      <c r="BS141" s="0" t="s">
        <v>168</v>
      </c>
      <c r="BT141" s="0" t="n">
        <v>0</v>
      </c>
      <c r="BU141" s="0" t="s">
        <v>2669</v>
      </c>
      <c r="BV141" s="0" t="s">
        <v>2670</v>
      </c>
      <c r="BW141" s="0" t="s">
        <v>2665</v>
      </c>
      <c r="BX141" s="0" t="s">
        <v>2671</v>
      </c>
      <c r="BY141" s="0" t="s">
        <v>247</v>
      </c>
      <c r="CC141" s="0" t="s">
        <v>738</v>
      </c>
      <c r="CE141" s="0" t="s">
        <v>162</v>
      </c>
      <c r="CH141" s="0" t="s">
        <v>201</v>
      </c>
      <c r="CI141" s="0" t="s">
        <v>2672</v>
      </c>
      <c r="CJ141" s="0" t="s">
        <v>163</v>
      </c>
      <c r="CK141" s="0" t="s">
        <v>162</v>
      </c>
      <c r="CL141" s="0" t="s">
        <v>163</v>
      </c>
      <c r="CO141" s="0" t="s">
        <v>163</v>
      </c>
      <c r="CQ141" s="0" t="s">
        <v>2196</v>
      </c>
      <c r="CR141" s="0" t="s">
        <v>206</v>
      </c>
      <c r="CS141" s="0" t="s">
        <v>163</v>
      </c>
      <c r="CT141" s="0" t="n">
        <v>34</v>
      </c>
      <c r="CU141" s="0" t="n">
        <v>7</v>
      </c>
      <c r="CV141" s="0" t="n">
        <v>8</v>
      </c>
      <c r="CW141" s="0" t="n">
        <v>6</v>
      </c>
      <c r="CX141" s="0" t="n">
        <v>13</v>
      </c>
      <c r="CY141" s="0" t="n">
        <f aca="false">IF(AH141="exact",10,IF(AH141="adjacent",5,0))</f>
        <v>0</v>
      </c>
      <c r="CZ141" s="0" t="n">
        <f aca="false">IF(R141="Y",15,0)</f>
        <v>0</v>
      </c>
      <c r="DF141" s="0" t="s">
        <v>158</v>
      </c>
      <c r="DG141" s="0" t="s">
        <v>211</v>
      </c>
      <c r="DJ141" s="0" t="s">
        <v>2673</v>
      </c>
      <c r="DK141" s="0" t="s">
        <v>2674</v>
      </c>
      <c r="DS141" s="0" t="s">
        <v>158</v>
      </c>
      <c r="DX141" s="0" t="s">
        <v>162</v>
      </c>
      <c r="ER141" s="0" t="str">
        <f aca="false">IF(ISNUMBER(MATCH(U141,{"queued","contacted","replied","call_booked","call_done","yes_in_principle","materials_sent"},0)),"Y","N")</f>
        <v>N</v>
      </c>
      <c r="ES141" s="0" t="str">
        <f aca="false">IF(COUNTIFS($AP$2:$AP$1000,AP141,$ER$2:$ER$1000,"Y")+COUNTIFS($AP$2:$AP$1000,AP141,$T$2:$T$1000,"Y")&gt;0,"Y","N")</f>
        <v>N</v>
      </c>
      <c r="ET141" s="0" t="str">
        <f aca="false">IF(AND(U141="new",T141="N",AT141="Y",AS141="",ES141="N"),"Y","N")</f>
        <v>N</v>
      </c>
      <c r="EU141" s="0" t="str">
        <f aca="false">IF(ET141&lt;&gt;"Y","N",IF(COUNTIFS($AP$2:$AP$1000,AP141,$ET$2:$ET$1000,"Y",$J$2:$J$1000,"&gt;"&amp;J141)+COUNTIFS($AP$2:$AP$1000,AP141,$ET$2:$ET$1000,"Y",$J$2:$J$1000,J141,$EW$2:$EW$1000,"&lt;"&amp;EW141)=0,"Y","N"))</f>
        <v>N</v>
      </c>
      <c r="EV141" s="0" t="str">
        <f aca="false">IF(Y141="","N",IF(Y141&lt;=10,"Y","N"))</f>
        <v>N</v>
      </c>
      <c r="EW141" s="0" t="n">
        <f aca="false">ROW()-1</f>
        <v>140</v>
      </c>
    </row>
    <row r="142" customFormat="false" ht="15" hidden="false" customHeight="false" outlineLevel="0" collapsed="false">
      <c r="A142" s="0" t="s">
        <v>2675</v>
      </c>
      <c r="B142" s="0" t="s">
        <v>2676</v>
      </c>
      <c r="H142" s="5" t="s">
        <v>158</v>
      </c>
      <c r="I142" s="5" t="s">
        <v>159</v>
      </c>
      <c r="J142" s="0" t="n">
        <f aca="false">IF(AX142="pass",ROUND(CU142+CV142+CW142+CX142+CY142+CZ142,1),0)</f>
        <v>34</v>
      </c>
      <c r="K142" s="0" t="s">
        <v>2572</v>
      </c>
      <c r="L142" s="0" t="s">
        <v>163</v>
      </c>
      <c r="R142" s="5" t="s">
        <v>162</v>
      </c>
      <c r="S142" s="0" t="s">
        <v>163</v>
      </c>
      <c r="T142" s="5" t="s">
        <v>162</v>
      </c>
      <c r="U142" s="5" t="s">
        <v>561</v>
      </c>
      <c r="V142" s="0" t="s">
        <v>1683</v>
      </c>
      <c r="W142" s="0" t="s">
        <v>166</v>
      </c>
      <c r="X142" s="0" t="s">
        <v>167</v>
      </c>
      <c r="Y142" s="0" t="str">
        <f aca="false">IF(EU142&lt;&gt;"Y","",COUNTIFS($EU$2:$EU$1000,"Y",$J$2:$J$1000,"&gt;"&amp;J142)+COUNTIFS($EU$2:$EU$1000,"Y",$J$2:$J$1000,J142,$EW$2:$EW$1000,"&lt;"&amp;EW142)+1)</f>
        <v/>
      </c>
      <c r="Z142" s="0" t="n">
        <v>141</v>
      </c>
      <c r="AA142" s="0" t="s">
        <v>162</v>
      </c>
      <c r="AD142" s="0" t="s">
        <v>158</v>
      </c>
      <c r="AH142" s="5" t="s">
        <v>158</v>
      </c>
      <c r="AI142" s="0" t="s">
        <v>860</v>
      </c>
      <c r="AJ142" s="0" t="s">
        <v>163</v>
      </c>
      <c r="AK142" s="0" t="s">
        <v>178</v>
      </c>
      <c r="AL142" s="0" t="s">
        <v>163</v>
      </c>
      <c r="AM142" s="0" t="s">
        <v>163</v>
      </c>
      <c r="AN142" s="0" t="s">
        <v>158</v>
      </c>
      <c r="AO142" s="0" t="s">
        <v>163</v>
      </c>
      <c r="AP142" s="0" t="s">
        <v>2675</v>
      </c>
      <c r="AQ142" s="5" t="s">
        <v>162</v>
      </c>
      <c r="AT142" s="0" t="str">
        <f aca="false">IF(AND(AX142="pass",AQ142&lt;&gt;"Y",C142&lt;&gt;"",OR(AW142&lt;&gt;"Y",AV142="Y")),"Y","N")</f>
        <v>N</v>
      </c>
      <c r="AU142" s="0" t="str">
        <f aca="false">_xlfn.TEXTJOIN("; ",TRUE(),IF(AX142&lt;&gt;"pass","gated out",""),IF(AQ142="Y","on hold: "&amp;AR142,""),IF(C142="","no contact named on an opened page",""),IF(AND(AW142="Y",AV142&lt;&gt;"Y"),"Tuesday estimate band "&amp;L142&amp;": founder's call",""))</f>
        <v>no contact named on an opened page</v>
      </c>
      <c r="AW142" s="0" t="s">
        <v>162</v>
      </c>
      <c r="AX142" s="0" t="s">
        <v>181</v>
      </c>
      <c r="AY142" s="0" t="s">
        <v>182</v>
      </c>
      <c r="AZ142" s="0" t="s">
        <v>1</v>
      </c>
      <c r="BA142" s="0" t="s">
        <v>2677</v>
      </c>
      <c r="BB142" s="0" t="s">
        <v>2678</v>
      </c>
      <c r="BC142" s="0" t="s">
        <v>2679</v>
      </c>
      <c r="BD142" s="0" t="s">
        <v>163</v>
      </c>
      <c r="BF142" s="0" t="s">
        <v>163</v>
      </c>
      <c r="BG142" s="0" t="s">
        <v>163</v>
      </c>
      <c r="BH142" s="0" t="s">
        <v>2195</v>
      </c>
      <c r="BK142" s="0" t="s">
        <v>163</v>
      </c>
      <c r="BL142" s="0" t="s">
        <v>163</v>
      </c>
      <c r="BM142" s="0" t="s">
        <v>163</v>
      </c>
      <c r="BN142" s="0" t="s">
        <v>163</v>
      </c>
      <c r="BO142" s="0" t="s">
        <v>163</v>
      </c>
      <c r="BP142" s="0" t="s">
        <v>346</v>
      </c>
      <c r="BQ142" s="0" t="n">
        <v>40.742654</v>
      </c>
      <c r="BR142" s="0" t="n">
        <v>-73.991559</v>
      </c>
      <c r="BS142" s="0" t="s">
        <v>168</v>
      </c>
      <c r="BT142" s="0" t="n">
        <v>0</v>
      </c>
      <c r="BU142" s="0" t="s">
        <v>869</v>
      </c>
      <c r="BV142" s="0" t="s">
        <v>870</v>
      </c>
      <c r="BW142" s="0" t="s">
        <v>1683</v>
      </c>
      <c r="BX142" s="0" t="s">
        <v>1684</v>
      </c>
      <c r="BY142" s="0" t="s">
        <v>247</v>
      </c>
      <c r="CC142" s="0" t="s">
        <v>738</v>
      </c>
      <c r="CE142" s="0" t="s">
        <v>162</v>
      </c>
      <c r="CH142" s="0" t="s">
        <v>201</v>
      </c>
      <c r="CI142" s="0" t="s">
        <v>871</v>
      </c>
      <c r="CJ142" s="0" t="s">
        <v>163</v>
      </c>
      <c r="CK142" s="0" t="s">
        <v>162</v>
      </c>
      <c r="CL142" s="0" t="s">
        <v>163</v>
      </c>
      <c r="CO142" s="0" t="s">
        <v>163</v>
      </c>
      <c r="CQ142" s="0" t="s">
        <v>2196</v>
      </c>
      <c r="CR142" s="0" t="s">
        <v>206</v>
      </c>
      <c r="CS142" s="0" t="s">
        <v>163</v>
      </c>
      <c r="CT142" s="0" t="n">
        <v>34</v>
      </c>
      <c r="CU142" s="0" t="n">
        <v>7</v>
      </c>
      <c r="CV142" s="0" t="n">
        <v>8</v>
      </c>
      <c r="CW142" s="0" t="n">
        <v>6</v>
      </c>
      <c r="CX142" s="0" t="n">
        <v>13</v>
      </c>
      <c r="CY142" s="0" t="n">
        <f aca="false">IF(AH142="exact",10,IF(AH142="adjacent",5,0))</f>
        <v>0</v>
      </c>
      <c r="CZ142" s="0" t="n">
        <f aca="false">IF(R142="Y",15,0)</f>
        <v>0</v>
      </c>
      <c r="DF142" s="0" t="s">
        <v>158</v>
      </c>
      <c r="DG142" s="0" t="s">
        <v>211</v>
      </c>
      <c r="DK142" s="0" t="s">
        <v>2680</v>
      </c>
      <c r="DS142" s="0" t="s">
        <v>158</v>
      </c>
      <c r="DX142" s="0" t="s">
        <v>162</v>
      </c>
      <c r="ER142" s="0" t="str">
        <f aca="false">IF(ISNUMBER(MATCH(U142,{"queued","contacted","replied","call_booked","call_done","yes_in_principle","materials_sent"},0)),"Y","N")</f>
        <v>N</v>
      </c>
      <c r="ES142" s="0" t="str">
        <f aca="false">IF(COUNTIFS($AP$2:$AP$1000,AP142,$ER$2:$ER$1000,"Y")+COUNTIFS($AP$2:$AP$1000,AP142,$T$2:$T$1000,"Y")&gt;0,"Y","N")</f>
        <v>N</v>
      </c>
      <c r="ET142" s="0" t="str">
        <f aca="false">IF(AND(U142="new",T142="N",AT142="Y",AS142="",ES142="N"),"Y","N")</f>
        <v>N</v>
      </c>
      <c r="EU142" s="0" t="str">
        <f aca="false">IF(ET142&lt;&gt;"Y","N",IF(COUNTIFS($AP$2:$AP$1000,AP142,$ET$2:$ET$1000,"Y",$J$2:$J$1000,"&gt;"&amp;J142)+COUNTIFS($AP$2:$AP$1000,AP142,$ET$2:$ET$1000,"Y",$J$2:$J$1000,J142,$EW$2:$EW$1000,"&lt;"&amp;EW142)=0,"Y","N"))</f>
        <v>N</v>
      </c>
      <c r="EV142" s="0" t="str">
        <f aca="false">IF(Y142="","N",IF(Y142&lt;=10,"Y","N"))</f>
        <v>N</v>
      </c>
      <c r="EW142" s="0" t="n">
        <f aca="false">ROW()-1</f>
        <v>141</v>
      </c>
    </row>
    <row r="143" customFormat="false" ht="15" hidden="false" customHeight="false" outlineLevel="0" collapsed="false">
      <c r="A143" s="0" t="s">
        <v>2681</v>
      </c>
      <c r="B143" s="0" t="s">
        <v>2682</v>
      </c>
      <c r="H143" s="5" t="s">
        <v>158</v>
      </c>
      <c r="I143" s="5" t="s">
        <v>159</v>
      </c>
      <c r="J143" s="0" t="n">
        <f aca="false">IF(AX143="pass",ROUND(CU143+CV143+CW143+CX143+CY143+CZ143,1),0)</f>
        <v>34</v>
      </c>
      <c r="K143" s="0" t="s">
        <v>2572</v>
      </c>
      <c r="L143" s="0" t="s">
        <v>163</v>
      </c>
      <c r="R143" s="5" t="s">
        <v>162</v>
      </c>
      <c r="S143" s="0" t="s">
        <v>163</v>
      </c>
      <c r="T143" s="5" t="s">
        <v>162</v>
      </c>
      <c r="U143" s="5" t="s">
        <v>561</v>
      </c>
      <c r="V143" s="0" t="s">
        <v>2683</v>
      </c>
      <c r="W143" s="0" t="s">
        <v>166</v>
      </c>
      <c r="X143" s="0" t="s">
        <v>167</v>
      </c>
      <c r="Y143" s="0" t="str">
        <f aca="false">IF(EU143&lt;&gt;"Y","",COUNTIFS($EU$2:$EU$1000,"Y",$J$2:$J$1000,"&gt;"&amp;J143)+COUNTIFS($EU$2:$EU$1000,"Y",$J$2:$J$1000,J143,$EW$2:$EW$1000,"&lt;"&amp;EW143)+1)</f>
        <v/>
      </c>
      <c r="Z143" s="0" t="n">
        <v>142</v>
      </c>
      <c r="AA143" s="0" t="s">
        <v>162</v>
      </c>
      <c r="AD143" s="0" t="s">
        <v>158</v>
      </c>
      <c r="AH143" s="5" t="s">
        <v>158</v>
      </c>
      <c r="AI143" s="0" t="s">
        <v>601</v>
      </c>
      <c r="AJ143" s="0" t="s">
        <v>1257</v>
      </c>
      <c r="AK143" s="0" t="s">
        <v>178</v>
      </c>
      <c r="AL143" s="0" t="s">
        <v>163</v>
      </c>
      <c r="AM143" s="0" t="s">
        <v>163</v>
      </c>
      <c r="AN143" s="0" t="s">
        <v>158</v>
      </c>
      <c r="AO143" s="0" t="s">
        <v>163</v>
      </c>
      <c r="AP143" s="0" t="s">
        <v>2681</v>
      </c>
      <c r="AQ143" s="5" t="s">
        <v>162</v>
      </c>
      <c r="AT143" s="0" t="str">
        <f aca="false">IF(AND(AX143="pass",AQ143&lt;&gt;"Y",C143&lt;&gt;"",OR(AW143&lt;&gt;"Y",AV143="Y")),"Y","N")</f>
        <v>N</v>
      </c>
      <c r="AU143" s="0" t="str">
        <f aca="false">_xlfn.TEXTJOIN("; ",TRUE(),IF(AX143&lt;&gt;"pass","gated out",""),IF(AQ143="Y","on hold: "&amp;AR143,""),IF(C143="","no contact named on an opened page",""),IF(AND(AW143="Y",AV143&lt;&gt;"Y"),"Tuesday estimate band "&amp;L143&amp;": founder's call",""))</f>
        <v>no contact named on an opened page</v>
      </c>
      <c r="AW143" s="0" t="s">
        <v>162</v>
      </c>
      <c r="AX143" s="0" t="s">
        <v>181</v>
      </c>
      <c r="AY143" s="0" t="s">
        <v>182</v>
      </c>
      <c r="AZ143" s="0" t="s">
        <v>1</v>
      </c>
      <c r="BA143" s="0" t="s">
        <v>2684</v>
      </c>
      <c r="BB143" s="0" t="s">
        <v>2685</v>
      </c>
      <c r="BC143" s="0" t="s">
        <v>2686</v>
      </c>
      <c r="BD143" s="0" t="s">
        <v>163</v>
      </c>
      <c r="BF143" s="0" t="s">
        <v>163</v>
      </c>
      <c r="BG143" s="0" t="s">
        <v>163</v>
      </c>
      <c r="BH143" s="0" t="s">
        <v>2195</v>
      </c>
      <c r="BK143" s="0" t="s">
        <v>163</v>
      </c>
      <c r="BL143" s="0" t="s">
        <v>163</v>
      </c>
      <c r="BM143" s="0" t="s">
        <v>163</v>
      </c>
      <c r="BN143" s="0" t="s">
        <v>163</v>
      </c>
      <c r="BO143" s="0" t="s">
        <v>163</v>
      </c>
      <c r="BP143" s="0" t="s">
        <v>193</v>
      </c>
      <c r="BQ143" s="0" t="n">
        <v>40.73865</v>
      </c>
      <c r="BR143" s="0" t="n">
        <v>-73.991471</v>
      </c>
      <c r="BS143" s="0" t="s">
        <v>168</v>
      </c>
      <c r="BT143" s="0" t="n">
        <v>0</v>
      </c>
      <c r="BU143" s="0" t="s">
        <v>608</v>
      </c>
      <c r="BV143" s="0" t="s">
        <v>609</v>
      </c>
      <c r="BW143" s="0" t="s">
        <v>2683</v>
      </c>
      <c r="BX143" s="0" t="s">
        <v>2687</v>
      </c>
      <c r="BY143" s="0" t="s">
        <v>247</v>
      </c>
      <c r="CC143" s="0" t="s">
        <v>738</v>
      </c>
      <c r="CE143" s="0" t="s">
        <v>162</v>
      </c>
      <c r="CH143" s="0" t="s">
        <v>163</v>
      </c>
      <c r="CJ143" s="0" t="s">
        <v>163</v>
      </c>
      <c r="CK143" s="0" t="s">
        <v>162</v>
      </c>
      <c r="CL143" s="0" t="s">
        <v>163</v>
      </c>
      <c r="CO143" s="0" t="s">
        <v>163</v>
      </c>
      <c r="CQ143" s="0" t="s">
        <v>2196</v>
      </c>
      <c r="CR143" s="0" t="s">
        <v>206</v>
      </c>
      <c r="CS143" s="0" t="s">
        <v>163</v>
      </c>
      <c r="CT143" s="0" t="n">
        <v>34</v>
      </c>
      <c r="CU143" s="0" t="n">
        <v>7</v>
      </c>
      <c r="CV143" s="0" t="n">
        <v>8</v>
      </c>
      <c r="CW143" s="0" t="n">
        <v>6</v>
      </c>
      <c r="CX143" s="0" t="n">
        <v>13</v>
      </c>
      <c r="CY143" s="0" t="n">
        <f aca="false">IF(AH143="exact",10,IF(AH143="adjacent",5,0))</f>
        <v>0</v>
      </c>
      <c r="CZ143" s="0" t="n">
        <f aca="false">IF(R143="Y",15,0)</f>
        <v>0</v>
      </c>
      <c r="DF143" s="0" t="s">
        <v>158</v>
      </c>
      <c r="DG143" s="0" t="s">
        <v>211</v>
      </c>
      <c r="DJ143" s="0" t="s">
        <v>1655</v>
      </c>
      <c r="DK143" s="0" t="s">
        <v>2688</v>
      </c>
      <c r="DS143" s="0" t="s">
        <v>158</v>
      </c>
      <c r="DX143" s="0" t="s">
        <v>162</v>
      </c>
      <c r="ER143" s="0" t="str">
        <f aca="false">IF(ISNUMBER(MATCH(U143,{"queued","contacted","replied","call_booked","call_done","yes_in_principle","materials_sent"},0)),"Y","N")</f>
        <v>N</v>
      </c>
      <c r="ES143" s="0" t="str">
        <f aca="false">IF(COUNTIFS($AP$2:$AP$1000,AP143,$ER$2:$ER$1000,"Y")+COUNTIFS($AP$2:$AP$1000,AP143,$T$2:$T$1000,"Y")&gt;0,"Y","N")</f>
        <v>N</v>
      </c>
      <c r="ET143" s="0" t="str">
        <f aca="false">IF(AND(U143="new",T143="N",AT143="Y",AS143="",ES143="N"),"Y","N")</f>
        <v>N</v>
      </c>
      <c r="EU143" s="0" t="str">
        <f aca="false">IF(ET143&lt;&gt;"Y","N",IF(COUNTIFS($AP$2:$AP$1000,AP143,$ET$2:$ET$1000,"Y",$J$2:$J$1000,"&gt;"&amp;J143)+COUNTIFS($AP$2:$AP$1000,AP143,$ET$2:$ET$1000,"Y",$J$2:$J$1000,J143,$EW$2:$EW$1000,"&lt;"&amp;EW143)=0,"Y","N"))</f>
        <v>N</v>
      </c>
      <c r="EV143" s="0" t="str">
        <f aca="false">IF(Y143="","N",IF(Y143&lt;=10,"Y","N"))</f>
        <v>N</v>
      </c>
      <c r="EW143" s="0" t="n">
        <f aca="false">ROW()-1</f>
        <v>142</v>
      </c>
    </row>
    <row r="144" customFormat="false" ht="15" hidden="false" customHeight="false" outlineLevel="0" collapsed="false">
      <c r="A144" s="0" t="s">
        <v>2689</v>
      </c>
      <c r="B144" s="0" t="s">
        <v>2690</v>
      </c>
      <c r="H144" s="5" t="s">
        <v>158</v>
      </c>
      <c r="I144" s="5" t="s">
        <v>159</v>
      </c>
      <c r="J144" s="0" t="n">
        <f aca="false">IF(AX144="pass",ROUND(CU144+CV144+CW144+CX144+CY144+CZ144,1),0)</f>
        <v>34</v>
      </c>
      <c r="K144" s="0" t="s">
        <v>2590</v>
      </c>
      <c r="L144" s="0" t="s">
        <v>163</v>
      </c>
      <c r="R144" s="5" t="s">
        <v>162</v>
      </c>
      <c r="S144" s="0" t="s">
        <v>163</v>
      </c>
      <c r="T144" s="5" t="s">
        <v>162</v>
      </c>
      <c r="U144" s="5" t="s">
        <v>561</v>
      </c>
      <c r="V144" s="0" t="s">
        <v>2691</v>
      </c>
      <c r="W144" s="0" t="s">
        <v>166</v>
      </c>
      <c r="X144" s="0" t="s">
        <v>167</v>
      </c>
      <c r="Y144" s="0" t="str">
        <f aca="false">IF(EU144&lt;&gt;"Y","",COUNTIFS($EU$2:$EU$1000,"Y",$J$2:$J$1000,"&gt;"&amp;J144)+COUNTIFS($EU$2:$EU$1000,"Y",$J$2:$J$1000,J144,$EW$2:$EW$1000,"&lt;"&amp;EW144)+1)</f>
        <v/>
      </c>
      <c r="Z144" s="0" t="n">
        <v>143</v>
      </c>
      <c r="AA144" s="0" t="s">
        <v>162</v>
      </c>
      <c r="AD144" s="0" t="s">
        <v>158</v>
      </c>
      <c r="AH144" s="5" t="s">
        <v>158</v>
      </c>
      <c r="AI144" s="0" t="s">
        <v>2692</v>
      </c>
      <c r="AJ144" s="0" t="s">
        <v>2278</v>
      </c>
      <c r="AK144" s="0" t="s">
        <v>2227</v>
      </c>
      <c r="AL144" s="0" t="s">
        <v>163</v>
      </c>
      <c r="AM144" s="0" t="s">
        <v>163</v>
      </c>
      <c r="AN144" s="0" t="s">
        <v>158</v>
      </c>
      <c r="AO144" s="0" t="s">
        <v>163</v>
      </c>
      <c r="AP144" s="0" t="s">
        <v>2689</v>
      </c>
      <c r="AQ144" s="5" t="s">
        <v>162</v>
      </c>
      <c r="AT144" s="0" t="str">
        <f aca="false">IF(AND(AX144="pass",AQ144&lt;&gt;"Y",C144&lt;&gt;"",OR(AW144&lt;&gt;"Y",AV144="Y")),"Y","N")</f>
        <v>N</v>
      </c>
      <c r="AU144" s="0" t="str">
        <f aca="false">_xlfn.TEXTJOIN("; ",TRUE(),IF(AX144&lt;&gt;"pass","gated out",""),IF(AQ144="Y","on hold: "&amp;AR144,""),IF(C144="","no contact named on an opened page",""),IF(AND(AW144="Y",AV144&lt;&gt;"Y"),"Tuesday estimate band "&amp;L144&amp;": founder's call",""))</f>
        <v>no contact named on an opened page</v>
      </c>
      <c r="AW144" s="0" t="s">
        <v>162</v>
      </c>
      <c r="AX144" s="0" t="s">
        <v>181</v>
      </c>
      <c r="AY144" s="0" t="s">
        <v>182</v>
      </c>
      <c r="AZ144" s="0" t="s">
        <v>2228</v>
      </c>
      <c r="BA144" s="0" t="s">
        <v>2693</v>
      </c>
      <c r="BB144" s="0" t="s">
        <v>2694</v>
      </c>
      <c r="BC144" s="0" t="s">
        <v>2231</v>
      </c>
      <c r="BD144" s="0" t="s">
        <v>163</v>
      </c>
      <c r="BF144" s="0" t="s">
        <v>163</v>
      </c>
      <c r="BG144" s="0" t="s">
        <v>163</v>
      </c>
      <c r="BK144" s="0" t="s">
        <v>163</v>
      </c>
      <c r="BL144" s="0" t="s">
        <v>2232</v>
      </c>
      <c r="BM144" s="0" t="s">
        <v>163</v>
      </c>
      <c r="BN144" s="0" t="s">
        <v>2690</v>
      </c>
      <c r="BP144" s="0" t="s">
        <v>711</v>
      </c>
      <c r="BQ144" s="0" t="n">
        <v>40.746321</v>
      </c>
      <c r="BR144" s="0" t="n">
        <v>-73.988259</v>
      </c>
      <c r="BS144" s="0" t="s">
        <v>168</v>
      </c>
      <c r="BT144" s="0" t="n">
        <v>0</v>
      </c>
      <c r="BV144" s="0" t="s">
        <v>163</v>
      </c>
      <c r="BW144" s="0" t="s">
        <v>2691</v>
      </c>
      <c r="BX144" s="0" t="s">
        <v>166</v>
      </c>
      <c r="BY144" s="0" t="s">
        <v>2236</v>
      </c>
      <c r="BZ144" s="0" t="s">
        <v>2695</v>
      </c>
      <c r="CC144" s="0" t="s">
        <v>738</v>
      </c>
      <c r="CE144" s="0" t="s">
        <v>162</v>
      </c>
      <c r="CF144" s="0" t="s">
        <v>2693</v>
      </c>
      <c r="CG144" s="0" t="s">
        <v>2238</v>
      </c>
      <c r="CH144" s="0" t="s">
        <v>163</v>
      </c>
      <c r="CJ144" s="0" t="s">
        <v>163</v>
      </c>
      <c r="CK144" s="0" t="s">
        <v>162</v>
      </c>
      <c r="CL144" s="0" t="s">
        <v>163</v>
      </c>
      <c r="CO144" s="0" t="s">
        <v>163</v>
      </c>
      <c r="CQ144" s="0" t="s">
        <v>2239</v>
      </c>
      <c r="CR144" s="0" t="s">
        <v>206</v>
      </c>
      <c r="CS144" s="0" t="s">
        <v>163</v>
      </c>
      <c r="CT144" s="0" t="n">
        <v>34</v>
      </c>
      <c r="CU144" s="0" t="n">
        <v>7</v>
      </c>
      <c r="CV144" s="0" t="n">
        <v>8</v>
      </c>
      <c r="CW144" s="0" t="n">
        <v>6</v>
      </c>
      <c r="CX144" s="0" t="n">
        <v>13</v>
      </c>
      <c r="CY144" s="0" t="n">
        <f aca="false">IF(AH144="exact",10,IF(AH144="adjacent",5,0))</f>
        <v>0</v>
      </c>
      <c r="CZ144" s="0" t="n">
        <f aca="false">IF(R144="Y",15,0)</f>
        <v>0</v>
      </c>
      <c r="DF144" s="0" t="s">
        <v>158</v>
      </c>
      <c r="DG144" s="0" t="s">
        <v>2228</v>
      </c>
      <c r="DK144" s="0" t="s">
        <v>2696</v>
      </c>
      <c r="DS144" s="0" t="s">
        <v>158</v>
      </c>
      <c r="DX144" s="0" t="s">
        <v>162</v>
      </c>
      <c r="ER144" s="0" t="str">
        <f aca="false">IF(ISNUMBER(MATCH(U144,{"queued","contacted","replied","call_booked","call_done","yes_in_principle","materials_sent"},0)),"Y","N")</f>
        <v>N</v>
      </c>
      <c r="ES144" s="0" t="str">
        <f aca="false">IF(COUNTIFS($AP$2:$AP$1000,AP144,$ER$2:$ER$1000,"Y")+COUNTIFS($AP$2:$AP$1000,AP144,$T$2:$T$1000,"Y")&gt;0,"Y","N")</f>
        <v>N</v>
      </c>
      <c r="ET144" s="0" t="str">
        <f aca="false">IF(AND(U144="new",T144="N",AT144="Y",AS144="",ES144="N"),"Y","N")</f>
        <v>N</v>
      </c>
      <c r="EU144" s="0" t="str">
        <f aca="false">IF(ET144&lt;&gt;"Y","N",IF(COUNTIFS($AP$2:$AP$1000,AP144,$ET$2:$ET$1000,"Y",$J$2:$J$1000,"&gt;"&amp;J144)+COUNTIFS($AP$2:$AP$1000,AP144,$ET$2:$ET$1000,"Y",$J$2:$J$1000,J144,$EW$2:$EW$1000,"&lt;"&amp;EW144)=0,"Y","N"))</f>
        <v>N</v>
      </c>
      <c r="EV144" s="0" t="str">
        <f aca="false">IF(Y144="","N",IF(Y144&lt;=10,"Y","N"))</f>
        <v>N</v>
      </c>
      <c r="EW144" s="0" t="n">
        <f aca="false">ROW()-1</f>
        <v>143</v>
      </c>
    </row>
    <row r="145" customFormat="false" ht="15" hidden="false" customHeight="false" outlineLevel="0" collapsed="false">
      <c r="A145" s="0" t="s">
        <v>2697</v>
      </c>
      <c r="B145" s="0" t="s">
        <v>2698</v>
      </c>
      <c r="H145" s="5" t="s">
        <v>158</v>
      </c>
      <c r="I145" s="5" t="s">
        <v>159</v>
      </c>
      <c r="J145" s="0" t="n">
        <f aca="false">IF(AX145="pass",ROUND(CU145+CV145+CW145+CX145+CY145+CZ145,1),0)</f>
        <v>34</v>
      </c>
      <c r="K145" s="0" t="s">
        <v>2572</v>
      </c>
      <c r="L145" s="0" t="s">
        <v>163</v>
      </c>
      <c r="R145" s="5" t="s">
        <v>162</v>
      </c>
      <c r="S145" s="0" t="s">
        <v>163</v>
      </c>
      <c r="T145" s="5" t="s">
        <v>162</v>
      </c>
      <c r="U145" s="5" t="s">
        <v>561</v>
      </c>
      <c r="V145" s="0" t="s">
        <v>2699</v>
      </c>
      <c r="W145" s="0" t="s">
        <v>166</v>
      </c>
      <c r="X145" s="0" t="s">
        <v>167</v>
      </c>
      <c r="Y145" s="0" t="str">
        <f aca="false">IF(EU145&lt;&gt;"Y","",COUNTIFS($EU$2:$EU$1000,"Y",$J$2:$J$1000,"&gt;"&amp;J145)+COUNTIFS($EU$2:$EU$1000,"Y",$J$2:$J$1000,J145,$EW$2:$EW$1000,"&lt;"&amp;EW145)+1)</f>
        <v/>
      </c>
      <c r="Z145" s="0" t="n">
        <v>144</v>
      </c>
      <c r="AA145" s="0" t="s">
        <v>162</v>
      </c>
      <c r="AD145" s="0" t="s">
        <v>158</v>
      </c>
      <c r="AH145" s="5" t="s">
        <v>158</v>
      </c>
      <c r="AI145" s="0" t="s">
        <v>1693</v>
      </c>
      <c r="AJ145" s="0" t="s">
        <v>177</v>
      </c>
      <c r="AK145" s="0" t="s">
        <v>178</v>
      </c>
      <c r="AL145" s="0" t="s">
        <v>163</v>
      </c>
      <c r="AM145" s="0" t="s">
        <v>163</v>
      </c>
      <c r="AN145" s="0" t="s">
        <v>158</v>
      </c>
      <c r="AO145" s="0" t="s">
        <v>163</v>
      </c>
      <c r="AP145" s="0" t="s">
        <v>2697</v>
      </c>
      <c r="AQ145" s="5" t="s">
        <v>162</v>
      </c>
      <c r="AT145" s="0" t="str">
        <f aca="false">IF(AND(AX145="pass",AQ145&lt;&gt;"Y",C145&lt;&gt;"",OR(AW145&lt;&gt;"Y",AV145="Y")),"Y","N")</f>
        <v>N</v>
      </c>
      <c r="AU145" s="0" t="str">
        <f aca="false">_xlfn.TEXTJOIN("; ",TRUE(),IF(AX145&lt;&gt;"pass","gated out",""),IF(AQ145="Y","on hold: "&amp;AR145,""),IF(C145="","no contact named on an opened page",""),IF(AND(AW145="Y",AV145&lt;&gt;"Y"),"Tuesday estimate band "&amp;L145&amp;": founder's call",""))</f>
        <v>no contact named on an opened page</v>
      </c>
      <c r="AW145" s="0" t="s">
        <v>162</v>
      </c>
      <c r="AX145" s="0" t="s">
        <v>181</v>
      </c>
      <c r="AY145" s="0" t="s">
        <v>182</v>
      </c>
      <c r="AZ145" s="0" t="s">
        <v>1</v>
      </c>
      <c r="BA145" s="0" t="s">
        <v>2700</v>
      </c>
      <c r="BB145" s="0" t="s">
        <v>2701</v>
      </c>
      <c r="BC145" s="0" t="s">
        <v>2702</v>
      </c>
      <c r="BD145" s="0" t="s">
        <v>163</v>
      </c>
      <c r="BF145" s="0" t="s">
        <v>163</v>
      </c>
      <c r="BG145" s="0" t="s">
        <v>163</v>
      </c>
      <c r="BH145" s="0" t="s">
        <v>2195</v>
      </c>
      <c r="BK145" s="0" t="s">
        <v>163</v>
      </c>
      <c r="BL145" s="0" t="s">
        <v>163</v>
      </c>
      <c r="BM145" s="0" t="s">
        <v>163</v>
      </c>
      <c r="BN145" s="0" t="s">
        <v>163</v>
      </c>
      <c r="BO145" s="0" t="s">
        <v>163</v>
      </c>
      <c r="BP145" s="0" t="s">
        <v>346</v>
      </c>
      <c r="BQ145" s="0" t="n">
        <v>40.741761</v>
      </c>
      <c r="BR145" s="0" t="n">
        <v>-73.987033</v>
      </c>
      <c r="BS145" s="0" t="s">
        <v>168</v>
      </c>
      <c r="BT145" s="0" t="n">
        <v>0</v>
      </c>
      <c r="BU145" s="0" t="s">
        <v>1702</v>
      </c>
      <c r="BV145" s="0" t="s">
        <v>1703</v>
      </c>
      <c r="BW145" s="0" t="s">
        <v>2699</v>
      </c>
      <c r="BX145" s="0" t="s">
        <v>174</v>
      </c>
      <c r="BY145" s="0" t="s">
        <v>196</v>
      </c>
      <c r="CC145" s="0" t="s">
        <v>738</v>
      </c>
      <c r="CE145" s="0" t="s">
        <v>162</v>
      </c>
      <c r="CH145" s="0" t="s">
        <v>1706</v>
      </c>
      <c r="CI145" s="0" t="s">
        <v>1707</v>
      </c>
      <c r="CJ145" s="0" t="s">
        <v>163</v>
      </c>
      <c r="CK145" s="0" t="s">
        <v>162</v>
      </c>
      <c r="CL145" s="0" t="s">
        <v>163</v>
      </c>
      <c r="CO145" s="0" t="s">
        <v>163</v>
      </c>
      <c r="CQ145" s="0" t="s">
        <v>2196</v>
      </c>
      <c r="CR145" s="0" t="s">
        <v>206</v>
      </c>
      <c r="CS145" s="0" t="s">
        <v>163</v>
      </c>
      <c r="CT145" s="0" t="n">
        <v>34</v>
      </c>
      <c r="CU145" s="0" t="n">
        <v>7</v>
      </c>
      <c r="CV145" s="0" t="n">
        <v>8</v>
      </c>
      <c r="CW145" s="0" t="n">
        <v>6</v>
      </c>
      <c r="CX145" s="0" t="n">
        <v>13</v>
      </c>
      <c r="CY145" s="0" t="n">
        <f aca="false">IF(AH145="exact",10,IF(AH145="adjacent",5,0))</f>
        <v>0</v>
      </c>
      <c r="CZ145" s="0" t="n">
        <f aca="false">IF(R145="Y",15,0)</f>
        <v>0</v>
      </c>
      <c r="DF145" s="0" t="s">
        <v>158</v>
      </c>
      <c r="DG145" s="0" t="s">
        <v>211</v>
      </c>
      <c r="DK145" s="0" t="s">
        <v>2703</v>
      </c>
      <c r="DS145" s="0" t="s">
        <v>158</v>
      </c>
      <c r="DX145" s="0" t="s">
        <v>162</v>
      </c>
      <c r="ER145" s="0" t="str">
        <f aca="false">IF(ISNUMBER(MATCH(U145,{"queued","contacted","replied","call_booked","call_done","yes_in_principle","materials_sent"},0)),"Y","N")</f>
        <v>N</v>
      </c>
      <c r="ES145" s="0" t="str">
        <f aca="false">IF(COUNTIFS($AP$2:$AP$1000,AP145,$ER$2:$ER$1000,"Y")+COUNTIFS($AP$2:$AP$1000,AP145,$T$2:$T$1000,"Y")&gt;0,"Y","N")</f>
        <v>N</v>
      </c>
      <c r="ET145" s="0" t="str">
        <f aca="false">IF(AND(U145="new",T145="N",AT145="Y",AS145="",ES145="N"),"Y","N")</f>
        <v>N</v>
      </c>
      <c r="EU145" s="0" t="str">
        <f aca="false">IF(ET145&lt;&gt;"Y","N",IF(COUNTIFS($AP$2:$AP$1000,AP145,$ET$2:$ET$1000,"Y",$J$2:$J$1000,"&gt;"&amp;J145)+COUNTIFS($AP$2:$AP$1000,AP145,$ET$2:$ET$1000,"Y",$J$2:$J$1000,J145,$EW$2:$EW$1000,"&lt;"&amp;EW145)=0,"Y","N"))</f>
        <v>N</v>
      </c>
      <c r="EV145" s="0" t="str">
        <f aca="false">IF(Y145="","N",IF(Y145&lt;=10,"Y","N"))</f>
        <v>N</v>
      </c>
      <c r="EW145" s="0" t="n">
        <f aca="false">ROW()-1</f>
        <v>144</v>
      </c>
    </row>
    <row r="146" customFormat="false" ht="15" hidden="false" customHeight="false" outlineLevel="0" collapsed="false">
      <c r="A146" s="0" t="s">
        <v>2704</v>
      </c>
      <c r="B146" s="0" t="s">
        <v>2705</v>
      </c>
      <c r="H146" s="5" t="s">
        <v>158</v>
      </c>
      <c r="I146" s="5" t="s">
        <v>159</v>
      </c>
      <c r="J146" s="0" t="n">
        <f aca="false">IF(AX146="pass",ROUND(CU146+CV146+CW146+CX146+CY146+CZ146,1),0)</f>
        <v>34</v>
      </c>
      <c r="K146" s="0" t="s">
        <v>2572</v>
      </c>
      <c r="L146" s="0" t="s">
        <v>163</v>
      </c>
      <c r="R146" s="5" t="s">
        <v>162</v>
      </c>
      <c r="S146" s="0" t="s">
        <v>163</v>
      </c>
      <c r="T146" s="5" t="s">
        <v>162</v>
      </c>
      <c r="U146" s="5" t="s">
        <v>561</v>
      </c>
      <c r="V146" s="0" t="s">
        <v>2706</v>
      </c>
      <c r="W146" s="0" t="s">
        <v>166</v>
      </c>
      <c r="X146" s="0" t="s">
        <v>167</v>
      </c>
      <c r="Y146" s="0" t="str">
        <f aca="false">IF(EU146&lt;&gt;"Y","",COUNTIFS($EU$2:$EU$1000,"Y",$J$2:$J$1000,"&gt;"&amp;J146)+COUNTIFS($EU$2:$EU$1000,"Y",$J$2:$J$1000,J146,$EW$2:$EW$1000,"&lt;"&amp;EW146)+1)</f>
        <v/>
      </c>
      <c r="Z146" s="0" t="n">
        <v>145</v>
      </c>
      <c r="AA146" s="0" t="s">
        <v>162</v>
      </c>
      <c r="AD146" s="0" t="s">
        <v>158</v>
      </c>
      <c r="AH146" s="5" t="s">
        <v>158</v>
      </c>
      <c r="AI146" s="0" t="s">
        <v>1562</v>
      </c>
      <c r="AJ146" s="0" t="s">
        <v>163</v>
      </c>
      <c r="AK146" s="0" t="s">
        <v>178</v>
      </c>
      <c r="AL146" s="0" t="s">
        <v>163</v>
      </c>
      <c r="AM146" s="0" t="s">
        <v>163</v>
      </c>
      <c r="AN146" s="0" t="s">
        <v>158</v>
      </c>
      <c r="AO146" s="0" t="s">
        <v>163</v>
      </c>
      <c r="AP146" s="0" t="s">
        <v>2704</v>
      </c>
      <c r="AQ146" s="5" t="s">
        <v>162</v>
      </c>
      <c r="AT146" s="0" t="str">
        <f aca="false">IF(AND(AX146="pass",AQ146&lt;&gt;"Y",C146&lt;&gt;"",OR(AW146&lt;&gt;"Y",AV146="Y")),"Y","N")</f>
        <v>N</v>
      </c>
      <c r="AU146" s="0" t="str">
        <f aca="false">_xlfn.TEXTJOIN("; ",TRUE(),IF(AX146&lt;&gt;"pass","gated out",""),IF(AQ146="Y","on hold: "&amp;AR146,""),IF(C146="","no contact named on an opened page",""),IF(AND(AW146="Y",AV146&lt;&gt;"Y"),"Tuesday estimate band "&amp;L146&amp;": founder's call",""))</f>
        <v>no contact named on an opened page</v>
      </c>
      <c r="AW146" s="0" t="s">
        <v>162</v>
      </c>
      <c r="AX146" s="0" t="s">
        <v>181</v>
      </c>
      <c r="AY146" s="0" t="s">
        <v>182</v>
      </c>
      <c r="AZ146" s="0" t="s">
        <v>1</v>
      </c>
      <c r="BA146" s="0" t="s">
        <v>2707</v>
      </c>
      <c r="BB146" s="0" t="s">
        <v>2708</v>
      </c>
      <c r="BC146" s="0" t="s">
        <v>2709</v>
      </c>
      <c r="BD146" s="0" t="s">
        <v>163</v>
      </c>
      <c r="BF146" s="0" t="s">
        <v>163</v>
      </c>
      <c r="BG146" s="0" t="s">
        <v>163</v>
      </c>
      <c r="BH146" s="0" t="s">
        <v>2195</v>
      </c>
      <c r="BK146" s="0" t="s">
        <v>163</v>
      </c>
      <c r="BL146" s="0" t="s">
        <v>163</v>
      </c>
      <c r="BM146" s="0" t="s">
        <v>163</v>
      </c>
      <c r="BN146" s="0" t="s">
        <v>163</v>
      </c>
      <c r="BO146" s="0" t="s">
        <v>163</v>
      </c>
      <c r="BP146" s="0" t="s">
        <v>346</v>
      </c>
      <c r="BQ146" s="0" t="n">
        <v>40.743751</v>
      </c>
      <c r="BR146" s="0" t="n">
        <v>-73.991374</v>
      </c>
      <c r="BS146" s="0" t="s">
        <v>168</v>
      </c>
      <c r="BT146" s="0" t="n">
        <v>0</v>
      </c>
      <c r="BU146" s="0" t="s">
        <v>1569</v>
      </c>
      <c r="BV146" s="0" t="s">
        <v>1570</v>
      </c>
      <c r="BW146" s="0" t="s">
        <v>2706</v>
      </c>
      <c r="BX146" s="0" t="s">
        <v>2710</v>
      </c>
      <c r="BY146" s="0" t="s">
        <v>247</v>
      </c>
      <c r="CC146" s="0" t="s">
        <v>738</v>
      </c>
      <c r="CE146" s="0" t="s">
        <v>162</v>
      </c>
      <c r="CH146" s="0" t="s">
        <v>163</v>
      </c>
      <c r="CJ146" s="0" t="s">
        <v>163</v>
      </c>
      <c r="CK146" s="0" t="s">
        <v>162</v>
      </c>
      <c r="CL146" s="0" t="s">
        <v>163</v>
      </c>
      <c r="CO146" s="0" t="s">
        <v>163</v>
      </c>
      <c r="CQ146" s="0" t="s">
        <v>2196</v>
      </c>
      <c r="CR146" s="0" t="s">
        <v>206</v>
      </c>
      <c r="CS146" s="0" t="s">
        <v>163</v>
      </c>
      <c r="CT146" s="0" t="n">
        <v>34</v>
      </c>
      <c r="CU146" s="0" t="n">
        <v>7</v>
      </c>
      <c r="CV146" s="0" t="n">
        <v>8</v>
      </c>
      <c r="CW146" s="0" t="n">
        <v>6</v>
      </c>
      <c r="CX146" s="0" t="n">
        <v>13</v>
      </c>
      <c r="CY146" s="0" t="n">
        <f aca="false">IF(AH146="exact",10,IF(AH146="adjacent",5,0))</f>
        <v>0</v>
      </c>
      <c r="CZ146" s="0" t="n">
        <f aca="false">IF(R146="Y",15,0)</f>
        <v>0</v>
      </c>
      <c r="DF146" s="0" t="s">
        <v>158</v>
      </c>
      <c r="DG146" s="0" t="s">
        <v>211</v>
      </c>
      <c r="DJ146" s="0" t="s">
        <v>2711</v>
      </c>
      <c r="DK146" s="0" t="s">
        <v>2712</v>
      </c>
      <c r="DS146" s="0" t="s">
        <v>158</v>
      </c>
      <c r="DX146" s="0" t="s">
        <v>162</v>
      </c>
      <c r="ER146" s="0" t="str">
        <f aca="false">IF(ISNUMBER(MATCH(U146,{"queued","contacted","replied","call_booked","call_done","yes_in_principle","materials_sent"},0)),"Y","N")</f>
        <v>N</v>
      </c>
      <c r="ES146" s="0" t="str">
        <f aca="false">IF(COUNTIFS($AP$2:$AP$1000,AP146,$ER$2:$ER$1000,"Y")+COUNTIFS($AP$2:$AP$1000,AP146,$T$2:$T$1000,"Y")&gt;0,"Y","N")</f>
        <v>N</v>
      </c>
      <c r="ET146" s="0" t="str">
        <f aca="false">IF(AND(U146="new",T146="N",AT146="Y",AS146="",ES146="N"),"Y","N")</f>
        <v>N</v>
      </c>
      <c r="EU146" s="0" t="str">
        <f aca="false">IF(ET146&lt;&gt;"Y","N",IF(COUNTIFS($AP$2:$AP$1000,AP146,$ET$2:$ET$1000,"Y",$J$2:$J$1000,"&gt;"&amp;J146)+COUNTIFS($AP$2:$AP$1000,AP146,$ET$2:$ET$1000,"Y",$J$2:$J$1000,J146,$EW$2:$EW$1000,"&lt;"&amp;EW146)=0,"Y","N"))</f>
        <v>N</v>
      </c>
      <c r="EV146" s="0" t="str">
        <f aca="false">IF(Y146="","N",IF(Y146&lt;=10,"Y","N"))</f>
        <v>N</v>
      </c>
      <c r="EW146" s="0" t="n">
        <f aca="false">ROW()-1</f>
        <v>145</v>
      </c>
    </row>
    <row r="147" customFormat="false" ht="15" hidden="false" customHeight="false" outlineLevel="0" collapsed="false">
      <c r="A147" s="0" t="s">
        <v>2713</v>
      </c>
      <c r="B147" s="0" t="s">
        <v>2714</v>
      </c>
      <c r="H147" s="5" t="s">
        <v>158</v>
      </c>
      <c r="I147" s="5" t="s">
        <v>159</v>
      </c>
      <c r="J147" s="0" t="n">
        <f aca="false">IF(AX147="pass",ROUND(CU147+CV147+CW147+CX147+CY147+CZ147,1),0)</f>
        <v>34</v>
      </c>
      <c r="K147" s="0" t="s">
        <v>2572</v>
      </c>
      <c r="L147" s="0" t="s">
        <v>163</v>
      </c>
      <c r="R147" s="5" t="s">
        <v>162</v>
      </c>
      <c r="S147" s="0" t="s">
        <v>163</v>
      </c>
      <c r="T147" s="5" t="s">
        <v>162</v>
      </c>
      <c r="U147" s="5" t="s">
        <v>561</v>
      </c>
      <c r="V147" s="0" t="s">
        <v>750</v>
      </c>
      <c r="W147" s="0" t="s">
        <v>166</v>
      </c>
      <c r="X147" s="0" t="s">
        <v>167</v>
      </c>
      <c r="Y147" s="0" t="str">
        <f aca="false">IF(EU147&lt;&gt;"Y","",COUNTIFS($EU$2:$EU$1000,"Y",$J$2:$J$1000,"&gt;"&amp;J147)+COUNTIFS($EU$2:$EU$1000,"Y",$J$2:$J$1000,J147,$EW$2:$EW$1000,"&lt;"&amp;EW147)+1)</f>
        <v/>
      </c>
      <c r="Z147" s="0" t="n">
        <v>146</v>
      </c>
      <c r="AA147" s="0" t="s">
        <v>162</v>
      </c>
      <c r="AD147" s="0" t="s">
        <v>158</v>
      </c>
      <c r="AH147" s="5" t="s">
        <v>158</v>
      </c>
      <c r="AI147" s="0" t="s">
        <v>753</v>
      </c>
      <c r="AJ147" s="0" t="s">
        <v>163</v>
      </c>
      <c r="AK147" s="0" t="s">
        <v>178</v>
      </c>
      <c r="AL147" s="0" t="s">
        <v>163</v>
      </c>
      <c r="AM147" s="0" t="s">
        <v>163</v>
      </c>
      <c r="AN147" s="0" t="s">
        <v>158</v>
      </c>
      <c r="AO147" s="0" t="s">
        <v>163</v>
      </c>
      <c r="AP147" s="0" t="s">
        <v>2713</v>
      </c>
      <c r="AQ147" s="5" t="s">
        <v>162</v>
      </c>
      <c r="AT147" s="0" t="str">
        <f aca="false">IF(AND(AX147="pass",AQ147&lt;&gt;"Y",C147&lt;&gt;"",OR(AW147&lt;&gt;"Y",AV147="Y")),"Y","N")</f>
        <v>N</v>
      </c>
      <c r="AU147" s="0" t="str">
        <f aca="false">_xlfn.TEXTJOIN("; ",TRUE(),IF(AX147&lt;&gt;"pass","gated out",""),IF(AQ147="Y","on hold: "&amp;AR147,""),IF(C147="","no contact named on an opened page",""),IF(AND(AW147="Y",AV147&lt;&gt;"Y"),"Tuesday estimate band "&amp;L147&amp;": founder's call",""))</f>
        <v>no contact named on an opened page</v>
      </c>
      <c r="AW147" s="0" t="s">
        <v>162</v>
      </c>
      <c r="AX147" s="0" t="s">
        <v>181</v>
      </c>
      <c r="AY147" s="0" t="s">
        <v>182</v>
      </c>
      <c r="AZ147" s="0" t="s">
        <v>1</v>
      </c>
      <c r="BA147" s="0" t="s">
        <v>2715</v>
      </c>
      <c r="BB147" s="0" t="s">
        <v>163</v>
      </c>
      <c r="BC147" s="0" t="s">
        <v>2716</v>
      </c>
      <c r="BD147" s="0" t="s">
        <v>163</v>
      </c>
      <c r="BF147" s="0" t="s">
        <v>163</v>
      </c>
      <c r="BG147" s="0" t="s">
        <v>163</v>
      </c>
      <c r="BH147" s="0" t="s">
        <v>2195</v>
      </c>
      <c r="BK147" s="0" t="s">
        <v>163</v>
      </c>
      <c r="BL147" s="0" t="s">
        <v>163</v>
      </c>
      <c r="BM147" s="0" t="s">
        <v>163</v>
      </c>
      <c r="BN147" s="0" t="s">
        <v>163</v>
      </c>
      <c r="BO147" s="0" t="s">
        <v>163</v>
      </c>
      <c r="BP147" s="0" t="s">
        <v>346</v>
      </c>
      <c r="BQ147" s="0" t="n">
        <v>40.743309</v>
      </c>
      <c r="BR147" s="0" t="n">
        <v>-73.987329</v>
      </c>
      <c r="BS147" s="0" t="s">
        <v>168</v>
      </c>
      <c r="BT147" s="0" t="n">
        <v>0</v>
      </c>
      <c r="BU147" s="0" t="s">
        <v>763</v>
      </c>
      <c r="BV147" s="0" t="s">
        <v>764</v>
      </c>
      <c r="BW147" s="0" t="s">
        <v>750</v>
      </c>
      <c r="BX147" s="0" t="s">
        <v>765</v>
      </c>
      <c r="BY147" s="0" t="s">
        <v>247</v>
      </c>
      <c r="CC147" s="0" t="s">
        <v>738</v>
      </c>
      <c r="CE147" s="0" t="s">
        <v>162</v>
      </c>
      <c r="CH147" s="0" t="s">
        <v>163</v>
      </c>
      <c r="CJ147" s="0" t="s">
        <v>163</v>
      </c>
      <c r="CK147" s="0" t="s">
        <v>162</v>
      </c>
      <c r="CL147" s="0" t="s">
        <v>163</v>
      </c>
      <c r="CO147" s="0" t="s">
        <v>163</v>
      </c>
      <c r="CQ147" s="0" t="s">
        <v>2196</v>
      </c>
      <c r="CR147" s="0" t="s">
        <v>206</v>
      </c>
      <c r="CS147" s="0" t="s">
        <v>163</v>
      </c>
      <c r="CT147" s="0" t="n">
        <v>34</v>
      </c>
      <c r="CU147" s="0" t="n">
        <v>7</v>
      </c>
      <c r="CV147" s="0" t="n">
        <v>8</v>
      </c>
      <c r="CW147" s="0" t="n">
        <v>6</v>
      </c>
      <c r="CX147" s="0" t="n">
        <v>13</v>
      </c>
      <c r="CY147" s="0" t="n">
        <f aca="false">IF(AH147="exact",10,IF(AH147="adjacent",5,0))</f>
        <v>0</v>
      </c>
      <c r="CZ147" s="0" t="n">
        <f aca="false">IF(R147="Y",15,0)</f>
        <v>0</v>
      </c>
      <c r="DF147" s="0" t="s">
        <v>158</v>
      </c>
      <c r="DG147" s="0" t="s">
        <v>211</v>
      </c>
      <c r="DK147" s="0" t="s">
        <v>2717</v>
      </c>
      <c r="DS147" s="0" t="s">
        <v>158</v>
      </c>
      <c r="DX147" s="0" t="s">
        <v>162</v>
      </c>
      <c r="ER147" s="0" t="str">
        <f aca="false">IF(ISNUMBER(MATCH(U147,{"queued","contacted","replied","call_booked","call_done","yes_in_principle","materials_sent"},0)),"Y","N")</f>
        <v>N</v>
      </c>
      <c r="ES147" s="0" t="str">
        <f aca="false">IF(COUNTIFS($AP$2:$AP$1000,AP147,$ER$2:$ER$1000,"Y")+COUNTIFS($AP$2:$AP$1000,AP147,$T$2:$T$1000,"Y")&gt;0,"Y","N")</f>
        <v>N</v>
      </c>
      <c r="ET147" s="0" t="str">
        <f aca="false">IF(AND(U147="new",T147="N",AT147="Y",AS147="",ES147="N"),"Y","N")</f>
        <v>N</v>
      </c>
      <c r="EU147" s="0" t="str">
        <f aca="false">IF(ET147&lt;&gt;"Y","N",IF(COUNTIFS($AP$2:$AP$1000,AP147,$ET$2:$ET$1000,"Y",$J$2:$J$1000,"&gt;"&amp;J147)+COUNTIFS($AP$2:$AP$1000,AP147,$ET$2:$ET$1000,"Y",$J$2:$J$1000,J147,$EW$2:$EW$1000,"&lt;"&amp;EW147)=0,"Y","N"))</f>
        <v>N</v>
      </c>
      <c r="EV147" s="0" t="str">
        <f aca="false">IF(Y147="","N",IF(Y147&lt;=10,"Y","N"))</f>
        <v>N</v>
      </c>
      <c r="EW147" s="0" t="n">
        <f aca="false">ROW()-1</f>
        <v>146</v>
      </c>
    </row>
    <row r="148" customFormat="false" ht="15" hidden="false" customHeight="false" outlineLevel="0" collapsed="false">
      <c r="A148" s="0" t="s">
        <v>2718</v>
      </c>
      <c r="B148" s="0" t="s">
        <v>2719</v>
      </c>
      <c r="H148" s="5" t="s">
        <v>158</v>
      </c>
      <c r="I148" s="5" t="s">
        <v>159</v>
      </c>
      <c r="J148" s="0" t="n">
        <f aca="false">IF(AX148="pass",ROUND(CU148+CV148+CW148+CX148+CY148+CZ148,1),0)</f>
        <v>34</v>
      </c>
      <c r="K148" s="0" t="s">
        <v>2590</v>
      </c>
      <c r="L148" s="0" t="s">
        <v>163</v>
      </c>
      <c r="R148" s="5" t="s">
        <v>162</v>
      </c>
      <c r="S148" s="0" t="s">
        <v>163</v>
      </c>
      <c r="T148" s="5" t="s">
        <v>162</v>
      </c>
      <c r="U148" s="5" t="s">
        <v>561</v>
      </c>
      <c r="V148" s="0" t="s">
        <v>2720</v>
      </c>
      <c r="W148" s="0" t="s">
        <v>166</v>
      </c>
      <c r="X148" s="0" t="s">
        <v>167</v>
      </c>
      <c r="Y148" s="0" t="str">
        <f aca="false">IF(EU148&lt;&gt;"Y","",COUNTIFS($EU$2:$EU$1000,"Y",$J$2:$J$1000,"&gt;"&amp;J148)+COUNTIFS($EU$2:$EU$1000,"Y",$J$2:$J$1000,J148,$EW$2:$EW$1000,"&lt;"&amp;EW148)+1)</f>
        <v/>
      </c>
      <c r="Z148" s="0" t="n">
        <v>147</v>
      </c>
      <c r="AA148" s="0" t="s">
        <v>162</v>
      </c>
      <c r="AD148" s="0" t="s">
        <v>158</v>
      </c>
      <c r="AH148" s="5" t="s">
        <v>158</v>
      </c>
      <c r="AI148" s="0" t="s">
        <v>2721</v>
      </c>
      <c r="AJ148" s="0" t="s">
        <v>2722</v>
      </c>
      <c r="AK148" s="0" t="s">
        <v>2227</v>
      </c>
      <c r="AL148" s="0" t="s">
        <v>163</v>
      </c>
      <c r="AM148" s="0" t="s">
        <v>163</v>
      </c>
      <c r="AN148" s="0" t="s">
        <v>158</v>
      </c>
      <c r="AO148" s="0" t="s">
        <v>163</v>
      </c>
      <c r="AP148" s="0" t="s">
        <v>2718</v>
      </c>
      <c r="AQ148" s="5" t="s">
        <v>162</v>
      </c>
      <c r="AT148" s="0" t="str">
        <f aca="false">IF(AND(AX148="pass",AQ148&lt;&gt;"Y",C148&lt;&gt;"",OR(AW148&lt;&gt;"Y",AV148="Y")),"Y","N")</f>
        <v>N</v>
      </c>
      <c r="AU148" s="0" t="str">
        <f aca="false">_xlfn.TEXTJOIN("; ",TRUE(),IF(AX148&lt;&gt;"pass","gated out",""),IF(AQ148="Y","on hold: "&amp;AR148,""),IF(C148="","no contact named on an opened page",""),IF(AND(AW148="Y",AV148&lt;&gt;"Y"),"Tuesday estimate band "&amp;L148&amp;": founder's call",""))</f>
        <v>no contact named on an opened page</v>
      </c>
      <c r="AW148" s="0" t="s">
        <v>162</v>
      </c>
      <c r="AX148" s="0" t="s">
        <v>181</v>
      </c>
      <c r="AY148" s="0" t="s">
        <v>182</v>
      </c>
      <c r="AZ148" s="0" t="s">
        <v>2228</v>
      </c>
      <c r="BA148" s="0" t="s">
        <v>2723</v>
      </c>
      <c r="BB148" s="0" t="s">
        <v>2724</v>
      </c>
      <c r="BC148" s="0" t="s">
        <v>2231</v>
      </c>
      <c r="BD148" s="0" t="s">
        <v>163</v>
      </c>
      <c r="BF148" s="0" t="s">
        <v>163</v>
      </c>
      <c r="BG148" s="0" t="s">
        <v>163</v>
      </c>
      <c r="BK148" s="0" t="s">
        <v>163</v>
      </c>
      <c r="BL148" s="0" t="s">
        <v>2232</v>
      </c>
      <c r="BM148" s="0" t="s">
        <v>163</v>
      </c>
      <c r="BN148" s="0" t="s">
        <v>2725</v>
      </c>
      <c r="BP148" s="0" t="s">
        <v>711</v>
      </c>
      <c r="BQ148" s="0" t="n">
        <v>40.746574</v>
      </c>
      <c r="BR148" s="0" t="n">
        <v>-73.98833</v>
      </c>
      <c r="BS148" s="0" t="s">
        <v>168</v>
      </c>
      <c r="BT148" s="0" t="n">
        <v>0</v>
      </c>
      <c r="BV148" s="0" t="s">
        <v>163</v>
      </c>
      <c r="BW148" s="0" t="s">
        <v>2720</v>
      </c>
      <c r="BX148" s="0" t="s">
        <v>166</v>
      </c>
      <c r="BY148" s="0" t="s">
        <v>2236</v>
      </c>
      <c r="BZ148" s="0" t="s">
        <v>2726</v>
      </c>
      <c r="CC148" s="0" t="s">
        <v>738</v>
      </c>
      <c r="CE148" s="0" t="s">
        <v>162</v>
      </c>
      <c r="CF148" s="0" t="s">
        <v>2723</v>
      </c>
      <c r="CG148" s="0" t="s">
        <v>2238</v>
      </c>
      <c r="CH148" s="0" t="s">
        <v>163</v>
      </c>
      <c r="CJ148" s="0" t="s">
        <v>163</v>
      </c>
      <c r="CK148" s="0" t="s">
        <v>162</v>
      </c>
      <c r="CL148" s="0" t="s">
        <v>163</v>
      </c>
      <c r="CO148" s="0" t="s">
        <v>163</v>
      </c>
      <c r="CQ148" s="0" t="s">
        <v>2239</v>
      </c>
      <c r="CR148" s="0" t="s">
        <v>206</v>
      </c>
      <c r="CS148" s="0" t="s">
        <v>163</v>
      </c>
      <c r="CT148" s="0" t="n">
        <v>34</v>
      </c>
      <c r="CU148" s="0" t="n">
        <v>7</v>
      </c>
      <c r="CV148" s="0" t="n">
        <v>8</v>
      </c>
      <c r="CW148" s="0" t="n">
        <v>6</v>
      </c>
      <c r="CX148" s="0" t="n">
        <v>13</v>
      </c>
      <c r="CY148" s="0" t="n">
        <f aca="false">IF(AH148="exact",10,IF(AH148="adjacent",5,0))</f>
        <v>0</v>
      </c>
      <c r="CZ148" s="0" t="n">
        <f aca="false">IF(R148="Y",15,0)</f>
        <v>0</v>
      </c>
      <c r="DF148" s="0" t="s">
        <v>158</v>
      </c>
      <c r="DG148" s="0" t="s">
        <v>2228</v>
      </c>
      <c r="DK148" s="0" t="s">
        <v>2727</v>
      </c>
      <c r="DS148" s="0" t="s">
        <v>158</v>
      </c>
      <c r="DX148" s="0" t="s">
        <v>162</v>
      </c>
      <c r="ER148" s="0" t="str">
        <f aca="false">IF(ISNUMBER(MATCH(U148,{"queued","contacted","replied","call_booked","call_done","yes_in_principle","materials_sent"},0)),"Y","N")</f>
        <v>N</v>
      </c>
      <c r="ES148" s="0" t="str">
        <f aca="false">IF(COUNTIFS($AP$2:$AP$1000,AP148,$ER$2:$ER$1000,"Y")+COUNTIFS($AP$2:$AP$1000,AP148,$T$2:$T$1000,"Y")&gt;0,"Y","N")</f>
        <v>N</v>
      </c>
      <c r="ET148" s="0" t="str">
        <f aca="false">IF(AND(U148="new",T148="N",AT148="Y",AS148="",ES148="N"),"Y","N")</f>
        <v>N</v>
      </c>
      <c r="EU148" s="0" t="str">
        <f aca="false">IF(ET148&lt;&gt;"Y","N",IF(COUNTIFS($AP$2:$AP$1000,AP148,$ET$2:$ET$1000,"Y",$J$2:$J$1000,"&gt;"&amp;J148)+COUNTIFS($AP$2:$AP$1000,AP148,$ET$2:$ET$1000,"Y",$J$2:$J$1000,J148,$EW$2:$EW$1000,"&lt;"&amp;EW148)=0,"Y","N"))</f>
        <v>N</v>
      </c>
      <c r="EV148" s="0" t="str">
        <f aca="false">IF(Y148="","N",IF(Y148&lt;=10,"Y","N"))</f>
        <v>N</v>
      </c>
      <c r="EW148" s="0" t="n">
        <f aca="false">ROW()-1</f>
        <v>147</v>
      </c>
    </row>
    <row r="149" customFormat="false" ht="15" hidden="false" customHeight="false" outlineLevel="0" collapsed="false">
      <c r="A149" s="0" t="s">
        <v>2728</v>
      </c>
      <c r="B149" s="0" t="s">
        <v>2729</v>
      </c>
      <c r="H149" s="5" t="s">
        <v>158</v>
      </c>
      <c r="I149" s="5" t="s">
        <v>159</v>
      </c>
      <c r="J149" s="0" t="n">
        <f aca="false">IF(AX149="pass",ROUND(CU149+CV149+CW149+CX149+CY149+CZ149,1),0)</f>
        <v>34</v>
      </c>
      <c r="K149" s="0" t="s">
        <v>2590</v>
      </c>
      <c r="L149" s="0" t="s">
        <v>163</v>
      </c>
      <c r="R149" s="5" t="s">
        <v>162</v>
      </c>
      <c r="S149" s="0" t="s">
        <v>163</v>
      </c>
      <c r="T149" s="5" t="s">
        <v>162</v>
      </c>
      <c r="U149" s="5" t="s">
        <v>561</v>
      </c>
      <c r="V149" s="0" t="s">
        <v>2730</v>
      </c>
      <c r="W149" s="0" t="s">
        <v>166</v>
      </c>
      <c r="X149" s="0" t="s">
        <v>167</v>
      </c>
      <c r="Y149" s="0" t="str">
        <f aca="false">IF(EU149&lt;&gt;"Y","",COUNTIFS($EU$2:$EU$1000,"Y",$J$2:$J$1000,"&gt;"&amp;J149)+COUNTIFS($EU$2:$EU$1000,"Y",$J$2:$J$1000,J149,$EW$2:$EW$1000,"&lt;"&amp;EW149)+1)</f>
        <v/>
      </c>
      <c r="Z149" s="0" t="n">
        <v>148</v>
      </c>
      <c r="AA149" s="0" t="s">
        <v>162</v>
      </c>
      <c r="AD149" s="0" t="s">
        <v>158</v>
      </c>
      <c r="AH149" s="5" t="s">
        <v>158</v>
      </c>
      <c r="AI149" s="0" t="s">
        <v>2731</v>
      </c>
      <c r="AJ149" s="0" t="s">
        <v>2732</v>
      </c>
      <c r="AK149" s="0" t="s">
        <v>2227</v>
      </c>
      <c r="AL149" s="0" t="s">
        <v>163</v>
      </c>
      <c r="AM149" s="0" t="s">
        <v>163</v>
      </c>
      <c r="AN149" s="0" t="s">
        <v>158</v>
      </c>
      <c r="AO149" s="0" t="s">
        <v>163</v>
      </c>
      <c r="AP149" s="0" t="s">
        <v>2728</v>
      </c>
      <c r="AQ149" s="5" t="s">
        <v>162</v>
      </c>
      <c r="AT149" s="0" t="str">
        <f aca="false">IF(AND(AX149="pass",AQ149&lt;&gt;"Y",C149&lt;&gt;"",OR(AW149&lt;&gt;"Y",AV149="Y")),"Y","N")</f>
        <v>N</v>
      </c>
      <c r="AU149" s="0" t="str">
        <f aca="false">_xlfn.TEXTJOIN("; ",TRUE(),IF(AX149&lt;&gt;"pass","gated out",""),IF(AQ149="Y","on hold: "&amp;AR149,""),IF(C149="","no contact named on an opened page",""),IF(AND(AW149="Y",AV149&lt;&gt;"Y"),"Tuesday estimate band "&amp;L149&amp;": founder's call",""))</f>
        <v>no contact named on an opened page</v>
      </c>
      <c r="AW149" s="0" t="s">
        <v>162</v>
      </c>
      <c r="AX149" s="0" t="s">
        <v>181</v>
      </c>
      <c r="AY149" s="0" t="s">
        <v>182</v>
      </c>
      <c r="AZ149" s="0" t="s">
        <v>2228</v>
      </c>
      <c r="BA149" s="0" t="s">
        <v>2733</v>
      </c>
      <c r="BB149" s="0" t="s">
        <v>2734</v>
      </c>
      <c r="BC149" s="0" t="s">
        <v>2231</v>
      </c>
      <c r="BD149" s="0" t="s">
        <v>163</v>
      </c>
      <c r="BF149" s="0" t="s">
        <v>163</v>
      </c>
      <c r="BG149" s="0" t="s">
        <v>163</v>
      </c>
      <c r="BK149" s="0" t="s">
        <v>163</v>
      </c>
      <c r="BL149" s="0" t="s">
        <v>2232</v>
      </c>
      <c r="BM149" s="0" t="s">
        <v>163</v>
      </c>
      <c r="BN149" s="0" t="s">
        <v>2735</v>
      </c>
      <c r="BP149" s="0" t="s">
        <v>711</v>
      </c>
      <c r="BQ149" s="0" t="n">
        <v>40.745792</v>
      </c>
      <c r="BR149" s="0" t="n">
        <v>-73.986723</v>
      </c>
      <c r="BS149" s="0" t="s">
        <v>168</v>
      </c>
      <c r="BT149" s="0" t="n">
        <v>0</v>
      </c>
      <c r="BV149" s="0" t="s">
        <v>163</v>
      </c>
      <c r="BW149" s="0" t="s">
        <v>2730</v>
      </c>
      <c r="BX149" s="0" t="s">
        <v>166</v>
      </c>
      <c r="BY149" s="0" t="s">
        <v>2236</v>
      </c>
      <c r="BZ149" s="0" t="s">
        <v>2736</v>
      </c>
      <c r="CC149" s="0" t="s">
        <v>738</v>
      </c>
      <c r="CE149" s="0" t="s">
        <v>162</v>
      </c>
      <c r="CF149" s="0" t="s">
        <v>2733</v>
      </c>
      <c r="CG149" s="0" t="s">
        <v>2238</v>
      </c>
      <c r="CH149" s="0" t="s">
        <v>163</v>
      </c>
      <c r="CJ149" s="0" t="s">
        <v>163</v>
      </c>
      <c r="CK149" s="0" t="s">
        <v>162</v>
      </c>
      <c r="CL149" s="0" t="s">
        <v>163</v>
      </c>
      <c r="CO149" s="0" t="s">
        <v>163</v>
      </c>
      <c r="CQ149" s="0" t="s">
        <v>2239</v>
      </c>
      <c r="CR149" s="0" t="s">
        <v>206</v>
      </c>
      <c r="CS149" s="0" t="s">
        <v>163</v>
      </c>
      <c r="CT149" s="0" t="n">
        <v>34</v>
      </c>
      <c r="CU149" s="0" t="n">
        <v>7</v>
      </c>
      <c r="CV149" s="0" t="n">
        <v>8</v>
      </c>
      <c r="CW149" s="0" t="n">
        <v>6</v>
      </c>
      <c r="CX149" s="0" t="n">
        <v>13</v>
      </c>
      <c r="CY149" s="0" t="n">
        <f aca="false">IF(AH149="exact",10,IF(AH149="adjacent",5,0))</f>
        <v>0</v>
      </c>
      <c r="CZ149" s="0" t="n">
        <f aca="false">IF(R149="Y",15,0)</f>
        <v>0</v>
      </c>
      <c r="DF149" s="0" t="s">
        <v>158</v>
      </c>
      <c r="DG149" s="0" t="s">
        <v>2228</v>
      </c>
      <c r="DK149" s="0" t="s">
        <v>2737</v>
      </c>
      <c r="DS149" s="0" t="s">
        <v>158</v>
      </c>
      <c r="DX149" s="0" t="s">
        <v>162</v>
      </c>
      <c r="ER149" s="0" t="str">
        <f aca="false">IF(ISNUMBER(MATCH(U149,{"queued","contacted","replied","call_booked","call_done","yes_in_principle","materials_sent"},0)),"Y","N")</f>
        <v>N</v>
      </c>
      <c r="ES149" s="0" t="str">
        <f aca="false">IF(COUNTIFS($AP$2:$AP$1000,AP149,$ER$2:$ER$1000,"Y")+COUNTIFS($AP$2:$AP$1000,AP149,$T$2:$T$1000,"Y")&gt;0,"Y","N")</f>
        <v>N</v>
      </c>
      <c r="ET149" s="0" t="str">
        <f aca="false">IF(AND(U149="new",T149="N",AT149="Y",AS149="",ES149="N"),"Y","N")</f>
        <v>N</v>
      </c>
      <c r="EU149" s="0" t="str">
        <f aca="false">IF(ET149&lt;&gt;"Y","N",IF(COUNTIFS($AP$2:$AP$1000,AP149,$ET$2:$ET$1000,"Y",$J$2:$J$1000,"&gt;"&amp;J149)+COUNTIFS($AP$2:$AP$1000,AP149,$ET$2:$ET$1000,"Y",$J$2:$J$1000,J149,$EW$2:$EW$1000,"&lt;"&amp;EW149)=0,"Y","N"))</f>
        <v>N</v>
      </c>
      <c r="EV149" s="0" t="str">
        <f aca="false">IF(Y149="","N",IF(Y149&lt;=10,"Y","N"))</f>
        <v>N</v>
      </c>
      <c r="EW149" s="0" t="n">
        <f aca="false">ROW()-1</f>
        <v>148</v>
      </c>
    </row>
    <row r="150" customFormat="false" ht="15" hidden="false" customHeight="false" outlineLevel="0" collapsed="false">
      <c r="A150" s="0" t="s">
        <v>2738</v>
      </c>
      <c r="B150" s="0" t="s">
        <v>2739</v>
      </c>
      <c r="H150" s="5" t="s">
        <v>158</v>
      </c>
      <c r="I150" s="5" t="s">
        <v>159</v>
      </c>
      <c r="J150" s="0" t="n">
        <f aca="false">IF(AX150="pass",ROUND(CU150+CV150+CW150+CX150+CY150+CZ150,1),0)</f>
        <v>34</v>
      </c>
      <c r="K150" s="0" t="s">
        <v>2590</v>
      </c>
      <c r="L150" s="0" t="s">
        <v>163</v>
      </c>
      <c r="R150" s="5" t="s">
        <v>162</v>
      </c>
      <c r="S150" s="0" t="s">
        <v>163</v>
      </c>
      <c r="T150" s="5" t="s">
        <v>162</v>
      </c>
      <c r="U150" s="5" t="s">
        <v>561</v>
      </c>
      <c r="V150" s="0" t="s">
        <v>2740</v>
      </c>
      <c r="W150" s="0" t="s">
        <v>166</v>
      </c>
      <c r="X150" s="0" t="s">
        <v>167</v>
      </c>
      <c r="Y150" s="0" t="str">
        <f aca="false">IF(EU150&lt;&gt;"Y","",COUNTIFS($EU$2:$EU$1000,"Y",$J$2:$J$1000,"&gt;"&amp;J150)+COUNTIFS($EU$2:$EU$1000,"Y",$J$2:$J$1000,J150,$EW$2:$EW$1000,"&lt;"&amp;EW150)+1)</f>
        <v/>
      </c>
      <c r="Z150" s="0" t="n">
        <v>149</v>
      </c>
      <c r="AA150" s="0" t="s">
        <v>162</v>
      </c>
      <c r="AD150" s="0" t="s">
        <v>158</v>
      </c>
      <c r="AH150" s="5" t="s">
        <v>158</v>
      </c>
      <c r="AI150" s="0" t="s">
        <v>2741</v>
      </c>
      <c r="AJ150" s="0" t="s">
        <v>2742</v>
      </c>
      <c r="AK150" s="0" t="s">
        <v>2227</v>
      </c>
      <c r="AL150" s="0" t="s">
        <v>163</v>
      </c>
      <c r="AM150" s="0" t="s">
        <v>163</v>
      </c>
      <c r="AN150" s="0" t="s">
        <v>158</v>
      </c>
      <c r="AO150" s="0" t="s">
        <v>163</v>
      </c>
      <c r="AP150" s="0" t="s">
        <v>2738</v>
      </c>
      <c r="AQ150" s="5" t="s">
        <v>162</v>
      </c>
      <c r="AT150" s="0" t="str">
        <f aca="false">IF(AND(AX150="pass",AQ150&lt;&gt;"Y",C150&lt;&gt;"",OR(AW150&lt;&gt;"Y",AV150="Y")),"Y","N")</f>
        <v>N</v>
      </c>
      <c r="AU150" s="0" t="str">
        <f aca="false">_xlfn.TEXTJOIN("; ",TRUE(),IF(AX150&lt;&gt;"pass","gated out",""),IF(AQ150="Y","on hold: "&amp;AR150,""),IF(C150="","no contact named on an opened page",""),IF(AND(AW150="Y",AV150&lt;&gt;"Y"),"Tuesday estimate band "&amp;L150&amp;": founder's call",""))</f>
        <v>no contact named on an opened page</v>
      </c>
      <c r="AW150" s="0" t="s">
        <v>162</v>
      </c>
      <c r="AX150" s="0" t="s">
        <v>181</v>
      </c>
      <c r="AY150" s="0" t="s">
        <v>182</v>
      </c>
      <c r="AZ150" s="0" t="s">
        <v>2228</v>
      </c>
      <c r="BA150" s="0" t="s">
        <v>2743</v>
      </c>
      <c r="BB150" s="0" t="s">
        <v>2744</v>
      </c>
      <c r="BC150" s="0" t="s">
        <v>2231</v>
      </c>
      <c r="BD150" s="0" t="s">
        <v>163</v>
      </c>
      <c r="BF150" s="0" t="s">
        <v>163</v>
      </c>
      <c r="BG150" s="0" t="s">
        <v>163</v>
      </c>
      <c r="BK150" s="0" t="s">
        <v>163</v>
      </c>
      <c r="BL150" s="0" t="s">
        <v>2232</v>
      </c>
      <c r="BM150" s="0" t="s">
        <v>163</v>
      </c>
      <c r="BN150" s="0" t="s">
        <v>2745</v>
      </c>
      <c r="BP150" s="0" t="s">
        <v>346</v>
      </c>
      <c r="BQ150" s="0" t="n">
        <v>40.74293</v>
      </c>
      <c r="BR150" s="0" t="n">
        <v>-73.989315</v>
      </c>
      <c r="BS150" s="0" t="s">
        <v>168</v>
      </c>
      <c r="BT150" s="0" t="n">
        <v>0</v>
      </c>
      <c r="BU150" s="0" t="s">
        <v>842</v>
      </c>
      <c r="BV150" s="0" t="s">
        <v>843</v>
      </c>
      <c r="BW150" s="0" t="s">
        <v>2740</v>
      </c>
      <c r="BX150" s="0" t="s">
        <v>166</v>
      </c>
      <c r="BY150" s="0" t="s">
        <v>2236</v>
      </c>
      <c r="BZ150" s="0" t="s">
        <v>2746</v>
      </c>
      <c r="CC150" s="0" t="s">
        <v>738</v>
      </c>
      <c r="CE150" s="0" t="s">
        <v>162</v>
      </c>
      <c r="CF150" s="0" t="s">
        <v>2743</v>
      </c>
      <c r="CG150" s="0" t="s">
        <v>2238</v>
      </c>
      <c r="CH150" s="0" t="s">
        <v>201</v>
      </c>
      <c r="CI150" s="0" t="s">
        <v>845</v>
      </c>
      <c r="CJ150" s="0" t="s">
        <v>163</v>
      </c>
      <c r="CK150" s="0" t="s">
        <v>162</v>
      </c>
      <c r="CL150" s="0" t="s">
        <v>163</v>
      </c>
      <c r="CO150" s="0" t="s">
        <v>163</v>
      </c>
      <c r="CQ150" s="0" t="s">
        <v>2239</v>
      </c>
      <c r="CR150" s="0" t="s">
        <v>206</v>
      </c>
      <c r="CS150" s="0" t="s">
        <v>163</v>
      </c>
      <c r="CT150" s="0" t="n">
        <v>34</v>
      </c>
      <c r="CU150" s="0" t="n">
        <v>7</v>
      </c>
      <c r="CV150" s="0" t="n">
        <v>8</v>
      </c>
      <c r="CW150" s="0" t="n">
        <v>6</v>
      </c>
      <c r="CX150" s="0" t="n">
        <v>13</v>
      </c>
      <c r="CY150" s="0" t="n">
        <f aca="false">IF(AH150="exact",10,IF(AH150="adjacent",5,0))</f>
        <v>0</v>
      </c>
      <c r="CZ150" s="0" t="n">
        <f aca="false">IF(R150="Y",15,0)</f>
        <v>0</v>
      </c>
      <c r="DF150" s="0" t="s">
        <v>158</v>
      </c>
      <c r="DG150" s="0" t="s">
        <v>2228</v>
      </c>
      <c r="DK150" s="0" t="s">
        <v>2747</v>
      </c>
      <c r="DS150" s="0" t="s">
        <v>158</v>
      </c>
      <c r="DX150" s="0" t="s">
        <v>162</v>
      </c>
      <c r="ER150" s="0" t="str">
        <f aca="false">IF(ISNUMBER(MATCH(U150,{"queued","contacted","replied","call_booked","call_done","yes_in_principle","materials_sent"},0)),"Y","N")</f>
        <v>N</v>
      </c>
      <c r="ES150" s="0" t="str">
        <f aca="false">IF(COUNTIFS($AP$2:$AP$1000,AP150,$ER$2:$ER$1000,"Y")+COUNTIFS($AP$2:$AP$1000,AP150,$T$2:$T$1000,"Y")&gt;0,"Y","N")</f>
        <v>N</v>
      </c>
      <c r="ET150" s="0" t="str">
        <f aca="false">IF(AND(U150="new",T150="N",AT150="Y",AS150="",ES150="N"),"Y","N")</f>
        <v>N</v>
      </c>
      <c r="EU150" s="0" t="str">
        <f aca="false">IF(ET150&lt;&gt;"Y","N",IF(COUNTIFS($AP$2:$AP$1000,AP150,$ET$2:$ET$1000,"Y",$J$2:$J$1000,"&gt;"&amp;J150)+COUNTIFS($AP$2:$AP$1000,AP150,$ET$2:$ET$1000,"Y",$J$2:$J$1000,J150,$EW$2:$EW$1000,"&lt;"&amp;EW150)=0,"Y","N"))</f>
        <v>N</v>
      </c>
      <c r="EV150" s="0" t="str">
        <f aca="false">IF(Y150="","N",IF(Y150&lt;=10,"Y","N"))</f>
        <v>N</v>
      </c>
      <c r="EW150" s="0" t="n">
        <f aca="false">ROW()-1</f>
        <v>149</v>
      </c>
    </row>
    <row r="151" customFormat="false" ht="15" hidden="false" customHeight="false" outlineLevel="0" collapsed="false">
      <c r="A151" s="0" t="s">
        <v>2748</v>
      </c>
      <c r="B151" s="0" t="s">
        <v>2749</v>
      </c>
      <c r="H151" s="5" t="s">
        <v>158</v>
      </c>
      <c r="I151" s="5" t="s">
        <v>159</v>
      </c>
      <c r="J151" s="0" t="n">
        <f aca="false">IF(AX151="pass",ROUND(CU151+CV151+CW151+CX151+CY151+CZ151,1),0)</f>
        <v>34</v>
      </c>
      <c r="K151" s="0" t="s">
        <v>2572</v>
      </c>
      <c r="L151" s="0" t="s">
        <v>163</v>
      </c>
      <c r="R151" s="5" t="s">
        <v>162</v>
      </c>
      <c r="S151" s="0" t="s">
        <v>163</v>
      </c>
      <c r="T151" s="5" t="s">
        <v>162</v>
      </c>
      <c r="U151" s="5" t="s">
        <v>561</v>
      </c>
      <c r="V151" s="0" t="s">
        <v>197</v>
      </c>
      <c r="W151" s="0" t="s">
        <v>166</v>
      </c>
      <c r="X151" s="0" t="s">
        <v>167</v>
      </c>
      <c r="Y151" s="0" t="str">
        <f aca="false">IF(EU151&lt;&gt;"Y","",COUNTIFS($EU$2:$EU$1000,"Y",$J$2:$J$1000,"&gt;"&amp;J151)+COUNTIFS($EU$2:$EU$1000,"Y",$J$2:$J$1000,J151,$EW$2:$EW$1000,"&lt;"&amp;EW151)+1)</f>
        <v/>
      </c>
      <c r="Z151" s="0" t="n">
        <v>150</v>
      </c>
      <c r="AA151" s="0" t="s">
        <v>162</v>
      </c>
      <c r="AD151" s="0" t="s">
        <v>158</v>
      </c>
      <c r="AH151" s="5" t="s">
        <v>158</v>
      </c>
      <c r="AI151" s="0" t="s">
        <v>176</v>
      </c>
      <c r="AJ151" s="0" t="s">
        <v>163</v>
      </c>
      <c r="AK151" s="0" t="s">
        <v>178</v>
      </c>
      <c r="AL151" s="0" t="s">
        <v>163</v>
      </c>
      <c r="AM151" s="0" t="s">
        <v>163</v>
      </c>
      <c r="AN151" s="0" t="s">
        <v>158</v>
      </c>
      <c r="AO151" s="0" t="s">
        <v>163</v>
      </c>
      <c r="AP151" s="0" t="s">
        <v>2748</v>
      </c>
      <c r="AQ151" s="5" t="s">
        <v>162</v>
      </c>
      <c r="AT151" s="0" t="str">
        <f aca="false">IF(AND(AX151="pass",AQ151&lt;&gt;"Y",C151&lt;&gt;"",OR(AW151&lt;&gt;"Y",AV151="Y")),"Y","N")</f>
        <v>N</v>
      </c>
      <c r="AU151" s="0" t="str">
        <f aca="false">_xlfn.TEXTJOIN("; ",TRUE(),IF(AX151&lt;&gt;"pass","gated out",""),IF(AQ151="Y","on hold: "&amp;AR151,""),IF(C151="","no contact named on an opened page",""),IF(AND(AW151="Y",AV151&lt;&gt;"Y"),"Tuesday estimate band "&amp;L151&amp;": founder's call",""))</f>
        <v>no contact named on an opened page</v>
      </c>
      <c r="AW151" s="0" t="s">
        <v>162</v>
      </c>
      <c r="AX151" s="0" t="s">
        <v>181</v>
      </c>
      <c r="AY151" s="0" t="s">
        <v>182</v>
      </c>
      <c r="AZ151" s="0" t="s">
        <v>1</v>
      </c>
      <c r="BA151" s="0" t="s">
        <v>2750</v>
      </c>
      <c r="BB151" s="0" t="s">
        <v>163</v>
      </c>
      <c r="BC151" s="0" t="s">
        <v>2751</v>
      </c>
      <c r="BD151" s="0" t="s">
        <v>163</v>
      </c>
      <c r="BF151" s="0" t="s">
        <v>163</v>
      </c>
      <c r="BG151" s="0" t="s">
        <v>163</v>
      </c>
      <c r="BH151" s="0" t="s">
        <v>2195</v>
      </c>
      <c r="BK151" s="0" t="s">
        <v>163</v>
      </c>
      <c r="BL151" s="0" t="s">
        <v>163</v>
      </c>
      <c r="BM151" s="0" t="s">
        <v>163</v>
      </c>
      <c r="BN151" s="0" t="s">
        <v>163</v>
      </c>
      <c r="BO151" s="0" t="s">
        <v>163</v>
      </c>
      <c r="BP151" s="0" t="s">
        <v>193</v>
      </c>
      <c r="BQ151" s="0" t="n">
        <v>40.73686</v>
      </c>
      <c r="BR151" s="0" t="n">
        <v>-73.988546</v>
      </c>
      <c r="BS151" s="0" t="s">
        <v>168</v>
      </c>
      <c r="BT151" s="0" t="n">
        <v>0</v>
      </c>
      <c r="BU151" s="0" t="s">
        <v>194</v>
      </c>
      <c r="BV151" s="0" t="s">
        <v>195</v>
      </c>
      <c r="BW151" s="0" t="s">
        <v>197</v>
      </c>
      <c r="BX151" s="0" t="s">
        <v>198</v>
      </c>
      <c r="BY151" s="0" t="s">
        <v>282</v>
      </c>
      <c r="CB151" s="0" t="s">
        <v>199</v>
      </c>
      <c r="CC151" s="0" t="s">
        <v>738</v>
      </c>
      <c r="CE151" s="0" t="s">
        <v>162</v>
      </c>
      <c r="CH151" s="0" t="s">
        <v>201</v>
      </c>
      <c r="CI151" s="0" t="s">
        <v>202</v>
      </c>
      <c r="CJ151" s="0" t="s">
        <v>163</v>
      </c>
      <c r="CK151" s="0" t="s">
        <v>162</v>
      </c>
      <c r="CL151" s="0" t="s">
        <v>163</v>
      </c>
      <c r="CO151" s="0" t="s">
        <v>163</v>
      </c>
      <c r="CQ151" s="0" t="s">
        <v>2196</v>
      </c>
      <c r="CR151" s="0" t="s">
        <v>206</v>
      </c>
      <c r="CS151" s="0" t="s">
        <v>163</v>
      </c>
      <c r="CT151" s="0" t="n">
        <v>34</v>
      </c>
      <c r="CU151" s="0" t="n">
        <v>7</v>
      </c>
      <c r="CV151" s="0" t="n">
        <v>8</v>
      </c>
      <c r="CW151" s="0" t="n">
        <v>6</v>
      </c>
      <c r="CX151" s="0" t="n">
        <v>13</v>
      </c>
      <c r="CY151" s="0" t="n">
        <f aca="false">IF(AH151="exact",10,IF(AH151="adjacent",5,0))</f>
        <v>0</v>
      </c>
      <c r="CZ151" s="0" t="n">
        <f aca="false">IF(R151="Y",15,0)</f>
        <v>0</v>
      </c>
      <c r="DF151" s="0" t="s">
        <v>158</v>
      </c>
      <c r="DG151" s="0" t="s">
        <v>211</v>
      </c>
      <c r="DJ151" s="0" t="s">
        <v>2752</v>
      </c>
      <c r="DK151" s="0" t="s">
        <v>2753</v>
      </c>
      <c r="DS151" s="0" t="s">
        <v>158</v>
      </c>
      <c r="DX151" s="0" t="s">
        <v>162</v>
      </c>
      <c r="ER151" s="0" t="str">
        <f aca="false">IF(ISNUMBER(MATCH(U151,{"queued","contacted","replied","call_booked","call_done","yes_in_principle","materials_sent"},0)),"Y","N")</f>
        <v>N</v>
      </c>
      <c r="ES151" s="0" t="str">
        <f aca="false">IF(COUNTIFS($AP$2:$AP$1000,AP151,$ER$2:$ER$1000,"Y")+COUNTIFS($AP$2:$AP$1000,AP151,$T$2:$T$1000,"Y")&gt;0,"Y","N")</f>
        <v>N</v>
      </c>
      <c r="ET151" s="0" t="str">
        <f aca="false">IF(AND(U151="new",T151="N",AT151="Y",AS151="",ES151="N"),"Y","N")</f>
        <v>N</v>
      </c>
      <c r="EU151" s="0" t="str">
        <f aca="false">IF(ET151&lt;&gt;"Y","N",IF(COUNTIFS($AP$2:$AP$1000,AP151,$ET$2:$ET$1000,"Y",$J$2:$J$1000,"&gt;"&amp;J151)+COUNTIFS($AP$2:$AP$1000,AP151,$ET$2:$ET$1000,"Y",$J$2:$J$1000,J151,$EW$2:$EW$1000,"&lt;"&amp;EW151)=0,"Y","N"))</f>
        <v>N</v>
      </c>
      <c r="EV151" s="0" t="str">
        <f aca="false">IF(Y151="","N",IF(Y151&lt;=10,"Y","N"))</f>
        <v>N</v>
      </c>
      <c r="EW151" s="0" t="n">
        <f aca="false">ROW()-1</f>
        <v>150</v>
      </c>
    </row>
    <row r="152" customFormat="false" ht="15" hidden="false" customHeight="false" outlineLevel="0" collapsed="false">
      <c r="A152" s="0" t="s">
        <v>2754</v>
      </c>
      <c r="B152" s="0" t="s">
        <v>2755</v>
      </c>
      <c r="H152" s="5" t="s">
        <v>158</v>
      </c>
      <c r="I152" s="5" t="s">
        <v>159</v>
      </c>
      <c r="J152" s="0" t="n">
        <f aca="false">IF(AX152="pass",ROUND(CU152+CV152+CW152+CX152+CY152+CZ152,1),0)</f>
        <v>34</v>
      </c>
      <c r="K152" s="0" t="s">
        <v>2572</v>
      </c>
      <c r="L152" s="0" t="s">
        <v>163</v>
      </c>
      <c r="R152" s="5" t="s">
        <v>162</v>
      </c>
      <c r="S152" s="0" t="s">
        <v>163</v>
      </c>
      <c r="T152" s="5" t="s">
        <v>162</v>
      </c>
      <c r="U152" s="5" t="s">
        <v>561</v>
      </c>
      <c r="V152" s="0" t="s">
        <v>2756</v>
      </c>
      <c r="W152" s="0" t="s">
        <v>166</v>
      </c>
      <c r="X152" s="0" t="s">
        <v>167</v>
      </c>
      <c r="Y152" s="0" t="str">
        <f aca="false">IF(EU152&lt;&gt;"Y","",COUNTIFS($EU$2:$EU$1000,"Y",$J$2:$J$1000,"&gt;"&amp;J152)+COUNTIFS($EU$2:$EU$1000,"Y",$J$2:$J$1000,J152,$EW$2:$EW$1000,"&lt;"&amp;EW152)+1)</f>
        <v/>
      </c>
      <c r="Z152" s="0" t="n">
        <v>151</v>
      </c>
      <c r="AA152" s="0" t="s">
        <v>162</v>
      </c>
      <c r="AD152" s="0" t="s">
        <v>158</v>
      </c>
      <c r="AH152" s="5" t="s">
        <v>158</v>
      </c>
      <c r="AI152" s="0" t="s">
        <v>2757</v>
      </c>
      <c r="AJ152" s="0" t="s">
        <v>2758</v>
      </c>
      <c r="AK152" s="0" t="s">
        <v>178</v>
      </c>
      <c r="AL152" s="0" t="s">
        <v>163</v>
      </c>
      <c r="AM152" s="0" t="s">
        <v>163</v>
      </c>
      <c r="AN152" s="0" t="s">
        <v>158</v>
      </c>
      <c r="AO152" s="0" t="s">
        <v>163</v>
      </c>
      <c r="AP152" s="0" t="s">
        <v>2754</v>
      </c>
      <c r="AQ152" s="5" t="s">
        <v>162</v>
      </c>
      <c r="AT152" s="0" t="str">
        <f aca="false">IF(AND(AX152="pass",AQ152&lt;&gt;"Y",C152&lt;&gt;"",OR(AW152&lt;&gt;"Y",AV152="Y")),"Y","N")</f>
        <v>N</v>
      </c>
      <c r="AU152" s="0" t="str">
        <f aca="false">_xlfn.TEXTJOIN("; ",TRUE(),IF(AX152&lt;&gt;"pass","gated out",""),IF(AQ152="Y","on hold: "&amp;AR152,""),IF(C152="","no contact named on an opened page",""),IF(AND(AW152="Y",AV152&lt;&gt;"Y"),"Tuesday estimate band "&amp;L152&amp;": founder's call",""))</f>
        <v>no contact named on an opened page</v>
      </c>
      <c r="AW152" s="0" t="s">
        <v>162</v>
      </c>
      <c r="AX152" s="0" t="s">
        <v>181</v>
      </c>
      <c r="AY152" s="0" t="s">
        <v>182</v>
      </c>
      <c r="AZ152" s="0" t="s">
        <v>1</v>
      </c>
      <c r="BA152" s="0" t="s">
        <v>2759</v>
      </c>
      <c r="BB152" s="0" t="s">
        <v>2760</v>
      </c>
      <c r="BC152" s="0" t="s">
        <v>2761</v>
      </c>
      <c r="BD152" s="0" t="s">
        <v>163</v>
      </c>
      <c r="BF152" s="0" t="s">
        <v>163</v>
      </c>
      <c r="BG152" s="0" t="s">
        <v>163</v>
      </c>
      <c r="BH152" s="0" t="s">
        <v>2195</v>
      </c>
      <c r="BK152" s="0" t="s">
        <v>163</v>
      </c>
      <c r="BL152" s="0" t="s">
        <v>656</v>
      </c>
      <c r="BM152" s="0" t="s">
        <v>162</v>
      </c>
      <c r="BN152" s="0" t="s">
        <v>163</v>
      </c>
      <c r="BO152" s="0" t="s">
        <v>163</v>
      </c>
      <c r="BP152" s="0" t="s">
        <v>346</v>
      </c>
      <c r="BQ152" s="0" t="n">
        <v>40.74129</v>
      </c>
      <c r="BR152" s="0" t="n">
        <v>-73.991589</v>
      </c>
      <c r="BS152" s="0" t="s">
        <v>168</v>
      </c>
      <c r="BT152" s="0" t="n">
        <v>0</v>
      </c>
      <c r="BU152" s="0" t="s">
        <v>2762</v>
      </c>
      <c r="BV152" s="0" t="s">
        <v>2763</v>
      </c>
      <c r="BW152" s="0" t="s">
        <v>2756</v>
      </c>
      <c r="BX152" s="0" t="s">
        <v>166</v>
      </c>
      <c r="BY152" s="0" t="s">
        <v>196</v>
      </c>
      <c r="BZ152" s="0" t="s">
        <v>2764</v>
      </c>
      <c r="CA152" s="0" t="s">
        <v>2765</v>
      </c>
      <c r="CC152" s="0" t="s">
        <v>738</v>
      </c>
      <c r="CE152" s="0" t="s">
        <v>162</v>
      </c>
      <c r="CH152" s="0" t="s">
        <v>201</v>
      </c>
      <c r="CI152" s="0" t="s">
        <v>2764</v>
      </c>
      <c r="CJ152" s="0" t="s">
        <v>163</v>
      </c>
      <c r="CK152" s="0" t="s">
        <v>162</v>
      </c>
      <c r="CL152" s="0" t="s">
        <v>163</v>
      </c>
      <c r="CO152" s="0" t="s">
        <v>163</v>
      </c>
      <c r="CQ152" s="0" t="s">
        <v>2196</v>
      </c>
      <c r="CR152" s="0" t="s">
        <v>206</v>
      </c>
      <c r="CS152" s="0" t="s">
        <v>163</v>
      </c>
      <c r="CT152" s="0" t="n">
        <v>34</v>
      </c>
      <c r="CU152" s="0" t="n">
        <v>7</v>
      </c>
      <c r="CV152" s="0" t="n">
        <v>8</v>
      </c>
      <c r="CW152" s="0" t="n">
        <v>6</v>
      </c>
      <c r="CX152" s="0" t="n">
        <v>13</v>
      </c>
      <c r="CY152" s="0" t="n">
        <f aca="false">IF(AH152="exact",10,IF(AH152="adjacent",5,0))</f>
        <v>0</v>
      </c>
      <c r="CZ152" s="0" t="n">
        <f aca="false">IF(R152="Y",15,0)</f>
        <v>0</v>
      </c>
      <c r="DF152" s="0" t="s">
        <v>158</v>
      </c>
      <c r="DG152" s="0" t="s">
        <v>211</v>
      </c>
      <c r="DJ152" s="0" t="s">
        <v>2766</v>
      </c>
      <c r="DK152" s="0" t="s">
        <v>2767</v>
      </c>
      <c r="DS152" s="0" t="s">
        <v>158</v>
      </c>
      <c r="DX152" s="0" t="s">
        <v>162</v>
      </c>
      <c r="ER152" s="0" t="str">
        <f aca="false">IF(ISNUMBER(MATCH(U152,{"queued","contacted","replied","call_booked","call_done","yes_in_principle","materials_sent"},0)),"Y","N")</f>
        <v>N</v>
      </c>
      <c r="ES152" s="0" t="str">
        <f aca="false">IF(COUNTIFS($AP$2:$AP$1000,AP152,$ER$2:$ER$1000,"Y")+COUNTIFS($AP$2:$AP$1000,AP152,$T$2:$T$1000,"Y")&gt;0,"Y","N")</f>
        <v>N</v>
      </c>
      <c r="ET152" s="0" t="str">
        <f aca="false">IF(AND(U152="new",T152="N",AT152="Y",AS152="",ES152="N"),"Y","N")</f>
        <v>N</v>
      </c>
      <c r="EU152" s="0" t="str">
        <f aca="false">IF(ET152&lt;&gt;"Y","N",IF(COUNTIFS($AP$2:$AP$1000,AP152,$ET$2:$ET$1000,"Y",$J$2:$J$1000,"&gt;"&amp;J152)+COUNTIFS($AP$2:$AP$1000,AP152,$ET$2:$ET$1000,"Y",$J$2:$J$1000,J152,$EW$2:$EW$1000,"&lt;"&amp;EW152)=0,"Y","N"))</f>
        <v>N</v>
      </c>
      <c r="EV152" s="0" t="str">
        <f aca="false">IF(Y152="","N",IF(Y152&lt;=10,"Y","N"))</f>
        <v>N</v>
      </c>
      <c r="EW152" s="0" t="n">
        <f aca="false">ROW()-1</f>
        <v>151</v>
      </c>
    </row>
    <row r="153" customFormat="false" ht="15" hidden="false" customHeight="false" outlineLevel="0" collapsed="false">
      <c r="A153" s="0" t="s">
        <v>2768</v>
      </c>
      <c r="B153" s="0" t="s">
        <v>2769</v>
      </c>
      <c r="H153" s="5" t="s">
        <v>158</v>
      </c>
      <c r="I153" s="5" t="s">
        <v>159</v>
      </c>
      <c r="J153" s="0" t="n">
        <f aca="false">IF(AX153="pass",ROUND(CU153+CV153+CW153+CX153+CY153+CZ153,1),0)</f>
        <v>34</v>
      </c>
      <c r="K153" s="0" t="s">
        <v>2590</v>
      </c>
      <c r="L153" s="0" t="s">
        <v>163</v>
      </c>
      <c r="R153" s="5" t="s">
        <v>162</v>
      </c>
      <c r="S153" s="0" t="s">
        <v>163</v>
      </c>
      <c r="T153" s="5" t="s">
        <v>162</v>
      </c>
      <c r="U153" s="5" t="s">
        <v>561</v>
      </c>
      <c r="V153" s="0" t="s">
        <v>2770</v>
      </c>
      <c r="W153" s="0" t="s">
        <v>166</v>
      </c>
      <c r="X153" s="0" t="s">
        <v>167</v>
      </c>
      <c r="Y153" s="0" t="str">
        <f aca="false">IF(EU153&lt;&gt;"Y","",COUNTIFS($EU$2:$EU$1000,"Y",$J$2:$J$1000,"&gt;"&amp;J153)+COUNTIFS($EU$2:$EU$1000,"Y",$J$2:$J$1000,J153,$EW$2:$EW$1000,"&lt;"&amp;EW153)+1)</f>
        <v/>
      </c>
      <c r="Z153" s="0" t="n">
        <v>152</v>
      </c>
      <c r="AA153" s="0" t="s">
        <v>162</v>
      </c>
      <c r="AD153" s="0" t="s">
        <v>158</v>
      </c>
      <c r="AH153" s="5" t="s">
        <v>158</v>
      </c>
      <c r="AI153" s="0" t="s">
        <v>2771</v>
      </c>
      <c r="AJ153" s="0" t="s">
        <v>2772</v>
      </c>
      <c r="AK153" s="0" t="s">
        <v>2227</v>
      </c>
      <c r="AL153" s="0" t="s">
        <v>163</v>
      </c>
      <c r="AM153" s="0" t="s">
        <v>163</v>
      </c>
      <c r="AN153" s="0" t="s">
        <v>158</v>
      </c>
      <c r="AO153" s="0" t="s">
        <v>163</v>
      </c>
      <c r="AP153" s="0" t="s">
        <v>2768</v>
      </c>
      <c r="AQ153" s="5" t="s">
        <v>162</v>
      </c>
      <c r="AT153" s="0" t="str">
        <f aca="false">IF(AND(AX153="pass",AQ153&lt;&gt;"Y",C153&lt;&gt;"",OR(AW153&lt;&gt;"Y",AV153="Y")),"Y","N")</f>
        <v>N</v>
      </c>
      <c r="AU153" s="0" t="str">
        <f aca="false">_xlfn.TEXTJOIN("; ",TRUE(),IF(AX153&lt;&gt;"pass","gated out",""),IF(AQ153="Y","on hold: "&amp;AR153,""),IF(C153="","no contact named on an opened page",""),IF(AND(AW153="Y",AV153&lt;&gt;"Y"),"Tuesday estimate band "&amp;L153&amp;": founder's call",""))</f>
        <v>no contact named on an opened page</v>
      </c>
      <c r="AW153" s="0" t="s">
        <v>162</v>
      </c>
      <c r="AX153" s="0" t="s">
        <v>181</v>
      </c>
      <c r="AY153" s="0" t="s">
        <v>182</v>
      </c>
      <c r="AZ153" s="0" t="s">
        <v>2228</v>
      </c>
      <c r="BA153" s="0" t="s">
        <v>2773</v>
      </c>
      <c r="BB153" s="0" t="s">
        <v>2774</v>
      </c>
      <c r="BC153" s="0" t="s">
        <v>2231</v>
      </c>
      <c r="BD153" s="0" t="s">
        <v>163</v>
      </c>
      <c r="BF153" s="0" t="s">
        <v>163</v>
      </c>
      <c r="BG153" s="0" t="s">
        <v>163</v>
      </c>
      <c r="BK153" s="0" t="s">
        <v>163</v>
      </c>
      <c r="BL153" s="0" t="s">
        <v>2232</v>
      </c>
      <c r="BM153" s="0" t="s">
        <v>163</v>
      </c>
      <c r="BN153" s="0" t="s">
        <v>2775</v>
      </c>
      <c r="BP153" s="0" t="s">
        <v>711</v>
      </c>
      <c r="BQ153" s="0" t="n">
        <v>40.744243</v>
      </c>
      <c r="BR153" s="0" t="n">
        <v>-73.987853</v>
      </c>
      <c r="BS153" s="0" t="s">
        <v>168</v>
      </c>
      <c r="BT153" s="0" t="n">
        <v>0</v>
      </c>
      <c r="BV153" s="0" t="s">
        <v>163</v>
      </c>
      <c r="BW153" s="0" t="s">
        <v>2770</v>
      </c>
      <c r="BX153" s="0" t="s">
        <v>166</v>
      </c>
      <c r="BY153" s="0" t="s">
        <v>2236</v>
      </c>
      <c r="BZ153" s="0" t="s">
        <v>2776</v>
      </c>
      <c r="CC153" s="0" t="s">
        <v>738</v>
      </c>
      <c r="CE153" s="0" t="s">
        <v>162</v>
      </c>
      <c r="CF153" s="0" t="s">
        <v>2773</v>
      </c>
      <c r="CG153" s="0" t="s">
        <v>2238</v>
      </c>
      <c r="CH153" s="0" t="s">
        <v>163</v>
      </c>
      <c r="CJ153" s="0" t="s">
        <v>163</v>
      </c>
      <c r="CK153" s="0" t="s">
        <v>162</v>
      </c>
      <c r="CL153" s="0" t="s">
        <v>163</v>
      </c>
      <c r="CO153" s="0" t="s">
        <v>163</v>
      </c>
      <c r="CQ153" s="0" t="s">
        <v>2239</v>
      </c>
      <c r="CR153" s="0" t="s">
        <v>206</v>
      </c>
      <c r="CS153" s="0" t="s">
        <v>163</v>
      </c>
      <c r="CT153" s="0" t="n">
        <v>34</v>
      </c>
      <c r="CU153" s="0" t="n">
        <v>7</v>
      </c>
      <c r="CV153" s="0" t="n">
        <v>8</v>
      </c>
      <c r="CW153" s="0" t="n">
        <v>6</v>
      </c>
      <c r="CX153" s="0" t="n">
        <v>13</v>
      </c>
      <c r="CY153" s="0" t="n">
        <f aca="false">IF(AH153="exact",10,IF(AH153="adjacent",5,0))</f>
        <v>0</v>
      </c>
      <c r="CZ153" s="0" t="n">
        <f aca="false">IF(R153="Y",15,0)</f>
        <v>0</v>
      </c>
      <c r="DF153" s="0" t="s">
        <v>158</v>
      </c>
      <c r="DG153" s="0" t="s">
        <v>2228</v>
      </c>
      <c r="DK153" s="0" t="s">
        <v>2777</v>
      </c>
      <c r="DS153" s="0" t="s">
        <v>158</v>
      </c>
      <c r="DX153" s="0" t="s">
        <v>162</v>
      </c>
      <c r="ER153" s="0" t="str">
        <f aca="false">IF(ISNUMBER(MATCH(U153,{"queued","contacted","replied","call_booked","call_done","yes_in_principle","materials_sent"},0)),"Y","N")</f>
        <v>N</v>
      </c>
      <c r="ES153" s="0" t="str">
        <f aca="false">IF(COUNTIFS($AP$2:$AP$1000,AP153,$ER$2:$ER$1000,"Y")+COUNTIFS($AP$2:$AP$1000,AP153,$T$2:$T$1000,"Y")&gt;0,"Y","N")</f>
        <v>N</v>
      </c>
      <c r="ET153" s="0" t="str">
        <f aca="false">IF(AND(U153="new",T153="N",AT153="Y",AS153="",ES153="N"),"Y","N")</f>
        <v>N</v>
      </c>
      <c r="EU153" s="0" t="str">
        <f aca="false">IF(ET153&lt;&gt;"Y","N",IF(COUNTIFS($AP$2:$AP$1000,AP153,$ET$2:$ET$1000,"Y",$J$2:$J$1000,"&gt;"&amp;J153)+COUNTIFS($AP$2:$AP$1000,AP153,$ET$2:$ET$1000,"Y",$J$2:$J$1000,J153,$EW$2:$EW$1000,"&lt;"&amp;EW153)=0,"Y","N"))</f>
        <v>N</v>
      </c>
      <c r="EV153" s="0" t="str">
        <f aca="false">IF(Y153="","N",IF(Y153&lt;=10,"Y","N"))</f>
        <v>N</v>
      </c>
      <c r="EW153" s="0" t="n">
        <f aca="false">ROW()-1</f>
        <v>152</v>
      </c>
    </row>
    <row r="154" customFormat="false" ht="15" hidden="false" customHeight="false" outlineLevel="0" collapsed="false">
      <c r="A154" s="0" t="s">
        <v>2778</v>
      </c>
      <c r="B154" s="0" t="s">
        <v>2779</v>
      </c>
      <c r="H154" s="5" t="s">
        <v>158</v>
      </c>
      <c r="I154" s="5" t="s">
        <v>159</v>
      </c>
      <c r="J154" s="0" t="n">
        <f aca="false">IF(AX154="pass",ROUND(CU154+CV154+CW154+CX154+CY154+CZ154,1),0)</f>
        <v>34</v>
      </c>
      <c r="K154" s="0" t="s">
        <v>2572</v>
      </c>
      <c r="L154" s="0" t="s">
        <v>163</v>
      </c>
      <c r="R154" s="5" t="s">
        <v>162</v>
      </c>
      <c r="S154" s="0" t="s">
        <v>163</v>
      </c>
      <c r="T154" s="5" t="s">
        <v>162</v>
      </c>
      <c r="U154" s="5" t="s">
        <v>561</v>
      </c>
      <c r="V154" s="0" t="s">
        <v>2780</v>
      </c>
      <c r="W154" s="0" t="s">
        <v>166</v>
      </c>
      <c r="X154" s="0" t="s">
        <v>167</v>
      </c>
      <c r="Y154" s="0" t="str">
        <f aca="false">IF(EU154&lt;&gt;"Y","",COUNTIFS($EU$2:$EU$1000,"Y",$J$2:$J$1000,"&gt;"&amp;J154)+COUNTIFS($EU$2:$EU$1000,"Y",$J$2:$J$1000,J154,$EW$2:$EW$1000,"&lt;"&amp;EW154)+1)</f>
        <v/>
      </c>
      <c r="Z154" s="0" t="n">
        <v>153</v>
      </c>
      <c r="AA154" s="0" t="s">
        <v>162</v>
      </c>
      <c r="AD154" s="0" t="s">
        <v>158</v>
      </c>
      <c r="AH154" s="5" t="s">
        <v>158</v>
      </c>
      <c r="AI154" s="0" t="s">
        <v>2781</v>
      </c>
      <c r="AJ154" s="0" t="s">
        <v>163</v>
      </c>
      <c r="AK154" s="0" t="s">
        <v>178</v>
      </c>
      <c r="AL154" s="0" t="s">
        <v>163</v>
      </c>
      <c r="AM154" s="0" t="s">
        <v>163</v>
      </c>
      <c r="AN154" s="0" t="s">
        <v>158</v>
      </c>
      <c r="AO154" s="0" t="s">
        <v>163</v>
      </c>
      <c r="AP154" s="0" t="s">
        <v>2778</v>
      </c>
      <c r="AQ154" s="5" t="s">
        <v>162</v>
      </c>
      <c r="AT154" s="0" t="str">
        <f aca="false">IF(AND(AX154="pass",AQ154&lt;&gt;"Y",C154&lt;&gt;"",OR(AW154&lt;&gt;"Y",AV154="Y")),"Y","N")</f>
        <v>N</v>
      </c>
      <c r="AU154" s="0" t="str">
        <f aca="false">_xlfn.TEXTJOIN("; ",TRUE(),IF(AX154&lt;&gt;"pass","gated out",""),IF(AQ154="Y","on hold: "&amp;AR154,""),IF(C154="","no contact named on an opened page",""),IF(AND(AW154="Y",AV154&lt;&gt;"Y"),"Tuesday estimate band "&amp;L154&amp;": founder's call",""))</f>
        <v>no contact named on an opened page</v>
      </c>
      <c r="AW154" s="0" t="s">
        <v>162</v>
      </c>
      <c r="AX154" s="0" t="s">
        <v>181</v>
      </c>
      <c r="AY154" s="0" t="s">
        <v>182</v>
      </c>
      <c r="AZ154" s="0" t="s">
        <v>1</v>
      </c>
      <c r="BA154" s="0" t="s">
        <v>2782</v>
      </c>
      <c r="BB154" s="0" t="s">
        <v>2783</v>
      </c>
      <c r="BC154" s="0" t="s">
        <v>2784</v>
      </c>
      <c r="BD154" s="0" t="s">
        <v>163</v>
      </c>
      <c r="BF154" s="0" t="s">
        <v>163</v>
      </c>
      <c r="BG154" s="0" t="s">
        <v>163</v>
      </c>
      <c r="BH154" s="0" t="s">
        <v>2195</v>
      </c>
      <c r="BK154" s="0" t="s">
        <v>163</v>
      </c>
      <c r="BL154" s="0" t="s">
        <v>163</v>
      </c>
      <c r="BM154" s="0" t="s">
        <v>163</v>
      </c>
      <c r="BN154" s="0" t="s">
        <v>163</v>
      </c>
      <c r="BO154" s="0" t="s">
        <v>163</v>
      </c>
      <c r="BP154" s="0" t="s">
        <v>346</v>
      </c>
      <c r="BQ154" s="0" t="n">
        <v>40.740438</v>
      </c>
      <c r="BR154" s="0" t="n">
        <v>-73.990034</v>
      </c>
      <c r="BS154" s="0" t="s">
        <v>168</v>
      </c>
      <c r="BT154" s="0" t="n">
        <v>0</v>
      </c>
      <c r="BU154" s="0" t="s">
        <v>2785</v>
      </c>
      <c r="BV154" s="0" t="s">
        <v>2786</v>
      </c>
      <c r="BW154" s="0" t="s">
        <v>2780</v>
      </c>
      <c r="BX154" s="0" t="s">
        <v>2787</v>
      </c>
      <c r="BY154" s="0" t="s">
        <v>247</v>
      </c>
      <c r="CC154" s="0" t="s">
        <v>738</v>
      </c>
      <c r="CE154" s="0" t="s">
        <v>162</v>
      </c>
      <c r="CH154" s="0" t="s">
        <v>163</v>
      </c>
      <c r="CJ154" s="0" t="s">
        <v>163</v>
      </c>
      <c r="CK154" s="0" t="s">
        <v>162</v>
      </c>
      <c r="CL154" s="0" t="s">
        <v>163</v>
      </c>
      <c r="CO154" s="0" t="s">
        <v>163</v>
      </c>
      <c r="CQ154" s="0" t="s">
        <v>2196</v>
      </c>
      <c r="CR154" s="0" t="s">
        <v>206</v>
      </c>
      <c r="CS154" s="0" t="s">
        <v>163</v>
      </c>
      <c r="CT154" s="0" t="n">
        <v>34</v>
      </c>
      <c r="CU154" s="0" t="n">
        <v>7</v>
      </c>
      <c r="CV154" s="0" t="n">
        <v>8</v>
      </c>
      <c r="CW154" s="0" t="n">
        <v>6</v>
      </c>
      <c r="CX154" s="0" t="n">
        <v>13</v>
      </c>
      <c r="CY154" s="0" t="n">
        <f aca="false">IF(AH154="exact",10,IF(AH154="adjacent",5,0))</f>
        <v>0</v>
      </c>
      <c r="CZ154" s="0" t="n">
        <f aca="false">IF(R154="Y",15,0)</f>
        <v>0</v>
      </c>
      <c r="DF154" s="0" t="s">
        <v>158</v>
      </c>
      <c r="DG154" s="0" t="s">
        <v>211</v>
      </c>
      <c r="DK154" s="0" t="s">
        <v>2788</v>
      </c>
      <c r="DS154" s="0" t="s">
        <v>158</v>
      </c>
      <c r="DX154" s="0" t="s">
        <v>162</v>
      </c>
      <c r="ER154" s="0" t="str">
        <f aca="false">IF(ISNUMBER(MATCH(U154,{"queued","contacted","replied","call_booked","call_done","yes_in_principle","materials_sent"},0)),"Y","N")</f>
        <v>N</v>
      </c>
      <c r="ES154" s="0" t="str">
        <f aca="false">IF(COUNTIFS($AP$2:$AP$1000,AP154,$ER$2:$ER$1000,"Y")+COUNTIFS($AP$2:$AP$1000,AP154,$T$2:$T$1000,"Y")&gt;0,"Y","N")</f>
        <v>N</v>
      </c>
      <c r="ET154" s="0" t="str">
        <f aca="false">IF(AND(U154="new",T154="N",AT154="Y",AS154="",ES154="N"),"Y","N")</f>
        <v>N</v>
      </c>
      <c r="EU154" s="0" t="str">
        <f aca="false">IF(ET154&lt;&gt;"Y","N",IF(COUNTIFS($AP$2:$AP$1000,AP154,$ET$2:$ET$1000,"Y",$J$2:$J$1000,"&gt;"&amp;J154)+COUNTIFS($AP$2:$AP$1000,AP154,$ET$2:$ET$1000,"Y",$J$2:$J$1000,J154,$EW$2:$EW$1000,"&lt;"&amp;EW154)=0,"Y","N"))</f>
        <v>N</v>
      </c>
      <c r="EV154" s="0" t="str">
        <f aca="false">IF(Y154="","N",IF(Y154&lt;=10,"Y","N"))</f>
        <v>N</v>
      </c>
      <c r="EW154" s="0" t="n">
        <f aca="false">ROW()-1</f>
        <v>153</v>
      </c>
    </row>
    <row r="155" customFormat="false" ht="15" hidden="false" customHeight="false" outlineLevel="0" collapsed="false">
      <c r="A155" s="0" t="s">
        <v>2789</v>
      </c>
      <c r="B155" s="0" t="s">
        <v>2790</v>
      </c>
      <c r="H155" s="5" t="s">
        <v>158</v>
      </c>
      <c r="I155" s="5" t="s">
        <v>159</v>
      </c>
      <c r="J155" s="0" t="n">
        <f aca="false">IF(AX155="pass",ROUND(CU155+CV155+CW155+CX155+CY155+CZ155,1),0)</f>
        <v>34</v>
      </c>
      <c r="K155" s="0" t="s">
        <v>2572</v>
      </c>
      <c r="L155" s="0" t="s">
        <v>163</v>
      </c>
      <c r="R155" s="5" t="s">
        <v>162</v>
      </c>
      <c r="S155" s="0" t="s">
        <v>163</v>
      </c>
      <c r="T155" s="5" t="s">
        <v>162</v>
      </c>
      <c r="U155" s="5" t="s">
        <v>561</v>
      </c>
      <c r="V155" s="0" t="s">
        <v>2608</v>
      </c>
      <c r="W155" s="0" t="s">
        <v>166</v>
      </c>
      <c r="X155" s="0" t="s">
        <v>167</v>
      </c>
      <c r="Y155" s="0" t="str">
        <f aca="false">IF(EU155&lt;&gt;"Y","",COUNTIFS($EU$2:$EU$1000,"Y",$J$2:$J$1000,"&gt;"&amp;J155)+COUNTIFS($EU$2:$EU$1000,"Y",$J$2:$J$1000,J155,$EW$2:$EW$1000,"&lt;"&amp;EW155)+1)</f>
        <v/>
      </c>
      <c r="Z155" s="0" t="n">
        <v>154</v>
      </c>
      <c r="AA155" s="0" t="s">
        <v>162</v>
      </c>
      <c r="AD155" s="0" t="s">
        <v>158</v>
      </c>
      <c r="AH155" s="5" t="s">
        <v>158</v>
      </c>
      <c r="AI155" s="0" t="s">
        <v>2609</v>
      </c>
      <c r="AJ155" s="0" t="s">
        <v>163</v>
      </c>
      <c r="AK155" s="0" t="s">
        <v>178</v>
      </c>
      <c r="AL155" s="0" t="s">
        <v>163</v>
      </c>
      <c r="AM155" s="0" t="s">
        <v>163</v>
      </c>
      <c r="AN155" s="0" t="s">
        <v>158</v>
      </c>
      <c r="AO155" s="0" t="s">
        <v>163</v>
      </c>
      <c r="AP155" s="0" t="s">
        <v>2789</v>
      </c>
      <c r="AQ155" s="5" t="s">
        <v>162</v>
      </c>
      <c r="AT155" s="0" t="str">
        <f aca="false">IF(AND(AX155="pass",AQ155&lt;&gt;"Y",C155&lt;&gt;"",OR(AW155&lt;&gt;"Y",AV155="Y")),"Y","N")</f>
        <v>N</v>
      </c>
      <c r="AU155" s="0" t="str">
        <f aca="false">_xlfn.TEXTJOIN("; ",TRUE(),IF(AX155&lt;&gt;"pass","gated out",""),IF(AQ155="Y","on hold: "&amp;AR155,""),IF(C155="","no contact named on an opened page",""),IF(AND(AW155="Y",AV155&lt;&gt;"Y"),"Tuesday estimate band "&amp;L155&amp;": founder's call",""))</f>
        <v>no contact named on an opened page</v>
      </c>
      <c r="AW155" s="0" t="s">
        <v>162</v>
      </c>
      <c r="AX155" s="0" t="s">
        <v>181</v>
      </c>
      <c r="AY155" s="0" t="s">
        <v>182</v>
      </c>
      <c r="AZ155" s="0" t="s">
        <v>1</v>
      </c>
      <c r="BA155" s="0" t="s">
        <v>2791</v>
      </c>
      <c r="BB155" s="0" t="s">
        <v>163</v>
      </c>
      <c r="BC155" s="0" t="s">
        <v>2792</v>
      </c>
      <c r="BD155" s="0" t="s">
        <v>163</v>
      </c>
      <c r="BF155" s="0" t="s">
        <v>163</v>
      </c>
      <c r="BG155" s="0" t="s">
        <v>163</v>
      </c>
      <c r="BH155" s="0" t="s">
        <v>2195</v>
      </c>
      <c r="BK155" s="0" t="s">
        <v>163</v>
      </c>
      <c r="BL155" s="0" t="s">
        <v>163</v>
      </c>
      <c r="BM155" s="0" t="s">
        <v>163</v>
      </c>
      <c r="BN155" s="0" t="s">
        <v>163</v>
      </c>
      <c r="BO155" s="0" t="s">
        <v>163</v>
      </c>
      <c r="BP155" s="0" t="s">
        <v>377</v>
      </c>
      <c r="BQ155" s="0" t="n">
        <v>40.738186</v>
      </c>
      <c r="BR155" s="0" t="n">
        <v>-73.992429</v>
      </c>
      <c r="BS155" s="0" t="s">
        <v>168</v>
      </c>
      <c r="BT155" s="0" t="n">
        <v>0</v>
      </c>
      <c r="BU155" s="0" t="s">
        <v>2612</v>
      </c>
      <c r="BV155" s="0" t="s">
        <v>2609</v>
      </c>
      <c r="BW155" s="0" t="s">
        <v>2608</v>
      </c>
      <c r="BX155" s="0" t="s">
        <v>2613</v>
      </c>
      <c r="BY155" s="0" t="s">
        <v>247</v>
      </c>
      <c r="CC155" s="0" t="s">
        <v>738</v>
      </c>
      <c r="CE155" s="0" t="s">
        <v>162</v>
      </c>
      <c r="CH155" s="0" t="s">
        <v>163</v>
      </c>
      <c r="CJ155" s="0" t="s">
        <v>163</v>
      </c>
      <c r="CK155" s="0" t="s">
        <v>162</v>
      </c>
      <c r="CL155" s="0" t="s">
        <v>163</v>
      </c>
      <c r="CO155" s="0" t="s">
        <v>163</v>
      </c>
      <c r="CQ155" s="0" t="s">
        <v>2196</v>
      </c>
      <c r="CR155" s="0" t="s">
        <v>206</v>
      </c>
      <c r="CS155" s="0" t="s">
        <v>163</v>
      </c>
      <c r="CT155" s="0" t="n">
        <v>34</v>
      </c>
      <c r="CU155" s="0" t="n">
        <v>7</v>
      </c>
      <c r="CV155" s="0" t="n">
        <v>8</v>
      </c>
      <c r="CW155" s="0" t="n">
        <v>6</v>
      </c>
      <c r="CX155" s="0" t="n">
        <v>13</v>
      </c>
      <c r="CY155" s="0" t="n">
        <f aca="false">IF(AH155="exact",10,IF(AH155="adjacent",5,0))</f>
        <v>0</v>
      </c>
      <c r="CZ155" s="0" t="n">
        <f aca="false">IF(R155="Y",15,0)</f>
        <v>0</v>
      </c>
      <c r="DF155" s="0" t="s">
        <v>158</v>
      </c>
      <c r="DG155" s="0" t="s">
        <v>211</v>
      </c>
      <c r="DK155" s="0" t="s">
        <v>2793</v>
      </c>
      <c r="DS155" s="0" t="s">
        <v>158</v>
      </c>
      <c r="DX155" s="0" t="s">
        <v>162</v>
      </c>
      <c r="ER155" s="0" t="str">
        <f aca="false">IF(ISNUMBER(MATCH(U155,{"queued","contacted","replied","call_booked","call_done","yes_in_principle","materials_sent"},0)),"Y","N")</f>
        <v>N</v>
      </c>
      <c r="ES155" s="0" t="str">
        <f aca="false">IF(COUNTIFS($AP$2:$AP$1000,AP155,$ER$2:$ER$1000,"Y")+COUNTIFS($AP$2:$AP$1000,AP155,$T$2:$T$1000,"Y")&gt;0,"Y","N")</f>
        <v>N</v>
      </c>
      <c r="ET155" s="0" t="str">
        <f aca="false">IF(AND(U155="new",T155="N",AT155="Y",AS155="",ES155="N"),"Y","N")</f>
        <v>N</v>
      </c>
      <c r="EU155" s="0" t="str">
        <f aca="false">IF(ET155&lt;&gt;"Y","N",IF(COUNTIFS($AP$2:$AP$1000,AP155,$ET$2:$ET$1000,"Y",$J$2:$J$1000,"&gt;"&amp;J155)+COUNTIFS($AP$2:$AP$1000,AP155,$ET$2:$ET$1000,"Y",$J$2:$J$1000,J155,$EW$2:$EW$1000,"&lt;"&amp;EW155)=0,"Y","N"))</f>
        <v>N</v>
      </c>
      <c r="EV155" s="0" t="str">
        <f aca="false">IF(Y155="","N",IF(Y155&lt;=10,"Y","N"))</f>
        <v>N</v>
      </c>
      <c r="EW155" s="0" t="n">
        <f aca="false">ROW()-1</f>
        <v>154</v>
      </c>
    </row>
    <row r="156" customFormat="false" ht="15" hidden="false" customHeight="false" outlineLevel="0" collapsed="false">
      <c r="A156" s="0" t="s">
        <v>2794</v>
      </c>
      <c r="B156" s="0" t="s">
        <v>2795</v>
      </c>
      <c r="H156" s="5" t="s">
        <v>158</v>
      </c>
      <c r="I156" s="5" t="s">
        <v>159</v>
      </c>
      <c r="J156" s="0" t="n">
        <f aca="false">IF(AX156="pass",ROUND(CU156+CV156+CW156+CX156+CY156+CZ156,1),0)</f>
        <v>34</v>
      </c>
      <c r="K156" s="0" t="s">
        <v>2590</v>
      </c>
      <c r="L156" s="0" t="s">
        <v>163</v>
      </c>
      <c r="R156" s="5" t="s">
        <v>162</v>
      </c>
      <c r="S156" s="0" t="s">
        <v>163</v>
      </c>
      <c r="T156" s="5" t="s">
        <v>162</v>
      </c>
      <c r="U156" s="5" t="s">
        <v>561</v>
      </c>
      <c r="V156" s="0" t="s">
        <v>2796</v>
      </c>
      <c r="W156" s="0" t="s">
        <v>166</v>
      </c>
      <c r="X156" s="0" t="s">
        <v>167</v>
      </c>
      <c r="Y156" s="0" t="str">
        <f aca="false">IF(EU156&lt;&gt;"Y","",COUNTIFS($EU$2:$EU$1000,"Y",$J$2:$J$1000,"&gt;"&amp;J156)+COUNTIFS($EU$2:$EU$1000,"Y",$J$2:$J$1000,J156,$EW$2:$EW$1000,"&lt;"&amp;EW156)+1)</f>
        <v/>
      </c>
      <c r="Z156" s="0" t="n">
        <v>155</v>
      </c>
      <c r="AA156" s="0" t="s">
        <v>162</v>
      </c>
      <c r="AD156" s="0" t="s">
        <v>158</v>
      </c>
      <c r="AH156" s="5" t="s">
        <v>158</v>
      </c>
      <c r="AI156" s="0" t="s">
        <v>2797</v>
      </c>
      <c r="AJ156" s="0" t="s">
        <v>163</v>
      </c>
      <c r="AK156" s="0" t="s">
        <v>2227</v>
      </c>
      <c r="AL156" s="0" t="s">
        <v>163</v>
      </c>
      <c r="AM156" s="0" t="s">
        <v>163</v>
      </c>
      <c r="AN156" s="0" t="s">
        <v>158</v>
      </c>
      <c r="AO156" s="0" t="s">
        <v>163</v>
      </c>
      <c r="AP156" s="0" t="s">
        <v>2798</v>
      </c>
      <c r="AQ156" s="5" t="s">
        <v>162</v>
      </c>
      <c r="AT156" s="0" t="str">
        <f aca="false">IF(AND(AX156="pass",AQ156&lt;&gt;"Y",C156&lt;&gt;"",OR(AW156&lt;&gt;"Y",AV156="Y")),"Y","N")</f>
        <v>N</v>
      </c>
      <c r="AU156" s="0" t="str">
        <f aca="false">_xlfn.TEXTJOIN("; ",TRUE(),IF(AX156&lt;&gt;"pass","gated out",""),IF(AQ156="Y","on hold: "&amp;AR156,""),IF(C156="","no contact named on an opened page",""),IF(AND(AW156="Y",AV156&lt;&gt;"Y"),"Tuesday estimate band "&amp;L156&amp;": founder's call",""))</f>
        <v>no contact named on an opened page</v>
      </c>
      <c r="AW156" s="0" t="s">
        <v>162</v>
      </c>
      <c r="AX156" s="0" t="s">
        <v>181</v>
      </c>
      <c r="AY156" s="0" t="s">
        <v>182</v>
      </c>
      <c r="AZ156" s="0" t="s">
        <v>2228</v>
      </c>
      <c r="BA156" s="0" t="s">
        <v>2799</v>
      </c>
      <c r="BB156" s="0" t="s">
        <v>2800</v>
      </c>
      <c r="BC156" s="0" t="s">
        <v>2231</v>
      </c>
      <c r="BD156" s="0" t="s">
        <v>163</v>
      </c>
      <c r="BF156" s="0" t="s">
        <v>163</v>
      </c>
      <c r="BG156" s="0" t="s">
        <v>163</v>
      </c>
      <c r="BK156" s="0" t="s">
        <v>163</v>
      </c>
      <c r="BL156" s="0" t="s">
        <v>2232</v>
      </c>
      <c r="BM156" s="0" t="s">
        <v>163</v>
      </c>
      <c r="BN156" s="0" t="s">
        <v>2801</v>
      </c>
      <c r="BP156" s="0" t="s">
        <v>377</v>
      </c>
      <c r="BQ156" s="0" t="n">
        <v>40.738939</v>
      </c>
      <c r="BR156" s="0" t="n">
        <v>-73.993331</v>
      </c>
      <c r="BS156" s="0" t="s">
        <v>168</v>
      </c>
      <c r="BT156" s="0" t="n">
        <v>0</v>
      </c>
      <c r="BU156" s="0" t="s">
        <v>2802</v>
      </c>
      <c r="BV156" s="0" t="s">
        <v>2803</v>
      </c>
      <c r="BW156" s="0" t="s">
        <v>2796</v>
      </c>
      <c r="BX156" s="0" t="s">
        <v>166</v>
      </c>
      <c r="BY156" s="0" t="s">
        <v>2236</v>
      </c>
      <c r="CC156" s="0" t="s">
        <v>738</v>
      </c>
      <c r="CE156" s="0" t="s">
        <v>162</v>
      </c>
      <c r="CF156" s="0" t="s">
        <v>2799</v>
      </c>
      <c r="CG156" s="0" t="s">
        <v>2238</v>
      </c>
      <c r="CH156" s="0" t="s">
        <v>163</v>
      </c>
      <c r="CJ156" s="0" t="s">
        <v>163</v>
      </c>
      <c r="CK156" s="0" t="s">
        <v>162</v>
      </c>
      <c r="CL156" s="0" t="s">
        <v>163</v>
      </c>
      <c r="CO156" s="0" t="s">
        <v>163</v>
      </c>
      <c r="CQ156" s="0" t="s">
        <v>2239</v>
      </c>
      <c r="CR156" s="0" t="s">
        <v>206</v>
      </c>
      <c r="CS156" s="0" t="s">
        <v>163</v>
      </c>
      <c r="CT156" s="0" t="n">
        <v>34</v>
      </c>
      <c r="CU156" s="0" t="n">
        <v>7</v>
      </c>
      <c r="CV156" s="0" t="n">
        <v>8</v>
      </c>
      <c r="CW156" s="0" t="n">
        <v>6</v>
      </c>
      <c r="CX156" s="0" t="n">
        <v>13</v>
      </c>
      <c r="CY156" s="0" t="n">
        <f aca="false">IF(AH156="exact",10,IF(AH156="adjacent",5,0))</f>
        <v>0</v>
      </c>
      <c r="CZ156" s="0" t="n">
        <f aca="false">IF(R156="Y",15,0)</f>
        <v>0</v>
      </c>
      <c r="DF156" s="0" t="s">
        <v>158</v>
      </c>
      <c r="DG156" s="0" t="s">
        <v>2228</v>
      </c>
      <c r="DK156" s="0" t="s">
        <v>2804</v>
      </c>
      <c r="DS156" s="0" t="s">
        <v>158</v>
      </c>
      <c r="DX156" s="0" t="s">
        <v>162</v>
      </c>
      <c r="DZ156" s="0" t="s">
        <v>2805</v>
      </c>
      <c r="ER156" s="0" t="str">
        <f aca="false">IF(ISNUMBER(MATCH(U156,{"queued","contacted","replied","call_booked","call_done","yes_in_principle","materials_sent"},0)),"Y","N")</f>
        <v>N</v>
      </c>
      <c r="ES156" s="0" t="str">
        <f aca="false">IF(COUNTIFS($AP$2:$AP$1000,AP156,$ER$2:$ER$1000,"Y")+COUNTIFS($AP$2:$AP$1000,AP156,$T$2:$T$1000,"Y")&gt;0,"Y","N")</f>
        <v>N</v>
      </c>
      <c r="ET156" s="0" t="str">
        <f aca="false">IF(AND(U156="new",T156="N",AT156="Y",AS156="",ES156="N"),"Y","N")</f>
        <v>N</v>
      </c>
      <c r="EU156" s="0" t="str">
        <f aca="false">IF(ET156&lt;&gt;"Y","N",IF(COUNTIFS($AP$2:$AP$1000,AP156,$ET$2:$ET$1000,"Y",$J$2:$J$1000,"&gt;"&amp;J156)+COUNTIFS($AP$2:$AP$1000,AP156,$ET$2:$ET$1000,"Y",$J$2:$J$1000,J156,$EW$2:$EW$1000,"&lt;"&amp;EW156)=0,"Y","N"))</f>
        <v>N</v>
      </c>
      <c r="EV156" s="0" t="str">
        <f aca="false">IF(Y156="","N",IF(Y156&lt;=10,"Y","N"))</f>
        <v>N</v>
      </c>
      <c r="EW156" s="0" t="n">
        <f aca="false">ROW()-1</f>
        <v>155</v>
      </c>
    </row>
    <row r="157" customFormat="false" ht="15" hidden="false" customHeight="false" outlineLevel="0" collapsed="false">
      <c r="A157" s="0" t="s">
        <v>2806</v>
      </c>
      <c r="B157" s="0" t="s">
        <v>2807</v>
      </c>
      <c r="H157" s="5" t="s">
        <v>158</v>
      </c>
      <c r="I157" s="5" t="s">
        <v>159</v>
      </c>
      <c r="J157" s="0" t="n">
        <f aca="false">IF(AX157="pass",ROUND(CU157+CV157+CW157+CX157+CY157+CZ157,1),0)</f>
        <v>34</v>
      </c>
      <c r="K157" s="0" t="s">
        <v>2590</v>
      </c>
      <c r="L157" s="0" t="s">
        <v>163</v>
      </c>
      <c r="R157" s="5" t="s">
        <v>162</v>
      </c>
      <c r="S157" s="0" t="s">
        <v>163</v>
      </c>
      <c r="T157" s="5" t="s">
        <v>162</v>
      </c>
      <c r="U157" s="5" t="s">
        <v>561</v>
      </c>
      <c r="V157" s="0" t="s">
        <v>2808</v>
      </c>
      <c r="W157" s="0" t="s">
        <v>166</v>
      </c>
      <c r="X157" s="0" t="s">
        <v>167</v>
      </c>
      <c r="Y157" s="0" t="str">
        <f aca="false">IF(EU157&lt;&gt;"Y","",COUNTIFS($EU$2:$EU$1000,"Y",$J$2:$J$1000,"&gt;"&amp;J157)+COUNTIFS($EU$2:$EU$1000,"Y",$J$2:$J$1000,J157,$EW$2:$EW$1000,"&lt;"&amp;EW157)+1)</f>
        <v/>
      </c>
      <c r="Z157" s="0" t="n">
        <v>156</v>
      </c>
      <c r="AA157" s="0" t="s">
        <v>162</v>
      </c>
      <c r="AD157" s="0" t="s">
        <v>158</v>
      </c>
      <c r="AH157" s="5" t="s">
        <v>158</v>
      </c>
      <c r="AI157" s="0" t="s">
        <v>2809</v>
      </c>
      <c r="AJ157" s="0" t="s">
        <v>163</v>
      </c>
      <c r="AK157" s="0" t="s">
        <v>2227</v>
      </c>
      <c r="AL157" s="0" t="s">
        <v>163</v>
      </c>
      <c r="AM157" s="0" t="s">
        <v>163</v>
      </c>
      <c r="AN157" s="0" t="s">
        <v>158</v>
      </c>
      <c r="AO157" s="0" t="s">
        <v>163</v>
      </c>
      <c r="AP157" s="0" t="s">
        <v>2798</v>
      </c>
      <c r="AQ157" s="5" t="s">
        <v>162</v>
      </c>
      <c r="AT157" s="0" t="str">
        <f aca="false">IF(AND(AX157="pass",AQ157&lt;&gt;"Y",C157&lt;&gt;"",OR(AW157&lt;&gt;"Y",AV157="Y")),"Y","N")</f>
        <v>N</v>
      </c>
      <c r="AU157" s="0" t="str">
        <f aca="false">_xlfn.TEXTJOIN("; ",TRUE(),IF(AX157&lt;&gt;"pass","gated out",""),IF(AQ157="Y","on hold: "&amp;AR157,""),IF(C157="","no contact named on an opened page",""),IF(AND(AW157="Y",AV157&lt;&gt;"Y"),"Tuesday estimate band "&amp;L157&amp;": founder's call",""))</f>
        <v>no contact named on an opened page</v>
      </c>
      <c r="AW157" s="0" t="s">
        <v>162</v>
      </c>
      <c r="AX157" s="0" t="s">
        <v>181</v>
      </c>
      <c r="AY157" s="0" t="s">
        <v>182</v>
      </c>
      <c r="AZ157" s="0" t="s">
        <v>2228</v>
      </c>
      <c r="BA157" s="0" t="s">
        <v>2810</v>
      </c>
      <c r="BB157" s="0" t="s">
        <v>2800</v>
      </c>
      <c r="BC157" s="0" t="s">
        <v>2231</v>
      </c>
      <c r="BD157" s="0" t="s">
        <v>163</v>
      </c>
      <c r="BF157" s="0" t="s">
        <v>163</v>
      </c>
      <c r="BG157" s="0" t="s">
        <v>163</v>
      </c>
      <c r="BK157" s="0" t="s">
        <v>163</v>
      </c>
      <c r="BL157" s="0" t="s">
        <v>2232</v>
      </c>
      <c r="BM157" s="0" t="s">
        <v>163</v>
      </c>
      <c r="BN157" s="0" t="s">
        <v>2801</v>
      </c>
      <c r="BP157" s="0" t="s">
        <v>243</v>
      </c>
      <c r="BQ157" s="0" t="n">
        <v>40.744997</v>
      </c>
      <c r="BR157" s="0" t="n">
        <v>-73.983237</v>
      </c>
      <c r="BS157" s="0" t="s">
        <v>168</v>
      </c>
      <c r="BT157" s="0" t="n">
        <v>0</v>
      </c>
      <c r="BU157" s="0" t="s">
        <v>2811</v>
      </c>
      <c r="BV157" s="0" t="s">
        <v>2812</v>
      </c>
      <c r="BW157" s="0" t="s">
        <v>2808</v>
      </c>
      <c r="BX157" s="0" t="s">
        <v>166</v>
      </c>
      <c r="BY157" s="0" t="s">
        <v>2236</v>
      </c>
      <c r="CC157" s="0" t="s">
        <v>738</v>
      </c>
      <c r="CE157" s="0" t="s">
        <v>162</v>
      </c>
      <c r="CF157" s="0" t="s">
        <v>2810</v>
      </c>
      <c r="CG157" s="0" t="s">
        <v>2238</v>
      </c>
      <c r="CH157" s="0" t="s">
        <v>163</v>
      </c>
      <c r="CJ157" s="0" t="s">
        <v>163</v>
      </c>
      <c r="CK157" s="0" t="s">
        <v>162</v>
      </c>
      <c r="CL157" s="0" t="s">
        <v>163</v>
      </c>
      <c r="CO157" s="0" t="s">
        <v>163</v>
      </c>
      <c r="CQ157" s="0" t="s">
        <v>2239</v>
      </c>
      <c r="CR157" s="0" t="s">
        <v>206</v>
      </c>
      <c r="CS157" s="0" t="s">
        <v>163</v>
      </c>
      <c r="CT157" s="0" t="n">
        <v>34</v>
      </c>
      <c r="CU157" s="0" t="n">
        <v>7</v>
      </c>
      <c r="CV157" s="0" t="n">
        <v>8</v>
      </c>
      <c r="CW157" s="0" t="n">
        <v>6</v>
      </c>
      <c r="CX157" s="0" t="n">
        <v>13</v>
      </c>
      <c r="CY157" s="0" t="n">
        <f aca="false">IF(AH157="exact",10,IF(AH157="adjacent",5,0))</f>
        <v>0</v>
      </c>
      <c r="CZ157" s="0" t="n">
        <f aca="false">IF(R157="Y",15,0)</f>
        <v>0</v>
      </c>
      <c r="DF157" s="0" t="s">
        <v>158</v>
      </c>
      <c r="DG157" s="0" t="s">
        <v>2228</v>
      </c>
      <c r="DK157" s="0" t="s">
        <v>2813</v>
      </c>
      <c r="DS157" s="0" t="s">
        <v>158</v>
      </c>
      <c r="DX157" s="0" t="s">
        <v>162</v>
      </c>
      <c r="DZ157" s="0" t="s">
        <v>2814</v>
      </c>
      <c r="ER157" s="0" t="str">
        <f aca="false">IF(ISNUMBER(MATCH(U157,{"queued","contacted","replied","call_booked","call_done","yes_in_principle","materials_sent"},0)),"Y","N")</f>
        <v>N</v>
      </c>
      <c r="ES157" s="0" t="str">
        <f aca="false">IF(COUNTIFS($AP$2:$AP$1000,AP157,$ER$2:$ER$1000,"Y")+COUNTIFS($AP$2:$AP$1000,AP157,$T$2:$T$1000,"Y")&gt;0,"Y","N")</f>
        <v>N</v>
      </c>
      <c r="ET157" s="0" t="str">
        <f aca="false">IF(AND(U157="new",T157="N",AT157="Y",AS157="",ES157="N"),"Y","N")</f>
        <v>N</v>
      </c>
      <c r="EU157" s="0" t="str">
        <f aca="false">IF(ET157&lt;&gt;"Y","N",IF(COUNTIFS($AP$2:$AP$1000,AP157,$ET$2:$ET$1000,"Y",$J$2:$J$1000,"&gt;"&amp;J157)+COUNTIFS($AP$2:$AP$1000,AP157,$ET$2:$ET$1000,"Y",$J$2:$J$1000,J157,$EW$2:$EW$1000,"&lt;"&amp;EW157)=0,"Y","N"))</f>
        <v>N</v>
      </c>
      <c r="EV157" s="0" t="str">
        <f aca="false">IF(Y157="","N",IF(Y157&lt;=10,"Y","N"))</f>
        <v>N</v>
      </c>
      <c r="EW157" s="0" t="n">
        <f aca="false">ROW()-1</f>
        <v>156</v>
      </c>
    </row>
    <row r="158" customFormat="false" ht="15" hidden="false" customHeight="false" outlineLevel="0" collapsed="false">
      <c r="A158" s="0" t="s">
        <v>2815</v>
      </c>
      <c r="B158" s="0" t="s">
        <v>2816</v>
      </c>
      <c r="H158" s="5" t="s">
        <v>158</v>
      </c>
      <c r="I158" s="5" t="s">
        <v>159</v>
      </c>
      <c r="J158" s="0" t="n">
        <f aca="false">IF(AX158="pass",ROUND(CU158+CV158+CW158+CX158+CY158+CZ158,1),0)</f>
        <v>34</v>
      </c>
      <c r="K158" s="0" t="s">
        <v>2572</v>
      </c>
      <c r="L158" s="0" t="s">
        <v>163</v>
      </c>
      <c r="R158" s="5" t="s">
        <v>162</v>
      </c>
      <c r="S158" s="0" t="s">
        <v>163</v>
      </c>
      <c r="T158" s="5" t="s">
        <v>162</v>
      </c>
      <c r="U158" s="5" t="s">
        <v>561</v>
      </c>
      <c r="V158" s="0" t="s">
        <v>2817</v>
      </c>
      <c r="W158" s="0" t="s">
        <v>166</v>
      </c>
      <c r="X158" s="0" t="s">
        <v>167</v>
      </c>
      <c r="Y158" s="0" t="str">
        <f aca="false">IF(EU158&lt;&gt;"Y","",COUNTIFS($EU$2:$EU$1000,"Y",$J$2:$J$1000,"&gt;"&amp;J158)+COUNTIFS($EU$2:$EU$1000,"Y",$J$2:$J$1000,J158,$EW$2:$EW$1000,"&lt;"&amp;EW158)+1)</f>
        <v/>
      </c>
      <c r="Z158" s="0" t="n">
        <v>157</v>
      </c>
      <c r="AA158" s="0" t="s">
        <v>162</v>
      </c>
      <c r="AD158" s="0" t="s">
        <v>158</v>
      </c>
      <c r="AH158" s="5" t="s">
        <v>158</v>
      </c>
      <c r="AI158" s="0" t="s">
        <v>1432</v>
      </c>
      <c r="AJ158" s="0" t="s">
        <v>1364</v>
      </c>
      <c r="AK158" s="0" t="s">
        <v>178</v>
      </c>
      <c r="AL158" s="0" t="s">
        <v>163</v>
      </c>
      <c r="AM158" s="0" t="s">
        <v>163</v>
      </c>
      <c r="AN158" s="0" t="s">
        <v>158</v>
      </c>
      <c r="AO158" s="0" t="s">
        <v>163</v>
      </c>
      <c r="AP158" s="0" t="s">
        <v>2815</v>
      </c>
      <c r="AQ158" s="5" t="s">
        <v>162</v>
      </c>
      <c r="AT158" s="0" t="str">
        <f aca="false">IF(AND(AX158="pass",AQ158&lt;&gt;"Y",C158&lt;&gt;"",OR(AW158&lt;&gt;"Y",AV158="Y")),"Y","N")</f>
        <v>N</v>
      </c>
      <c r="AU158" s="0" t="str">
        <f aca="false">_xlfn.TEXTJOIN("; ",TRUE(),IF(AX158&lt;&gt;"pass","gated out",""),IF(AQ158="Y","on hold: "&amp;AR158,""),IF(C158="","no contact named on an opened page",""),IF(AND(AW158="Y",AV158&lt;&gt;"Y"),"Tuesday estimate band "&amp;L158&amp;": founder's call",""))</f>
        <v>no contact named on an opened page</v>
      </c>
      <c r="AW158" s="0" t="s">
        <v>162</v>
      </c>
      <c r="AX158" s="0" t="s">
        <v>181</v>
      </c>
      <c r="AY158" s="0" t="s">
        <v>182</v>
      </c>
      <c r="AZ158" s="0" t="s">
        <v>1</v>
      </c>
      <c r="BA158" s="0" t="s">
        <v>2818</v>
      </c>
      <c r="BB158" s="0" t="s">
        <v>2819</v>
      </c>
      <c r="BC158" s="0" t="s">
        <v>2820</v>
      </c>
      <c r="BD158" s="0" t="s">
        <v>163</v>
      </c>
      <c r="BF158" s="0" t="s">
        <v>163</v>
      </c>
      <c r="BG158" s="0" t="s">
        <v>163</v>
      </c>
      <c r="BH158" s="0" t="s">
        <v>2195</v>
      </c>
      <c r="BK158" s="0" t="s">
        <v>163</v>
      </c>
      <c r="BL158" s="0" t="s">
        <v>163</v>
      </c>
      <c r="BM158" s="0" t="s">
        <v>163</v>
      </c>
      <c r="BN158" s="0" t="s">
        <v>163</v>
      </c>
      <c r="BO158" s="0" t="s">
        <v>163</v>
      </c>
      <c r="BP158" s="0" t="s">
        <v>346</v>
      </c>
      <c r="BQ158" s="0" t="n">
        <v>40.739363</v>
      </c>
      <c r="BR158" s="0" t="n">
        <v>-73.989534</v>
      </c>
      <c r="BS158" s="0" t="s">
        <v>168</v>
      </c>
      <c r="BT158" s="0" t="n">
        <v>0</v>
      </c>
      <c r="BU158" s="0" t="s">
        <v>1441</v>
      </c>
      <c r="BV158" s="0" t="s">
        <v>1442</v>
      </c>
      <c r="BW158" s="0" t="s">
        <v>2817</v>
      </c>
      <c r="BX158" s="0" t="s">
        <v>2821</v>
      </c>
      <c r="BY158" s="0" t="s">
        <v>247</v>
      </c>
      <c r="BZ158" s="0" t="s">
        <v>2822</v>
      </c>
      <c r="CA158" s="0" t="s">
        <v>2823</v>
      </c>
      <c r="CC158" s="0" t="s">
        <v>738</v>
      </c>
      <c r="CE158" s="0" t="s">
        <v>162</v>
      </c>
      <c r="CH158" s="0" t="s">
        <v>201</v>
      </c>
      <c r="CI158" s="0" t="s">
        <v>1444</v>
      </c>
      <c r="CJ158" s="0" t="s">
        <v>163</v>
      </c>
      <c r="CK158" s="0" t="s">
        <v>162</v>
      </c>
      <c r="CL158" s="0" t="s">
        <v>163</v>
      </c>
      <c r="CO158" s="0" t="s">
        <v>163</v>
      </c>
      <c r="CQ158" s="0" t="s">
        <v>2196</v>
      </c>
      <c r="CR158" s="0" t="s">
        <v>206</v>
      </c>
      <c r="CS158" s="0" t="s">
        <v>163</v>
      </c>
      <c r="CT158" s="0" t="n">
        <v>34</v>
      </c>
      <c r="CU158" s="0" t="n">
        <v>7</v>
      </c>
      <c r="CV158" s="0" t="n">
        <v>8</v>
      </c>
      <c r="CW158" s="0" t="n">
        <v>6</v>
      </c>
      <c r="CX158" s="0" t="n">
        <v>13</v>
      </c>
      <c r="CY158" s="0" t="n">
        <f aca="false">IF(AH158="exact",10,IF(AH158="adjacent",5,0))</f>
        <v>0</v>
      </c>
      <c r="CZ158" s="0" t="n">
        <f aca="false">IF(R158="Y",15,0)</f>
        <v>0</v>
      </c>
      <c r="DF158" s="0" t="s">
        <v>158</v>
      </c>
      <c r="DG158" s="0" t="s">
        <v>211</v>
      </c>
      <c r="DJ158" s="0" t="s">
        <v>2824</v>
      </c>
      <c r="DK158" s="0" t="s">
        <v>2825</v>
      </c>
      <c r="DS158" s="0" t="s">
        <v>158</v>
      </c>
      <c r="DX158" s="0" t="s">
        <v>162</v>
      </c>
      <c r="ER158" s="0" t="str">
        <f aca="false">IF(ISNUMBER(MATCH(U158,{"queued","contacted","replied","call_booked","call_done","yes_in_principle","materials_sent"},0)),"Y","N")</f>
        <v>N</v>
      </c>
      <c r="ES158" s="0" t="str">
        <f aca="false">IF(COUNTIFS($AP$2:$AP$1000,AP158,$ER$2:$ER$1000,"Y")+COUNTIFS($AP$2:$AP$1000,AP158,$T$2:$T$1000,"Y")&gt;0,"Y","N")</f>
        <v>N</v>
      </c>
      <c r="ET158" s="0" t="str">
        <f aca="false">IF(AND(U158="new",T158="N",AT158="Y",AS158="",ES158="N"),"Y","N")</f>
        <v>N</v>
      </c>
      <c r="EU158" s="0" t="str">
        <f aca="false">IF(ET158&lt;&gt;"Y","N",IF(COUNTIFS($AP$2:$AP$1000,AP158,$ET$2:$ET$1000,"Y",$J$2:$J$1000,"&gt;"&amp;J158)+COUNTIFS($AP$2:$AP$1000,AP158,$ET$2:$ET$1000,"Y",$J$2:$J$1000,J158,$EW$2:$EW$1000,"&lt;"&amp;EW158)=0,"Y","N"))</f>
        <v>N</v>
      </c>
      <c r="EV158" s="0" t="str">
        <f aca="false">IF(Y158="","N",IF(Y158&lt;=10,"Y","N"))</f>
        <v>N</v>
      </c>
      <c r="EW158" s="0" t="n">
        <f aca="false">ROW()-1</f>
        <v>157</v>
      </c>
    </row>
    <row r="159" customFormat="false" ht="15" hidden="false" customHeight="false" outlineLevel="0" collapsed="false">
      <c r="A159" s="0" t="s">
        <v>2826</v>
      </c>
      <c r="B159" s="0" t="s">
        <v>2827</v>
      </c>
      <c r="H159" s="5" t="s">
        <v>158</v>
      </c>
      <c r="I159" s="5" t="s">
        <v>159</v>
      </c>
      <c r="J159" s="0" t="n">
        <f aca="false">IF(AX159="pass",ROUND(CU159+CV159+CW159+CX159+CY159+CZ159,1),0)</f>
        <v>33.8</v>
      </c>
      <c r="K159" s="0" t="s">
        <v>2828</v>
      </c>
      <c r="L159" s="0" t="s">
        <v>394</v>
      </c>
      <c r="R159" s="5" t="s">
        <v>162</v>
      </c>
      <c r="S159" s="0" t="s">
        <v>163</v>
      </c>
      <c r="T159" s="5" t="s">
        <v>162</v>
      </c>
      <c r="U159" s="5" t="s">
        <v>561</v>
      </c>
      <c r="V159" s="0" t="s">
        <v>1749</v>
      </c>
      <c r="W159" s="0" t="s">
        <v>166</v>
      </c>
      <c r="X159" s="0" t="s">
        <v>167</v>
      </c>
      <c r="Y159" s="0" t="str">
        <f aca="false">IF(EU159&lt;&gt;"Y","",COUNTIFS($EU$2:$EU$1000,"Y",$J$2:$J$1000,"&gt;"&amp;J159)+COUNTIFS($EU$2:$EU$1000,"Y",$J$2:$J$1000,J159,$EW$2:$EW$1000,"&lt;"&amp;EW159)+1)</f>
        <v/>
      </c>
      <c r="Z159" s="0" t="n">
        <v>158</v>
      </c>
      <c r="AA159" s="0" t="s">
        <v>162</v>
      </c>
      <c r="AD159" s="0" t="s">
        <v>158</v>
      </c>
      <c r="AH159" s="5" t="s">
        <v>158</v>
      </c>
      <c r="AI159" s="0" t="s">
        <v>1750</v>
      </c>
      <c r="AJ159" s="0" t="s">
        <v>471</v>
      </c>
      <c r="AK159" s="0" t="s">
        <v>434</v>
      </c>
      <c r="AL159" s="0" t="n">
        <v>4</v>
      </c>
      <c r="AM159" s="0" t="n">
        <v>729</v>
      </c>
      <c r="AN159" s="0" t="s">
        <v>179</v>
      </c>
      <c r="AO159" s="0" t="s">
        <v>180</v>
      </c>
      <c r="AP159" s="0" t="s">
        <v>2826</v>
      </c>
      <c r="AQ159" s="5" t="s">
        <v>162</v>
      </c>
      <c r="AT159" s="0" t="str">
        <f aca="false">IF(AND(AX159="pass",AQ159&lt;&gt;"Y",C159&lt;&gt;"",OR(AW159&lt;&gt;"Y",AV159="Y")),"Y","N")</f>
        <v>N</v>
      </c>
      <c r="AU159" s="0" t="str">
        <f aca="false">_xlfn.TEXTJOIN("; ",TRUE(),IF(AX159&lt;&gt;"pass","gated out",""),IF(AQ159="Y","on hold: "&amp;AR159,""),IF(C159="","no contact named on an opened page",""),IF(AND(AW159="Y",AV159&lt;&gt;"Y"),"Tuesday estimate band "&amp;L159&amp;": founder's call",""))</f>
        <v>no contact named on an opened page</v>
      </c>
      <c r="AW159" s="0" t="s">
        <v>162</v>
      </c>
      <c r="AX159" s="0" t="s">
        <v>181</v>
      </c>
      <c r="AY159" s="0" t="s">
        <v>182</v>
      </c>
      <c r="AZ159" s="0" t="s">
        <v>1</v>
      </c>
      <c r="BA159" s="0" t="s">
        <v>2829</v>
      </c>
      <c r="BB159" s="0" t="s">
        <v>2830</v>
      </c>
      <c r="BC159" s="0" t="s">
        <v>2831</v>
      </c>
      <c r="BD159" s="0" t="s">
        <v>2832</v>
      </c>
      <c r="BE159" s="0" t="s">
        <v>277</v>
      </c>
      <c r="BF159" s="0" t="s">
        <v>1322</v>
      </c>
      <c r="BG159" s="0" t="s">
        <v>188</v>
      </c>
      <c r="BH159" s="0" t="s">
        <v>1323</v>
      </c>
      <c r="BI159" s="0" t="s">
        <v>2833</v>
      </c>
      <c r="BJ159" s="0" t="s">
        <v>2834</v>
      </c>
      <c r="BK159" s="0" t="s">
        <v>1439</v>
      </c>
      <c r="BL159" s="0" t="s">
        <v>656</v>
      </c>
      <c r="BM159" s="0" t="s">
        <v>162</v>
      </c>
      <c r="BN159" s="0" t="s">
        <v>163</v>
      </c>
      <c r="BO159" s="0" t="s">
        <v>163</v>
      </c>
      <c r="BP159" s="0" t="s">
        <v>377</v>
      </c>
      <c r="BQ159" s="0" t="n">
        <v>40.738405</v>
      </c>
      <c r="BR159" s="0" t="n">
        <v>-73.99394</v>
      </c>
      <c r="BS159" s="0" t="s">
        <v>168</v>
      </c>
      <c r="BT159" s="0" t="n">
        <v>0</v>
      </c>
      <c r="BU159" s="0" t="s">
        <v>1757</v>
      </c>
      <c r="BV159" s="0" t="s">
        <v>1750</v>
      </c>
      <c r="BW159" s="0" t="s">
        <v>1749</v>
      </c>
      <c r="BX159" s="0" t="s">
        <v>1758</v>
      </c>
      <c r="BY159" s="0" t="s">
        <v>247</v>
      </c>
      <c r="CC159" s="0" t="s">
        <v>738</v>
      </c>
      <c r="CE159" s="0" t="s">
        <v>162</v>
      </c>
      <c r="CH159" s="0" t="s">
        <v>163</v>
      </c>
      <c r="CJ159" s="0" t="s">
        <v>163</v>
      </c>
      <c r="CK159" s="0" t="s">
        <v>162</v>
      </c>
      <c r="CL159" s="0" t="s">
        <v>448</v>
      </c>
      <c r="CM159" s="0" t="s">
        <v>2835</v>
      </c>
      <c r="CN159" s="0" t="s">
        <v>174</v>
      </c>
      <c r="CO159" s="0" t="n">
        <v>54</v>
      </c>
      <c r="CP159" s="0" t="s">
        <v>767</v>
      </c>
      <c r="CQ159" s="0" t="s">
        <v>2836</v>
      </c>
      <c r="CR159" s="0" t="s">
        <v>206</v>
      </c>
      <c r="CS159" s="0" t="n">
        <v>0.35</v>
      </c>
      <c r="CT159" s="0" t="n">
        <v>33.8</v>
      </c>
      <c r="CU159" s="0" t="n">
        <v>8.8</v>
      </c>
      <c r="CV159" s="0" t="n">
        <v>2</v>
      </c>
      <c r="CW159" s="0" t="n">
        <v>15</v>
      </c>
      <c r="CX159" s="0" t="n">
        <v>8</v>
      </c>
      <c r="CY159" s="0" t="n">
        <f aca="false">IF(AH159="exact",10,IF(AH159="adjacent",5,0))</f>
        <v>0</v>
      </c>
      <c r="CZ159" s="0" t="n">
        <f aca="false">IF(R159="Y",15,0)</f>
        <v>0</v>
      </c>
      <c r="DF159" s="0" t="s">
        <v>158</v>
      </c>
      <c r="DG159" s="0" t="s">
        <v>1335</v>
      </c>
      <c r="DH159" s="0" t="s">
        <v>1446</v>
      </c>
      <c r="DI159" s="0" t="s">
        <v>168</v>
      </c>
      <c r="DJ159" s="0" t="s">
        <v>1589</v>
      </c>
      <c r="DK159" s="0" t="s">
        <v>2837</v>
      </c>
      <c r="DS159" s="0" t="s">
        <v>158</v>
      </c>
      <c r="DX159" s="0" t="s">
        <v>162</v>
      </c>
      <c r="ER159" s="0" t="str">
        <f aca="false">IF(ISNUMBER(MATCH(U159,{"queued","contacted","replied","call_booked","call_done","yes_in_principle","materials_sent"},0)),"Y","N")</f>
        <v>N</v>
      </c>
      <c r="ES159" s="0" t="str">
        <f aca="false">IF(COUNTIFS($AP$2:$AP$1000,AP159,$ER$2:$ER$1000,"Y")+COUNTIFS($AP$2:$AP$1000,AP159,$T$2:$T$1000,"Y")&gt;0,"Y","N")</f>
        <v>N</v>
      </c>
      <c r="ET159" s="0" t="str">
        <f aca="false">IF(AND(U159="new",T159="N",AT159="Y",AS159="",ES159="N"),"Y","N")</f>
        <v>N</v>
      </c>
      <c r="EU159" s="0" t="str">
        <f aca="false">IF(ET159&lt;&gt;"Y","N",IF(COUNTIFS($AP$2:$AP$1000,AP159,$ET$2:$ET$1000,"Y",$J$2:$J$1000,"&gt;"&amp;J159)+COUNTIFS($AP$2:$AP$1000,AP159,$ET$2:$ET$1000,"Y",$J$2:$J$1000,J159,$EW$2:$EW$1000,"&lt;"&amp;EW159)=0,"Y","N"))</f>
        <v>N</v>
      </c>
      <c r="EV159" s="0" t="str">
        <f aca="false">IF(Y159="","N",IF(Y159&lt;=10,"Y","N"))</f>
        <v>N</v>
      </c>
      <c r="EW159" s="0" t="n">
        <f aca="false">ROW()-1</f>
        <v>158</v>
      </c>
    </row>
    <row r="160" customFormat="false" ht="15" hidden="false" customHeight="false" outlineLevel="0" collapsed="false">
      <c r="A160" s="0" t="s">
        <v>2838</v>
      </c>
      <c r="B160" s="0" t="s">
        <v>2839</v>
      </c>
      <c r="H160" s="5" t="s">
        <v>158</v>
      </c>
      <c r="I160" s="5" t="s">
        <v>159</v>
      </c>
      <c r="J160" s="0" t="n">
        <f aca="false">IF(AX160="pass",ROUND(CU160+CV160+CW160+CX160+CY160+CZ160,1),0)</f>
        <v>33.6</v>
      </c>
      <c r="K160" s="0" t="s">
        <v>2840</v>
      </c>
      <c r="L160" s="0" t="s">
        <v>1322</v>
      </c>
      <c r="R160" s="5" t="s">
        <v>162</v>
      </c>
      <c r="S160" s="0" t="s">
        <v>163</v>
      </c>
      <c r="T160" s="5" t="s">
        <v>162</v>
      </c>
      <c r="U160" s="5" t="s">
        <v>561</v>
      </c>
      <c r="V160" s="0" t="s">
        <v>2841</v>
      </c>
      <c r="W160" s="0" t="s">
        <v>166</v>
      </c>
      <c r="X160" s="0" t="s">
        <v>167</v>
      </c>
      <c r="Y160" s="0" t="str">
        <f aca="false">IF(EU160&lt;&gt;"Y","",COUNTIFS($EU$2:$EU$1000,"Y",$J$2:$J$1000,"&gt;"&amp;J160)+COUNTIFS($EU$2:$EU$1000,"Y",$J$2:$J$1000,J160,$EW$2:$EW$1000,"&lt;"&amp;EW160)+1)</f>
        <v/>
      </c>
      <c r="Z160" s="0" t="n">
        <v>159</v>
      </c>
      <c r="AA160" s="0" t="s">
        <v>162</v>
      </c>
      <c r="AB160" s="0" t="s">
        <v>2527</v>
      </c>
      <c r="AD160" s="0" t="s">
        <v>158</v>
      </c>
      <c r="AH160" s="5" t="s">
        <v>158</v>
      </c>
      <c r="AI160" s="0" t="s">
        <v>2407</v>
      </c>
      <c r="AJ160" s="0" t="s">
        <v>163</v>
      </c>
      <c r="AK160" s="0" t="s">
        <v>178</v>
      </c>
      <c r="AL160" s="0" t="n">
        <v>114</v>
      </c>
      <c r="AM160" s="0" t="n">
        <v>2280</v>
      </c>
      <c r="AN160" s="0" t="s">
        <v>179</v>
      </c>
      <c r="AO160" s="0" t="s">
        <v>273</v>
      </c>
      <c r="AP160" s="0" t="s">
        <v>2838</v>
      </c>
      <c r="AQ160" s="5" t="s">
        <v>162</v>
      </c>
      <c r="AT160" s="0" t="str">
        <f aca="false">IF(AND(AX160="pass",AQ160&lt;&gt;"Y",C160&lt;&gt;"",OR(AW160&lt;&gt;"Y",AV160="Y")),"Y","N")</f>
        <v>N</v>
      </c>
      <c r="AU160" s="0" t="str">
        <f aca="false">_xlfn.TEXTJOIN("; ",TRUE(),IF(AX160&lt;&gt;"pass","gated out",""),IF(AQ160="Y","on hold: "&amp;AR160,""),IF(C160="","no contact named on an opened page",""),IF(AND(AW160="Y",AV160&lt;&gt;"Y"),"Tuesday estimate band "&amp;L160&amp;": founder's call",""))</f>
        <v>no contact named on an opened page; Tuesday estimate band over-500: founder's call</v>
      </c>
      <c r="AW160" s="0" t="s">
        <v>168</v>
      </c>
      <c r="AX160" s="0" t="s">
        <v>181</v>
      </c>
      <c r="AY160" s="0" t="s">
        <v>182</v>
      </c>
      <c r="AZ160" s="0" t="s">
        <v>1</v>
      </c>
      <c r="BA160" s="0" t="s">
        <v>2842</v>
      </c>
      <c r="BB160" s="0" t="s">
        <v>2843</v>
      </c>
      <c r="BC160" s="0" t="s">
        <v>2844</v>
      </c>
      <c r="BD160" s="0" t="s">
        <v>2845</v>
      </c>
      <c r="BF160" s="0" t="s">
        <v>1322</v>
      </c>
      <c r="BG160" s="0" t="s">
        <v>188</v>
      </c>
      <c r="BH160" s="0" t="s">
        <v>189</v>
      </c>
      <c r="BI160" s="0" t="s">
        <v>2846</v>
      </c>
      <c r="BK160" s="0" t="s">
        <v>1439</v>
      </c>
      <c r="BL160" s="0" t="s">
        <v>2847</v>
      </c>
      <c r="BM160" s="0" t="s">
        <v>162</v>
      </c>
      <c r="BN160" s="0" t="s">
        <v>163</v>
      </c>
      <c r="BO160" s="0" t="s">
        <v>163</v>
      </c>
      <c r="BP160" s="0" t="s">
        <v>346</v>
      </c>
      <c r="BQ160" s="0" t="n">
        <v>40.742477</v>
      </c>
      <c r="BR160" s="0" t="n">
        <v>-73.986608</v>
      </c>
      <c r="BS160" s="0" t="s">
        <v>168</v>
      </c>
      <c r="BT160" s="0" t="n">
        <v>0</v>
      </c>
      <c r="BU160" s="0" t="s">
        <v>2412</v>
      </c>
      <c r="BV160" s="0" t="s">
        <v>2413</v>
      </c>
      <c r="BW160" s="0" t="s">
        <v>2841</v>
      </c>
      <c r="BX160" s="0" t="s">
        <v>2848</v>
      </c>
      <c r="BY160" s="0" t="s">
        <v>444</v>
      </c>
      <c r="BZ160" s="0" t="s">
        <v>2849</v>
      </c>
      <c r="CA160" s="0" t="s">
        <v>2850</v>
      </c>
      <c r="CC160" s="0" t="s">
        <v>200</v>
      </c>
      <c r="CE160" s="0" t="s">
        <v>162</v>
      </c>
      <c r="CH160" s="0" t="s">
        <v>201</v>
      </c>
      <c r="CI160" s="0" t="s">
        <v>2415</v>
      </c>
      <c r="CJ160" s="0" t="s">
        <v>163</v>
      </c>
      <c r="CK160" s="0" t="s">
        <v>162</v>
      </c>
      <c r="CL160" s="0" t="s">
        <v>2851</v>
      </c>
      <c r="CM160" s="0" t="s">
        <v>2846</v>
      </c>
      <c r="CN160" s="0" t="s">
        <v>174</v>
      </c>
      <c r="CO160" s="0" t="n">
        <v>510</v>
      </c>
      <c r="CP160" s="0" t="s">
        <v>250</v>
      </c>
      <c r="CQ160" s="0" t="s">
        <v>2852</v>
      </c>
      <c r="CR160" s="0" t="s">
        <v>206</v>
      </c>
      <c r="CS160" s="0" t="n">
        <v>0.26</v>
      </c>
      <c r="CT160" s="0" t="n">
        <v>33.6</v>
      </c>
      <c r="CU160" s="0" t="n">
        <v>6.6</v>
      </c>
      <c r="CV160" s="0" t="n">
        <v>2</v>
      </c>
      <c r="CW160" s="0" t="n">
        <v>10</v>
      </c>
      <c r="CX160" s="0" t="n">
        <v>15</v>
      </c>
      <c r="CY160" s="0" t="n">
        <f aca="false">IF(AH160="exact",10,IF(AH160="adjacent",5,0))</f>
        <v>0</v>
      </c>
      <c r="CZ160" s="0" t="n">
        <f aca="false">IF(R160="Y",15,0)</f>
        <v>0</v>
      </c>
      <c r="DF160" s="0" t="s">
        <v>158</v>
      </c>
      <c r="DG160" s="0" t="s">
        <v>1335</v>
      </c>
      <c r="DH160" s="0" t="s">
        <v>1446</v>
      </c>
      <c r="DI160" s="0" t="s">
        <v>168</v>
      </c>
      <c r="DJ160" s="0" t="s">
        <v>2853</v>
      </c>
      <c r="DK160" s="0" t="s">
        <v>2854</v>
      </c>
      <c r="DS160" s="0" t="s">
        <v>158</v>
      </c>
      <c r="DX160" s="0" t="s">
        <v>162</v>
      </c>
      <c r="ER160" s="0" t="str">
        <f aca="false">IF(ISNUMBER(MATCH(U160,{"queued","contacted","replied","call_booked","call_done","yes_in_principle","materials_sent"},0)),"Y","N")</f>
        <v>N</v>
      </c>
      <c r="ES160" s="0" t="str">
        <f aca="false">IF(COUNTIFS($AP$2:$AP$1000,AP160,$ER$2:$ER$1000,"Y")+COUNTIFS($AP$2:$AP$1000,AP160,$T$2:$T$1000,"Y")&gt;0,"Y","N")</f>
        <v>N</v>
      </c>
      <c r="ET160" s="0" t="str">
        <f aca="false">IF(AND(U160="new",T160="N",AT160="Y",AS160="",ES160="N"),"Y","N")</f>
        <v>N</v>
      </c>
      <c r="EU160" s="0" t="str">
        <f aca="false">IF(ET160&lt;&gt;"Y","N",IF(COUNTIFS($AP$2:$AP$1000,AP160,$ET$2:$ET$1000,"Y",$J$2:$J$1000,"&gt;"&amp;J160)+COUNTIFS($AP$2:$AP$1000,AP160,$ET$2:$ET$1000,"Y",$J$2:$J$1000,J160,$EW$2:$EW$1000,"&lt;"&amp;EW160)=0,"Y","N"))</f>
        <v>N</v>
      </c>
      <c r="EV160" s="0" t="str">
        <f aca="false">IF(Y160="","N",IF(Y160&lt;=10,"Y","N"))</f>
        <v>N</v>
      </c>
      <c r="EW160" s="0" t="n">
        <f aca="false">ROW()-1</f>
        <v>159</v>
      </c>
    </row>
    <row r="161" customFormat="false" ht="15" hidden="false" customHeight="false" outlineLevel="0" collapsed="false">
      <c r="A161" s="0" t="s">
        <v>2855</v>
      </c>
      <c r="B161" s="0" t="s">
        <v>2856</v>
      </c>
      <c r="H161" s="5" t="s">
        <v>158</v>
      </c>
      <c r="I161" s="5" t="s">
        <v>159</v>
      </c>
      <c r="J161" s="0" t="n">
        <f aca="false">IF(AX161="pass",ROUND(CU161+CV161+CW161+CX161+CY161+CZ161,1),0)</f>
        <v>33.3</v>
      </c>
      <c r="K161" s="0" t="s">
        <v>2857</v>
      </c>
      <c r="L161" s="0" t="s">
        <v>239</v>
      </c>
      <c r="R161" s="5" t="s">
        <v>162</v>
      </c>
      <c r="S161" s="0" t="s">
        <v>163</v>
      </c>
      <c r="T161" s="5" t="s">
        <v>162</v>
      </c>
      <c r="U161" s="5" t="s">
        <v>561</v>
      </c>
      <c r="V161" s="0" t="s">
        <v>2067</v>
      </c>
      <c r="W161" s="0" t="s">
        <v>166</v>
      </c>
      <c r="X161" s="0" t="s">
        <v>167</v>
      </c>
      <c r="Y161" s="0" t="str">
        <f aca="false">IF(EU161&lt;&gt;"Y","",COUNTIFS($EU$2:$EU$1000,"Y",$J$2:$J$1000,"&gt;"&amp;J161)+COUNTIFS($EU$2:$EU$1000,"Y",$J$2:$J$1000,J161,$EW$2:$EW$1000,"&lt;"&amp;EW161)+1)</f>
        <v/>
      </c>
      <c r="Z161" s="0" t="n">
        <v>160</v>
      </c>
      <c r="AA161" s="0" t="s">
        <v>162</v>
      </c>
      <c r="AB161" s="0" t="s">
        <v>1661</v>
      </c>
      <c r="AD161" s="0" t="s">
        <v>158</v>
      </c>
      <c r="AH161" s="5" t="s">
        <v>158</v>
      </c>
      <c r="AI161" s="0" t="s">
        <v>753</v>
      </c>
      <c r="AJ161" s="0" t="s">
        <v>163</v>
      </c>
      <c r="AK161" s="0" t="s">
        <v>178</v>
      </c>
      <c r="AL161" s="0" t="n">
        <v>57</v>
      </c>
      <c r="AM161" s="0" t="n">
        <v>1140</v>
      </c>
      <c r="AN161" s="0" t="s">
        <v>179</v>
      </c>
      <c r="AO161" s="0" t="s">
        <v>163</v>
      </c>
      <c r="AP161" s="0" t="s">
        <v>2855</v>
      </c>
      <c r="AQ161" s="5" t="s">
        <v>162</v>
      </c>
      <c r="AT161" s="0" t="str">
        <f aca="false">IF(AND(AX161="pass",AQ161&lt;&gt;"Y",C161&lt;&gt;"",OR(AW161&lt;&gt;"Y",AV161="Y")),"Y","N")</f>
        <v>N</v>
      </c>
      <c r="AU161" s="0" t="str">
        <f aca="false">_xlfn.TEXTJOIN("; ",TRUE(),IF(AX161&lt;&gt;"pass","gated out",""),IF(AQ161="Y","on hold: "&amp;AR161,""),IF(C161="","no contact named on an opened page",""),IF(AND(AW161="Y",AV161&lt;&gt;"Y"),"Tuesday estimate band "&amp;L161&amp;": founder's call",""))</f>
        <v>no contact named on an opened page; Tuesday estimate band 251-500: founder's call</v>
      </c>
      <c r="AW161" s="0" t="s">
        <v>168</v>
      </c>
      <c r="AX161" s="0" t="s">
        <v>181</v>
      </c>
      <c r="AY161" s="0" t="s">
        <v>182</v>
      </c>
      <c r="AZ161" s="0" t="s">
        <v>1</v>
      </c>
      <c r="BA161" s="0" t="s">
        <v>2858</v>
      </c>
      <c r="BB161" s="0" t="s">
        <v>2859</v>
      </c>
      <c r="BC161" s="0" t="s">
        <v>1477</v>
      </c>
      <c r="BD161" s="0" t="s">
        <v>2860</v>
      </c>
      <c r="BF161" s="0" t="s">
        <v>1322</v>
      </c>
      <c r="BG161" s="0" t="s">
        <v>188</v>
      </c>
      <c r="BH161" s="0" t="s">
        <v>189</v>
      </c>
      <c r="BI161" s="0" t="s">
        <v>2861</v>
      </c>
      <c r="BK161" s="0" t="s">
        <v>1439</v>
      </c>
      <c r="BL161" s="0" t="s">
        <v>163</v>
      </c>
      <c r="BM161" s="0" t="s">
        <v>163</v>
      </c>
      <c r="BN161" s="0" t="s">
        <v>163</v>
      </c>
      <c r="BO161" s="0" t="s">
        <v>163</v>
      </c>
      <c r="BP161" s="0" t="s">
        <v>346</v>
      </c>
      <c r="BQ161" s="0" t="n">
        <v>40.743309</v>
      </c>
      <c r="BR161" s="0" t="n">
        <v>-73.987329</v>
      </c>
      <c r="BS161" s="0" t="s">
        <v>168</v>
      </c>
      <c r="BT161" s="0" t="n">
        <v>0</v>
      </c>
      <c r="BU161" s="0" t="s">
        <v>763</v>
      </c>
      <c r="BV161" s="0" t="s">
        <v>764</v>
      </c>
      <c r="BW161" s="0" t="s">
        <v>2067</v>
      </c>
      <c r="BX161" s="0" t="s">
        <v>2075</v>
      </c>
      <c r="BY161" s="0" t="s">
        <v>247</v>
      </c>
      <c r="BZ161" s="0" t="s">
        <v>2636</v>
      </c>
      <c r="CA161" s="0" t="s">
        <v>2637</v>
      </c>
      <c r="CC161" s="0" t="s">
        <v>738</v>
      </c>
      <c r="CE161" s="0" t="s">
        <v>162</v>
      </c>
      <c r="CH161" s="0" t="s">
        <v>163</v>
      </c>
      <c r="CJ161" s="0" t="s">
        <v>163</v>
      </c>
      <c r="CK161" s="0" t="s">
        <v>162</v>
      </c>
      <c r="CL161" s="0" t="s">
        <v>163</v>
      </c>
      <c r="CO161" s="0" t="n">
        <v>255</v>
      </c>
      <c r="CP161" s="0" t="s">
        <v>250</v>
      </c>
      <c r="CQ161" s="0" t="s">
        <v>2862</v>
      </c>
      <c r="CR161" s="0" t="s">
        <v>206</v>
      </c>
      <c r="CS161" s="0" t="n">
        <v>0.49</v>
      </c>
      <c r="CT161" s="0" t="n">
        <v>33.3</v>
      </c>
      <c r="CU161" s="0" t="n">
        <v>12.3</v>
      </c>
      <c r="CV161" s="0" t="n">
        <v>2</v>
      </c>
      <c r="CW161" s="0" t="n">
        <v>6</v>
      </c>
      <c r="CX161" s="0" t="n">
        <v>13</v>
      </c>
      <c r="CY161" s="0" t="n">
        <f aca="false">IF(AH161="exact",10,IF(AH161="adjacent",5,0))</f>
        <v>0</v>
      </c>
      <c r="CZ161" s="0" t="n">
        <f aca="false">IF(R161="Y",15,0)</f>
        <v>0</v>
      </c>
      <c r="DF161" s="0" t="s">
        <v>158</v>
      </c>
      <c r="DG161" s="0" t="s">
        <v>1335</v>
      </c>
      <c r="DH161" s="0" t="s">
        <v>1446</v>
      </c>
      <c r="DI161" s="0" t="s">
        <v>162</v>
      </c>
      <c r="DK161" s="0" t="s">
        <v>2863</v>
      </c>
      <c r="DS161" s="0" t="s">
        <v>158</v>
      </c>
      <c r="DX161" s="0" t="s">
        <v>162</v>
      </c>
      <c r="ER161" s="0" t="str">
        <f aca="false">IF(ISNUMBER(MATCH(U161,{"queued","contacted","replied","call_booked","call_done","yes_in_principle","materials_sent"},0)),"Y","N")</f>
        <v>N</v>
      </c>
      <c r="ES161" s="0" t="str">
        <f aca="false">IF(COUNTIFS($AP$2:$AP$1000,AP161,$ER$2:$ER$1000,"Y")+COUNTIFS($AP$2:$AP$1000,AP161,$T$2:$T$1000,"Y")&gt;0,"Y","N")</f>
        <v>N</v>
      </c>
      <c r="ET161" s="0" t="str">
        <f aca="false">IF(AND(U161="new",T161="N",AT161="Y",AS161="",ES161="N"),"Y","N")</f>
        <v>N</v>
      </c>
      <c r="EU161" s="0" t="str">
        <f aca="false">IF(ET161&lt;&gt;"Y","N",IF(COUNTIFS($AP$2:$AP$1000,AP161,$ET$2:$ET$1000,"Y",$J$2:$J$1000,"&gt;"&amp;J161)+COUNTIFS($AP$2:$AP$1000,AP161,$ET$2:$ET$1000,"Y",$J$2:$J$1000,J161,$EW$2:$EW$1000,"&lt;"&amp;EW161)=0,"Y","N"))</f>
        <v>N</v>
      </c>
      <c r="EV161" s="0" t="str">
        <f aca="false">IF(Y161="","N",IF(Y161&lt;=10,"Y","N"))</f>
        <v>N</v>
      </c>
      <c r="EW161" s="0" t="n">
        <f aca="false">ROW()-1</f>
        <v>160</v>
      </c>
    </row>
    <row r="162" customFormat="false" ht="15" hidden="false" customHeight="false" outlineLevel="0" collapsed="false">
      <c r="A162" s="0" t="s">
        <v>2864</v>
      </c>
      <c r="B162" s="0" t="s">
        <v>2865</v>
      </c>
      <c r="H162" s="5" t="s">
        <v>158</v>
      </c>
      <c r="I162" s="5" t="s">
        <v>159</v>
      </c>
      <c r="J162" s="0" t="n">
        <f aca="false">IF(AX162="pass",ROUND(CU162+CV162+CW162+CX162+CY162+CZ162,1),0)</f>
        <v>32.6</v>
      </c>
      <c r="K162" s="0" t="s">
        <v>2866</v>
      </c>
      <c r="L162" s="0" t="s">
        <v>239</v>
      </c>
      <c r="R162" s="5" t="s">
        <v>162</v>
      </c>
      <c r="S162" s="0" t="s">
        <v>163</v>
      </c>
      <c r="T162" s="5" t="s">
        <v>162</v>
      </c>
      <c r="U162" s="5" t="s">
        <v>561</v>
      </c>
      <c r="V162" s="0" t="s">
        <v>1313</v>
      </c>
      <c r="W162" s="0" t="s">
        <v>166</v>
      </c>
      <c r="X162" s="0" t="s">
        <v>167</v>
      </c>
      <c r="Y162" s="0" t="str">
        <f aca="false">IF(EU162&lt;&gt;"Y","",COUNTIFS($EU$2:$EU$1000,"Y",$J$2:$J$1000,"&gt;"&amp;J162)+COUNTIFS($EU$2:$EU$1000,"Y",$J$2:$J$1000,J162,$EW$2:$EW$1000,"&lt;"&amp;EW162)+1)</f>
        <v/>
      </c>
      <c r="Z162" s="0" t="n">
        <v>161</v>
      </c>
      <c r="AA162" s="0" t="s">
        <v>162</v>
      </c>
      <c r="AB162" s="0" t="s">
        <v>1661</v>
      </c>
      <c r="AD162" s="0" t="s">
        <v>158</v>
      </c>
      <c r="AH162" s="5" t="s">
        <v>158</v>
      </c>
      <c r="AI162" s="0" t="s">
        <v>1316</v>
      </c>
      <c r="AJ162" s="0" t="s">
        <v>624</v>
      </c>
      <c r="AK162" s="0" t="s">
        <v>178</v>
      </c>
      <c r="AL162" s="0" t="n">
        <v>208</v>
      </c>
      <c r="AM162" s="0" t="n">
        <v>416</v>
      </c>
      <c r="AN162" s="0" t="s">
        <v>179</v>
      </c>
      <c r="AO162" s="0" t="s">
        <v>369</v>
      </c>
      <c r="AP162" s="0" t="s">
        <v>2864</v>
      </c>
      <c r="AQ162" s="5" t="s">
        <v>162</v>
      </c>
      <c r="AT162" s="0" t="str">
        <f aca="false">IF(AND(AX162="pass",AQ162&lt;&gt;"Y",C162&lt;&gt;"",OR(AW162&lt;&gt;"Y",AV162="Y")),"Y","N")</f>
        <v>N</v>
      </c>
      <c r="AU162" s="0" t="str">
        <f aca="false">_xlfn.TEXTJOIN("; ",TRUE(),IF(AX162&lt;&gt;"pass","gated out",""),IF(AQ162="Y","on hold: "&amp;AR162,""),IF(C162="","no contact named on an opened page",""),IF(AND(AW162="Y",AV162&lt;&gt;"Y"),"Tuesday estimate band "&amp;L162&amp;": founder's call",""))</f>
        <v>no contact named on an opened page; Tuesday estimate band 251-500: founder's call</v>
      </c>
      <c r="AW162" s="0" t="s">
        <v>168</v>
      </c>
      <c r="AX162" s="0" t="s">
        <v>181</v>
      </c>
      <c r="AY162" s="0" t="s">
        <v>182</v>
      </c>
      <c r="AZ162" s="0" t="s">
        <v>1</v>
      </c>
      <c r="BA162" s="0" t="s">
        <v>2867</v>
      </c>
      <c r="BB162" s="0" t="s">
        <v>2868</v>
      </c>
      <c r="BC162" s="0" t="s">
        <v>2869</v>
      </c>
      <c r="BD162" s="0" t="s">
        <v>2870</v>
      </c>
      <c r="BF162" s="0" t="s">
        <v>1322</v>
      </c>
      <c r="BG162" s="0" t="s">
        <v>188</v>
      </c>
      <c r="BH162" s="0" t="s">
        <v>189</v>
      </c>
      <c r="BI162" s="0" t="s">
        <v>2871</v>
      </c>
      <c r="BK162" s="0" t="s">
        <v>1263</v>
      </c>
      <c r="BL162" s="0" t="s">
        <v>192</v>
      </c>
      <c r="BM162" s="0" t="s">
        <v>168</v>
      </c>
      <c r="BN162" s="0" t="s">
        <v>163</v>
      </c>
      <c r="BO162" s="0" t="s">
        <v>163</v>
      </c>
      <c r="BP162" s="0" t="s">
        <v>193</v>
      </c>
      <c r="BQ162" s="0" t="n">
        <v>40.73716</v>
      </c>
      <c r="BR162" s="0" t="n">
        <v>-73.990073</v>
      </c>
      <c r="BS162" s="0" t="s">
        <v>168</v>
      </c>
      <c r="BT162" s="0" t="n">
        <v>0</v>
      </c>
      <c r="BU162" s="0" t="s">
        <v>1326</v>
      </c>
      <c r="BV162" s="0" t="s">
        <v>1316</v>
      </c>
      <c r="BW162" s="0" t="s">
        <v>1313</v>
      </c>
      <c r="BX162" s="0" t="s">
        <v>1327</v>
      </c>
      <c r="BY162" s="0" t="s">
        <v>247</v>
      </c>
      <c r="BZ162" s="0" t="s">
        <v>2872</v>
      </c>
      <c r="CA162" s="0" t="s">
        <v>2873</v>
      </c>
      <c r="CC162" s="0" t="s">
        <v>738</v>
      </c>
      <c r="CE162" s="0" t="s">
        <v>162</v>
      </c>
      <c r="CH162" s="0" t="s">
        <v>163</v>
      </c>
      <c r="CJ162" s="0" t="s">
        <v>163</v>
      </c>
      <c r="CK162" s="0" t="s">
        <v>162</v>
      </c>
      <c r="CL162" s="0" t="s">
        <v>2874</v>
      </c>
      <c r="CM162" s="0" t="s">
        <v>2875</v>
      </c>
      <c r="CN162" s="0" t="s">
        <v>174</v>
      </c>
      <c r="CO162" s="0" t="n">
        <v>294</v>
      </c>
      <c r="CP162" s="0" t="s">
        <v>250</v>
      </c>
      <c r="CQ162" s="0" t="s">
        <v>2876</v>
      </c>
      <c r="CR162" s="0" t="s">
        <v>206</v>
      </c>
      <c r="CS162" s="0" t="n">
        <v>0.27</v>
      </c>
      <c r="CT162" s="0" t="n">
        <v>32.6</v>
      </c>
      <c r="CU162" s="0" t="n">
        <v>6.6</v>
      </c>
      <c r="CV162" s="0" t="n">
        <v>6</v>
      </c>
      <c r="CW162" s="0" t="n">
        <v>7</v>
      </c>
      <c r="CX162" s="0" t="n">
        <v>13</v>
      </c>
      <c r="CY162" s="0" t="n">
        <f aca="false">IF(AH162="exact",10,IF(AH162="adjacent",5,0))</f>
        <v>0</v>
      </c>
      <c r="CZ162" s="0" t="n">
        <f aca="false">IF(R162="Y",15,0)</f>
        <v>0</v>
      </c>
      <c r="DF162" s="0" t="s">
        <v>158</v>
      </c>
      <c r="DG162" s="0" t="s">
        <v>1335</v>
      </c>
      <c r="DH162" s="0" t="s">
        <v>1336</v>
      </c>
      <c r="DI162" s="0" t="s">
        <v>162</v>
      </c>
      <c r="DK162" s="0" t="s">
        <v>2877</v>
      </c>
      <c r="DS162" s="0" t="s">
        <v>158</v>
      </c>
      <c r="DX162" s="0" t="s">
        <v>162</v>
      </c>
      <c r="ER162" s="0" t="str">
        <f aca="false">IF(ISNUMBER(MATCH(U162,{"queued","contacted","replied","call_booked","call_done","yes_in_principle","materials_sent"},0)),"Y","N")</f>
        <v>N</v>
      </c>
      <c r="ES162" s="0" t="str">
        <f aca="false">IF(COUNTIFS($AP$2:$AP$1000,AP162,$ER$2:$ER$1000,"Y")+COUNTIFS($AP$2:$AP$1000,AP162,$T$2:$T$1000,"Y")&gt;0,"Y","N")</f>
        <v>N</v>
      </c>
      <c r="ET162" s="0" t="str">
        <f aca="false">IF(AND(U162="new",T162="N",AT162="Y",AS162="",ES162="N"),"Y","N")</f>
        <v>N</v>
      </c>
      <c r="EU162" s="0" t="str">
        <f aca="false">IF(ET162&lt;&gt;"Y","N",IF(COUNTIFS($AP$2:$AP$1000,AP162,$ET$2:$ET$1000,"Y",$J$2:$J$1000,"&gt;"&amp;J162)+COUNTIFS($AP$2:$AP$1000,AP162,$ET$2:$ET$1000,"Y",$J$2:$J$1000,J162,$EW$2:$EW$1000,"&lt;"&amp;EW162)=0,"Y","N"))</f>
        <v>N</v>
      </c>
      <c r="EV162" s="0" t="str">
        <f aca="false">IF(Y162="","N",IF(Y162&lt;=10,"Y","N"))</f>
        <v>N</v>
      </c>
      <c r="EW162" s="0" t="n">
        <f aca="false">ROW()-1</f>
        <v>161</v>
      </c>
    </row>
    <row r="163" customFormat="false" ht="15" hidden="false" customHeight="false" outlineLevel="0" collapsed="false">
      <c r="A163" s="0" t="s">
        <v>2878</v>
      </c>
      <c r="B163" s="0" t="s">
        <v>2879</v>
      </c>
      <c r="H163" s="5" t="s">
        <v>158</v>
      </c>
      <c r="I163" s="5" t="s">
        <v>159</v>
      </c>
      <c r="J163" s="0" t="n">
        <f aca="false">IF(AX163="pass",ROUND(CU163+CV163+CW163+CX163+CY163+CZ163,1),0)</f>
        <v>32.3</v>
      </c>
      <c r="K163" s="0" t="s">
        <v>2880</v>
      </c>
      <c r="L163" s="0" t="s">
        <v>187</v>
      </c>
      <c r="R163" s="5" t="s">
        <v>162</v>
      </c>
      <c r="S163" s="0" t="s">
        <v>163</v>
      </c>
      <c r="T163" s="5" t="s">
        <v>162</v>
      </c>
      <c r="U163" s="5" t="s">
        <v>561</v>
      </c>
      <c r="V163" s="0" t="s">
        <v>1749</v>
      </c>
      <c r="W163" s="0" t="s">
        <v>166</v>
      </c>
      <c r="X163" s="0" t="s">
        <v>167</v>
      </c>
      <c r="Y163" s="0" t="str">
        <f aca="false">IF(EU163&lt;&gt;"Y","",COUNTIFS($EU$2:$EU$1000,"Y",$J$2:$J$1000,"&gt;"&amp;J163)+COUNTIFS($EU$2:$EU$1000,"Y",$J$2:$J$1000,J163,$EW$2:$EW$1000,"&lt;"&amp;EW163)+1)</f>
        <v/>
      </c>
      <c r="Z163" s="0" t="n">
        <v>162</v>
      </c>
      <c r="AA163" s="0" t="s">
        <v>162</v>
      </c>
      <c r="AD163" s="0" t="s">
        <v>158</v>
      </c>
      <c r="AH163" s="5" t="s">
        <v>158</v>
      </c>
      <c r="AI163" s="0" t="s">
        <v>1750</v>
      </c>
      <c r="AJ163" s="0" t="s">
        <v>2881</v>
      </c>
      <c r="AK163" s="0" t="s">
        <v>434</v>
      </c>
      <c r="AL163" s="0" t="n">
        <v>34</v>
      </c>
      <c r="AM163" s="0" t="n">
        <v>684</v>
      </c>
      <c r="AN163" s="0" t="s">
        <v>179</v>
      </c>
      <c r="AO163" s="0" t="s">
        <v>369</v>
      </c>
      <c r="AP163" s="0" t="s">
        <v>2878</v>
      </c>
      <c r="AQ163" s="5" t="s">
        <v>162</v>
      </c>
      <c r="AT163" s="0" t="str">
        <f aca="false">IF(AND(AX163="pass",AQ163&lt;&gt;"Y",C163&lt;&gt;"",OR(AW163&lt;&gt;"Y",AV163="Y")),"Y","N")</f>
        <v>N</v>
      </c>
      <c r="AU163" s="0" t="str">
        <f aca="false">_xlfn.TEXTJOIN("; ",TRUE(),IF(AX163&lt;&gt;"pass","gated out",""),IF(AQ163="Y","on hold: "&amp;AR163,""),IF(C163="","no contact named on an opened page",""),IF(AND(AW163="Y",AV163&lt;&gt;"Y"),"Tuesday estimate band "&amp;L163&amp;": founder's call",""))</f>
        <v>no contact named on an opened page</v>
      </c>
      <c r="AW163" s="0" t="s">
        <v>162</v>
      </c>
      <c r="AX163" s="0" t="s">
        <v>181</v>
      </c>
      <c r="AY163" s="0" t="s">
        <v>182</v>
      </c>
      <c r="AZ163" s="0" t="s">
        <v>1</v>
      </c>
      <c r="BA163" s="0" t="s">
        <v>2882</v>
      </c>
      <c r="BB163" s="0" t="s">
        <v>2883</v>
      </c>
      <c r="BC163" s="0" t="s">
        <v>2884</v>
      </c>
      <c r="BD163" s="0" t="s">
        <v>1980</v>
      </c>
      <c r="BF163" s="0" t="s">
        <v>1322</v>
      </c>
      <c r="BG163" s="0" t="s">
        <v>188</v>
      </c>
      <c r="BH163" s="0" t="s">
        <v>189</v>
      </c>
      <c r="BI163" s="0" t="s">
        <v>2885</v>
      </c>
      <c r="BK163" s="0" t="s">
        <v>1439</v>
      </c>
      <c r="BL163" s="0" t="s">
        <v>656</v>
      </c>
      <c r="BM163" s="0" t="s">
        <v>162</v>
      </c>
      <c r="BN163" s="0" t="s">
        <v>163</v>
      </c>
      <c r="BO163" s="0" t="s">
        <v>163</v>
      </c>
      <c r="BP163" s="0" t="s">
        <v>377</v>
      </c>
      <c r="BQ163" s="0" t="n">
        <v>40.738405</v>
      </c>
      <c r="BR163" s="0" t="n">
        <v>-73.99394</v>
      </c>
      <c r="BS163" s="0" t="s">
        <v>168</v>
      </c>
      <c r="BT163" s="0" t="n">
        <v>0</v>
      </c>
      <c r="BU163" s="0" t="s">
        <v>1757</v>
      </c>
      <c r="BV163" s="0" t="s">
        <v>1750</v>
      </c>
      <c r="BW163" s="0" t="s">
        <v>1749</v>
      </c>
      <c r="BX163" s="0" t="s">
        <v>1758</v>
      </c>
      <c r="BY163" s="0" t="s">
        <v>247</v>
      </c>
      <c r="CC163" s="0" t="s">
        <v>738</v>
      </c>
      <c r="CE163" s="0" t="s">
        <v>162</v>
      </c>
      <c r="CH163" s="0" t="s">
        <v>163</v>
      </c>
      <c r="CJ163" s="0" t="s">
        <v>163</v>
      </c>
      <c r="CK163" s="0" t="s">
        <v>162</v>
      </c>
      <c r="CL163" s="0" t="s">
        <v>517</v>
      </c>
      <c r="CM163" s="0" t="s">
        <v>2886</v>
      </c>
      <c r="CN163" s="0" t="s">
        <v>174</v>
      </c>
      <c r="CO163" s="0" t="n">
        <v>152</v>
      </c>
      <c r="CP163" s="0" t="s">
        <v>250</v>
      </c>
      <c r="CQ163" s="0" t="s">
        <v>2887</v>
      </c>
      <c r="CR163" s="0" t="s">
        <v>206</v>
      </c>
      <c r="CS163" s="0" t="n">
        <v>0.61</v>
      </c>
      <c r="CT163" s="0" t="n">
        <v>32.3</v>
      </c>
      <c r="CU163" s="0" t="n">
        <v>15.3</v>
      </c>
      <c r="CV163" s="0" t="n">
        <v>2</v>
      </c>
      <c r="CW163" s="0" t="n">
        <v>7</v>
      </c>
      <c r="CX163" s="0" t="n">
        <v>8</v>
      </c>
      <c r="CY163" s="0" t="n">
        <f aca="false">IF(AH163="exact",10,IF(AH163="adjacent",5,0))</f>
        <v>0</v>
      </c>
      <c r="CZ163" s="0" t="n">
        <f aca="false">IF(R163="Y",15,0)</f>
        <v>0</v>
      </c>
      <c r="DF163" s="0" t="s">
        <v>158</v>
      </c>
      <c r="DG163" s="0" t="s">
        <v>1335</v>
      </c>
      <c r="DH163" s="0" t="s">
        <v>1446</v>
      </c>
      <c r="DI163" s="0" t="s">
        <v>162</v>
      </c>
      <c r="DJ163" s="0" t="s">
        <v>1655</v>
      </c>
      <c r="DK163" s="0" t="s">
        <v>2888</v>
      </c>
      <c r="DS163" s="0" t="s">
        <v>158</v>
      </c>
      <c r="DX163" s="0" t="s">
        <v>162</v>
      </c>
      <c r="ER163" s="0" t="str">
        <f aca="false">IF(ISNUMBER(MATCH(U163,{"queued","contacted","replied","call_booked","call_done","yes_in_principle","materials_sent"},0)),"Y","N")</f>
        <v>N</v>
      </c>
      <c r="ES163" s="0" t="str">
        <f aca="false">IF(COUNTIFS($AP$2:$AP$1000,AP163,$ER$2:$ER$1000,"Y")+COUNTIFS($AP$2:$AP$1000,AP163,$T$2:$T$1000,"Y")&gt;0,"Y","N")</f>
        <v>N</v>
      </c>
      <c r="ET163" s="0" t="str">
        <f aca="false">IF(AND(U163="new",T163="N",AT163="Y",AS163="",ES163="N"),"Y","N")</f>
        <v>N</v>
      </c>
      <c r="EU163" s="0" t="str">
        <f aca="false">IF(ET163&lt;&gt;"Y","N",IF(COUNTIFS($AP$2:$AP$1000,AP163,$ET$2:$ET$1000,"Y",$J$2:$J$1000,"&gt;"&amp;J163)+COUNTIFS($AP$2:$AP$1000,AP163,$ET$2:$ET$1000,"Y",$J$2:$J$1000,J163,$EW$2:$EW$1000,"&lt;"&amp;EW163)=0,"Y","N"))</f>
        <v>N</v>
      </c>
      <c r="EV163" s="0" t="str">
        <f aca="false">IF(Y163="","N",IF(Y163&lt;=10,"Y","N"))</f>
        <v>N</v>
      </c>
      <c r="EW163" s="0" t="n">
        <f aca="false">ROW()-1</f>
        <v>162</v>
      </c>
    </row>
    <row r="164" customFormat="false" ht="15" hidden="false" customHeight="false" outlineLevel="0" collapsed="false">
      <c r="A164" s="0" t="s">
        <v>2889</v>
      </c>
      <c r="B164" s="0" t="s">
        <v>2890</v>
      </c>
      <c r="H164" s="5" t="s">
        <v>158</v>
      </c>
      <c r="I164" s="5" t="s">
        <v>159</v>
      </c>
      <c r="J164" s="0" t="n">
        <f aca="false">IF(AX164="pass",ROUND(CU164+CV164+CW164+CX164+CY164+CZ164,1),0)</f>
        <v>32</v>
      </c>
      <c r="K164" s="0" t="s">
        <v>2891</v>
      </c>
      <c r="L164" s="0" t="s">
        <v>163</v>
      </c>
      <c r="R164" s="5" t="s">
        <v>162</v>
      </c>
      <c r="S164" s="0" t="s">
        <v>163</v>
      </c>
      <c r="T164" s="5" t="s">
        <v>162</v>
      </c>
      <c r="U164" s="5" t="s">
        <v>561</v>
      </c>
      <c r="V164" s="0" t="s">
        <v>2892</v>
      </c>
      <c r="W164" s="0" t="s">
        <v>166</v>
      </c>
      <c r="X164" s="0" t="s">
        <v>167</v>
      </c>
      <c r="Y164" s="0" t="str">
        <f aca="false">IF(EU164&lt;&gt;"Y","",COUNTIFS($EU$2:$EU$1000,"Y",$J$2:$J$1000,"&gt;"&amp;J164)+COUNTIFS($EU$2:$EU$1000,"Y",$J$2:$J$1000,J164,$EW$2:$EW$1000,"&lt;"&amp;EW164)+1)</f>
        <v/>
      </c>
      <c r="Z164" s="0" t="n">
        <v>163</v>
      </c>
      <c r="AA164" s="0" t="s">
        <v>162</v>
      </c>
      <c r="AD164" s="0" t="s">
        <v>158</v>
      </c>
      <c r="AH164" s="5" t="s">
        <v>158</v>
      </c>
      <c r="AI164" s="0" t="s">
        <v>1870</v>
      </c>
      <c r="AJ164" s="0" t="s">
        <v>272</v>
      </c>
      <c r="AK164" s="0" t="s">
        <v>178</v>
      </c>
      <c r="AL164" s="0" t="s">
        <v>163</v>
      </c>
      <c r="AM164" s="0" t="s">
        <v>163</v>
      </c>
      <c r="AN164" s="0" t="s">
        <v>158</v>
      </c>
      <c r="AO164" s="0" t="s">
        <v>163</v>
      </c>
      <c r="AP164" s="0" t="s">
        <v>2889</v>
      </c>
      <c r="AQ164" s="5" t="s">
        <v>162</v>
      </c>
      <c r="AT164" s="0" t="str">
        <f aca="false">IF(AND(AX164="pass",AQ164&lt;&gt;"Y",C164&lt;&gt;"",OR(AW164&lt;&gt;"Y",AV164="Y")),"Y","N")</f>
        <v>N</v>
      </c>
      <c r="AU164" s="0" t="str">
        <f aca="false">_xlfn.TEXTJOIN("; ",TRUE(),IF(AX164&lt;&gt;"pass","gated out",""),IF(AQ164="Y","on hold: "&amp;AR164,""),IF(C164="","no contact named on an opened page",""),IF(AND(AW164="Y",AV164&lt;&gt;"Y"),"Tuesday estimate band "&amp;L164&amp;": founder's call",""))</f>
        <v>no contact named on an opened page</v>
      </c>
      <c r="AW164" s="0" t="s">
        <v>162</v>
      </c>
      <c r="AX164" s="0" t="s">
        <v>181</v>
      </c>
      <c r="AY164" s="0" t="s">
        <v>182</v>
      </c>
      <c r="AZ164" s="0" t="s">
        <v>1</v>
      </c>
      <c r="BA164" s="0" t="s">
        <v>2893</v>
      </c>
      <c r="BB164" s="0" t="s">
        <v>2894</v>
      </c>
      <c r="BC164" s="0" t="s">
        <v>2895</v>
      </c>
      <c r="BD164" s="0" t="s">
        <v>163</v>
      </c>
      <c r="BF164" s="0" t="s">
        <v>163</v>
      </c>
      <c r="BG164" s="0" t="s">
        <v>163</v>
      </c>
      <c r="BH164" s="0" t="s">
        <v>2195</v>
      </c>
      <c r="BK164" s="0" t="s">
        <v>163</v>
      </c>
      <c r="BL164" s="0" t="s">
        <v>163</v>
      </c>
      <c r="BM164" s="0" t="s">
        <v>163</v>
      </c>
      <c r="BN164" s="0" t="s">
        <v>2896</v>
      </c>
      <c r="BO164" s="0" t="s">
        <v>163</v>
      </c>
      <c r="BP164" s="0" t="s">
        <v>377</v>
      </c>
      <c r="BQ164" s="0" t="n">
        <v>40.738793</v>
      </c>
      <c r="BR164" s="0" t="n">
        <v>-73.991823</v>
      </c>
      <c r="BS164" s="0" t="s">
        <v>168</v>
      </c>
      <c r="BT164" s="0" t="n">
        <v>0</v>
      </c>
      <c r="BU164" s="0" t="s">
        <v>1878</v>
      </c>
      <c r="BV164" s="0" t="s">
        <v>1879</v>
      </c>
      <c r="BW164" s="0" t="s">
        <v>2892</v>
      </c>
      <c r="BX164" s="0" t="s">
        <v>166</v>
      </c>
      <c r="BY164" s="0" t="s">
        <v>196</v>
      </c>
      <c r="BZ164" s="0" t="s">
        <v>1869</v>
      </c>
      <c r="CA164" s="0" t="s">
        <v>1880</v>
      </c>
      <c r="CC164" s="0" t="s">
        <v>200</v>
      </c>
      <c r="CE164" s="0" t="s">
        <v>162</v>
      </c>
      <c r="CH164" s="0" t="s">
        <v>163</v>
      </c>
      <c r="CJ164" s="0" t="s">
        <v>163</v>
      </c>
      <c r="CK164" s="0" t="s">
        <v>162</v>
      </c>
      <c r="CL164" s="0" t="s">
        <v>163</v>
      </c>
      <c r="CO164" s="0" t="s">
        <v>163</v>
      </c>
      <c r="CQ164" s="0" t="s">
        <v>2196</v>
      </c>
      <c r="CR164" s="0" t="s">
        <v>206</v>
      </c>
      <c r="CS164" s="0" t="s">
        <v>163</v>
      </c>
      <c r="CT164" s="0" t="n">
        <v>32</v>
      </c>
      <c r="CU164" s="0" t="n">
        <v>7</v>
      </c>
      <c r="CV164" s="0" t="n">
        <v>4</v>
      </c>
      <c r="CW164" s="0" t="n">
        <v>6</v>
      </c>
      <c r="CX164" s="0" t="n">
        <v>15</v>
      </c>
      <c r="CY164" s="0" t="n">
        <f aca="false">IF(AH164="exact",10,IF(AH164="adjacent",5,0))</f>
        <v>0</v>
      </c>
      <c r="CZ164" s="0" t="n">
        <f aca="false">IF(R164="Y",15,0)</f>
        <v>0</v>
      </c>
      <c r="DF164" s="0" t="s">
        <v>158</v>
      </c>
      <c r="DG164" s="0" t="s">
        <v>211</v>
      </c>
      <c r="DK164" s="0" t="s">
        <v>2897</v>
      </c>
      <c r="DS164" s="0" t="s">
        <v>158</v>
      </c>
      <c r="DX164" s="0" t="s">
        <v>162</v>
      </c>
      <c r="ER164" s="0" t="str">
        <f aca="false">IF(ISNUMBER(MATCH(U164,{"queued","contacted","replied","call_booked","call_done","yes_in_principle","materials_sent"},0)),"Y","N")</f>
        <v>N</v>
      </c>
      <c r="ES164" s="0" t="str">
        <f aca="false">IF(COUNTIFS($AP$2:$AP$1000,AP164,$ER$2:$ER$1000,"Y")+COUNTIFS($AP$2:$AP$1000,AP164,$T$2:$T$1000,"Y")&gt;0,"Y","N")</f>
        <v>N</v>
      </c>
      <c r="ET164" s="0" t="str">
        <f aca="false">IF(AND(U164="new",T164="N",AT164="Y",AS164="",ES164="N"),"Y","N")</f>
        <v>N</v>
      </c>
      <c r="EU164" s="0" t="str">
        <f aca="false">IF(ET164&lt;&gt;"Y","N",IF(COUNTIFS($AP$2:$AP$1000,AP164,$ET$2:$ET$1000,"Y",$J$2:$J$1000,"&gt;"&amp;J164)+COUNTIFS($AP$2:$AP$1000,AP164,$ET$2:$ET$1000,"Y",$J$2:$J$1000,J164,$EW$2:$EW$1000,"&lt;"&amp;EW164)=0,"Y","N"))</f>
        <v>N</v>
      </c>
      <c r="EV164" s="0" t="str">
        <f aca="false">IF(Y164="","N",IF(Y164&lt;=10,"Y","N"))</f>
        <v>N</v>
      </c>
      <c r="EW164" s="0" t="n">
        <f aca="false">ROW()-1</f>
        <v>163</v>
      </c>
    </row>
    <row r="165" customFormat="false" ht="15" hidden="false" customHeight="false" outlineLevel="0" collapsed="false">
      <c r="A165" s="0" t="s">
        <v>2898</v>
      </c>
      <c r="B165" s="0" t="s">
        <v>2899</v>
      </c>
      <c r="H165" s="5" t="s">
        <v>158</v>
      </c>
      <c r="I165" s="5" t="s">
        <v>159</v>
      </c>
      <c r="J165" s="0" t="n">
        <f aca="false">IF(AX165="pass",ROUND(CU165+CV165+CW165+CX165+CY165+CZ165,1),0)</f>
        <v>31.9</v>
      </c>
      <c r="K165" s="0" t="s">
        <v>2900</v>
      </c>
      <c r="L165" s="0" t="s">
        <v>239</v>
      </c>
      <c r="R165" s="5" t="s">
        <v>162</v>
      </c>
      <c r="S165" s="0" t="s">
        <v>163</v>
      </c>
      <c r="T165" s="5" t="s">
        <v>162</v>
      </c>
      <c r="U165" s="5" t="s">
        <v>561</v>
      </c>
      <c r="V165" s="0" t="s">
        <v>726</v>
      </c>
      <c r="W165" s="0" t="s">
        <v>166</v>
      </c>
      <c r="X165" s="0" t="s">
        <v>167</v>
      </c>
      <c r="Y165" s="0" t="str">
        <f aca="false">IF(EU165&lt;&gt;"Y","",COUNTIFS($EU$2:$EU$1000,"Y",$J$2:$J$1000,"&gt;"&amp;J165)+COUNTIFS($EU$2:$EU$1000,"Y",$J$2:$J$1000,J165,$EW$2:$EW$1000,"&lt;"&amp;EW165)+1)</f>
        <v/>
      </c>
      <c r="Z165" s="0" t="n">
        <v>164</v>
      </c>
      <c r="AA165" s="0" t="s">
        <v>162</v>
      </c>
      <c r="AB165" s="0" t="s">
        <v>1661</v>
      </c>
      <c r="AD165" s="0" t="s">
        <v>158</v>
      </c>
      <c r="AH165" s="5" t="s">
        <v>158</v>
      </c>
      <c r="AI165" s="0" t="s">
        <v>727</v>
      </c>
      <c r="AJ165" s="0" t="s">
        <v>177</v>
      </c>
      <c r="AK165" s="0" t="s">
        <v>178</v>
      </c>
      <c r="AL165" s="0" t="n">
        <v>90</v>
      </c>
      <c r="AM165" s="0" t="n">
        <v>2327</v>
      </c>
      <c r="AN165" s="0" t="s">
        <v>179</v>
      </c>
      <c r="AO165" s="0" t="s">
        <v>369</v>
      </c>
      <c r="AP165" s="0" t="s">
        <v>2898</v>
      </c>
      <c r="AQ165" s="5" t="s">
        <v>162</v>
      </c>
      <c r="AT165" s="0" t="str">
        <f aca="false">IF(AND(AX165="pass",AQ165&lt;&gt;"Y",C165&lt;&gt;"",OR(AW165&lt;&gt;"Y",AV165="Y")),"Y","N")</f>
        <v>N</v>
      </c>
      <c r="AU165" s="0" t="str">
        <f aca="false">_xlfn.TEXTJOIN("; ",TRUE(),IF(AX165&lt;&gt;"pass","gated out",""),IF(AQ165="Y","on hold: "&amp;AR165,""),IF(C165="","no contact named on an opened page",""),IF(AND(AW165="Y",AV165&lt;&gt;"Y"),"Tuesday estimate band "&amp;L165&amp;": founder's call",""))</f>
        <v>no contact named on an opened page; Tuesday estimate band 251-500: founder's call</v>
      </c>
      <c r="AW165" s="0" t="s">
        <v>168</v>
      </c>
      <c r="AX165" s="0" t="s">
        <v>181</v>
      </c>
      <c r="AY165" s="0" t="s">
        <v>182</v>
      </c>
      <c r="AZ165" s="0" t="s">
        <v>1</v>
      </c>
      <c r="BA165" s="0" t="s">
        <v>2901</v>
      </c>
      <c r="BB165" s="0" t="s">
        <v>2902</v>
      </c>
      <c r="BC165" s="0" t="s">
        <v>2903</v>
      </c>
      <c r="BD165" s="0" t="s">
        <v>2904</v>
      </c>
      <c r="BE165" s="0" t="s">
        <v>2905</v>
      </c>
      <c r="BF165" s="0" t="s">
        <v>1322</v>
      </c>
      <c r="BG165" s="0" t="s">
        <v>188</v>
      </c>
      <c r="BH165" s="0" t="s">
        <v>1323</v>
      </c>
      <c r="BI165" s="0" t="s">
        <v>2906</v>
      </c>
      <c r="BJ165" s="0" t="s">
        <v>2907</v>
      </c>
      <c r="BK165" s="0" t="s">
        <v>1439</v>
      </c>
      <c r="BL165" s="0" t="s">
        <v>192</v>
      </c>
      <c r="BM165" s="0" t="s">
        <v>168</v>
      </c>
      <c r="BN165" s="0" t="s">
        <v>163</v>
      </c>
      <c r="BO165" s="0" t="s">
        <v>163</v>
      </c>
      <c r="BP165" s="0" t="s">
        <v>193</v>
      </c>
      <c r="BQ165" s="0" t="n">
        <v>40.734626</v>
      </c>
      <c r="BR165" s="0" t="n">
        <v>-73.9911</v>
      </c>
      <c r="BS165" s="0" t="s">
        <v>168</v>
      </c>
      <c r="BT165" s="0" t="n">
        <v>0</v>
      </c>
      <c r="BU165" s="0" t="s">
        <v>735</v>
      </c>
      <c r="BV165" s="0" t="s">
        <v>736</v>
      </c>
      <c r="BW165" s="0" t="s">
        <v>726</v>
      </c>
      <c r="BX165" s="0" t="s">
        <v>737</v>
      </c>
      <c r="BY165" s="0" t="s">
        <v>247</v>
      </c>
      <c r="BZ165" s="0" t="s">
        <v>2908</v>
      </c>
      <c r="CA165" s="0" t="s">
        <v>2536</v>
      </c>
      <c r="CC165" s="0" t="s">
        <v>200</v>
      </c>
      <c r="CE165" s="0" t="s">
        <v>162</v>
      </c>
      <c r="CH165" s="0" t="s">
        <v>201</v>
      </c>
      <c r="CI165" s="0" t="s">
        <v>739</v>
      </c>
      <c r="CJ165" s="0" t="s">
        <v>163</v>
      </c>
      <c r="CK165" s="0" t="s">
        <v>162</v>
      </c>
      <c r="CL165" s="0" t="s">
        <v>715</v>
      </c>
      <c r="CM165" s="0" t="s">
        <v>2909</v>
      </c>
      <c r="CN165" s="0" t="s">
        <v>174</v>
      </c>
      <c r="CO165" s="0" t="n">
        <v>458</v>
      </c>
      <c r="CP165" s="0" t="s">
        <v>250</v>
      </c>
      <c r="CQ165" s="0" t="s">
        <v>2910</v>
      </c>
      <c r="CR165" s="0" t="s">
        <v>206</v>
      </c>
      <c r="CS165" s="0" t="n">
        <v>0.31</v>
      </c>
      <c r="CT165" s="0" t="n">
        <v>31.9</v>
      </c>
      <c r="CU165" s="0" t="n">
        <v>7.9</v>
      </c>
      <c r="CV165" s="0" t="n">
        <v>2</v>
      </c>
      <c r="CW165" s="0" t="n">
        <v>7</v>
      </c>
      <c r="CX165" s="0" t="n">
        <v>15</v>
      </c>
      <c r="CY165" s="0" t="n">
        <f aca="false">IF(AH165="exact",10,IF(AH165="adjacent",5,0))</f>
        <v>0</v>
      </c>
      <c r="CZ165" s="0" t="n">
        <f aca="false">IF(R165="Y",15,0)</f>
        <v>0</v>
      </c>
      <c r="DF165" s="0" t="s">
        <v>158</v>
      </c>
      <c r="DG165" s="0" t="s">
        <v>1335</v>
      </c>
      <c r="DH165" s="0" t="s">
        <v>1446</v>
      </c>
      <c r="DI165" s="0" t="s">
        <v>168</v>
      </c>
      <c r="DJ165" s="0" t="s">
        <v>2352</v>
      </c>
      <c r="DK165" s="0" t="s">
        <v>2911</v>
      </c>
      <c r="DS165" s="0" t="s">
        <v>158</v>
      </c>
      <c r="DX165" s="0" t="s">
        <v>162</v>
      </c>
      <c r="ER165" s="0" t="str">
        <f aca="false">IF(ISNUMBER(MATCH(U165,{"queued","contacted","replied","call_booked","call_done","yes_in_principle","materials_sent"},0)),"Y","N")</f>
        <v>N</v>
      </c>
      <c r="ES165" s="0" t="str">
        <f aca="false">IF(COUNTIFS($AP$2:$AP$1000,AP165,$ER$2:$ER$1000,"Y")+COUNTIFS($AP$2:$AP$1000,AP165,$T$2:$T$1000,"Y")&gt;0,"Y","N")</f>
        <v>N</v>
      </c>
      <c r="ET165" s="0" t="str">
        <f aca="false">IF(AND(U165="new",T165="N",AT165="Y",AS165="",ES165="N"),"Y","N")</f>
        <v>N</v>
      </c>
      <c r="EU165" s="0" t="str">
        <f aca="false">IF(ET165&lt;&gt;"Y","N",IF(COUNTIFS($AP$2:$AP$1000,AP165,$ET$2:$ET$1000,"Y",$J$2:$J$1000,"&gt;"&amp;J165)+COUNTIFS($AP$2:$AP$1000,AP165,$ET$2:$ET$1000,"Y",$J$2:$J$1000,J165,$EW$2:$EW$1000,"&lt;"&amp;EW165)=0,"Y","N"))</f>
        <v>N</v>
      </c>
      <c r="EV165" s="0" t="str">
        <f aca="false">IF(Y165="","N",IF(Y165&lt;=10,"Y","N"))</f>
        <v>N</v>
      </c>
      <c r="EW165" s="0" t="n">
        <f aca="false">ROW()-1</f>
        <v>164</v>
      </c>
    </row>
    <row r="166" customFormat="false" ht="15" hidden="false" customHeight="false" outlineLevel="0" collapsed="false">
      <c r="A166" s="0" t="s">
        <v>2912</v>
      </c>
      <c r="B166" s="0" t="s">
        <v>2913</v>
      </c>
      <c r="H166" s="5" t="s">
        <v>158</v>
      </c>
      <c r="I166" s="5" t="s">
        <v>159</v>
      </c>
      <c r="J166" s="0" t="n">
        <f aca="false">IF(AX166="pass",ROUND(CU166+CV166+CW166+CX166+CY166+CZ166,1),0)</f>
        <v>31.7</v>
      </c>
      <c r="K166" s="0" t="s">
        <v>2914</v>
      </c>
      <c r="L166" s="0" t="s">
        <v>187</v>
      </c>
      <c r="R166" s="5" t="s">
        <v>162</v>
      </c>
      <c r="S166" s="0" t="s">
        <v>163</v>
      </c>
      <c r="T166" s="5" t="s">
        <v>162</v>
      </c>
      <c r="U166" s="5" t="s">
        <v>561</v>
      </c>
      <c r="V166" s="0" t="s">
        <v>2915</v>
      </c>
      <c r="W166" s="0" t="s">
        <v>166</v>
      </c>
      <c r="X166" s="0" t="s">
        <v>167</v>
      </c>
      <c r="Y166" s="0" t="str">
        <f aca="false">IF(EU166&lt;&gt;"Y","",COUNTIFS($EU$2:$EU$1000,"Y",$J$2:$J$1000,"&gt;"&amp;J166)+COUNTIFS($EU$2:$EU$1000,"Y",$J$2:$J$1000,J166,$EW$2:$EW$1000,"&lt;"&amp;EW166)+1)</f>
        <v/>
      </c>
      <c r="Z166" s="0" t="n">
        <v>165</v>
      </c>
      <c r="AA166" s="0" t="s">
        <v>162</v>
      </c>
      <c r="AD166" s="0" t="s">
        <v>158</v>
      </c>
      <c r="AH166" s="5" t="s">
        <v>158</v>
      </c>
      <c r="AI166" s="0" t="s">
        <v>1473</v>
      </c>
      <c r="AJ166" s="0" t="s">
        <v>2916</v>
      </c>
      <c r="AK166" s="0" t="s">
        <v>434</v>
      </c>
      <c r="AL166" s="0" t="n">
        <v>43</v>
      </c>
      <c r="AM166" s="0" t="n">
        <v>855</v>
      </c>
      <c r="AN166" s="0" t="s">
        <v>179</v>
      </c>
      <c r="AO166" s="0" t="s">
        <v>369</v>
      </c>
      <c r="AP166" s="0" t="s">
        <v>2912</v>
      </c>
      <c r="AQ166" s="5" t="s">
        <v>162</v>
      </c>
      <c r="AT166" s="0" t="str">
        <f aca="false">IF(AND(AX166="pass",AQ166&lt;&gt;"Y",C166&lt;&gt;"",OR(AW166&lt;&gt;"Y",AV166="Y")),"Y","N")</f>
        <v>N</v>
      </c>
      <c r="AU166" s="0" t="str">
        <f aca="false">_xlfn.TEXTJOIN("; ",TRUE(),IF(AX166&lt;&gt;"pass","gated out",""),IF(AQ166="Y","on hold: "&amp;AR166,""),IF(C166="","no contact named on an opened page",""),IF(AND(AW166="Y",AV166&lt;&gt;"Y"),"Tuesday estimate band "&amp;L166&amp;": founder's call",""))</f>
        <v>no contact named on an opened page</v>
      </c>
      <c r="AW166" s="0" t="s">
        <v>162</v>
      </c>
      <c r="AX166" s="0" t="s">
        <v>181</v>
      </c>
      <c r="AY166" s="0" t="s">
        <v>182</v>
      </c>
      <c r="AZ166" s="0" t="s">
        <v>1</v>
      </c>
      <c r="BA166" s="0" t="s">
        <v>2917</v>
      </c>
      <c r="BB166" s="0" t="s">
        <v>2918</v>
      </c>
      <c r="BC166" s="0" t="s">
        <v>2919</v>
      </c>
      <c r="BD166" s="0" t="s">
        <v>1771</v>
      </c>
      <c r="BF166" s="0" t="s">
        <v>1322</v>
      </c>
      <c r="BG166" s="0" t="s">
        <v>188</v>
      </c>
      <c r="BH166" s="0" t="s">
        <v>189</v>
      </c>
      <c r="BI166" s="0" t="s">
        <v>2920</v>
      </c>
      <c r="BK166" s="0" t="s">
        <v>1439</v>
      </c>
      <c r="BL166" s="0" t="s">
        <v>656</v>
      </c>
      <c r="BM166" s="0" t="s">
        <v>162</v>
      </c>
      <c r="BN166" s="0" t="s">
        <v>163</v>
      </c>
      <c r="BO166" s="0" t="s">
        <v>163</v>
      </c>
      <c r="BP166" s="0" t="s">
        <v>346</v>
      </c>
      <c r="BQ166" s="0" t="n">
        <v>40.741968</v>
      </c>
      <c r="BR166" s="0" t="n">
        <v>-73.985327</v>
      </c>
      <c r="BS166" s="0" t="s">
        <v>168</v>
      </c>
      <c r="BT166" s="0" t="n">
        <v>0</v>
      </c>
      <c r="BU166" s="0" t="s">
        <v>1480</v>
      </c>
      <c r="BV166" s="0" t="s">
        <v>1481</v>
      </c>
      <c r="BW166" s="0" t="s">
        <v>2915</v>
      </c>
      <c r="BX166" s="0" t="s">
        <v>2921</v>
      </c>
      <c r="BY166" s="0" t="s">
        <v>247</v>
      </c>
      <c r="BZ166" s="0" t="s">
        <v>2922</v>
      </c>
      <c r="CA166" s="0" t="s">
        <v>2923</v>
      </c>
      <c r="CC166" s="0" t="s">
        <v>738</v>
      </c>
      <c r="CE166" s="0" t="s">
        <v>162</v>
      </c>
      <c r="CH166" s="0" t="s">
        <v>163</v>
      </c>
      <c r="CJ166" s="0" t="s">
        <v>163</v>
      </c>
      <c r="CK166" s="0" t="s">
        <v>162</v>
      </c>
      <c r="CL166" s="0" t="s">
        <v>1330</v>
      </c>
      <c r="CM166" s="0" t="s">
        <v>2920</v>
      </c>
      <c r="CN166" s="0" t="s">
        <v>174</v>
      </c>
      <c r="CO166" s="0" t="n">
        <v>192</v>
      </c>
      <c r="CP166" s="0" t="s">
        <v>250</v>
      </c>
      <c r="CQ166" s="0" t="s">
        <v>1778</v>
      </c>
      <c r="CR166" s="0" t="s">
        <v>206</v>
      </c>
      <c r="CS166" s="0" t="n">
        <v>0.59</v>
      </c>
      <c r="CT166" s="0" t="n">
        <v>31.7</v>
      </c>
      <c r="CU166" s="0" t="n">
        <v>14.7</v>
      </c>
      <c r="CV166" s="0" t="n">
        <v>2</v>
      </c>
      <c r="CW166" s="0" t="n">
        <v>7</v>
      </c>
      <c r="CX166" s="0" t="n">
        <v>8</v>
      </c>
      <c r="CY166" s="0" t="n">
        <f aca="false">IF(AH166="exact",10,IF(AH166="adjacent",5,0))</f>
        <v>0</v>
      </c>
      <c r="CZ166" s="0" t="n">
        <f aca="false">IF(R166="Y",15,0)</f>
        <v>0</v>
      </c>
      <c r="DF166" s="0" t="s">
        <v>158</v>
      </c>
      <c r="DG166" s="0" t="s">
        <v>1335</v>
      </c>
      <c r="DH166" s="0" t="s">
        <v>1446</v>
      </c>
      <c r="DI166" s="0" t="s">
        <v>162</v>
      </c>
      <c r="DJ166" s="0" t="s">
        <v>1484</v>
      </c>
      <c r="DK166" s="0" t="s">
        <v>2924</v>
      </c>
      <c r="DS166" s="0" t="s">
        <v>158</v>
      </c>
      <c r="DX166" s="0" t="s">
        <v>162</v>
      </c>
      <c r="ER166" s="0" t="str">
        <f aca="false">IF(ISNUMBER(MATCH(U166,{"queued","contacted","replied","call_booked","call_done","yes_in_principle","materials_sent"},0)),"Y","N")</f>
        <v>N</v>
      </c>
      <c r="ES166" s="0" t="str">
        <f aca="false">IF(COUNTIFS($AP$2:$AP$1000,AP166,$ER$2:$ER$1000,"Y")+COUNTIFS($AP$2:$AP$1000,AP166,$T$2:$T$1000,"Y")&gt;0,"Y","N")</f>
        <v>N</v>
      </c>
      <c r="ET166" s="0" t="str">
        <f aca="false">IF(AND(U166="new",T166="N",AT166="Y",AS166="",ES166="N"),"Y","N")</f>
        <v>N</v>
      </c>
      <c r="EU166" s="0" t="str">
        <f aca="false">IF(ET166&lt;&gt;"Y","N",IF(COUNTIFS($AP$2:$AP$1000,AP166,$ET$2:$ET$1000,"Y",$J$2:$J$1000,"&gt;"&amp;J166)+COUNTIFS($AP$2:$AP$1000,AP166,$ET$2:$ET$1000,"Y",$J$2:$J$1000,J166,$EW$2:$EW$1000,"&lt;"&amp;EW166)=0,"Y","N"))</f>
        <v>N</v>
      </c>
      <c r="EV166" s="0" t="str">
        <f aca="false">IF(Y166="","N",IF(Y166&lt;=10,"Y","N"))</f>
        <v>N</v>
      </c>
      <c r="EW166" s="0" t="n">
        <f aca="false">ROW()-1</f>
        <v>165</v>
      </c>
    </row>
    <row r="167" customFormat="false" ht="15" hidden="false" customHeight="false" outlineLevel="0" collapsed="false">
      <c r="A167" s="0" t="s">
        <v>2925</v>
      </c>
      <c r="B167" s="0" t="s">
        <v>2926</v>
      </c>
      <c r="H167" s="5" t="s">
        <v>158</v>
      </c>
      <c r="I167" s="5" t="s">
        <v>159</v>
      </c>
      <c r="J167" s="0" t="n">
        <f aca="false">IF(AX167="pass",ROUND(CU167+CV167+CW167+CX167+CY167+CZ167,1),0)</f>
        <v>31.7</v>
      </c>
      <c r="K167" s="0" t="s">
        <v>2927</v>
      </c>
      <c r="L167" s="0" t="s">
        <v>187</v>
      </c>
      <c r="R167" s="5" t="s">
        <v>162</v>
      </c>
      <c r="S167" s="0" t="s">
        <v>163</v>
      </c>
      <c r="T167" s="5" t="s">
        <v>162</v>
      </c>
      <c r="U167" s="5" t="s">
        <v>561</v>
      </c>
      <c r="V167" s="0" t="s">
        <v>1164</v>
      </c>
      <c r="W167" s="0" t="s">
        <v>166</v>
      </c>
      <c r="X167" s="0" t="s">
        <v>167</v>
      </c>
      <c r="Y167" s="0" t="str">
        <f aca="false">IF(EU167&lt;&gt;"Y","",COUNTIFS($EU$2:$EU$1000,"Y",$J$2:$J$1000,"&gt;"&amp;J167)+COUNTIFS($EU$2:$EU$1000,"Y",$J$2:$J$1000,J167,$EW$2:$EW$1000,"&lt;"&amp;EW167)+1)</f>
        <v/>
      </c>
      <c r="Z167" s="0" t="n">
        <v>166</v>
      </c>
      <c r="AA167" s="0" t="s">
        <v>162</v>
      </c>
      <c r="AD167" s="0" t="s">
        <v>158</v>
      </c>
      <c r="AH167" s="5" t="s">
        <v>158</v>
      </c>
      <c r="AI167" s="0" t="s">
        <v>1167</v>
      </c>
      <c r="AJ167" s="0" t="s">
        <v>163</v>
      </c>
      <c r="AK167" s="0" t="s">
        <v>434</v>
      </c>
      <c r="AL167" s="0" t="n">
        <v>171</v>
      </c>
      <c r="AM167" s="0" t="n">
        <v>342</v>
      </c>
      <c r="AN167" s="0" t="s">
        <v>179</v>
      </c>
      <c r="AO167" s="0" t="s">
        <v>369</v>
      </c>
      <c r="AP167" s="0" t="s">
        <v>2925</v>
      </c>
      <c r="AQ167" s="5" t="s">
        <v>162</v>
      </c>
      <c r="AT167" s="0" t="str">
        <f aca="false">IF(AND(AX167="pass",AQ167&lt;&gt;"Y",C167&lt;&gt;"",OR(AW167&lt;&gt;"Y",AV167="Y")),"Y","N")</f>
        <v>N</v>
      </c>
      <c r="AU167" s="0" t="str">
        <f aca="false">_xlfn.TEXTJOIN("; ",TRUE(),IF(AX167&lt;&gt;"pass","gated out",""),IF(AQ167="Y","on hold: "&amp;AR167,""),IF(C167="","no contact named on an opened page",""),IF(AND(AW167="Y",AV167&lt;&gt;"Y"),"Tuesday estimate band "&amp;L167&amp;": founder's call",""))</f>
        <v>no contact named on an opened page</v>
      </c>
      <c r="AW167" s="0" t="s">
        <v>162</v>
      </c>
      <c r="AX167" s="0" t="s">
        <v>181</v>
      </c>
      <c r="AY167" s="0" t="s">
        <v>182</v>
      </c>
      <c r="AZ167" s="0" t="s">
        <v>1</v>
      </c>
      <c r="BA167" s="0" t="s">
        <v>2928</v>
      </c>
      <c r="BB167" s="0" t="s">
        <v>2929</v>
      </c>
      <c r="BC167" s="0" t="s">
        <v>2930</v>
      </c>
      <c r="BD167" s="0" t="s">
        <v>1737</v>
      </c>
      <c r="BF167" s="0" t="s">
        <v>1322</v>
      </c>
      <c r="BG167" s="0" t="s">
        <v>188</v>
      </c>
      <c r="BH167" s="0" t="s">
        <v>189</v>
      </c>
      <c r="BI167" s="0" t="s">
        <v>2931</v>
      </c>
      <c r="BK167" s="0" t="s">
        <v>1263</v>
      </c>
      <c r="BL167" s="0" t="s">
        <v>192</v>
      </c>
      <c r="BM167" s="0" t="s">
        <v>168</v>
      </c>
      <c r="BN167" s="0" t="s">
        <v>163</v>
      </c>
      <c r="BO167" s="0" t="s">
        <v>163</v>
      </c>
      <c r="BP167" s="0" t="s">
        <v>193</v>
      </c>
      <c r="BQ167" s="0" t="n">
        <v>40.734305</v>
      </c>
      <c r="BR167" s="0" t="n">
        <v>-73.991059</v>
      </c>
      <c r="BS167" s="0" t="s">
        <v>168</v>
      </c>
      <c r="BT167" s="0" t="n">
        <v>0</v>
      </c>
      <c r="BU167" s="0" t="s">
        <v>735</v>
      </c>
      <c r="BV167" s="0" t="s">
        <v>736</v>
      </c>
      <c r="BW167" s="0" t="s">
        <v>1164</v>
      </c>
      <c r="BX167" s="0" t="s">
        <v>1173</v>
      </c>
      <c r="BY167" s="0" t="s">
        <v>247</v>
      </c>
      <c r="CC167" s="0" t="s">
        <v>179</v>
      </c>
      <c r="CE167" s="0" t="s">
        <v>162</v>
      </c>
      <c r="CH167" s="0" t="s">
        <v>201</v>
      </c>
      <c r="CI167" s="0" t="s">
        <v>739</v>
      </c>
      <c r="CJ167" s="0" t="s">
        <v>163</v>
      </c>
      <c r="CK167" s="0" t="s">
        <v>162</v>
      </c>
      <c r="CL167" s="0" t="s">
        <v>715</v>
      </c>
      <c r="CM167" s="0" t="s">
        <v>2932</v>
      </c>
      <c r="CN167" s="0" t="s">
        <v>174</v>
      </c>
      <c r="CO167" s="0" t="n">
        <v>242</v>
      </c>
      <c r="CP167" s="0" t="s">
        <v>250</v>
      </c>
      <c r="CQ167" s="0" t="s">
        <v>2933</v>
      </c>
      <c r="CR167" s="0" t="s">
        <v>206</v>
      </c>
      <c r="CS167" s="0" t="n">
        <v>0.55</v>
      </c>
      <c r="CT167" s="0" t="n">
        <v>31.7</v>
      </c>
      <c r="CU167" s="0" t="n">
        <v>13.7</v>
      </c>
      <c r="CV167" s="0" t="n">
        <v>6</v>
      </c>
      <c r="CW167" s="0" t="n">
        <v>7</v>
      </c>
      <c r="CX167" s="0" t="n">
        <v>5</v>
      </c>
      <c r="CY167" s="0" t="n">
        <f aca="false">IF(AH167="exact",10,IF(AH167="adjacent",5,0))</f>
        <v>0</v>
      </c>
      <c r="CZ167" s="0" t="n">
        <f aca="false">IF(R167="Y",15,0)</f>
        <v>0</v>
      </c>
      <c r="DF167" s="0" t="s">
        <v>158</v>
      </c>
      <c r="DG167" s="0" t="s">
        <v>1335</v>
      </c>
      <c r="DH167" s="0" t="s">
        <v>1336</v>
      </c>
      <c r="DI167" s="0" t="s">
        <v>162</v>
      </c>
      <c r="DJ167" s="0" t="s">
        <v>2673</v>
      </c>
      <c r="DK167" s="0" t="s">
        <v>2934</v>
      </c>
      <c r="DS167" s="0" t="s">
        <v>158</v>
      </c>
      <c r="DX167" s="0" t="s">
        <v>162</v>
      </c>
      <c r="ER167" s="0" t="str">
        <f aca="false">IF(ISNUMBER(MATCH(U167,{"queued","contacted","replied","call_booked","call_done","yes_in_principle","materials_sent"},0)),"Y","N")</f>
        <v>N</v>
      </c>
      <c r="ES167" s="0" t="str">
        <f aca="false">IF(COUNTIFS($AP$2:$AP$1000,AP167,$ER$2:$ER$1000,"Y")+COUNTIFS($AP$2:$AP$1000,AP167,$T$2:$T$1000,"Y")&gt;0,"Y","N")</f>
        <v>N</v>
      </c>
      <c r="ET167" s="0" t="str">
        <f aca="false">IF(AND(U167="new",T167="N",AT167="Y",AS167="",ES167="N"),"Y","N")</f>
        <v>N</v>
      </c>
      <c r="EU167" s="0" t="str">
        <f aca="false">IF(ET167&lt;&gt;"Y","N",IF(COUNTIFS($AP$2:$AP$1000,AP167,$ET$2:$ET$1000,"Y",$J$2:$J$1000,"&gt;"&amp;J167)+COUNTIFS($AP$2:$AP$1000,AP167,$ET$2:$ET$1000,"Y",$J$2:$J$1000,J167,$EW$2:$EW$1000,"&lt;"&amp;EW167)=0,"Y","N"))</f>
        <v>N</v>
      </c>
      <c r="EV167" s="0" t="str">
        <f aca="false">IF(Y167="","N",IF(Y167&lt;=10,"Y","N"))</f>
        <v>N</v>
      </c>
      <c r="EW167" s="0" t="n">
        <f aca="false">ROW()-1</f>
        <v>166</v>
      </c>
    </row>
    <row r="168" customFormat="false" ht="15" hidden="false" customHeight="false" outlineLevel="0" collapsed="false">
      <c r="A168" s="0" t="s">
        <v>2935</v>
      </c>
      <c r="B168" s="0" t="s">
        <v>2936</v>
      </c>
      <c r="H168" s="5" t="s">
        <v>158</v>
      </c>
      <c r="I168" s="5" t="s">
        <v>159</v>
      </c>
      <c r="J168" s="0" t="n">
        <f aca="false">IF(AX168="pass",ROUND(CU168+CV168+CW168+CX168+CY168+CZ168,1),0)</f>
        <v>31</v>
      </c>
      <c r="K168" s="0" t="s">
        <v>2937</v>
      </c>
      <c r="L168" s="0" t="s">
        <v>163</v>
      </c>
      <c r="O168" s="0" t="s">
        <v>2938</v>
      </c>
      <c r="P168" s="0" t="s">
        <v>2939</v>
      </c>
      <c r="Q168" s="0" t="s">
        <v>2940</v>
      </c>
      <c r="R168" s="5" t="s">
        <v>162</v>
      </c>
      <c r="S168" s="0" t="s">
        <v>163</v>
      </c>
      <c r="T168" s="5" t="s">
        <v>162</v>
      </c>
      <c r="U168" s="5" t="s">
        <v>561</v>
      </c>
      <c r="V168" s="0" t="s">
        <v>2939</v>
      </c>
      <c r="W168" s="0" t="s">
        <v>166</v>
      </c>
      <c r="X168" s="0" t="s">
        <v>167</v>
      </c>
      <c r="Y168" s="0" t="str">
        <f aca="false">IF(EU168&lt;&gt;"Y","",COUNTIFS($EU$2:$EU$1000,"Y",$J$2:$J$1000,"&gt;"&amp;J168)+COUNTIFS($EU$2:$EU$1000,"Y",$J$2:$J$1000,J168,$EW$2:$EW$1000,"&lt;"&amp;EW168)+1)</f>
        <v/>
      </c>
      <c r="Z168" s="0" t="n">
        <v>167</v>
      </c>
      <c r="AA168" s="0" t="s">
        <v>162</v>
      </c>
      <c r="AD168" s="0" t="s">
        <v>158</v>
      </c>
      <c r="AH168" s="5" t="s">
        <v>158</v>
      </c>
      <c r="AI168" s="0" t="s">
        <v>727</v>
      </c>
      <c r="AJ168" s="0" t="s">
        <v>2941</v>
      </c>
      <c r="AK168" s="0" t="s">
        <v>434</v>
      </c>
      <c r="AL168" s="0" t="s">
        <v>163</v>
      </c>
      <c r="AM168" s="0" t="s">
        <v>163</v>
      </c>
      <c r="AN168" s="0" t="s">
        <v>158</v>
      </c>
      <c r="AO168" s="0" t="s">
        <v>163</v>
      </c>
      <c r="AP168" s="0" t="s">
        <v>2935</v>
      </c>
      <c r="AQ168" s="5" t="s">
        <v>162</v>
      </c>
      <c r="AT168" s="0" t="str">
        <f aca="false">IF(AND(AX168="pass",AQ168&lt;&gt;"Y",C168&lt;&gt;"",OR(AW168&lt;&gt;"Y",AV168="Y")),"Y","N")</f>
        <v>N</v>
      </c>
      <c r="AU168" s="0" t="str">
        <f aca="false">_xlfn.TEXTJOIN("; ",TRUE(),IF(AX168&lt;&gt;"pass","gated out",""),IF(AQ168="Y","on hold: "&amp;AR168,""),IF(C168="","no contact named on an opened page",""),IF(AND(AW168="Y",AV168&lt;&gt;"Y"),"Tuesday estimate band "&amp;L168&amp;": founder's call",""))</f>
        <v>no contact named on an opened page</v>
      </c>
      <c r="AW168" s="0" t="s">
        <v>162</v>
      </c>
      <c r="AX168" s="0" t="s">
        <v>181</v>
      </c>
      <c r="AY168" s="0" t="s">
        <v>182</v>
      </c>
      <c r="AZ168" s="0" t="s">
        <v>1</v>
      </c>
      <c r="BA168" s="0" t="s">
        <v>2942</v>
      </c>
      <c r="BB168" s="0" t="s">
        <v>2943</v>
      </c>
      <c r="BC168" s="0" t="s">
        <v>2944</v>
      </c>
      <c r="BD168" s="0" t="s">
        <v>163</v>
      </c>
      <c r="BF168" s="0" t="s">
        <v>163</v>
      </c>
      <c r="BG168" s="0" t="s">
        <v>163</v>
      </c>
      <c r="BH168" s="0" t="s">
        <v>2195</v>
      </c>
      <c r="BK168" s="0" t="s">
        <v>163</v>
      </c>
      <c r="BL168" s="0" t="s">
        <v>656</v>
      </c>
      <c r="BM168" s="0" t="s">
        <v>162</v>
      </c>
      <c r="BN168" s="0" t="s">
        <v>163</v>
      </c>
      <c r="BO168" s="0" t="s">
        <v>163</v>
      </c>
      <c r="BP168" s="0" t="s">
        <v>193</v>
      </c>
      <c r="BQ168" s="0" t="n">
        <v>40.734626</v>
      </c>
      <c r="BR168" s="0" t="n">
        <v>-73.9911</v>
      </c>
      <c r="BS168" s="0" t="s">
        <v>168</v>
      </c>
      <c r="BT168" s="0" t="n">
        <v>0</v>
      </c>
      <c r="BU168" s="0" t="s">
        <v>735</v>
      </c>
      <c r="BV168" s="0" t="s">
        <v>736</v>
      </c>
      <c r="BW168" s="0" t="s">
        <v>2939</v>
      </c>
      <c r="BX168" s="0" t="s">
        <v>2940</v>
      </c>
      <c r="BY168" s="0" t="s">
        <v>247</v>
      </c>
      <c r="BZ168" s="0" t="s">
        <v>2573</v>
      </c>
      <c r="CA168" s="0" t="s">
        <v>912</v>
      </c>
      <c r="CC168" s="0" t="s">
        <v>200</v>
      </c>
      <c r="CE168" s="0" t="s">
        <v>162</v>
      </c>
      <c r="CH168" s="0" t="s">
        <v>201</v>
      </c>
      <c r="CI168" s="0" t="s">
        <v>739</v>
      </c>
      <c r="CJ168" s="0" t="s">
        <v>163</v>
      </c>
      <c r="CK168" s="0" t="s">
        <v>162</v>
      </c>
      <c r="CL168" s="0" t="s">
        <v>163</v>
      </c>
      <c r="CO168" s="0" t="s">
        <v>163</v>
      </c>
      <c r="CQ168" s="0" t="s">
        <v>2196</v>
      </c>
      <c r="CR168" s="0" t="s">
        <v>206</v>
      </c>
      <c r="CS168" s="0" t="s">
        <v>163</v>
      </c>
      <c r="CT168" s="0" t="n">
        <v>31</v>
      </c>
      <c r="CU168" s="0" t="n">
        <v>7</v>
      </c>
      <c r="CV168" s="0" t="n">
        <v>8</v>
      </c>
      <c r="CW168" s="0" t="n">
        <v>6</v>
      </c>
      <c r="CX168" s="0" t="n">
        <v>10</v>
      </c>
      <c r="CY168" s="0" t="n">
        <f aca="false">IF(AH168="exact",10,IF(AH168="adjacent",5,0))</f>
        <v>0</v>
      </c>
      <c r="CZ168" s="0" t="n">
        <f aca="false">IF(R168="Y",15,0)</f>
        <v>0</v>
      </c>
      <c r="DF168" s="0" t="s">
        <v>158</v>
      </c>
      <c r="DG168" s="0" t="s">
        <v>211</v>
      </c>
      <c r="DJ168" s="0" t="s">
        <v>2945</v>
      </c>
      <c r="DK168" s="0" t="s">
        <v>2946</v>
      </c>
      <c r="DS168" s="0" t="s">
        <v>158</v>
      </c>
      <c r="DX168" s="0" t="s">
        <v>162</v>
      </c>
      <c r="ER168" s="0" t="str">
        <f aca="false">IF(ISNUMBER(MATCH(U168,{"queued","contacted","replied","call_booked","call_done","yes_in_principle","materials_sent"},0)),"Y","N")</f>
        <v>N</v>
      </c>
      <c r="ES168" s="0" t="str">
        <f aca="false">IF(COUNTIFS($AP$2:$AP$1000,AP168,$ER$2:$ER$1000,"Y")+COUNTIFS($AP$2:$AP$1000,AP168,$T$2:$T$1000,"Y")&gt;0,"Y","N")</f>
        <v>N</v>
      </c>
      <c r="ET168" s="0" t="str">
        <f aca="false">IF(AND(U168="new",T168="N",AT168="Y",AS168="",ES168="N"),"Y","N")</f>
        <v>N</v>
      </c>
      <c r="EU168" s="0" t="str">
        <f aca="false">IF(ET168&lt;&gt;"Y","N",IF(COUNTIFS($AP$2:$AP$1000,AP168,$ET$2:$ET$1000,"Y",$J$2:$J$1000,"&gt;"&amp;J168)+COUNTIFS($AP$2:$AP$1000,AP168,$ET$2:$ET$1000,"Y",$J$2:$J$1000,J168,$EW$2:$EW$1000,"&lt;"&amp;EW168)=0,"Y","N"))</f>
        <v>N</v>
      </c>
      <c r="EV168" s="0" t="str">
        <f aca="false">IF(Y168="","N",IF(Y168&lt;=10,"Y","N"))</f>
        <v>N</v>
      </c>
      <c r="EW168" s="0" t="n">
        <f aca="false">ROW()-1</f>
        <v>167</v>
      </c>
    </row>
    <row r="169" customFormat="false" ht="15" hidden="false" customHeight="false" outlineLevel="0" collapsed="false">
      <c r="A169" s="0" t="s">
        <v>2947</v>
      </c>
      <c r="B169" s="0" t="s">
        <v>2948</v>
      </c>
      <c r="H169" s="5" t="s">
        <v>158</v>
      </c>
      <c r="I169" s="5" t="s">
        <v>159</v>
      </c>
      <c r="J169" s="0" t="n">
        <f aca="false">IF(AX169="pass",ROUND(CU169+CV169+CW169+CX169+CY169+CZ169,1),0)</f>
        <v>30.8</v>
      </c>
      <c r="K169" s="0" t="s">
        <v>2949</v>
      </c>
      <c r="L169" s="0" t="s">
        <v>560</v>
      </c>
      <c r="R169" s="5" t="s">
        <v>162</v>
      </c>
      <c r="S169" s="0" t="s">
        <v>163</v>
      </c>
      <c r="T169" s="5" t="s">
        <v>162</v>
      </c>
      <c r="U169" s="5" t="s">
        <v>561</v>
      </c>
      <c r="V169" s="0" t="s">
        <v>2608</v>
      </c>
      <c r="W169" s="0" t="s">
        <v>166</v>
      </c>
      <c r="X169" s="0" t="s">
        <v>167</v>
      </c>
      <c r="Y169" s="0" t="str">
        <f aca="false">IF(EU169&lt;&gt;"Y","",COUNTIFS($EU$2:$EU$1000,"Y",$J$2:$J$1000,"&gt;"&amp;J169)+COUNTIFS($EU$2:$EU$1000,"Y",$J$2:$J$1000,J169,$EW$2:$EW$1000,"&lt;"&amp;EW169)+1)</f>
        <v/>
      </c>
      <c r="Z169" s="0" t="n">
        <v>168</v>
      </c>
      <c r="AA169" s="0" t="s">
        <v>162</v>
      </c>
      <c r="AB169" s="0" t="s">
        <v>1561</v>
      </c>
      <c r="AD169" s="0" t="s">
        <v>158</v>
      </c>
      <c r="AH169" s="5" t="s">
        <v>158</v>
      </c>
      <c r="AI169" s="0" t="s">
        <v>2609</v>
      </c>
      <c r="AJ169" s="0" t="s">
        <v>163</v>
      </c>
      <c r="AK169" s="0" t="s">
        <v>434</v>
      </c>
      <c r="AL169" s="0" t="n">
        <v>2</v>
      </c>
      <c r="AM169" s="0" t="n">
        <v>44</v>
      </c>
      <c r="AN169" s="0" t="s">
        <v>179</v>
      </c>
      <c r="AO169" s="0" t="s">
        <v>369</v>
      </c>
      <c r="AP169" s="0" t="s">
        <v>2947</v>
      </c>
      <c r="AQ169" s="5" t="s">
        <v>162</v>
      </c>
      <c r="AT169" s="0" t="str">
        <f aca="false">IF(AND(AX169="pass",AQ169&lt;&gt;"Y",C169&lt;&gt;"",OR(AW169&lt;&gt;"Y",AV169="Y")),"Y","N")</f>
        <v>N</v>
      </c>
      <c r="AU169" s="0" t="str">
        <f aca="false">_xlfn.TEXTJOIN("; ",TRUE(),IF(AX169&lt;&gt;"pass","gated out",""),IF(AQ169="Y","on hold: "&amp;AR169,""),IF(C169="","no contact named on an opened page",""),IF(AND(AW169="Y",AV169&lt;&gt;"Y"),"Tuesday estimate band "&amp;L169&amp;": founder's call",""))</f>
        <v>no contact named on an opened page; Tuesday estimate band under-40: founder's call</v>
      </c>
      <c r="AW169" s="0" t="s">
        <v>168</v>
      </c>
      <c r="AX169" s="0" t="s">
        <v>181</v>
      </c>
      <c r="AY169" s="0" t="s">
        <v>182</v>
      </c>
      <c r="AZ169" s="0" t="s">
        <v>1</v>
      </c>
      <c r="BA169" s="0" t="s">
        <v>2950</v>
      </c>
      <c r="BB169" s="0" t="s">
        <v>2951</v>
      </c>
      <c r="BC169" s="0" t="s">
        <v>2952</v>
      </c>
      <c r="BD169" s="0" t="s">
        <v>1219</v>
      </c>
      <c r="BF169" s="0" t="s">
        <v>394</v>
      </c>
      <c r="BG169" s="0" t="s">
        <v>188</v>
      </c>
      <c r="BH169" s="0" t="s">
        <v>189</v>
      </c>
      <c r="BI169" s="0" t="s">
        <v>2953</v>
      </c>
      <c r="BK169" s="0" t="s">
        <v>191</v>
      </c>
      <c r="BL169" s="0" t="s">
        <v>2954</v>
      </c>
      <c r="BM169" s="0" t="s">
        <v>162</v>
      </c>
      <c r="BN169" s="0" t="s">
        <v>163</v>
      </c>
      <c r="BO169" s="0" t="s">
        <v>163</v>
      </c>
      <c r="BP169" s="0" t="s">
        <v>377</v>
      </c>
      <c r="BQ169" s="0" t="n">
        <v>40.738186</v>
      </c>
      <c r="BR169" s="0" t="n">
        <v>-73.992429</v>
      </c>
      <c r="BS169" s="0" t="s">
        <v>168</v>
      </c>
      <c r="BT169" s="0" t="n">
        <v>0</v>
      </c>
      <c r="BU169" s="0" t="s">
        <v>2612</v>
      </c>
      <c r="BV169" s="0" t="s">
        <v>2609</v>
      </c>
      <c r="BW169" s="0" t="s">
        <v>2608</v>
      </c>
      <c r="BX169" s="0" t="s">
        <v>2613</v>
      </c>
      <c r="BY169" s="0" t="s">
        <v>247</v>
      </c>
      <c r="CC169" s="0" t="s">
        <v>738</v>
      </c>
      <c r="CE169" s="0" t="s">
        <v>162</v>
      </c>
      <c r="CH169" s="0" t="s">
        <v>163</v>
      </c>
      <c r="CJ169" s="0" t="s">
        <v>163</v>
      </c>
      <c r="CK169" s="0" t="s">
        <v>162</v>
      </c>
      <c r="CL169" s="0" t="s">
        <v>1685</v>
      </c>
      <c r="CM169" s="0" t="s">
        <v>2955</v>
      </c>
      <c r="CN169" s="0" t="s">
        <v>174</v>
      </c>
      <c r="CO169" s="0" t="n">
        <v>9</v>
      </c>
      <c r="CP169" s="0" t="s">
        <v>1726</v>
      </c>
      <c r="CQ169" s="0" t="s">
        <v>2956</v>
      </c>
      <c r="CR169" s="0" t="s">
        <v>206</v>
      </c>
      <c r="CS169" s="0" t="n">
        <v>0.03</v>
      </c>
      <c r="CT169" s="0" t="n">
        <v>30.8</v>
      </c>
      <c r="CU169" s="0" t="n">
        <v>0.8</v>
      </c>
      <c r="CV169" s="0" t="n">
        <v>15</v>
      </c>
      <c r="CW169" s="0" t="n">
        <v>7</v>
      </c>
      <c r="CX169" s="0" t="n">
        <v>8</v>
      </c>
      <c r="CY169" s="0" t="n">
        <f aca="false">IF(AH169="exact",10,IF(AH169="adjacent",5,0))</f>
        <v>0</v>
      </c>
      <c r="CZ169" s="0" t="n">
        <f aca="false">IF(R169="Y",15,0)</f>
        <v>0</v>
      </c>
      <c r="DF169" s="0" t="s">
        <v>158</v>
      </c>
      <c r="DG169" s="0" t="s">
        <v>211</v>
      </c>
      <c r="DJ169" s="0" t="s">
        <v>2957</v>
      </c>
      <c r="DK169" s="0" t="s">
        <v>2958</v>
      </c>
      <c r="DS169" s="0" t="s">
        <v>158</v>
      </c>
      <c r="DX169" s="0" t="s">
        <v>162</v>
      </c>
      <c r="ER169" s="0" t="str">
        <f aca="false">IF(ISNUMBER(MATCH(U169,{"queued","contacted","replied","call_booked","call_done","yes_in_principle","materials_sent"},0)),"Y","N")</f>
        <v>N</v>
      </c>
      <c r="ES169" s="0" t="str">
        <f aca="false">IF(COUNTIFS($AP$2:$AP$1000,AP169,$ER$2:$ER$1000,"Y")+COUNTIFS($AP$2:$AP$1000,AP169,$T$2:$T$1000,"Y")&gt;0,"Y","N")</f>
        <v>N</v>
      </c>
      <c r="ET169" s="0" t="str">
        <f aca="false">IF(AND(U169="new",T169="N",AT169="Y",AS169="",ES169="N"),"Y","N")</f>
        <v>N</v>
      </c>
      <c r="EU169" s="0" t="str">
        <f aca="false">IF(ET169&lt;&gt;"Y","N",IF(COUNTIFS($AP$2:$AP$1000,AP169,$ET$2:$ET$1000,"Y",$J$2:$J$1000,"&gt;"&amp;J169)+COUNTIFS($AP$2:$AP$1000,AP169,$ET$2:$ET$1000,"Y",$J$2:$J$1000,J169,$EW$2:$EW$1000,"&lt;"&amp;EW169)=0,"Y","N"))</f>
        <v>N</v>
      </c>
      <c r="EV169" s="0" t="str">
        <f aca="false">IF(Y169="","N",IF(Y169&lt;=10,"Y","N"))</f>
        <v>N</v>
      </c>
      <c r="EW169" s="0" t="n">
        <f aca="false">ROW()-1</f>
        <v>168</v>
      </c>
    </row>
    <row r="170" customFormat="false" ht="15" hidden="false" customHeight="false" outlineLevel="0" collapsed="false">
      <c r="A170" s="0" t="s">
        <v>2959</v>
      </c>
      <c r="B170" s="0" t="s">
        <v>2960</v>
      </c>
      <c r="H170" s="5" t="s">
        <v>158</v>
      </c>
      <c r="I170" s="5" t="s">
        <v>159</v>
      </c>
      <c r="J170" s="0" t="n">
        <f aca="false">IF(AX170="pass",ROUND(CU170+CV170+CW170+CX170+CY170+CZ170,1),0)</f>
        <v>30.6</v>
      </c>
      <c r="K170" s="0" t="s">
        <v>2961</v>
      </c>
      <c r="L170" s="0" t="s">
        <v>187</v>
      </c>
      <c r="R170" s="5" t="s">
        <v>162</v>
      </c>
      <c r="S170" s="0" t="s">
        <v>163</v>
      </c>
      <c r="T170" s="5" t="s">
        <v>162</v>
      </c>
      <c r="U170" s="5" t="s">
        <v>561</v>
      </c>
      <c r="V170" s="0" t="s">
        <v>2962</v>
      </c>
      <c r="W170" s="0" t="s">
        <v>166</v>
      </c>
      <c r="X170" s="0" t="s">
        <v>167</v>
      </c>
      <c r="Y170" s="0" t="str">
        <f aca="false">IF(EU170&lt;&gt;"Y","",COUNTIFS($EU$2:$EU$1000,"Y",$J$2:$J$1000,"&gt;"&amp;J170)+COUNTIFS($EU$2:$EU$1000,"Y",$J$2:$J$1000,J170,$EW$2:$EW$1000,"&lt;"&amp;EW170)+1)</f>
        <v/>
      </c>
      <c r="Z170" s="0" t="n">
        <v>169</v>
      </c>
      <c r="AA170" s="0" t="s">
        <v>162</v>
      </c>
      <c r="AD170" s="0" t="s">
        <v>158</v>
      </c>
      <c r="AH170" s="5" t="s">
        <v>158</v>
      </c>
      <c r="AI170" s="0" t="s">
        <v>649</v>
      </c>
      <c r="AJ170" s="0" t="s">
        <v>783</v>
      </c>
      <c r="AK170" s="0" t="s">
        <v>178</v>
      </c>
      <c r="AL170" s="0" t="n">
        <v>74</v>
      </c>
      <c r="AM170" s="0" t="n">
        <v>380</v>
      </c>
      <c r="AN170" s="0" t="s">
        <v>179</v>
      </c>
      <c r="AO170" s="0" t="s">
        <v>1032</v>
      </c>
      <c r="AP170" s="0" t="s">
        <v>2959</v>
      </c>
      <c r="AQ170" s="5" t="s">
        <v>162</v>
      </c>
      <c r="AT170" s="0" t="str">
        <f aca="false">IF(AND(AX170="pass",AQ170&lt;&gt;"Y",C170&lt;&gt;"",OR(AW170&lt;&gt;"Y",AV170="Y")),"Y","N")</f>
        <v>N</v>
      </c>
      <c r="AU170" s="0" t="str">
        <f aca="false">_xlfn.TEXTJOIN("; ",TRUE(),IF(AX170&lt;&gt;"pass","gated out",""),IF(AQ170="Y","on hold: "&amp;AR170,""),IF(C170="","no contact named on an opened page",""),IF(AND(AW170="Y",AV170&lt;&gt;"Y"),"Tuesday estimate band "&amp;L170&amp;": founder's call",""))</f>
        <v>no contact named on an opened page</v>
      </c>
      <c r="AW170" s="0" t="s">
        <v>162</v>
      </c>
      <c r="AX170" s="0" t="s">
        <v>181</v>
      </c>
      <c r="AY170" s="0" t="s">
        <v>182</v>
      </c>
      <c r="AZ170" s="0" t="s">
        <v>1</v>
      </c>
      <c r="BA170" s="0" t="s">
        <v>2963</v>
      </c>
      <c r="BB170" s="0" t="s">
        <v>2964</v>
      </c>
      <c r="BC170" s="0" t="s">
        <v>2965</v>
      </c>
      <c r="BD170" s="0" t="s">
        <v>2966</v>
      </c>
      <c r="BE170" s="0" t="s">
        <v>2967</v>
      </c>
      <c r="BF170" s="0" t="s">
        <v>1322</v>
      </c>
      <c r="BG170" s="0" t="s">
        <v>188</v>
      </c>
      <c r="BH170" s="0" t="s">
        <v>1323</v>
      </c>
      <c r="BI170" s="0" t="s">
        <v>2968</v>
      </c>
      <c r="BJ170" s="0" t="s">
        <v>2969</v>
      </c>
      <c r="BK170" s="0" t="s">
        <v>1263</v>
      </c>
      <c r="BL170" s="0" t="s">
        <v>192</v>
      </c>
      <c r="BM170" s="0" t="s">
        <v>168</v>
      </c>
      <c r="BN170" s="0" t="s">
        <v>2970</v>
      </c>
      <c r="BO170" s="0" t="s">
        <v>163</v>
      </c>
      <c r="BP170" s="0" t="s">
        <v>193</v>
      </c>
      <c r="BQ170" s="0" t="n">
        <v>40.733674</v>
      </c>
      <c r="BR170" s="0" t="n">
        <v>-73.988766</v>
      </c>
      <c r="BS170" s="0" t="s">
        <v>168</v>
      </c>
      <c r="BT170" s="0" t="n">
        <v>0</v>
      </c>
      <c r="BU170" s="0" t="s">
        <v>657</v>
      </c>
      <c r="BV170" s="0" t="s">
        <v>658</v>
      </c>
      <c r="BW170" s="0" t="s">
        <v>2962</v>
      </c>
      <c r="BX170" s="0" t="s">
        <v>174</v>
      </c>
      <c r="BY170" s="0" t="s">
        <v>196</v>
      </c>
      <c r="BZ170" s="0" t="s">
        <v>2459</v>
      </c>
      <c r="CA170" s="0" t="s">
        <v>2460</v>
      </c>
      <c r="CC170" s="0" t="s">
        <v>200</v>
      </c>
      <c r="CE170" s="0" t="s">
        <v>162</v>
      </c>
      <c r="CH170" s="0" t="s">
        <v>163</v>
      </c>
      <c r="CJ170" s="0" t="s">
        <v>163</v>
      </c>
      <c r="CK170" s="0" t="s">
        <v>162</v>
      </c>
      <c r="CL170" s="0" t="s">
        <v>2971</v>
      </c>
      <c r="CM170" s="0" t="s">
        <v>2972</v>
      </c>
      <c r="CN170" s="0" t="s">
        <v>174</v>
      </c>
      <c r="CO170" s="0" t="n">
        <v>168</v>
      </c>
      <c r="CP170" s="0" t="s">
        <v>250</v>
      </c>
      <c r="CQ170" s="0" t="s">
        <v>2973</v>
      </c>
      <c r="CR170" s="0" t="s">
        <v>206</v>
      </c>
      <c r="CS170" s="0" t="n">
        <v>0.74</v>
      </c>
      <c r="CT170" s="0" t="n">
        <v>30.6</v>
      </c>
      <c r="CU170" s="0" t="n">
        <v>18.6</v>
      </c>
      <c r="CV170" s="0" t="n">
        <v>2</v>
      </c>
      <c r="CW170" s="0" t="n">
        <v>-5</v>
      </c>
      <c r="CX170" s="0" t="n">
        <v>15</v>
      </c>
      <c r="CY170" s="0" t="n">
        <f aca="false">IF(AH170="exact",10,IF(AH170="adjacent",5,0))</f>
        <v>0</v>
      </c>
      <c r="CZ170" s="0" t="n">
        <f aca="false">IF(R170="Y",15,0)</f>
        <v>0</v>
      </c>
      <c r="DF170" s="0" t="s">
        <v>158</v>
      </c>
      <c r="DG170" s="0" t="s">
        <v>1335</v>
      </c>
      <c r="DH170" s="0" t="s">
        <v>1336</v>
      </c>
      <c r="DI170" s="0" t="s">
        <v>162</v>
      </c>
      <c r="DJ170" s="0" t="s">
        <v>2974</v>
      </c>
      <c r="DK170" s="0" t="s">
        <v>2975</v>
      </c>
      <c r="DS170" s="0" t="s">
        <v>158</v>
      </c>
      <c r="DX170" s="0" t="s">
        <v>162</v>
      </c>
      <c r="ER170" s="0" t="str">
        <f aca="false">IF(ISNUMBER(MATCH(U170,{"queued","contacted","replied","call_booked","call_done","yes_in_principle","materials_sent"},0)),"Y","N")</f>
        <v>N</v>
      </c>
      <c r="ES170" s="0" t="str">
        <f aca="false">IF(COUNTIFS($AP$2:$AP$1000,AP170,$ER$2:$ER$1000,"Y")+COUNTIFS($AP$2:$AP$1000,AP170,$T$2:$T$1000,"Y")&gt;0,"Y","N")</f>
        <v>N</v>
      </c>
      <c r="ET170" s="0" t="str">
        <f aca="false">IF(AND(U170="new",T170="N",AT170="Y",AS170="",ES170="N"),"Y","N")</f>
        <v>N</v>
      </c>
      <c r="EU170" s="0" t="str">
        <f aca="false">IF(ET170&lt;&gt;"Y","N",IF(COUNTIFS($AP$2:$AP$1000,AP170,$ET$2:$ET$1000,"Y",$J$2:$J$1000,"&gt;"&amp;J170)+COUNTIFS($AP$2:$AP$1000,AP170,$ET$2:$ET$1000,"Y",$J$2:$J$1000,J170,$EW$2:$EW$1000,"&lt;"&amp;EW170)=0,"Y","N"))</f>
        <v>N</v>
      </c>
      <c r="EV170" s="0" t="str">
        <f aca="false">IF(Y170="","N",IF(Y170&lt;=10,"Y","N"))</f>
        <v>N</v>
      </c>
      <c r="EW170" s="0" t="n">
        <f aca="false">ROW()-1</f>
        <v>169</v>
      </c>
    </row>
    <row r="171" customFormat="false" ht="15" hidden="false" customHeight="false" outlineLevel="0" collapsed="false">
      <c r="A171" s="0" t="s">
        <v>2976</v>
      </c>
      <c r="B171" s="0" t="s">
        <v>2977</v>
      </c>
      <c r="H171" s="5" t="s">
        <v>158</v>
      </c>
      <c r="I171" s="5" t="s">
        <v>159</v>
      </c>
      <c r="J171" s="0" t="n">
        <f aca="false">IF(AX171="pass",ROUND(CU171+CV171+CW171+CX171+CY171+CZ171,1),0)</f>
        <v>30</v>
      </c>
      <c r="K171" s="0" t="s">
        <v>2978</v>
      </c>
      <c r="L171" s="0" t="s">
        <v>163</v>
      </c>
      <c r="R171" s="5" t="s">
        <v>162</v>
      </c>
      <c r="S171" s="0" t="s">
        <v>163</v>
      </c>
      <c r="T171" s="5" t="s">
        <v>162</v>
      </c>
      <c r="U171" s="5" t="s">
        <v>561</v>
      </c>
      <c r="V171" s="0" t="s">
        <v>1869</v>
      </c>
      <c r="W171" s="0" t="s">
        <v>166</v>
      </c>
      <c r="X171" s="0" t="s">
        <v>167</v>
      </c>
      <c r="Y171" s="0" t="str">
        <f aca="false">IF(EU171&lt;&gt;"Y","",COUNTIFS($EU$2:$EU$1000,"Y",$J$2:$J$1000,"&gt;"&amp;J171)+COUNTIFS($EU$2:$EU$1000,"Y",$J$2:$J$1000,J171,$EW$2:$EW$1000,"&lt;"&amp;EW171)+1)</f>
        <v/>
      </c>
      <c r="Z171" s="0" t="n">
        <v>170</v>
      </c>
      <c r="AA171" s="0" t="s">
        <v>162</v>
      </c>
      <c r="AD171" s="0" t="s">
        <v>158</v>
      </c>
      <c r="AH171" s="5" t="s">
        <v>158</v>
      </c>
      <c r="AI171" s="0" t="s">
        <v>1870</v>
      </c>
      <c r="AJ171" s="0" t="s">
        <v>163</v>
      </c>
      <c r="AK171" s="0" t="s">
        <v>178</v>
      </c>
      <c r="AL171" s="0" t="s">
        <v>163</v>
      </c>
      <c r="AM171" s="0" t="s">
        <v>163</v>
      </c>
      <c r="AN171" s="0" t="s">
        <v>158</v>
      </c>
      <c r="AO171" s="0" t="s">
        <v>163</v>
      </c>
      <c r="AP171" s="0" t="s">
        <v>2976</v>
      </c>
      <c r="AQ171" s="5" t="s">
        <v>162</v>
      </c>
      <c r="AT171" s="0" t="str">
        <f aca="false">IF(AND(AX171="pass",AQ171&lt;&gt;"Y",C171&lt;&gt;"",OR(AW171&lt;&gt;"Y",AV171="Y")),"Y","N")</f>
        <v>N</v>
      </c>
      <c r="AU171" s="0" t="str">
        <f aca="false">_xlfn.TEXTJOIN("; ",TRUE(),IF(AX171&lt;&gt;"pass","gated out",""),IF(AQ171="Y","on hold: "&amp;AR171,""),IF(C171="","no contact named on an opened page",""),IF(AND(AW171="Y",AV171&lt;&gt;"Y"),"Tuesday estimate band "&amp;L171&amp;": founder's call",""))</f>
        <v>no contact named on an opened page</v>
      </c>
      <c r="AW171" s="0" t="s">
        <v>162</v>
      </c>
      <c r="AX171" s="0" t="s">
        <v>181</v>
      </c>
      <c r="AY171" s="0" t="s">
        <v>182</v>
      </c>
      <c r="AZ171" s="0" t="s">
        <v>1</v>
      </c>
      <c r="BA171" s="0" t="s">
        <v>2979</v>
      </c>
      <c r="BB171" s="0" t="s">
        <v>2980</v>
      </c>
      <c r="BC171" s="0" t="s">
        <v>2981</v>
      </c>
      <c r="BD171" s="0" t="s">
        <v>163</v>
      </c>
      <c r="BF171" s="0" t="s">
        <v>163</v>
      </c>
      <c r="BG171" s="0" t="s">
        <v>163</v>
      </c>
      <c r="BH171" s="0" t="s">
        <v>2195</v>
      </c>
      <c r="BK171" s="0" t="s">
        <v>163</v>
      </c>
      <c r="BL171" s="0" t="s">
        <v>163</v>
      </c>
      <c r="BM171" s="0" t="s">
        <v>163</v>
      </c>
      <c r="BN171" s="0" t="s">
        <v>2982</v>
      </c>
      <c r="BO171" s="0" t="s">
        <v>163</v>
      </c>
      <c r="BP171" s="0" t="s">
        <v>377</v>
      </c>
      <c r="BQ171" s="0" t="n">
        <v>40.738793</v>
      </c>
      <c r="BR171" s="0" t="n">
        <v>-73.991823</v>
      </c>
      <c r="BS171" s="0" t="s">
        <v>168</v>
      </c>
      <c r="BT171" s="0" t="n">
        <v>0</v>
      </c>
      <c r="BU171" s="0" t="s">
        <v>1878</v>
      </c>
      <c r="BV171" s="0" t="s">
        <v>1879</v>
      </c>
      <c r="BW171" s="0" t="s">
        <v>1869</v>
      </c>
      <c r="BX171" s="0" t="s">
        <v>1880</v>
      </c>
      <c r="BY171" s="0" t="s">
        <v>247</v>
      </c>
      <c r="CC171" s="0" t="s">
        <v>738</v>
      </c>
      <c r="CE171" s="0" t="s">
        <v>162</v>
      </c>
      <c r="CH171" s="0" t="s">
        <v>163</v>
      </c>
      <c r="CJ171" s="0" t="s">
        <v>163</v>
      </c>
      <c r="CK171" s="0" t="s">
        <v>162</v>
      </c>
      <c r="CL171" s="0" t="s">
        <v>163</v>
      </c>
      <c r="CO171" s="0" t="s">
        <v>163</v>
      </c>
      <c r="CQ171" s="0" t="s">
        <v>2196</v>
      </c>
      <c r="CR171" s="0" t="s">
        <v>206</v>
      </c>
      <c r="CS171" s="0" t="s">
        <v>163</v>
      </c>
      <c r="CT171" s="0" t="n">
        <v>30</v>
      </c>
      <c r="CU171" s="0" t="n">
        <v>7</v>
      </c>
      <c r="CV171" s="0" t="n">
        <v>4</v>
      </c>
      <c r="CW171" s="0" t="n">
        <v>6</v>
      </c>
      <c r="CX171" s="0" t="n">
        <v>13</v>
      </c>
      <c r="CY171" s="0" t="n">
        <f aca="false">IF(AH171="exact",10,IF(AH171="adjacent",5,0))</f>
        <v>0</v>
      </c>
      <c r="CZ171" s="0" t="n">
        <f aca="false">IF(R171="Y",15,0)</f>
        <v>0</v>
      </c>
      <c r="DF171" s="0" t="s">
        <v>158</v>
      </c>
      <c r="DG171" s="0" t="s">
        <v>211</v>
      </c>
      <c r="DJ171" s="0" t="s">
        <v>2983</v>
      </c>
      <c r="DK171" s="0" t="s">
        <v>2984</v>
      </c>
      <c r="DS171" s="0" t="s">
        <v>158</v>
      </c>
      <c r="DX171" s="0" t="s">
        <v>162</v>
      </c>
      <c r="ER171" s="0" t="str">
        <f aca="false">IF(ISNUMBER(MATCH(U171,{"queued","contacted","replied","call_booked","call_done","yes_in_principle","materials_sent"},0)),"Y","N")</f>
        <v>N</v>
      </c>
      <c r="ES171" s="0" t="str">
        <f aca="false">IF(COUNTIFS($AP$2:$AP$1000,AP171,$ER$2:$ER$1000,"Y")+COUNTIFS($AP$2:$AP$1000,AP171,$T$2:$T$1000,"Y")&gt;0,"Y","N")</f>
        <v>N</v>
      </c>
      <c r="ET171" s="0" t="str">
        <f aca="false">IF(AND(U171="new",T171="N",AT171="Y",AS171="",ES171="N"),"Y","N")</f>
        <v>N</v>
      </c>
      <c r="EU171" s="0" t="str">
        <f aca="false">IF(ET171&lt;&gt;"Y","N",IF(COUNTIFS($AP$2:$AP$1000,AP171,$ET$2:$ET$1000,"Y",$J$2:$J$1000,"&gt;"&amp;J171)+COUNTIFS($AP$2:$AP$1000,AP171,$ET$2:$ET$1000,"Y",$J$2:$J$1000,J171,$EW$2:$EW$1000,"&lt;"&amp;EW171)=0,"Y","N"))</f>
        <v>N</v>
      </c>
      <c r="EV171" s="0" t="str">
        <f aca="false">IF(Y171="","N",IF(Y171&lt;=10,"Y","N"))</f>
        <v>N</v>
      </c>
      <c r="EW171" s="0" t="n">
        <f aca="false">ROW()-1</f>
        <v>170</v>
      </c>
    </row>
    <row r="172" customFormat="false" ht="15" hidden="false" customHeight="false" outlineLevel="0" collapsed="false">
      <c r="A172" s="0" t="s">
        <v>2985</v>
      </c>
      <c r="B172" s="0" t="s">
        <v>2986</v>
      </c>
      <c r="H172" s="5" t="s">
        <v>158</v>
      </c>
      <c r="I172" s="5" t="s">
        <v>159</v>
      </c>
      <c r="J172" s="0" t="n">
        <f aca="false">IF(AX172="pass",ROUND(CU172+CV172+CW172+CX172+CY172+CZ172,1),0)</f>
        <v>30</v>
      </c>
      <c r="K172" s="0" t="s">
        <v>2987</v>
      </c>
      <c r="L172" s="0" t="s">
        <v>163</v>
      </c>
      <c r="R172" s="5" t="s">
        <v>162</v>
      </c>
      <c r="S172" s="0" t="s">
        <v>163</v>
      </c>
      <c r="T172" s="5" t="s">
        <v>162</v>
      </c>
      <c r="U172" s="5" t="s">
        <v>561</v>
      </c>
      <c r="V172" s="0" t="s">
        <v>2988</v>
      </c>
      <c r="W172" s="0" t="s">
        <v>166</v>
      </c>
      <c r="X172" s="0" t="s">
        <v>167</v>
      </c>
      <c r="Y172" s="0" t="str">
        <f aca="false">IF(EU172&lt;&gt;"Y","",COUNTIFS($EU$2:$EU$1000,"Y",$J$2:$J$1000,"&gt;"&amp;J172)+COUNTIFS($EU$2:$EU$1000,"Y",$J$2:$J$1000,J172,$EW$2:$EW$1000,"&lt;"&amp;EW172)+1)</f>
        <v/>
      </c>
      <c r="Z172" s="0" t="n">
        <v>171</v>
      </c>
      <c r="AA172" s="0" t="s">
        <v>162</v>
      </c>
      <c r="AD172" s="0" t="s">
        <v>158</v>
      </c>
      <c r="AH172" s="5" t="s">
        <v>158</v>
      </c>
      <c r="AI172" s="0" t="s">
        <v>2989</v>
      </c>
      <c r="AJ172" s="0" t="s">
        <v>1751</v>
      </c>
      <c r="AK172" s="0" t="s">
        <v>178</v>
      </c>
      <c r="AL172" s="0" t="s">
        <v>163</v>
      </c>
      <c r="AM172" s="0" t="s">
        <v>163</v>
      </c>
      <c r="AN172" s="0" t="s">
        <v>158</v>
      </c>
      <c r="AO172" s="0" t="s">
        <v>163</v>
      </c>
      <c r="AP172" s="0" t="s">
        <v>2985</v>
      </c>
      <c r="AQ172" s="5" t="s">
        <v>162</v>
      </c>
      <c r="AT172" s="0" t="str">
        <f aca="false">IF(AND(AX172="pass",AQ172&lt;&gt;"Y",C172&lt;&gt;"",OR(AW172&lt;&gt;"Y",AV172="Y")),"Y","N")</f>
        <v>N</v>
      </c>
      <c r="AU172" s="0" t="str">
        <f aca="false">_xlfn.TEXTJOIN("; ",TRUE(),IF(AX172&lt;&gt;"pass","gated out",""),IF(AQ172="Y","on hold: "&amp;AR172,""),IF(C172="","no contact named on an opened page",""),IF(AND(AW172="Y",AV172&lt;&gt;"Y"),"Tuesday estimate band "&amp;L172&amp;": founder's call",""))</f>
        <v>no contact named on an opened page</v>
      </c>
      <c r="AW172" s="0" t="s">
        <v>162</v>
      </c>
      <c r="AX172" s="0" t="s">
        <v>181</v>
      </c>
      <c r="AY172" s="0" t="s">
        <v>182</v>
      </c>
      <c r="AZ172" s="0" t="s">
        <v>1</v>
      </c>
      <c r="BA172" s="0" t="s">
        <v>2990</v>
      </c>
      <c r="BB172" s="0" t="s">
        <v>2991</v>
      </c>
      <c r="BC172" s="0" t="s">
        <v>2992</v>
      </c>
      <c r="BD172" s="0" t="s">
        <v>163</v>
      </c>
      <c r="BF172" s="0" t="s">
        <v>163</v>
      </c>
      <c r="BG172" s="0" t="s">
        <v>163</v>
      </c>
      <c r="BH172" s="0" t="s">
        <v>2195</v>
      </c>
      <c r="BK172" s="0" t="s">
        <v>163</v>
      </c>
      <c r="BL172" s="0" t="s">
        <v>163</v>
      </c>
      <c r="BM172" s="0" t="s">
        <v>163</v>
      </c>
      <c r="BN172" s="0" t="s">
        <v>2993</v>
      </c>
      <c r="BO172" s="0" t="s">
        <v>163</v>
      </c>
      <c r="BP172" s="0" t="s">
        <v>193</v>
      </c>
      <c r="BQ172" s="0" t="n">
        <v>40.736065</v>
      </c>
      <c r="BR172" s="0" t="n">
        <v>-73.991246</v>
      </c>
      <c r="BS172" s="0" t="s">
        <v>168</v>
      </c>
      <c r="BT172" s="0" t="n">
        <v>0</v>
      </c>
      <c r="BU172" s="0" t="s">
        <v>2994</v>
      </c>
      <c r="BV172" s="0" t="s">
        <v>2989</v>
      </c>
      <c r="BW172" s="0" t="s">
        <v>2988</v>
      </c>
      <c r="BX172" s="0" t="s">
        <v>166</v>
      </c>
      <c r="BY172" s="0" t="s">
        <v>196</v>
      </c>
      <c r="BZ172" s="0" t="s">
        <v>2995</v>
      </c>
      <c r="CA172" s="0" t="s">
        <v>2996</v>
      </c>
      <c r="CC172" s="0" t="s">
        <v>738</v>
      </c>
      <c r="CE172" s="0" t="s">
        <v>162</v>
      </c>
      <c r="CH172" s="0" t="s">
        <v>163</v>
      </c>
      <c r="CJ172" s="0" t="s">
        <v>163</v>
      </c>
      <c r="CK172" s="0" t="s">
        <v>162</v>
      </c>
      <c r="CL172" s="0" t="s">
        <v>163</v>
      </c>
      <c r="CO172" s="0" t="s">
        <v>163</v>
      </c>
      <c r="CQ172" s="0" t="s">
        <v>2196</v>
      </c>
      <c r="CR172" s="0" t="s">
        <v>206</v>
      </c>
      <c r="CS172" s="0" t="s">
        <v>163</v>
      </c>
      <c r="CT172" s="0" t="n">
        <v>30</v>
      </c>
      <c r="CU172" s="0" t="n">
        <v>7</v>
      </c>
      <c r="CV172" s="0" t="n">
        <v>4</v>
      </c>
      <c r="CW172" s="0" t="n">
        <v>6</v>
      </c>
      <c r="CX172" s="0" t="n">
        <v>13</v>
      </c>
      <c r="CY172" s="0" t="n">
        <f aca="false">IF(AH172="exact",10,IF(AH172="adjacent",5,0))</f>
        <v>0</v>
      </c>
      <c r="CZ172" s="0" t="n">
        <f aca="false">IF(R172="Y",15,0)</f>
        <v>0</v>
      </c>
      <c r="DF172" s="0" t="s">
        <v>158</v>
      </c>
      <c r="DG172" s="0" t="s">
        <v>211</v>
      </c>
      <c r="DK172" s="0" t="s">
        <v>2997</v>
      </c>
      <c r="DS172" s="0" t="s">
        <v>158</v>
      </c>
      <c r="DX172" s="0" t="s">
        <v>162</v>
      </c>
      <c r="ER172" s="0" t="str">
        <f aca="false">IF(ISNUMBER(MATCH(U172,{"queued","contacted","replied","call_booked","call_done","yes_in_principle","materials_sent"},0)),"Y","N")</f>
        <v>N</v>
      </c>
      <c r="ES172" s="0" t="str">
        <f aca="false">IF(COUNTIFS($AP$2:$AP$1000,AP172,$ER$2:$ER$1000,"Y")+COUNTIFS($AP$2:$AP$1000,AP172,$T$2:$T$1000,"Y")&gt;0,"Y","N")</f>
        <v>N</v>
      </c>
      <c r="ET172" s="0" t="str">
        <f aca="false">IF(AND(U172="new",T172="N",AT172="Y",AS172="",ES172="N"),"Y","N")</f>
        <v>N</v>
      </c>
      <c r="EU172" s="0" t="str">
        <f aca="false">IF(ET172&lt;&gt;"Y","N",IF(COUNTIFS($AP$2:$AP$1000,AP172,$ET$2:$ET$1000,"Y",$J$2:$J$1000,"&gt;"&amp;J172)+COUNTIFS($AP$2:$AP$1000,AP172,$ET$2:$ET$1000,"Y",$J$2:$J$1000,J172,$EW$2:$EW$1000,"&lt;"&amp;EW172)=0,"Y","N"))</f>
        <v>N</v>
      </c>
      <c r="EV172" s="0" t="str">
        <f aca="false">IF(Y172="","N",IF(Y172&lt;=10,"Y","N"))</f>
        <v>N</v>
      </c>
      <c r="EW172" s="0" t="n">
        <f aca="false">ROW()-1</f>
        <v>171</v>
      </c>
    </row>
    <row r="173" customFormat="false" ht="15" hidden="false" customHeight="false" outlineLevel="0" collapsed="false">
      <c r="A173" s="0" t="s">
        <v>2998</v>
      </c>
      <c r="B173" s="0" t="s">
        <v>2999</v>
      </c>
      <c r="H173" s="5" t="s">
        <v>158</v>
      </c>
      <c r="I173" s="5" t="s">
        <v>159</v>
      </c>
      <c r="J173" s="0" t="n">
        <f aca="false">IF(AX173="pass",ROUND(CU173+CV173+CW173+CX173+CY173+CZ173,1),0)</f>
        <v>30</v>
      </c>
      <c r="K173" s="0" t="s">
        <v>3000</v>
      </c>
      <c r="L173" s="0" t="s">
        <v>163</v>
      </c>
      <c r="R173" s="5" t="s">
        <v>162</v>
      </c>
      <c r="S173" s="0" t="s">
        <v>163</v>
      </c>
      <c r="T173" s="5" t="s">
        <v>162</v>
      </c>
      <c r="U173" s="5" t="s">
        <v>561</v>
      </c>
      <c r="V173" s="0" t="s">
        <v>3001</v>
      </c>
      <c r="W173" s="0" t="s">
        <v>166</v>
      </c>
      <c r="X173" s="0" t="s">
        <v>167</v>
      </c>
      <c r="Y173" s="0" t="str">
        <f aca="false">IF(EU173&lt;&gt;"Y","",COUNTIFS($EU$2:$EU$1000,"Y",$J$2:$J$1000,"&gt;"&amp;J173)+COUNTIFS($EU$2:$EU$1000,"Y",$J$2:$J$1000,J173,$EW$2:$EW$1000,"&lt;"&amp;EW173)+1)</f>
        <v/>
      </c>
      <c r="Z173" s="0" t="n">
        <v>172</v>
      </c>
      <c r="AA173" s="0" t="s">
        <v>162</v>
      </c>
      <c r="AD173" s="0" t="s">
        <v>158</v>
      </c>
      <c r="AH173" s="5" t="s">
        <v>158</v>
      </c>
      <c r="AI173" s="0" t="s">
        <v>3002</v>
      </c>
      <c r="AJ173" s="0" t="s">
        <v>3003</v>
      </c>
      <c r="AK173" s="0" t="s">
        <v>178</v>
      </c>
      <c r="AL173" s="0" t="s">
        <v>163</v>
      </c>
      <c r="AM173" s="0" t="s">
        <v>163</v>
      </c>
      <c r="AN173" s="0" t="s">
        <v>158</v>
      </c>
      <c r="AO173" s="0" t="s">
        <v>163</v>
      </c>
      <c r="AP173" s="0" t="s">
        <v>2998</v>
      </c>
      <c r="AQ173" s="5" t="s">
        <v>162</v>
      </c>
      <c r="AT173" s="0" t="str">
        <f aca="false">IF(AND(AX173="pass",AQ173&lt;&gt;"Y",C173&lt;&gt;"",OR(AW173&lt;&gt;"Y",AV173="Y")),"Y","N")</f>
        <v>N</v>
      </c>
      <c r="AU173" s="0" t="str">
        <f aca="false">_xlfn.TEXTJOIN("; ",TRUE(),IF(AX173&lt;&gt;"pass","gated out",""),IF(AQ173="Y","on hold: "&amp;AR173,""),IF(C173="","no contact named on an opened page",""),IF(AND(AW173="Y",AV173&lt;&gt;"Y"),"Tuesday estimate band "&amp;L173&amp;": founder's call",""))</f>
        <v>no contact named on an opened page</v>
      </c>
      <c r="AW173" s="0" t="s">
        <v>162</v>
      </c>
      <c r="AX173" s="0" t="s">
        <v>181</v>
      </c>
      <c r="AY173" s="0" t="s">
        <v>182</v>
      </c>
      <c r="AZ173" s="0" t="s">
        <v>1</v>
      </c>
      <c r="BA173" s="0" t="s">
        <v>3004</v>
      </c>
      <c r="BB173" s="0" t="s">
        <v>3005</v>
      </c>
      <c r="BC173" s="0" t="s">
        <v>3006</v>
      </c>
      <c r="BD173" s="0" t="s">
        <v>163</v>
      </c>
      <c r="BF173" s="0" t="s">
        <v>163</v>
      </c>
      <c r="BG173" s="0" t="s">
        <v>163</v>
      </c>
      <c r="BH173" s="0" t="s">
        <v>2195</v>
      </c>
      <c r="BK173" s="0" t="s">
        <v>163</v>
      </c>
      <c r="BL173" s="0" t="s">
        <v>163</v>
      </c>
      <c r="BM173" s="0" t="s">
        <v>163</v>
      </c>
      <c r="BN173" s="0" t="s">
        <v>3007</v>
      </c>
      <c r="BO173" s="0" t="s">
        <v>163</v>
      </c>
      <c r="BP173" s="0" t="s">
        <v>346</v>
      </c>
      <c r="BQ173" s="0" t="n">
        <v>40.740287</v>
      </c>
      <c r="BR173" s="0" t="n">
        <v>-73.98805</v>
      </c>
      <c r="BS173" s="0" t="s">
        <v>168</v>
      </c>
      <c r="BT173" s="0" t="n">
        <v>0</v>
      </c>
      <c r="BU173" s="0" t="s">
        <v>3008</v>
      </c>
      <c r="BV173" s="0" t="s">
        <v>3009</v>
      </c>
      <c r="BW173" s="0" t="s">
        <v>3001</v>
      </c>
      <c r="BX173" s="0" t="s">
        <v>166</v>
      </c>
      <c r="BY173" s="0" t="s">
        <v>196</v>
      </c>
      <c r="BZ173" s="0" t="s">
        <v>3010</v>
      </c>
      <c r="CA173" s="0" t="s">
        <v>3011</v>
      </c>
      <c r="CC173" s="0" t="s">
        <v>738</v>
      </c>
      <c r="CE173" s="0" t="s">
        <v>162</v>
      </c>
      <c r="CH173" s="0" t="s">
        <v>163</v>
      </c>
      <c r="CJ173" s="0" t="s">
        <v>163</v>
      </c>
      <c r="CK173" s="0" t="s">
        <v>162</v>
      </c>
      <c r="CL173" s="0" t="s">
        <v>163</v>
      </c>
      <c r="CO173" s="0" t="s">
        <v>163</v>
      </c>
      <c r="CQ173" s="0" t="s">
        <v>2196</v>
      </c>
      <c r="CR173" s="0" t="s">
        <v>206</v>
      </c>
      <c r="CS173" s="0" t="s">
        <v>163</v>
      </c>
      <c r="CT173" s="0" t="n">
        <v>30</v>
      </c>
      <c r="CU173" s="0" t="n">
        <v>7</v>
      </c>
      <c r="CV173" s="0" t="n">
        <v>4</v>
      </c>
      <c r="CW173" s="0" t="n">
        <v>6</v>
      </c>
      <c r="CX173" s="0" t="n">
        <v>13</v>
      </c>
      <c r="CY173" s="0" t="n">
        <f aca="false">IF(AH173="exact",10,IF(AH173="adjacent",5,0))</f>
        <v>0</v>
      </c>
      <c r="CZ173" s="0" t="n">
        <f aca="false">IF(R173="Y",15,0)</f>
        <v>0</v>
      </c>
      <c r="DF173" s="0" t="s">
        <v>158</v>
      </c>
      <c r="DG173" s="0" t="s">
        <v>211</v>
      </c>
      <c r="DJ173" s="0" t="s">
        <v>3012</v>
      </c>
      <c r="DK173" s="0" t="s">
        <v>3013</v>
      </c>
      <c r="DS173" s="0" t="s">
        <v>158</v>
      </c>
      <c r="DX173" s="0" t="s">
        <v>162</v>
      </c>
      <c r="ER173" s="0" t="str">
        <f aca="false">IF(ISNUMBER(MATCH(U173,{"queued","contacted","replied","call_booked","call_done","yes_in_principle","materials_sent"},0)),"Y","N")</f>
        <v>N</v>
      </c>
      <c r="ES173" s="0" t="str">
        <f aca="false">IF(COUNTIFS($AP$2:$AP$1000,AP173,$ER$2:$ER$1000,"Y")+COUNTIFS($AP$2:$AP$1000,AP173,$T$2:$T$1000,"Y")&gt;0,"Y","N")</f>
        <v>N</v>
      </c>
      <c r="ET173" s="0" t="str">
        <f aca="false">IF(AND(U173="new",T173="N",AT173="Y",AS173="",ES173="N"),"Y","N")</f>
        <v>N</v>
      </c>
      <c r="EU173" s="0" t="str">
        <f aca="false">IF(ET173&lt;&gt;"Y","N",IF(COUNTIFS($AP$2:$AP$1000,AP173,$ET$2:$ET$1000,"Y",$J$2:$J$1000,"&gt;"&amp;J173)+COUNTIFS($AP$2:$AP$1000,AP173,$ET$2:$ET$1000,"Y",$J$2:$J$1000,J173,$EW$2:$EW$1000,"&lt;"&amp;EW173)=0,"Y","N"))</f>
        <v>N</v>
      </c>
      <c r="EV173" s="0" t="str">
        <f aca="false">IF(Y173="","N",IF(Y173&lt;=10,"Y","N"))</f>
        <v>N</v>
      </c>
      <c r="EW173" s="0" t="n">
        <f aca="false">ROW()-1</f>
        <v>172</v>
      </c>
    </row>
    <row r="174" customFormat="false" ht="15" hidden="false" customHeight="false" outlineLevel="0" collapsed="false">
      <c r="A174" s="0" t="s">
        <v>3014</v>
      </c>
      <c r="B174" s="0" t="s">
        <v>3015</v>
      </c>
      <c r="H174" s="5" t="s">
        <v>158</v>
      </c>
      <c r="I174" s="5" t="s">
        <v>159</v>
      </c>
      <c r="J174" s="0" t="n">
        <f aca="false">IF(AX174="pass",ROUND(CU174+CV174+CW174+CX174+CY174+CZ174,1),0)</f>
        <v>30</v>
      </c>
      <c r="K174" s="0" t="s">
        <v>3016</v>
      </c>
      <c r="L174" s="0" t="s">
        <v>163</v>
      </c>
      <c r="R174" s="5" t="s">
        <v>162</v>
      </c>
      <c r="S174" s="0" t="s">
        <v>163</v>
      </c>
      <c r="T174" s="5" t="s">
        <v>162</v>
      </c>
      <c r="U174" s="5" t="s">
        <v>561</v>
      </c>
      <c r="V174" s="0" t="s">
        <v>197</v>
      </c>
      <c r="W174" s="0" t="s">
        <v>166</v>
      </c>
      <c r="X174" s="0" t="s">
        <v>167</v>
      </c>
      <c r="Y174" s="0" t="str">
        <f aca="false">IF(EU174&lt;&gt;"Y","",COUNTIFS($EU$2:$EU$1000,"Y",$J$2:$J$1000,"&gt;"&amp;J174)+COUNTIFS($EU$2:$EU$1000,"Y",$J$2:$J$1000,J174,$EW$2:$EW$1000,"&lt;"&amp;EW174)+1)</f>
        <v/>
      </c>
      <c r="Z174" s="0" t="n">
        <v>173</v>
      </c>
      <c r="AA174" s="0" t="s">
        <v>162</v>
      </c>
      <c r="AD174" s="0" t="s">
        <v>158</v>
      </c>
      <c r="AH174" s="5" t="s">
        <v>158</v>
      </c>
      <c r="AI174" s="0" t="s">
        <v>176</v>
      </c>
      <c r="AJ174" s="0" t="s">
        <v>1257</v>
      </c>
      <c r="AK174" s="0" t="s">
        <v>178</v>
      </c>
      <c r="AL174" s="0" t="s">
        <v>163</v>
      </c>
      <c r="AM174" s="0" t="s">
        <v>163</v>
      </c>
      <c r="AN174" s="0" t="s">
        <v>158</v>
      </c>
      <c r="AO174" s="0" t="s">
        <v>163</v>
      </c>
      <c r="AP174" s="0" t="s">
        <v>3014</v>
      </c>
      <c r="AQ174" s="5" t="s">
        <v>162</v>
      </c>
      <c r="AT174" s="0" t="str">
        <f aca="false">IF(AND(AX174="pass",AQ174&lt;&gt;"Y",C174&lt;&gt;"",OR(AW174&lt;&gt;"Y",AV174="Y")),"Y","N")</f>
        <v>N</v>
      </c>
      <c r="AU174" s="0" t="str">
        <f aca="false">_xlfn.TEXTJOIN("; ",TRUE(),IF(AX174&lt;&gt;"pass","gated out",""),IF(AQ174="Y","on hold: "&amp;AR174,""),IF(C174="","no contact named on an opened page",""),IF(AND(AW174="Y",AV174&lt;&gt;"Y"),"Tuesday estimate band "&amp;L174&amp;": founder's call",""))</f>
        <v>no contact named on an opened page</v>
      </c>
      <c r="AW174" s="0" t="s">
        <v>162</v>
      </c>
      <c r="AX174" s="0" t="s">
        <v>181</v>
      </c>
      <c r="AY174" s="0" t="s">
        <v>182</v>
      </c>
      <c r="AZ174" s="0" t="s">
        <v>1</v>
      </c>
      <c r="BA174" s="0" t="s">
        <v>3017</v>
      </c>
      <c r="BB174" s="0" t="s">
        <v>163</v>
      </c>
      <c r="BC174" s="0" t="s">
        <v>3018</v>
      </c>
      <c r="BD174" s="0" t="s">
        <v>163</v>
      </c>
      <c r="BF174" s="0" t="s">
        <v>163</v>
      </c>
      <c r="BG174" s="0" t="s">
        <v>163</v>
      </c>
      <c r="BH174" s="0" t="s">
        <v>2195</v>
      </c>
      <c r="BK174" s="0" t="s">
        <v>163</v>
      </c>
      <c r="BL174" s="0" t="s">
        <v>163</v>
      </c>
      <c r="BM174" s="0" t="s">
        <v>163</v>
      </c>
      <c r="BN174" s="0" t="s">
        <v>3019</v>
      </c>
      <c r="BO174" s="0" t="s">
        <v>163</v>
      </c>
      <c r="BP174" s="0" t="s">
        <v>193</v>
      </c>
      <c r="BQ174" s="0" t="n">
        <v>40.73686</v>
      </c>
      <c r="BR174" s="0" t="n">
        <v>-73.988546</v>
      </c>
      <c r="BS174" s="0" t="s">
        <v>168</v>
      </c>
      <c r="BT174" s="0" t="n">
        <v>0</v>
      </c>
      <c r="BU174" s="0" t="s">
        <v>194</v>
      </c>
      <c r="BV174" s="0" t="s">
        <v>195</v>
      </c>
      <c r="BW174" s="0" t="s">
        <v>197</v>
      </c>
      <c r="BX174" s="0" t="s">
        <v>198</v>
      </c>
      <c r="BY174" s="0" t="s">
        <v>282</v>
      </c>
      <c r="CB174" s="0" t="s">
        <v>199</v>
      </c>
      <c r="CC174" s="0" t="s">
        <v>738</v>
      </c>
      <c r="CE174" s="0" t="s">
        <v>162</v>
      </c>
      <c r="CH174" s="0" t="s">
        <v>201</v>
      </c>
      <c r="CI174" s="0" t="s">
        <v>202</v>
      </c>
      <c r="CJ174" s="0" t="s">
        <v>163</v>
      </c>
      <c r="CK174" s="0" t="s">
        <v>162</v>
      </c>
      <c r="CL174" s="0" t="s">
        <v>163</v>
      </c>
      <c r="CO174" s="0" t="s">
        <v>163</v>
      </c>
      <c r="CQ174" s="0" t="s">
        <v>2196</v>
      </c>
      <c r="CR174" s="0" t="s">
        <v>206</v>
      </c>
      <c r="CS174" s="0" t="s">
        <v>163</v>
      </c>
      <c r="CT174" s="0" t="n">
        <v>30</v>
      </c>
      <c r="CU174" s="0" t="n">
        <v>7</v>
      </c>
      <c r="CV174" s="0" t="n">
        <v>4</v>
      </c>
      <c r="CW174" s="0" t="n">
        <v>6</v>
      </c>
      <c r="CX174" s="0" t="n">
        <v>13</v>
      </c>
      <c r="CY174" s="0" t="n">
        <f aca="false">IF(AH174="exact",10,IF(AH174="adjacent",5,0))</f>
        <v>0</v>
      </c>
      <c r="CZ174" s="0" t="n">
        <f aca="false">IF(R174="Y",15,0)</f>
        <v>0</v>
      </c>
      <c r="DF174" s="0" t="s">
        <v>158</v>
      </c>
      <c r="DG174" s="0" t="s">
        <v>211</v>
      </c>
      <c r="DJ174" s="0" t="s">
        <v>3020</v>
      </c>
      <c r="DK174" s="0" t="s">
        <v>3021</v>
      </c>
      <c r="DS174" s="0" t="s">
        <v>158</v>
      </c>
      <c r="DX174" s="0" t="s">
        <v>162</v>
      </c>
      <c r="ER174" s="0" t="str">
        <f aca="false">IF(ISNUMBER(MATCH(U174,{"queued","contacted","replied","call_booked","call_done","yes_in_principle","materials_sent"},0)),"Y","N")</f>
        <v>N</v>
      </c>
      <c r="ES174" s="0" t="str">
        <f aca="false">IF(COUNTIFS($AP$2:$AP$1000,AP174,$ER$2:$ER$1000,"Y")+COUNTIFS($AP$2:$AP$1000,AP174,$T$2:$T$1000,"Y")&gt;0,"Y","N")</f>
        <v>N</v>
      </c>
      <c r="ET174" s="0" t="str">
        <f aca="false">IF(AND(U174="new",T174="N",AT174="Y",AS174="",ES174="N"),"Y","N")</f>
        <v>N</v>
      </c>
      <c r="EU174" s="0" t="str">
        <f aca="false">IF(ET174&lt;&gt;"Y","N",IF(COUNTIFS($AP$2:$AP$1000,AP174,$ET$2:$ET$1000,"Y",$J$2:$J$1000,"&gt;"&amp;J174)+COUNTIFS($AP$2:$AP$1000,AP174,$ET$2:$ET$1000,"Y",$J$2:$J$1000,J174,$EW$2:$EW$1000,"&lt;"&amp;EW174)=0,"Y","N"))</f>
        <v>N</v>
      </c>
      <c r="EV174" s="0" t="str">
        <f aca="false">IF(Y174="","N",IF(Y174&lt;=10,"Y","N"))</f>
        <v>N</v>
      </c>
      <c r="EW174" s="0" t="n">
        <f aca="false">ROW()-1</f>
        <v>173</v>
      </c>
    </row>
    <row r="175" customFormat="false" ht="15" hidden="false" customHeight="false" outlineLevel="0" collapsed="false">
      <c r="A175" s="0" t="s">
        <v>3022</v>
      </c>
      <c r="B175" s="0" t="s">
        <v>3023</v>
      </c>
      <c r="H175" s="5" t="s">
        <v>158</v>
      </c>
      <c r="I175" s="5" t="s">
        <v>159</v>
      </c>
      <c r="J175" s="0" t="n">
        <f aca="false">IF(AX175="pass",ROUND(CU175+CV175+CW175+CX175+CY175+CZ175,1),0)</f>
        <v>29.6</v>
      </c>
      <c r="K175" s="0" t="s">
        <v>3024</v>
      </c>
      <c r="L175" s="0" t="s">
        <v>1322</v>
      </c>
      <c r="R175" s="5" t="s">
        <v>162</v>
      </c>
      <c r="S175" s="0" t="s">
        <v>163</v>
      </c>
      <c r="T175" s="5" t="s">
        <v>162</v>
      </c>
      <c r="U175" s="5" t="s">
        <v>561</v>
      </c>
      <c r="V175" s="0" t="s">
        <v>3025</v>
      </c>
      <c r="W175" s="0" t="s">
        <v>166</v>
      </c>
      <c r="X175" s="0" t="s">
        <v>167</v>
      </c>
      <c r="Y175" s="0" t="str">
        <f aca="false">IF(EU175&lt;&gt;"Y","",COUNTIFS($EU$2:$EU$1000,"Y",$J$2:$J$1000,"&gt;"&amp;J175)+COUNTIFS($EU$2:$EU$1000,"Y",$J$2:$J$1000,J175,$EW$2:$EW$1000,"&lt;"&amp;EW175)+1)</f>
        <v/>
      </c>
      <c r="Z175" s="0" t="n">
        <v>174</v>
      </c>
      <c r="AA175" s="0" t="s">
        <v>162</v>
      </c>
      <c r="AB175" s="0" t="s">
        <v>2527</v>
      </c>
      <c r="AD175" s="0" t="s">
        <v>158</v>
      </c>
      <c r="AH175" s="5" t="s">
        <v>158</v>
      </c>
      <c r="AI175" s="0" t="s">
        <v>3026</v>
      </c>
      <c r="AJ175" s="0" t="s">
        <v>163</v>
      </c>
      <c r="AK175" s="0" t="s">
        <v>178</v>
      </c>
      <c r="AL175" s="0" t="n">
        <v>114</v>
      </c>
      <c r="AM175" s="0" t="n">
        <v>2280</v>
      </c>
      <c r="AN175" s="0" t="s">
        <v>179</v>
      </c>
      <c r="AO175" s="0" t="s">
        <v>163</v>
      </c>
      <c r="AP175" s="0" t="s">
        <v>3022</v>
      </c>
      <c r="AQ175" s="5" t="s">
        <v>162</v>
      </c>
      <c r="AT175" s="0" t="str">
        <f aca="false">IF(AND(AX175="pass",AQ175&lt;&gt;"Y",C175&lt;&gt;"",OR(AW175&lt;&gt;"Y",AV175="Y")),"Y","N")</f>
        <v>N</v>
      </c>
      <c r="AU175" s="0" t="str">
        <f aca="false">_xlfn.TEXTJOIN("; ",TRUE(),IF(AX175&lt;&gt;"pass","gated out",""),IF(AQ175="Y","on hold: "&amp;AR175,""),IF(C175="","no contact named on an opened page",""),IF(AND(AW175="Y",AV175&lt;&gt;"Y"),"Tuesday estimate band "&amp;L175&amp;": founder's call",""))</f>
        <v>no contact named on an opened page; Tuesday estimate band over-500: founder's call</v>
      </c>
      <c r="AW175" s="0" t="s">
        <v>168</v>
      </c>
      <c r="AX175" s="0" t="s">
        <v>181</v>
      </c>
      <c r="AY175" s="0" t="s">
        <v>182</v>
      </c>
      <c r="AZ175" s="0" t="s">
        <v>1</v>
      </c>
      <c r="BA175" s="0" t="s">
        <v>3027</v>
      </c>
      <c r="BB175" s="0" t="s">
        <v>3028</v>
      </c>
      <c r="BC175" s="0" t="s">
        <v>3029</v>
      </c>
      <c r="BD175" s="0" t="s">
        <v>2845</v>
      </c>
      <c r="BF175" s="0" t="s">
        <v>1322</v>
      </c>
      <c r="BG175" s="0" t="s">
        <v>188</v>
      </c>
      <c r="BH175" s="0" t="s">
        <v>189</v>
      </c>
      <c r="BI175" s="0" t="s">
        <v>3030</v>
      </c>
      <c r="BK175" s="0" t="s">
        <v>1439</v>
      </c>
      <c r="BL175" s="0" t="s">
        <v>163</v>
      </c>
      <c r="BM175" s="0" t="s">
        <v>163</v>
      </c>
      <c r="BN175" s="0" t="s">
        <v>163</v>
      </c>
      <c r="BO175" s="0" t="s">
        <v>163</v>
      </c>
      <c r="BP175" s="0" t="s">
        <v>346</v>
      </c>
      <c r="BQ175" s="0" t="n">
        <v>40.741986</v>
      </c>
      <c r="BR175" s="0" t="n">
        <v>-73.989477</v>
      </c>
      <c r="BS175" s="0" t="s">
        <v>168</v>
      </c>
      <c r="BT175" s="0" t="n">
        <v>0</v>
      </c>
      <c r="BV175" s="0" t="s">
        <v>163</v>
      </c>
      <c r="BW175" s="0" t="s">
        <v>3025</v>
      </c>
      <c r="BX175" s="0" t="s">
        <v>174</v>
      </c>
      <c r="BY175" s="0" t="s">
        <v>196</v>
      </c>
      <c r="BZ175" s="0" t="s">
        <v>3031</v>
      </c>
      <c r="CA175" s="0" t="s">
        <v>174</v>
      </c>
      <c r="CC175" s="0" t="s">
        <v>200</v>
      </c>
      <c r="CE175" s="0" t="s">
        <v>162</v>
      </c>
      <c r="CH175" s="0" t="s">
        <v>163</v>
      </c>
      <c r="CJ175" s="0" t="s">
        <v>163</v>
      </c>
      <c r="CK175" s="0" t="s">
        <v>162</v>
      </c>
      <c r="CL175" s="0" t="s">
        <v>163</v>
      </c>
      <c r="CO175" s="0" t="n">
        <v>510</v>
      </c>
      <c r="CP175" s="0" t="s">
        <v>250</v>
      </c>
      <c r="CQ175" s="0" t="s">
        <v>3032</v>
      </c>
      <c r="CR175" s="0" t="s">
        <v>206</v>
      </c>
      <c r="CS175" s="0" t="n">
        <v>0.26</v>
      </c>
      <c r="CT175" s="0" t="n">
        <v>29.6</v>
      </c>
      <c r="CU175" s="0" t="n">
        <v>6.6</v>
      </c>
      <c r="CV175" s="0" t="n">
        <v>2</v>
      </c>
      <c r="CW175" s="0" t="n">
        <v>6</v>
      </c>
      <c r="CX175" s="0" t="n">
        <v>15</v>
      </c>
      <c r="CY175" s="0" t="n">
        <f aca="false">IF(AH175="exact",10,IF(AH175="adjacent",5,0))</f>
        <v>0</v>
      </c>
      <c r="CZ175" s="0" t="n">
        <f aca="false">IF(R175="Y",15,0)</f>
        <v>0</v>
      </c>
      <c r="DF175" s="0" t="s">
        <v>158</v>
      </c>
      <c r="DG175" s="0" t="s">
        <v>1335</v>
      </c>
      <c r="DH175" s="0" t="s">
        <v>1446</v>
      </c>
      <c r="DI175" s="0" t="s">
        <v>162</v>
      </c>
      <c r="DK175" s="0" t="s">
        <v>3033</v>
      </c>
      <c r="DS175" s="0" t="s">
        <v>158</v>
      </c>
      <c r="DX175" s="0" t="s">
        <v>162</v>
      </c>
      <c r="ER175" s="0" t="str">
        <f aca="false">IF(ISNUMBER(MATCH(U175,{"queued","contacted","replied","call_booked","call_done","yes_in_principle","materials_sent"},0)),"Y","N")</f>
        <v>N</v>
      </c>
      <c r="ES175" s="0" t="str">
        <f aca="false">IF(COUNTIFS($AP$2:$AP$1000,AP175,$ER$2:$ER$1000,"Y")+COUNTIFS($AP$2:$AP$1000,AP175,$T$2:$T$1000,"Y")&gt;0,"Y","N")</f>
        <v>N</v>
      </c>
      <c r="ET175" s="0" t="str">
        <f aca="false">IF(AND(U175="new",T175="N",AT175="Y",AS175="",ES175="N"),"Y","N")</f>
        <v>N</v>
      </c>
      <c r="EU175" s="0" t="str">
        <f aca="false">IF(ET175&lt;&gt;"Y","N",IF(COUNTIFS($AP$2:$AP$1000,AP175,$ET$2:$ET$1000,"Y",$J$2:$J$1000,"&gt;"&amp;J175)+COUNTIFS($AP$2:$AP$1000,AP175,$ET$2:$ET$1000,"Y",$J$2:$J$1000,J175,$EW$2:$EW$1000,"&lt;"&amp;EW175)=0,"Y","N"))</f>
        <v>N</v>
      </c>
      <c r="EV175" s="0" t="str">
        <f aca="false">IF(Y175="","N",IF(Y175&lt;=10,"Y","N"))</f>
        <v>N</v>
      </c>
      <c r="EW175" s="0" t="n">
        <f aca="false">ROW()-1</f>
        <v>174</v>
      </c>
    </row>
    <row r="176" customFormat="false" ht="15" hidden="false" customHeight="false" outlineLevel="0" collapsed="false">
      <c r="A176" s="0" t="s">
        <v>3034</v>
      </c>
      <c r="B176" s="0" t="s">
        <v>3035</v>
      </c>
      <c r="H176" s="5" t="s">
        <v>158</v>
      </c>
      <c r="I176" s="5" t="s">
        <v>159</v>
      </c>
      <c r="J176" s="0" t="n">
        <f aca="false">IF(AX176="pass",ROUND(CU176+CV176+CW176+CX176+CY176+CZ176,1),0)</f>
        <v>29</v>
      </c>
      <c r="K176" s="0" t="s">
        <v>3036</v>
      </c>
      <c r="L176" s="0" t="s">
        <v>187</v>
      </c>
      <c r="R176" s="5" t="s">
        <v>162</v>
      </c>
      <c r="S176" s="0" t="s">
        <v>163</v>
      </c>
      <c r="T176" s="5" t="s">
        <v>162</v>
      </c>
      <c r="U176" s="5" t="s">
        <v>561</v>
      </c>
      <c r="V176" s="0" t="s">
        <v>1962</v>
      </c>
      <c r="W176" s="0" t="s">
        <v>166</v>
      </c>
      <c r="X176" s="0" t="s">
        <v>167</v>
      </c>
      <c r="Y176" s="0" t="str">
        <f aca="false">IF(EU176&lt;&gt;"Y","",COUNTIFS($EU$2:$EU$1000,"Y",$J$2:$J$1000,"&gt;"&amp;J176)+COUNTIFS($EU$2:$EU$1000,"Y",$J$2:$J$1000,J176,$EW$2:$EW$1000,"&lt;"&amp;EW176)+1)</f>
        <v/>
      </c>
      <c r="Z176" s="0" t="n">
        <v>175</v>
      </c>
      <c r="AA176" s="0" t="s">
        <v>162</v>
      </c>
      <c r="AD176" s="0" t="s">
        <v>158</v>
      </c>
      <c r="AH176" s="5" t="s">
        <v>158</v>
      </c>
      <c r="AI176" s="0" t="s">
        <v>1064</v>
      </c>
      <c r="AJ176" s="0" t="s">
        <v>3037</v>
      </c>
      <c r="AK176" s="0" t="s">
        <v>434</v>
      </c>
      <c r="AL176" s="0" t="n">
        <v>53</v>
      </c>
      <c r="AM176" s="0" t="n">
        <v>1054</v>
      </c>
      <c r="AN176" s="0" t="s">
        <v>179</v>
      </c>
      <c r="AO176" s="0" t="s">
        <v>163</v>
      </c>
      <c r="AP176" s="0" t="s">
        <v>3034</v>
      </c>
      <c r="AQ176" s="5" t="s">
        <v>162</v>
      </c>
      <c r="AT176" s="0" t="str">
        <f aca="false">IF(AND(AX176="pass",AQ176&lt;&gt;"Y",C176&lt;&gt;"",OR(AW176&lt;&gt;"Y",AV176="Y")),"Y","N")</f>
        <v>N</v>
      </c>
      <c r="AU176" s="0" t="str">
        <f aca="false">_xlfn.TEXTJOIN("; ",TRUE(),IF(AX176&lt;&gt;"pass","gated out",""),IF(AQ176="Y","on hold: "&amp;AR176,""),IF(C176="","no contact named on an opened page",""),IF(AND(AW176="Y",AV176&lt;&gt;"Y"),"Tuesday estimate band "&amp;L176&amp;": founder's call",""))</f>
        <v>no contact named on an opened page</v>
      </c>
      <c r="AW176" s="0" t="s">
        <v>162</v>
      </c>
      <c r="AX176" s="0" t="s">
        <v>181</v>
      </c>
      <c r="AY176" s="0" t="s">
        <v>182</v>
      </c>
      <c r="AZ176" s="0" t="s">
        <v>1</v>
      </c>
      <c r="BA176" s="0" t="s">
        <v>3038</v>
      </c>
      <c r="BB176" s="0" t="s">
        <v>3039</v>
      </c>
      <c r="BC176" s="0" t="s">
        <v>3040</v>
      </c>
      <c r="BD176" s="0" t="s">
        <v>3041</v>
      </c>
      <c r="BF176" s="0" t="s">
        <v>1322</v>
      </c>
      <c r="BG176" s="0" t="s">
        <v>188</v>
      </c>
      <c r="BH176" s="0" t="s">
        <v>189</v>
      </c>
      <c r="BI176" s="0" t="s">
        <v>3042</v>
      </c>
      <c r="BK176" s="0" t="s">
        <v>1439</v>
      </c>
      <c r="BL176" s="0" t="s">
        <v>163</v>
      </c>
      <c r="BM176" s="0" t="s">
        <v>163</v>
      </c>
      <c r="BN176" s="0" t="s">
        <v>163</v>
      </c>
      <c r="BO176" s="0" t="s">
        <v>163</v>
      </c>
      <c r="BP176" s="0" t="s">
        <v>346</v>
      </c>
      <c r="BQ176" s="0" t="n">
        <v>40.742199</v>
      </c>
      <c r="BR176" s="0" t="n">
        <v>-73.99172</v>
      </c>
      <c r="BS176" s="0" t="s">
        <v>168</v>
      </c>
      <c r="BT176" s="0" t="n">
        <v>0</v>
      </c>
      <c r="BU176" s="0" t="s">
        <v>1072</v>
      </c>
      <c r="BV176" s="0" t="s">
        <v>1073</v>
      </c>
      <c r="BW176" s="0" t="s">
        <v>1962</v>
      </c>
      <c r="BX176" s="0" t="s">
        <v>1968</v>
      </c>
      <c r="BY176" s="0" t="s">
        <v>247</v>
      </c>
      <c r="BZ176" s="0" t="s">
        <v>1074</v>
      </c>
      <c r="CA176" s="0" t="s">
        <v>1075</v>
      </c>
      <c r="CC176" s="0" t="s">
        <v>738</v>
      </c>
      <c r="CE176" s="0" t="s">
        <v>162</v>
      </c>
      <c r="CH176" s="0" t="s">
        <v>201</v>
      </c>
      <c r="CI176" s="0" t="s">
        <v>1074</v>
      </c>
      <c r="CJ176" s="0" t="s">
        <v>163</v>
      </c>
      <c r="CK176" s="0" t="s">
        <v>162</v>
      </c>
      <c r="CL176" s="0" t="s">
        <v>163</v>
      </c>
      <c r="CO176" s="0" t="n">
        <v>236</v>
      </c>
      <c r="CP176" s="0" t="s">
        <v>250</v>
      </c>
      <c r="CQ176" s="0" t="s">
        <v>3043</v>
      </c>
      <c r="CR176" s="0" t="s">
        <v>206</v>
      </c>
      <c r="CS176" s="0" t="n">
        <v>0.52</v>
      </c>
      <c r="CT176" s="0" t="n">
        <v>29</v>
      </c>
      <c r="CU176" s="0" t="n">
        <v>13</v>
      </c>
      <c r="CV176" s="0" t="n">
        <v>2</v>
      </c>
      <c r="CW176" s="0" t="n">
        <v>6</v>
      </c>
      <c r="CX176" s="0" t="n">
        <v>8</v>
      </c>
      <c r="CY176" s="0" t="n">
        <f aca="false">IF(AH176="exact",10,IF(AH176="adjacent",5,0))</f>
        <v>0</v>
      </c>
      <c r="CZ176" s="0" t="n">
        <f aca="false">IF(R176="Y",15,0)</f>
        <v>0</v>
      </c>
      <c r="DF176" s="0" t="s">
        <v>158</v>
      </c>
      <c r="DG176" s="0" t="s">
        <v>1335</v>
      </c>
      <c r="DH176" s="0" t="s">
        <v>1446</v>
      </c>
      <c r="DI176" s="0" t="s">
        <v>168</v>
      </c>
      <c r="DJ176" s="0" t="s">
        <v>3044</v>
      </c>
      <c r="DK176" s="0" t="s">
        <v>3045</v>
      </c>
      <c r="DS176" s="0" t="s">
        <v>158</v>
      </c>
      <c r="DX176" s="0" t="s">
        <v>162</v>
      </c>
      <c r="ER176" s="0" t="str">
        <f aca="false">IF(ISNUMBER(MATCH(U176,{"queued","contacted","replied","call_booked","call_done","yes_in_principle","materials_sent"},0)),"Y","N")</f>
        <v>N</v>
      </c>
      <c r="ES176" s="0" t="str">
        <f aca="false">IF(COUNTIFS($AP$2:$AP$1000,AP176,$ER$2:$ER$1000,"Y")+COUNTIFS($AP$2:$AP$1000,AP176,$T$2:$T$1000,"Y")&gt;0,"Y","N")</f>
        <v>N</v>
      </c>
      <c r="ET176" s="0" t="str">
        <f aca="false">IF(AND(U176="new",T176="N",AT176="Y",AS176="",ES176="N"),"Y","N")</f>
        <v>N</v>
      </c>
      <c r="EU176" s="0" t="str">
        <f aca="false">IF(ET176&lt;&gt;"Y","N",IF(COUNTIFS($AP$2:$AP$1000,AP176,$ET$2:$ET$1000,"Y",$J$2:$J$1000,"&gt;"&amp;J176)+COUNTIFS($AP$2:$AP$1000,AP176,$ET$2:$ET$1000,"Y",$J$2:$J$1000,J176,$EW$2:$EW$1000,"&lt;"&amp;EW176)=0,"Y","N"))</f>
        <v>N</v>
      </c>
      <c r="EV176" s="0" t="str">
        <f aca="false">IF(Y176="","N",IF(Y176&lt;=10,"Y","N"))</f>
        <v>N</v>
      </c>
      <c r="EW176" s="0" t="n">
        <f aca="false">ROW()-1</f>
        <v>175</v>
      </c>
    </row>
    <row r="177" customFormat="false" ht="15" hidden="false" customHeight="false" outlineLevel="0" collapsed="false">
      <c r="A177" s="0" t="s">
        <v>3046</v>
      </c>
      <c r="B177" s="0" t="s">
        <v>3047</v>
      </c>
      <c r="H177" s="5" t="s">
        <v>158</v>
      </c>
      <c r="I177" s="5" t="s">
        <v>159</v>
      </c>
      <c r="J177" s="0" t="n">
        <f aca="false">IF(AX177="pass",ROUND(CU177+CV177+CW177+CX177+CY177+CZ177,1),0)</f>
        <v>29</v>
      </c>
      <c r="K177" s="0" t="s">
        <v>3048</v>
      </c>
      <c r="L177" s="0" t="s">
        <v>163</v>
      </c>
      <c r="R177" s="5" t="s">
        <v>162</v>
      </c>
      <c r="S177" s="0" t="s">
        <v>163</v>
      </c>
      <c r="T177" s="5" t="s">
        <v>162</v>
      </c>
      <c r="U177" s="5" t="s">
        <v>561</v>
      </c>
      <c r="V177" s="0" t="s">
        <v>3049</v>
      </c>
      <c r="W177" s="0" t="s">
        <v>166</v>
      </c>
      <c r="X177" s="0" t="s">
        <v>167</v>
      </c>
      <c r="Y177" s="0" t="str">
        <f aca="false">IF(EU177&lt;&gt;"Y","",COUNTIFS($EU$2:$EU$1000,"Y",$J$2:$J$1000,"&gt;"&amp;J177)+COUNTIFS($EU$2:$EU$1000,"Y",$J$2:$J$1000,J177,$EW$2:$EW$1000,"&lt;"&amp;EW177)+1)</f>
        <v/>
      </c>
      <c r="Z177" s="0" t="n">
        <v>176</v>
      </c>
      <c r="AA177" s="0" t="s">
        <v>162</v>
      </c>
      <c r="AD177" s="0" t="s">
        <v>158</v>
      </c>
      <c r="AH177" s="5" t="s">
        <v>158</v>
      </c>
      <c r="AI177" s="0" t="s">
        <v>3050</v>
      </c>
      <c r="AJ177" s="0" t="s">
        <v>163</v>
      </c>
      <c r="AK177" s="0" t="s">
        <v>434</v>
      </c>
      <c r="AL177" s="0" t="s">
        <v>163</v>
      </c>
      <c r="AM177" s="0" t="s">
        <v>163</v>
      </c>
      <c r="AN177" s="0" t="s">
        <v>158</v>
      </c>
      <c r="AO177" s="0" t="s">
        <v>163</v>
      </c>
      <c r="AP177" s="0" t="s">
        <v>3046</v>
      </c>
      <c r="AQ177" s="5" t="s">
        <v>162</v>
      </c>
      <c r="AT177" s="0" t="str">
        <f aca="false">IF(AND(AX177="pass",AQ177&lt;&gt;"Y",C177&lt;&gt;"",OR(AW177&lt;&gt;"Y",AV177="Y")),"Y","N")</f>
        <v>N</v>
      </c>
      <c r="AU177" s="0" t="str">
        <f aca="false">_xlfn.TEXTJOIN("; ",TRUE(),IF(AX177&lt;&gt;"pass","gated out",""),IF(AQ177="Y","on hold: "&amp;AR177,""),IF(C177="","no contact named on an opened page",""),IF(AND(AW177="Y",AV177&lt;&gt;"Y"),"Tuesday estimate band "&amp;L177&amp;": founder's call",""))</f>
        <v>no contact named on an opened page</v>
      </c>
      <c r="AW177" s="0" t="s">
        <v>162</v>
      </c>
      <c r="AX177" s="0" t="s">
        <v>181</v>
      </c>
      <c r="AY177" s="0" t="s">
        <v>182</v>
      </c>
      <c r="AZ177" s="0" t="s">
        <v>1</v>
      </c>
      <c r="BA177" s="0" t="s">
        <v>3051</v>
      </c>
      <c r="BB177" s="0" t="s">
        <v>3052</v>
      </c>
      <c r="BC177" s="0" t="s">
        <v>3053</v>
      </c>
      <c r="BD177" s="0" t="s">
        <v>163</v>
      </c>
      <c r="BF177" s="0" t="s">
        <v>163</v>
      </c>
      <c r="BG177" s="0" t="s">
        <v>163</v>
      </c>
      <c r="BH177" s="0" t="s">
        <v>2195</v>
      </c>
      <c r="BK177" s="0" t="s">
        <v>163</v>
      </c>
      <c r="BL177" s="0" t="s">
        <v>163</v>
      </c>
      <c r="BM177" s="0" t="s">
        <v>163</v>
      </c>
      <c r="BN177" s="0" t="s">
        <v>163</v>
      </c>
      <c r="BO177" s="0" t="s">
        <v>163</v>
      </c>
      <c r="BP177" s="0" t="s">
        <v>243</v>
      </c>
      <c r="BQ177" s="0" t="n">
        <v>40.744774</v>
      </c>
      <c r="BR177" s="0" t="n">
        <v>-73.984932</v>
      </c>
      <c r="BS177" s="0" t="s">
        <v>168</v>
      </c>
      <c r="BT177" s="0" t="n">
        <v>0</v>
      </c>
      <c r="BU177" s="0" t="s">
        <v>3054</v>
      </c>
      <c r="BV177" s="0" t="s">
        <v>3055</v>
      </c>
      <c r="BW177" s="0" t="s">
        <v>3049</v>
      </c>
      <c r="BX177" s="0" t="s">
        <v>3056</v>
      </c>
      <c r="BY177" s="0" t="s">
        <v>247</v>
      </c>
      <c r="CC177" s="0" t="s">
        <v>738</v>
      </c>
      <c r="CE177" s="0" t="s">
        <v>162</v>
      </c>
      <c r="CH177" s="0" t="s">
        <v>163</v>
      </c>
      <c r="CJ177" s="0" t="s">
        <v>163</v>
      </c>
      <c r="CK177" s="0" t="s">
        <v>162</v>
      </c>
      <c r="CL177" s="0" t="s">
        <v>163</v>
      </c>
      <c r="CO177" s="0" t="s">
        <v>163</v>
      </c>
      <c r="CQ177" s="0" t="s">
        <v>2196</v>
      </c>
      <c r="CR177" s="0" t="s">
        <v>206</v>
      </c>
      <c r="CS177" s="0" t="s">
        <v>163</v>
      </c>
      <c r="CT177" s="0" t="n">
        <v>29</v>
      </c>
      <c r="CU177" s="0" t="n">
        <v>7</v>
      </c>
      <c r="CV177" s="0" t="n">
        <v>8</v>
      </c>
      <c r="CW177" s="0" t="n">
        <v>6</v>
      </c>
      <c r="CX177" s="0" t="n">
        <v>8</v>
      </c>
      <c r="CY177" s="0" t="n">
        <f aca="false">IF(AH177="exact",10,IF(AH177="adjacent",5,0))</f>
        <v>0</v>
      </c>
      <c r="CZ177" s="0" t="n">
        <f aca="false">IF(R177="Y",15,0)</f>
        <v>0</v>
      </c>
      <c r="DF177" s="0" t="s">
        <v>158</v>
      </c>
      <c r="DG177" s="0" t="s">
        <v>211</v>
      </c>
      <c r="DJ177" s="0" t="s">
        <v>3057</v>
      </c>
      <c r="DK177" s="0" t="s">
        <v>3058</v>
      </c>
      <c r="DS177" s="0" t="s">
        <v>158</v>
      </c>
      <c r="DX177" s="0" t="s">
        <v>162</v>
      </c>
      <c r="ER177" s="0" t="str">
        <f aca="false">IF(ISNUMBER(MATCH(U177,{"queued","contacted","replied","call_booked","call_done","yes_in_principle","materials_sent"},0)),"Y","N")</f>
        <v>N</v>
      </c>
      <c r="ES177" s="0" t="str">
        <f aca="false">IF(COUNTIFS($AP$2:$AP$1000,AP177,$ER$2:$ER$1000,"Y")+COUNTIFS($AP$2:$AP$1000,AP177,$T$2:$T$1000,"Y")&gt;0,"Y","N")</f>
        <v>N</v>
      </c>
      <c r="ET177" s="0" t="str">
        <f aca="false">IF(AND(U177="new",T177="N",AT177="Y",AS177="",ES177="N"),"Y","N")</f>
        <v>N</v>
      </c>
      <c r="EU177" s="0" t="str">
        <f aca="false">IF(ET177&lt;&gt;"Y","N",IF(COUNTIFS($AP$2:$AP$1000,AP177,$ET$2:$ET$1000,"Y",$J$2:$J$1000,"&gt;"&amp;J177)+COUNTIFS($AP$2:$AP$1000,AP177,$ET$2:$ET$1000,"Y",$J$2:$J$1000,J177,$EW$2:$EW$1000,"&lt;"&amp;EW177)=0,"Y","N"))</f>
        <v>N</v>
      </c>
      <c r="EV177" s="0" t="str">
        <f aca="false">IF(Y177="","N",IF(Y177&lt;=10,"Y","N"))</f>
        <v>N</v>
      </c>
      <c r="EW177" s="0" t="n">
        <f aca="false">ROW()-1</f>
        <v>176</v>
      </c>
    </row>
    <row r="178" customFormat="false" ht="15" hidden="false" customHeight="false" outlineLevel="0" collapsed="false">
      <c r="A178" s="0" t="s">
        <v>3059</v>
      </c>
      <c r="B178" s="0" t="s">
        <v>3060</v>
      </c>
      <c r="H178" s="5" t="s">
        <v>158</v>
      </c>
      <c r="I178" s="5" t="s">
        <v>159</v>
      </c>
      <c r="J178" s="0" t="n">
        <f aca="false">IF(AX178="pass",ROUND(CU178+CV178+CW178+CX178+CY178+CZ178,1),0)</f>
        <v>29</v>
      </c>
      <c r="K178" s="0" t="s">
        <v>3048</v>
      </c>
      <c r="L178" s="0" t="s">
        <v>163</v>
      </c>
      <c r="O178" s="0" t="s">
        <v>3061</v>
      </c>
      <c r="P178" s="0" t="s">
        <v>3062</v>
      </c>
      <c r="Q178" s="0" t="s">
        <v>522</v>
      </c>
      <c r="R178" s="5" t="s">
        <v>162</v>
      </c>
      <c r="S178" s="0" t="s">
        <v>163</v>
      </c>
      <c r="T178" s="5" t="s">
        <v>162</v>
      </c>
      <c r="U178" s="5" t="s">
        <v>561</v>
      </c>
      <c r="V178" s="0" t="s">
        <v>3062</v>
      </c>
      <c r="W178" s="0" t="s">
        <v>166</v>
      </c>
      <c r="X178" s="0" t="s">
        <v>167</v>
      </c>
      <c r="Y178" s="0" t="str">
        <f aca="false">IF(EU178&lt;&gt;"Y","",COUNTIFS($EU$2:$EU$1000,"Y",$J$2:$J$1000,"&gt;"&amp;J178)+COUNTIFS($EU$2:$EU$1000,"Y",$J$2:$J$1000,J178,$EW$2:$EW$1000,"&lt;"&amp;EW178)+1)</f>
        <v/>
      </c>
      <c r="Z178" s="0" t="n">
        <v>177</v>
      </c>
      <c r="AA178" s="0" t="s">
        <v>162</v>
      </c>
      <c r="AD178" s="0" t="s">
        <v>158</v>
      </c>
      <c r="AH178" s="5" t="s">
        <v>158</v>
      </c>
      <c r="AI178" s="0" t="s">
        <v>2407</v>
      </c>
      <c r="AJ178" s="0" t="s">
        <v>1630</v>
      </c>
      <c r="AK178" s="0" t="s">
        <v>434</v>
      </c>
      <c r="AL178" s="0" t="s">
        <v>163</v>
      </c>
      <c r="AM178" s="0" t="s">
        <v>163</v>
      </c>
      <c r="AN178" s="0" t="s">
        <v>158</v>
      </c>
      <c r="AO178" s="0" t="s">
        <v>163</v>
      </c>
      <c r="AP178" s="0" t="s">
        <v>3059</v>
      </c>
      <c r="AQ178" s="5" t="s">
        <v>162</v>
      </c>
      <c r="AT178" s="0" t="str">
        <f aca="false">IF(AND(AX178="pass",AQ178&lt;&gt;"Y",C178&lt;&gt;"",OR(AW178&lt;&gt;"Y",AV178="Y")),"Y","N")</f>
        <v>N</v>
      </c>
      <c r="AU178" s="0" t="str">
        <f aca="false">_xlfn.TEXTJOIN("; ",TRUE(),IF(AX178&lt;&gt;"pass","gated out",""),IF(AQ178="Y","on hold: "&amp;AR178,""),IF(C178="","no contact named on an opened page",""),IF(AND(AW178="Y",AV178&lt;&gt;"Y"),"Tuesday estimate band "&amp;L178&amp;": founder's call",""))</f>
        <v>no contact named on an opened page</v>
      </c>
      <c r="AW178" s="0" t="s">
        <v>162</v>
      </c>
      <c r="AX178" s="0" t="s">
        <v>181</v>
      </c>
      <c r="AY178" s="0" t="s">
        <v>182</v>
      </c>
      <c r="AZ178" s="0" t="s">
        <v>1</v>
      </c>
      <c r="BA178" s="0" t="s">
        <v>3063</v>
      </c>
      <c r="BB178" s="0" t="s">
        <v>3064</v>
      </c>
      <c r="BC178" s="0" t="s">
        <v>3065</v>
      </c>
      <c r="BD178" s="0" t="s">
        <v>163</v>
      </c>
      <c r="BF178" s="0" t="s">
        <v>163</v>
      </c>
      <c r="BG178" s="0" t="s">
        <v>163</v>
      </c>
      <c r="BH178" s="0" t="s">
        <v>2195</v>
      </c>
      <c r="BK178" s="0" t="s">
        <v>163</v>
      </c>
      <c r="BL178" s="0" t="s">
        <v>163</v>
      </c>
      <c r="BM178" s="0" t="s">
        <v>163</v>
      </c>
      <c r="BN178" s="0" t="s">
        <v>163</v>
      </c>
      <c r="BO178" s="0" t="s">
        <v>163</v>
      </c>
      <c r="BP178" s="0" t="s">
        <v>346</v>
      </c>
      <c r="BQ178" s="0" t="n">
        <v>40.742477</v>
      </c>
      <c r="BR178" s="0" t="n">
        <v>-73.986608</v>
      </c>
      <c r="BS178" s="0" t="s">
        <v>168</v>
      </c>
      <c r="BT178" s="0" t="n">
        <v>0</v>
      </c>
      <c r="BU178" s="0" t="s">
        <v>2412</v>
      </c>
      <c r="BV178" s="0" t="s">
        <v>2413</v>
      </c>
      <c r="BW178" s="0" t="s">
        <v>3062</v>
      </c>
      <c r="BX178" s="0" t="s">
        <v>522</v>
      </c>
      <c r="BY178" s="0" t="s">
        <v>247</v>
      </c>
      <c r="CC178" s="0" t="s">
        <v>738</v>
      </c>
      <c r="CE178" s="0" t="s">
        <v>162</v>
      </c>
      <c r="CH178" s="0" t="s">
        <v>201</v>
      </c>
      <c r="CI178" s="0" t="s">
        <v>2415</v>
      </c>
      <c r="CJ178" s="0" t="s">
        <v>163</v>
      </c>
      <c r="CK178" s="0" t="s">
        <v>162</v>
      </c>
      <c r="CL178" s="0" t="s">
        <v>163</v>
      </c>
      <c r="CO178" s="0" t="s">
        <v>163</v>
      </c>
      <c r="CQ178" s="0" t="s">
        <v>2196</v>
      </c>
      <c r="CR178" s="0" t="s">
        <v>206</v>
      </c>
      <c r="CS178" s="0" t="s">
        <v>163</v>
      </c>
      <c r="CT178" s="0" t="n">
        <v>29</v>
      </c>
      <c r="CU178" s="0" t="n">
        <v>7</v>
      </c>
      <c r="CV178" s="0" t="n">
        <v>8</v>
      </c>
      <c r="CW178" s="0" t="n">
        <v>6</v>
      </c>
      <c r="CX178" s="0" t="n">
        <v>8</v>
      </c>
      <c r="CY178" s="0" t="n">
        <f aca="false">IF(AH178="exact",10,IF(AH178="adjacent",5,0))</f>
        <v>0</v>
      </c>
      <c r="CZ178" s="0" t="n">
        <f aca="false">IF(R178="Y",15,0)</f>
        <v>0</v>
      </c>
      <c r="DF178" s="0" t="s">
        <v>158</v>
      </c>
      <c r="DG178" s="0" t="s">
        <v>211</v>
      </c>
      <c r="DJ178" s="0" t="s">
        <v>3066</v>
      </c>
      <c r="DK178" s="0" t="s">
        <v>3067</v>
      </c>
      <c r="DS178" s="0" t="s">
        <v>158</v>
      </c>
      <c r="DX178" s="0" t="s">
        <v>162</v>
      </c>
      <c r="ER178" s="0" t="str">
        <f aca="false">IF(ISNUMBER(MATCH(U178,{"queued","contacted","replied","call_booked","call_done","yes_in_principle","materials_sent"},0)),"Y","N")</f>
        <v>N</v>
      </c>
      <c r="ES178" s="0" t="str">
        <f aca="false">IF(COUNTIFS($AP$2:$AP$1000,AP178,$ER$2:$ER$1000,"Y")+COUNTIFS($AP$2:$AP$1000,AP178,$T$2:$T$1000,"Y")&gt;0,"Y","N")</f>
        <v>N</v>
      </c>
      <c r="ET178" s="0" t="str">
        <f aca="false">IF(AND(U178="new",T178="N",AT178="Y",AS178="",ES178="N"),"Y","N")</f>
        <v>N</v>
      </c>
      <c r="EU178" s="0" t="str">
        <f aca="false">IF(ET178&lt;&gt;"Y","N",IF(COUNTIFS($AP$2:$AP$1000,AP178,$ET$2:$ET$1000,"Y",$J$2:$J$1000,"&gt;"&amp;J178)+COUNTIFS($AP$2:$AP$1000,AP178,$ET$2:$ET$1000,"Y",$J$2:$J$1000,J178,$EW$2:$EW$1000,"&lt;"&amp;EW178)=0,"Y","N"))</f>
        <v>N</v>
      </c>
      <c r="EV178" s="0" t="str">
        <f aca="false">IF(Y178="","N",IF(Y178&lt;=10,"Y","N"))</f>
        <v>N</v>
      </c>
      <c r="EW178" s="0" t="n">
        <f aca="false">ROW()-1</f>
        <v>177</v>
      </c>
    </row>
    <row r="179" customFormat="false" ht="15" hidden="false" customHeight="false" outlineLevel="0" collapsed="false">
      <c r="A179" s="0" t="s">
        <v>3068</v>
      </c>
      <c r="B179" s="0" t="s">
        <v>3069</v>
      </c>
      <c r="H179" s="5" t="s">
        <v>158</v>
      </c>
      <c r="I179" s="5" t="s">
        <v>159</v>
      </c>
      <c r="J179" s="0" t="n">
        <f aca="false">IF(AX179="pass",ROUND(CU179+CV179+CW179+CX179+CY179+CZ179,1),0)</f>
        <v>29</v>
      </c>
      <c r="K179" s="0" t="s">
        <v>3048</v>
      </c>
      <c r="L179" s="0" t="s">
        <v>163</v>
      </c>
      <c r="O179" s="0" t="s">
        <v>3070</v>
      </c>
      <c r="P179" s="0" t="s">
        <v>3071</v>
      </c>
      <c r="Q179" s="0" t="s">
        <v>3072</v>
      </c>
      <c r="R179" s="5" t="s">
        <v>162</v>
      </c>
      <c r="S179" s="0" t="s">
        <v>163</v>
      </c>
      <c r="T179" s="5" t="s">
        <v>162</v>
      </c>
      <c r="U179" s="5" t="s">
        <v>561</v>
      </c>
      <c r="V179" s="0" t="s">
        <v>3071</v>
      </c>
      <c r="W179" s="0" t="s">
        <v>166</v>
      </c>
      <c r="X179" s="0" t="s">
        <v>167</v>
      </c>
      <c r="Y179" s="0" t="str">
        <f aca="false">IF(EU179&lt;&gt;"Y","",COUNTIFS($EU$2:$EU$1000,"Y",$J$2:$J$1000,"&gt;"&amp;J179)+COUNTIFS($EU$2:$EU$1000,"Y",$J$2:$J$1000,J179,$EW$2:$EW$1000,"&lt;"&amp;EW179)+1)</f>
        <v/>
      </c>
      <c r="Z179" s="0" t="n">
        <v>178</v>
      </c>
      <c r="AA179" s="0" t="s">
        <v>162</v>
      </c>
      <c r="AD179" s="0" t="s">
        <v>158</v>
      </c>
      <c r="AH179" s="5" t="s">
        <v>158</v>
      </c>
      <c r="AI179" s="0" t="s">
        <v>3050</v>
      </c>
      <c r="AJ179" s="0" t="s">
        <v>624</v>
      </c>
      <c r="AK179" s="0" t="s">
        <v>434</v>
      </c>
      <c r="AL179" s="0" t="s">
        <v>163</v>
      </c>
      <c r="AM179" s="0" t="s">
        <v>163</v>
      </c>
      <c r="AN179" s="0" t="s">
        <v>158</v>
      </c>
      <c r="AO179" s="0" t="s">
        <v>163</v>
      </c>
      <c r="AP179" s="0" t="s">
        <v>3068</v>
      </c>
      <c r="AQ179" s="5" t="s">
        <v>162</v>
      </c>
      <c r="AT179" s="0" t="str">
        <f aca="false">IF(AND(AX179="pass",AQ179&lt;&gt;"Y",C179&lt;&gt;"",OR(AW179&lt;&gt;"Y",AV179="Y")),"Y","N")</f>
        <v>N</v>
      </c>
      <c r="AU179" s="0" t="str">
        <f aca="false">_xlfn.TEXTJOIN("; ",TRUE(),IF(AX179&lt;&gt;"pass","gated out",""),IF(AQ179="Y","on hold: "&amp;AR179,""),IF(C179="","no contact named on an opened page",""),IF(AND(AW179="Y",AV179&lt;&gt;"Y"),"Tuesday estimate band "&amp;L179&amp;": founder's call",""))</f>
        <v>no contact named on an opened page</v>
      </c>
      <c r="AW179" s="0" t="s">
        <v>162</v>
      </c>
      <c r="AX179" s="0" t="s">
        <v>181</v>
      </c>
      <c r="AY179" s="0" t="s">
        <v>182</v>
      </c>
      <c r="AZ179" s="0" t="s">
        <v>1</v>
      </c>
      <c r="BA179" s="0" t="s">
        <v>3073</v>
      </c>
      <c r="BB179" s="0" t="s">
        <v>163</v>
      </c>
      <c r="BC179" s="0" t="s">
        <v>3074</v>
      </c>
      <c r="BD179" s="0" t="s">
        <v>163</v>
      </c>
      <c r="BF179" s="0" t="s">
        <v>163</v>
      </c>
      <c r="BG179" s="0" t="s">
        <v>163</v>
      </c>
      <c r="BH179" s="0" t="s">
        <v>2195</v>
      </c>
      <c r="BK179" s="0" t="s">
        <v>163</v>
      </c>
      <c r="BL179" s="0" t="s">
        <v>163</v>
      </c>
      <c r="BM179" s="0" t="s">
        <v>163</v>
      </c>
      <c r="BN179" s="0" t="s">
        <v>163</v>
      </c>
      <c r="BO179" s="0" t="s">
        <v>163</v>
      </c>
      <c r="BP179" s="0" t="s">
        <v>243</v>
      </c>
      <c r="BQ179" s="0" t="n">
        <v>40.744774</v>
      </c>
      <c r="BR179" s="0" t="n">
        <v>-73.984932</v>
      </c>
      <c r="BS179" s="0" t="s">
        <v>168</v>
      </c>
      <c r="BT179" s="0" t="n">
        <v>0</v>
      </c>
      <c r="BU179" s="0" t="s">
        <v>3054</v>
      </c>
      <c r="BV179" s="0" t="s">
        <v>3055</v>
      </c>
      <c r="BW179" s="0" t="s">
        <v>3071</v>
      </c>
      <c r="BX179" s="0" t="s">
        <v>3072</v>
      </c>
      <c r="BY179" s="0" t="s">
        <v>247</v>
      </c>
      <c r="CC179" s="0" t="s">
        <v>738</v>
      </c>
      <c r="CE179" s="0" t="s">
        <v>162</v>
      </c>
      <c r="CH179" s="0" t="s">
        <v>163</v>
      </c>
      <c r="CJ179" s="0" t="s">
        <v>163</v>
      </c>
      <c r="CK179" s="0" t="s">
        <v>162</v>
      </c>
      <c r="CL179" s="0" t="s">
        <v>163</v>
      </c>
      <c r="CO179" s="0" t="s">
        <v>163</v>
      </c>
      <c r="CQ179" s="0" t="s">
        <v>2196</v>
      </c>
      <c r="CR179" s="0" t="s">
        <v>206</v>
      </c>
      <c r="CS179" s="0" t="s">
        <v>163</v>
      </c>
      <c r="CT179" s="0" t="n">
        <v>29</v>
      </c>
      <c r="CU179" s="0" t="n">
        <v>7</v>
      </c>
      <c r="CV179" s="0" t="n">
        <v>8</v>
      </c>
      <c r="CW179" s="0" t="n">
        <v>6</v>
      </c>
      <c r="CX179" s="0" t="n">
        <v>8</v>
      </c>
      <c r="CY179" s="0" t="n">
        <f aca="false">IF(AH179="exact",10,IF(AH179="adjacent",5,0))</f>
        <v>0</v>
      </c>
      <c r="CZ179" s="0" t="n">
        <f aca="false">IF(R179="Y",15,0)</f>
        <v>0</v>
      </c>
      <c r="DF179" s="0" t="s">
        <v>158</v>
      </c>
      <c r="DG179" s="0" t="s">
        <v>211</v>
      </c>
      <c r="DJ179" s="0" t="s">
        <v>3057</v>
      </c>
      <c r="DK179" s="0" t="s">
        <v>3075</v>
      </c>
      <c r="DS179" s="0" t="s">
        <v>158</v>
      </c>
      <c r="DX179" s="0" t="s">
        <v>162</v>
      </c>
      <c r="ER179" s="0" t="str">
        <f aca="false">IF(ISNUMBER(MATCH(U179,{"queued","contacted","replied","call_booked","call_done","yes_in_principle","materials_sent"},0)),"Y","N")</f>
        <v>N</v>
      </c>
      <c r="ES179" s="0" t="str">
        <f aca="false">IF(COUNTIFS($AP$2:$AP$1000,AP179,$ER$2:$ER$1000,"Y")+COUNTIFS($AP$2:$AP$1000,AP179,$T$2:$T$1000,"Y")&gt;0,"Y","N")</f>
        <v>N</v>
      </c>
      <c r="ET179" s="0" t="str">
        <f aca="false">IF(AND(U179="new",T179="N",AT179="Y",AS179="",ES179="N"),"Y","N")</f>
        <v>N</v>
      </c>
      <c r="EU179" s="0" t="str">
        <f aca="false">IF(ET179&lt;&gt;"Y","N",IF(COUNTIFS($AP$2:$AP$1000,AP179,$ET$2:$ET$1000,"Y",$J$2:$J$1000,"&gt;"&amp;J179)+COUNTIFS($AP$2:$AP$1000,AP179,$ET$2:$ET$1000,"Y",$J$2:$J$1000,J179,$EW$2:$EW$1000,"&lt;"&amp;EW179)=0,"Y","N"))</f>
        <v>N</v>
      </c>
      <c r="EV179" s="0" t="str">
        <f aca="false">IF(Y179="","N",IF(Y179&lt;=10,"Y","N"))</f>
        <v>N</v>
      </c>
      <c r="EW179" s="0" t="n">
        <f aca="false">ROW()-1</f>
        <v>178</v>
      </c>
    </row>
    <row r="180" customFormat="false" ht="15" hidden="false" customHeight="false" outlineLevel="0" collapsed="false">
      <c r="A180" s="0" t="s">
        <v>3076</v>
      </c>
      <c r="B180" s="0" t="s">
        <v>3077</v>
      </c>
      <c r="H180" s="5" t="s">
        <v>158</v>
      </c>
      <c r="I180" s="5" t="s">
        <v>159</v>
      </c>
      <c r="J180" s="0" t="n">
        <f aca="false">IF(AX180="pass",ROUND(CU180+CV180+CW180+CX180+CY180+CZ180,1),0)</f>
        <v>29</v>
      </c>
      <c r="K180" s="0" t="s">
        <v>3048</v>
      </c>
      <c r="L180" s="0" t="s">
        <v>163</v>
      </c>
      <c r="R180" s="5" t="s">
        <v>162</v>
      </c>
      <c r="S180" s="0" t="s">
        <v>163</v>
      </c>
      <c r="T180" s="5" t="s">
        <v>162</v>
      </c>
      <c r="U180" s="5" t="s">
        <v>561</v>
      </c>
      <c r="V180" s="0" t="s">
        <v>3078</v>
      </c>
      <c r="W180" s="0" t="s">
        <v>166</v>
      </c>
      <c r="X180" s="0" t="s">
        <v>167</v>
      </c>
      <c r="Y180" s="0" t="str">
        <f aca="false">IF(EU180&lt;&gt;"Y","",COUNTIFS($EU$2:$EU$1000,"Y",$J$2:$J$1000,"&gt;"&amp;J180)+COUNTIFS($EU$2:$EU$1000,"Y",$J$2:$J$1000,J180,$EW$2:$EW$1000,"&lt;"&amp;EW180)+1)</f>
        <v/>
      </c>
      <c r="Z180" s="0" t="n">
        <v>179</v>
      </c>
      <c r="AA180" s="0" t="s">
        <v>162</v>
      </c>
      <c r="AD180" s="0" t="s">
        <v>158</v>
      </c>
      <c r="AH180" s="5" t="s">
        <v>158</v>
      </c>
      <c r="AI180" s="0" t="s">
        <v>3079</v>
      </c>
      <c r="AJ180" s="0" t="s">
        <v>163</v>
      </c>
      <c r="AK180" s="0" t="s">
        <v>434</v>
      </c>
      <c r="AL180" s="0" t="s">
        <v>163</v>
      </c>
      <c r="AM180" s="0" t="s">
        <v>163</v>
      </c>
      <c r="AN180" s="0" t="s">
        <v>158</v>
      </c>
      <c r="AO180" s="0" t="s">
        <v>163</v>
      </c>
      <c r="AP180" s="0" t="s">
        <v>3076</v>
      </c>
      <c r="AQ180" s="5" t="s">
        <v>162</v>
      </c>
      <c r="AT180" s="0" t="str">
        <f aca="false">IF(AND(AX180="pass",AQ180&lt;&gt;"Y",C180&lt;&gt;"",OR(AW180&lt;&gt;"Y",AV180="Y")),"Y","N")</f>
        <v>N</v>
      </c>
      <c r="AU180" s="0" t="str">
        <f aca="false">_xlfn.TEXTJOIN("; ",TRUE(),IF(AX180&lt;&gt;"pass","gated out",""),IF(AQ180="Y","on hold: "&amp;AR180,""),IF(C180="","no contact named on an opened page",""),IF(AND(AW180="Y",AV180&lt;&gt;"Y"),"Tuesday estimate band "&amp;L180&amp;": founder's call",""))</f>
        <v>no contact named on an opened page</v>
      </c>
      <c r="AW180" s="0" t="s">
        <v>162</v>
      </c>
      <c r="AX180" s="0" t="s">
        <v>181</v>
      </c>
      <c r="AY180" s="0" t="s">
        <v>182</v>
      </c>
      <c r="AZ180" s="0" t="s">
        <v>1</v>
      </c>
      <c r="BA180" s="0" t="s">
        <v>3080</v>
      </c>
      <c r="BB180" s="0" t="s">
        <v>163</v>
      </c>
      <c r="BC180" s="0" t="s">
        <v>3081</v>
      </c>
      <c r="BD180" s="0" t="s">
        <v>163</v>
      </c>
      <c r="BF180" s="0" t="s">
        <v>163</v>
      </c>
      <c r="BG180" s="0" t="s">
        <v>163</v>
      </c>
      <c r="BH180" s="0" t="s">
        <v>2195</v>
      </c>
      <c r="BK180" s="0" t="s">
        <v>163</v>
      </c>
      <c r="BL180" s="0" t="s">
        <v>163</v>
      </c>
      <c r="BM180" s="0" t="s">
        <v>163</v>
      </c>
      <c r="BN180" s="0" t="s">
        <v>163</v>
      </c>
      <c r="BO180" s="0" t="s">
        <v>163</v>
      </c>
      <c r="BP180" s="0" t="s">
        <v>346</v>
      </c>
      <c r="BQ180" s="0" t="n">
        <v>40.740407</v>
      </c>
      <c r="BR180" s="0" t="n">
        <v>-73.990193</v>
      </c>
      <c r="BS180" s="0" t="s">
        <v>168</v>
      </c>
      <c r="BT180" s="0" t="n">
        <v>0</v>
      </c>
      <c r="BU180" s="0" t="s">
        <v>3082</v>
      </c>
      <c r="BV180" s="0" t="s">
        <v>3079</v>
      </c>
      <c r="BW180" s="0" t="s">
        <v>3078</v>
      </c>
      <c r="BX180" s="0" t="s">
        <v>3083</v>
      </c>
      <c r="BY180" s="0" t="s">
        <v>247</v>
      </c>
      <c r="CC180" s="0" t="s">
        <v>738</v>
      </c>
      <c r="CE180" s="0" t="s">
        <v>162</v>
      </c>
      <c r="CH180" s="0" t="s">
        <v>163</v>
      </c>
      <c r="CJ180" s="0" t="s">
        <v>163</v>
      </c>
      <c r="CK180" s="0" t="s">
        <v>162</v>
      </c>
      <c r="CL180" s="0" t="s">
        <v>163</v>
      </c>
      <c r="CO180" s="0" t="s">
        <v>163</v>
      </c>
      <c r="CQ180" s="0" t="s">
        <v>2196</v>
      </c>
      <c r="CR180" s="0" t="s">
        <v>206</v>
      </c>
      <c r="CS180" s="0" t="s">
        <v>163</v>
      </c>
      <c r="CT180" s="0" t="n">
        <v>29</v>
      </c>
      <c r="CU180" s="0" t="n">
        <v>7</v>
      </c>
      <c r="CV180" s="0" t="n">
        <v>8</v>
      </c>
      <c r="CW180" s="0" t="n">
        <v>6</v>
      </c>
      <c r="CX180" s="0" t="n">
        <v>8</v>
      </c>
      <c r="CY180" s="0" t="n">
        <f aca="false">IF(AH180="exact",10,IF(AH180="adjacent",5,0))</f>
        <v>0</v>
      </c>
      <c r="CZ180" s="0" t="n">
        <f aca="false">IF(R180="Y",15,0)</f>
        <v>0</v>
      </c>
      <c r="DF180" s="0" t="s">
        <v>158</v>
      </c>
      <c r="DG180" s="0" t="s">
        <v>211</v>
      </c>
      <c r="DJ180" s="0" t="s">
        <v>2020</v>
      </c>
      <c r="DK180" s="0" t="s">
        <v>3084</v>
      </c>
      <c r="DS180" s="0" t="s">
        <v>158</v>
      </c>
      <c r="DX180" s="0" t="s">
        <v>162</v>
      </c>
      <c r="ER180" s="0" t="str">
        <f aca="false">IF(ISNUMBER(MATCH(U180,{"queued","contacted","replied","call_booked","call_done","yes_in_principle","materials_sent"},0)),"Y","N")</f>
        <v>N</v>
      </c>
      <c r="ES180" s="0" t="str">
        <f aca="false">IF(COUNTIFS($AP$2:$AP$1000,AP180,$ER$2:$ER$1000,"Y")+COUNTIFS($AP$2:$AP$1000,AP180,$T$2:$T$1000,"Y")&gt;0,"Y","N")</f>
        <v>N</v>
      </c>
      <c r="ET180" s="0" t="str">
        <f aca="false">IF(AND(U180="new",T180="N",AT180="Y",AS180="",ES180="N"),"Y","N")</f>
        <v>N</v>
      </c>
      <c r="EU180" s="0" t="str">
        <f aca="false">IF(ET180&lt;&gt;"Y","N",IF(COUNTIFS($AP$2:$AP$1000,AP180,$ET$2:$ET$1000,"Y",$J$2:$J$1000,"&gt;"&amp;J180)+COUNTIFS($AP$2:$AP$1000,AP180,$ET$2:$ET$1000,"Y",$J$2:$J$1000,J180,$EW$2:$EW$1000,"&lt;"&amp;EW180)=0,"Y","N"))</f>
        <v>N</v>
      </c>
      <c r="EV180" s="0" t="str">
        <f aca="false">IF(Y180="","N",IF(Y180&lt;=10,"Y","N"))</f>
        <v>N</v>
      </c>
      <c r="EW180" s="0" t="n">
        <f aca="false">ROW()-1</f>
        <v>179</v>
      </c>
    </row>
    <row r="181" customFormat="false" ht="15" hidden="false" customHeight="false" outlineLevel="0" collapsed="false">
      <c r="A181" s="0" t="s">
        <v>3085</v>
      </c>
      <c r="B181" s="0" t="s">
        <v>3086</v>
      </c>
      <c r="H181" s="5" t="s">
        <v>158</v>
      </c>
      <c r="I181" s="5" t="s">
        <v>159</v>
      </c>
      <c r="J181" s="0" t="n">
        <f aca="false">IF(AX181="pass",ROUND(CU181+CV181+CW181+CX181+CY181+CZ181,1),0)</f>
        <v>29</v>
      </c>
      <c r="K181" s="0" t="s">
        <v>3048</v>
      </c>
      <c r="L181" s="0" t="s">
        <v>163</v>
      </c>
      <c r="R181" s="5" t="s">
        <v>162</v>
      </c>
      <c r="S181" s="0" t="s">
        <v>163</v>
      </c>
      <c r="T181" s="5" t="s">
        <v>162</v>
      </c>
      <c r="U181" s="5" t="s">
        <v>561</v>
      </c>
      <c r="V181" s="0" t="s">
        <v>481</v>
      </c>
      <c r="W181" s="0" t="s">
        <v>166</v>
      </c>
      <c r="X181" s="0" t="s">
        <v>167</v>
      </c>
      <c r="Y181" s="0" t="str">
        <f aca="false">IF(EU181&lt;&gt;"Y","",COUNTIFS($EU$2:$EU$1000,"Y",$J$2:$J$1000,"&gt;"&amp;J181)+COUNTIFS($EU$2:$EU$1000,"Y",$J$2:$J$1000,J181,$EW$2:$EW$1000,"&lt;"&amp;EW181)+1)</f>
        <v/>
      </c>
      <c r="Z181" s="0" t="n">
        <v>180</v>
      </c>
      <c r="AA181" s="0" t="s">
        <v>162</v>
      </c>
      <c r="AD181" s="0" t="s">
        <v>158</v>
      </c>
      <c r="AH181" s="5" t="s">
        <v>158</v>
      </c>
      <c r="AI181" s="0" t="s">
        <v>470</v>
      </c>
      <c r="AJ181" s="0" t="s">
        <v>3087</v>
      </c>
      <c r="AK181" s="0" t="s">
        <v>434</v>
      </c>
      <c r="AL181" s="0" t="s">
        <v>163</v>
      </c>
      <c r="AM181" s="0" t="s">
        <v>163</v>
      </c>
      <c r="AN181" s="0" t="s">
        <v>158</v>
      </c>
      <c r="AO181" s="0" t="s">
        <v>163</v>
      </c>
      <c r="AP181" s="0" t="s">
        <v>3085</v>
      </c>
      <c r="AQ181" s="5" t="s">
        <v>162</v>
      </c>
      <c r="AT181" s="0" t="str">
        <f aca="false">IF(AND(AX181="pass",AQ181&lt;&gt;"Y",C181&lt;&gt;"",OR(AW181&lt;&gt;"Y",AV181="Y")),"Y","N")</f>
        <v>N</v>
      </c>
      <c r="AU181" s="0" t="str">
        <f aca="false">_xlfn.TEXTJOIN("; ",TRUE(),IF(AX181&lt;&gt;"pass","gated out",""),IF(AQ181="Y","on hold: "&amp;AR181,""),IF(C181="","no contact named on an opened page",""),IF(AND(AW181="Y",AV181&lt;&gt;"Y"),"Tuesday estimate band "&amp;L181&amp;": founder's call",""))</f>
        <v>no contact named on an opened page</v>
      </c>
      <c r="AW181" s="0" t="s">
        <v>162</v>
      </c>
      <c r="AX181" s="0" t="s">
        <v>181</v>
      </c>
      <c r="AY181" s="0" t="s">
        <v>182</v>
      </c>
      <c r="AZ181" s="0" t="s">
        <v>1</v>
      </c>
      <c r="BA181" s="0" t="s">
        <v>3088</v>
      </c>
      <c r="BB181" s="0" t="s">
        <v>163</v>
      </c>
      <c r="BC181" s="0" t="s">
        <v>3089</v>
      </c>
      <c r="BD181" s="0" t="s">
        <v>163</v>
      </c>
      <c r="BF181" s="0" t="s">
        <v>163</v>
      </c>
      <c r="BG181" s="0" t="s">
        <v>163</v>
      </c>
      <c r="BH181" s="0" t="s">
        <v>2195</v>
      </c>
      <c r="BK181" s="0" t="s">
        <v>163</v>
      </c>
      <c r="BL181" s="0" t="s">
        <v>163</v>
      </c>
      <c r="BM181" s="0" t="s">
        <v>163</v>
      </c>
      <c r="BN181" s="0" t="s">
        <v>163</v>
      </c>
      <c r="BO181" s="0" t="s">
        <v>163</v>
      </c>
      <c r="BP181" s="0" t="s">
        <v>346</v>
      </c>
      <c r="BQ181" s="0" t="n">
        <v>40.739819</v>
      </c>
      <c r="BR181" s="0" t="n">
        <v>-73.986885</v>
      </c>
      <c r="BS181" s="0" t="s">
        <v>168</v>
      </c>
      <c r="BT181" s="0" t="n">
        <v>0</v>
      </c>
      <c r="BU181" s="0" t="s">
        <v>479</v>
      </c>
      <c r="BV181" s="0" t="s">
        <v>480</v>
      </c>
      <c r="BW181" s="0" t="s">
        <v>481</v>
      </c>
      <c r="BX181" s="0" t="s">
        <v>482</v>
      </c>
      <c r="BY181" s="0" t="s">
        <v>247</v>
      </c>
      <c r="BZ181" s="0" t="s">
        <v>3090</v>
      </c>
      <c r="CA181" s="0" t="s">
        <v>2921</v>
      </c>
      <c r="CC181" s="0" t="s">
        <v>738</v>
      </c>
      <c r="CE181" s="0" t="s">
        <v>162</v>
      </c>
      <c r="CH181" s="0" t="s">
        <v>201</v>
      </c>
      <c r="CI181" s="0" t="s">
        <v>483</v>
      </c>
      <c r="CJ181" s="0" t="s">
        <v>163</v>
      </c>
      <c r="CK181" s="0" t="s">
        <v>162</v>
      </c>
      <c r="CL181" s="0" t="s">
        <v>163</v>
      </c>
      <c r="CO181" s="0" t="s">
        <v>163</v>
      </c>
      <c r="CQ181" s="0" t="s">
        <v>2196</v>
      </c>
      <c r="CR181" s="0" t="s">
        <v>206</v>
      </c>
      <c r="CS181" s="0" t="s">
        <v>163</v>
      </c>
      <c r="CT181" s="0" t="n">
        <v>29</v>
      </c>
      <c r="CU181" s="0" t="n">
        <v>7</v>
      </c>
      <c r="CV181" s="0" t="n">
        <v>8</v>
      </c>
      <c r="CW181" s="0" t="n">
        <v>6</v>
      </c>
      <c r="CX181" s="0" t="n">
        <v>8</v>
      </c>
      <c r="CY181" s="0" t="n">
        <f aca="false">IF(AH181="exact",10,IF(AH181="adjacent",5,0))</f>
        <v>0</v>
      </c>
      <c r="CZ181" s="0" t="n">
        <f aca="false">IF(R181="Y",15,0)</f>
        <v>0</v>
      </c>
      <c r="DF181" s="0" t="s">
        <v>158</v>
      </c>
      <c r="DG181" s="0" t="s">
        <v>211</v>
      </c>
      <c r="DJ181" s="0" t="s">
        <v>3091</v>
      </c>
      <c r="DK181" s="0" t="s">
        <v>3092</v>
      </c>
      <c r="DS181" s="0" t="s">
        <v>158</v>
      </c>
      <c r="DX181" s="0" t="s">
        <v>162</v>
      </c>
      <c r="ER181" s="0" t="str">
        <f aca="false">IF(ISNUMBER(MATCH(U181,{"queued","contacted","replied","call_booked","call_done","yes_in_principle","materials_sent"},0)),"Y","N")</f>
        <v>N</v>
      </c>
      <c r="ES181" s="0" t="str">
        <f aca="false">IF(COUNTIFS($AP$2:$AP$1000,AP181,$ER$2:$ER$1000,"Y")+COUNTIFS($AP$2:$AP$1000,AP181,$T$2:$T$1000,"Y")&gt;0,"Y","N")</f>
        <v>N</v>
      </c>
      <c r="ET181" s="0" t="str">
        <f aca="false">IF(AND(U181="new",T181="N",AT181="Y",AS181="",ES181="N"),"Y","N")</f>
        <v>N</v>
      </c>
      <c r="EU181" s="0" t="str">
        <f aca="false">IF(ET181&lt;&gt;"Y","N",IF(COUNTIFS($AP$2:$AP$1000,AP181,$ET$2:$ET$1000,"Y",$J$2:$J$1000,"&gt;"&amp;J181)+COUNTIFS($AP$2:$AP$1000,AP181,$ET$2:$ET$1000,"Y",$J$2:$J$1000,J181,$EW$2:$EW$1000,"&lt;"&amp;EW181)=0,"Y","N"))</f>
        <v>N</v>
      </c>
      <c r="EV181" s="0" t="str">
        <f aca="false">IF(Y181="","N",IF(Y181&lt;=10,"Y","N"))</f>
        <v>N</v>
      </c>
      <c r="EW181" s="0" t="n">
        <f aca="false">ROW()-1</f>
        <v>180</v>
      </c>
    </row>
    <row r="182" customFormat="false" ht="15" hidden="false" customHeight="false" outlineLevel="0" collapsed="false">
      <c r="A182" s="0" t="s">
        <v>3093</v>
      </c>
      <c r="B182" s="0" t="s">
        <v>3094</v>
      </c>
      <c r="H182" s="5" t="s">
        <v>158</v>
      </c>
      <c r="I182" s="5" t="s">
        <v>159</v>
      </c>
      <c r="J182" s="0" t="n">
        <f aca="false">IF(AX182="pass",ROUND(CU182+CV182+CW182+CX182+CY182+CZ182,1),0)</f>
        <v>29</v>
      </c>
      <c r="K182" s="0" t="s">
        <v>3048</v>
      </c>
      <c r="L182" s="0" t="s">
        <v>163</v>
      </c>
      <c r="R182" s="5" t="s">
        <v>162</v>
      </c>
      <c r="S182" s="0" t="s">
        <v>163</v>
      </c>
      <c r="T182" s="5" t="s">
        <v>162</v>
      </c>
      <c r="U182" s="5" t="s">
        <v>561</v>
      </c>
      <c r="V182" s="0" t="s">
        <v>2608</v>
      </c>
      <c r="W182" s="0" t="s">
        <v>166</v>
      </c>
      <c r="X182" s="0" t="s">
        <v>167</v>
      </c>
      <c r="Y182" s="0" t="str">
        <f aca="false">IF(EU182&lt;&gt;"Y","",COUNTIFS($EU$2:$EU$1000,"Y",$J$2:$J$1000,"&gt;"&amp;J182)+COUNTIFS($EU$2:$EU$1000,"Y",$J$2:$J$1000,J182,$EW$2:$EW$1000,"&lt;"&amp;EW182)+1)</f>
        <v/>
      </c>
      <c r="Z182" s="0" t="n">
        <v>181</v>
      </c>
      <c r="AA182" s="0" t="s">
        <v>162</v>
      </c>
      <c r="AD182" s="0" t="s">
        <v>158</v>
      </c>
      <c r="AH182" s="5" t="s">
        <v>158</v>
      </c>
      <c r="AI182" s="0" t="s">
        <v>2609</v>
      </c>
      <c r="AJ182" s="0" t="s">
        <v>163</v>
      </c>
      <c r="AK182" s="0" t="s">
        <v>434</v>
      </c>
      <c r="AL182" s="0" t="s">
        <v>163</v>
      </c>
      <c r="AM182" s="0" t="s">
        <v>163</v>
      </c>
      <c r="AN182" s="0" t="s">
        <v>158</v>
      </c>
      <c r="AO182" s="0" t="s">
        <v>163</v>
      </c>
      <c r="AP182" s="0" t="s">
        <v>3093</v>
      </c>
      <c r="AQ182" s="5" t="s">
        <v>162</v>
      </c>
      <c r="AT182" s="0" t="str">
        <f aca="false">IF(AND(AX182="pass",AQ182&lt;&gt;"Y",C182&lt;&gt;"",OR(AW182&lt;&gt;"Y",AV182="Y")),"Y","N")</f>
        <v>N</v>
      </c>
      <c r="AU182" s="0" t="str">
        <f aca="false">_xlfn.TEXTJOIN("; ",TRUE(),IF(AX182&lt;&gt;"pass","gated out",""),IF(AQ182="Y","on hold: "&amp;AR182,""),IF(C182="","no contact named on an opened page",""),IF(AND(AW182="Y",AV182&lt;&gt;"Y"),"Tuesday estimate band "&amp;L182&amp;": founder's call",""))</f>
        <v>no contact named on an opened page</v>
      </c>
      <c r="AW182" s="0" t="s">
        <v>162</v>
      </c>
      <c r="AX182" s="0" t="s">
        <v>181</v>
      </c>
      <c r="AY182" s="0" t="s">
        <v>182</v>
      </c>
      <c r="AZ182" s="0" t="s">
        <v>1</v>
      </c>
      <c r="BA182" s="0" t="s">
        <v>3095</v>
      </c>
      <c r="BB182" s="0" t="s">
        <v>163</v>
      </c>
      <c r="BC182" s="0" t="s">
        <v>3096</v>
      </c>
      <c r="BD182" s="0" t="s">
        <v>163</v>
      </c>
      <c r="BF182" s="0" t="s">
        <v>163</v>
      </c>
      <c r="BG182" s="0" t="s">
        <v>163</v>
      </c>
      <c r="BH182" s="0" t="s">
        <v>2195</v>
      </c>
      <c r="BK182" s="0" t="s">
        <v>163</v>
      </c>
      <c r="BL182" s="0" t="s">
        <v>163</v>
      </c>
      <c r="BM182" s="0" t="s">
        <v>163</v>
      </c>
      <c r="BN182" s="0" t="s">
        <v>163</v>
      </c>
      <c r="BO182" s="0" t="s">
        <v>163</v>
      </c>
      <c r="BP182" s="0" t="s">
        <v>377</v>
      </c>
      <c r="BQ182" s="0" t="n">
        <v>40.738186</v>
      </c>
      <c r="BR182" s="0" t="n">
        <v>-73.992429</v>
      </c>
      <c r="BS182" s="0" t="s">
        <v>168</v>
      </c>
      <c r="BT182" s="0" t="n">
        <v>0</v>
      </c>
      <c r="BU182" s="0" t="s">
        <v>2612</v>
      </c>
      <c r="BV182" s="0" t="s">
        <v>2609</v>
      </c>
      <c r="BW182" s="0" t="s">
        <v>2608</v>
      </c>
      <c r="BX182" s="0" t="s">
        <v>2613</v>
      </c>
      <c r="BY182" s="0" t="s">
        <v>247</v>
      </c>
      <c r="CC182" s="0" t="s">
        <v>738</v>
      </c>
      <c r="CE182" s="0" t="s">
        <v>162</v>
      </c>
      <c r="CH182" s="0" t="s">
        <v>163</v>
      </c>
      <c r="CJ182" s="0" t="s">
        <v>163</v>
      </c>
      <c r="CK182" s="0" t="s">
        <v>162</v>
      </c>
      <c r="CL182" s="0" t="s">
        <v>163</v>
      </c>
      <c r="CO182" s="0" t="s">
        <v>163</v>
      </c>
      <c r="CQ182" s="0" t="s">
        <v>2196</v>
      </c>
      <c r="CR182" s="0" t="s">
        <v>206</v>
      </c>
      <c r="CS182" s="0" t="s">
        <v>163</v>
      </c>
      <c r="CT182" s="0" t="n">
        <v>29</v>
      </c>
      <c r="CU182" s="0" t="n">
        <v>7</v>
      </c>
      <c r="CV182" s="0" t="n">
        <v>8</v>
      </c>
      <c r="CW182" s="0" t="n">
        <v>6</v>
      </c>
      <c r="CX182" s="0" t="n">
        <v>8</v>
      </c>
      <c r="CY182" s="0" t="n">
        <f aca="false">IF(AH182="exact",10,IF(AH182="adjacent",5,0))</f>
        <v>0</v>
      </c>
      <c r="CZ182" s="0" t="n">
        <f aca="false">IF(R182="Y",15,0)</f>
        <v>0</v>
      </c>
      <c r="DF182" s="0" t="s">
        <v>158</v>
      </c>
      <c r="DG182" s="0" t="s">
        <v>211</v>
      </c>
      <c r="DJ182" s="0" t="s">
        <v>2957</v>
      </c>
      <c r="DK182" s="0" t="s">
        <v>3097</v>
      </c>
      <c r="DS182" s="0" t="s">
        <v>158</v>
      </c>
      <c r="DX182" s="0" t="s">
        <v>162</v>
      </c>
      <c r="ER182" s="0" t="str">
        <f aca="false">IF(ISNUMBER(MATCH(U182,{"queued","contacted","replied","call_booked","call_done","yes_in_principle","materials_sent"},0)),"Y","N")</f>
        <v>N</v>
      </c>
      <c r="ES182" s="0" t="str">
        <f aca="false">IF(COUNTIFS($AP$2:$AP$1000,AP182,$ER$2:$ER$1000,"Y")+COUNTIFS($AP$2:$AP$1000,AP182,$T$2:$T$1000,"Y")&gt;0,"Y","N")</f>
        <v>N</v>
      </c>
      <c r="ET182" s="0" t="str">
        <f aca="false">IF(AND(U182="new",T182="N",AT182="Y",AS182="",ES182="N"),"Y","N")</f>
        <v>N</v>
      </c>
      <c r="EU182" s="0" t="str">
        <f aca="false">IF(ET182&lt;&gt;"Y","N",IF(COUNTIFS($AP$2:$AP$1000,AP182,$ET$2:$ET$1000,"Y",$J$2:$J$1000,"&gt;"&amp;J182)+COUNTIFS($AP$2:$AP$1000,AP182,$ET$2:$ET$1000,"Y",$J$2:$J$1000,J182,$EW$2:$EW$1000,"&lt;"&amp;EW182)=0,"Y","N"))</f>
        <v>N</v>
      </c>
      <c r="EV182" s="0" t="str">
        <f aca="false">IF(Y182="","N",IF(Y182&lt;=10,"Y","N"))</f>
        <v>N</v>
      </c>
      <c r="EW182" s="0" t="n">
        <f aca="false">ROW()-1</f>
        <v>181</v>
      </c>
    </row>
    <row r="183" customFormat="false" ht="15" hidden="false" customHeight="false" outlineLevel="0" collapsed="false">
      <c r="A183" s="0" t="s">
        <v>3098</v>
      </c>
      <c r="B183" s="0" t="s">
        <v>3099</v>
      </c>
      <c r="H183" s="5" t="s">
        <v>158</v>
      </c>
      <c r="I183" s="5" t="s">
        <v>159</v>
      </c>
      <c r="J183" s="0" t="n">
        <f aca="false">IF(AX183="pass",ROUND(CU183+CV183+CW183+CX183+CY183+CZ183,1),0)</f>
        <v>29</v>
      </c>
      <c r="K183" s="0" t="s">
        <v>3048</v>
      </c>
      <c r="L183" s="0" t="s">
        <v>163</v>
      </c>
      <c r="O183" s="0" t="s">
        <v>3100</v>
      </c>
      <c r="P183" s="0" t="s">
        <v>3101</v>
      </c>
      <c r="Q183" s="0" t="s">
        <v>3102</v>
      </c>
      <c r="R183" s="5" t="s">
        <v>162</v>
      </c>
      <c r="S183" s="0" t="s">
        <v>163</v>
      </c>
      <c r="T183" s="5" t="s">
        <v>162</v>
      </c>
      <c r="U183" s="5" t="s">
        <v>561</v>
      </c>
      <c r="V183" s="0" t="s">
        <v>3101</v>
      </c>
      <c r="W183" s="0" t="s">
        <v>166</v>
      </c>
      <c r="X183" s="0" t="s">
        <v>167</v>
      </c>
      <c r="Y183" s="0" t="str">
        <f aca="false">IF(EU183&lt;&gt;"Y","",COUNTIFS($EU$2:$EU$1000,"Y",$J$2:$J$1000,"&gt;"&amp;J183)+COUNTIFS($EU$2:$EU$1000,"Y",$J$2:$J$1000,J183,$EW$2:$EW$1000,"&lt;"&amp;EW183)+1)</f>
        <v/>
      </c>
      <c r="Z183" s="0" t="n">
        <v>182</v>
      </c>
      <c r="AA183" s="0" t="s">
        <v>162</v>
      </c>
      <c r="AD183" s="0" t="s">
        <v>158</v>
      </c>
      <c r="AH183" s="5" t="s">
        <v>158</v>
      </c>
      <c r="AI183" s="0" t="s">
        <v>1432</v>
      </c>
      <c r="AJ183" s="0" t="s">
        <v>1257</v>
      </c>
      <c r="AK183" s="0" t="s">
        <v>434</v>
      </c>
      <c r="AL183" s="0" t="s">
        <v>163</v>
      </c>
      <c r="AM183" s="0" t="s">
        <v>163</v>
      </c>
      <c r="AN183" s="0" t="s">
        <v>158</v>
      </c>
      <c r="AO183" s="0" t="s">
        <v>163</v>
      </c>
      <c r="AP183" s="0" t="s">
        <v>3098</v>
      </c>
      <c r="AQ183" s="5" t="s">
        <v>162</v>
      </c>
      <c r="AT183" s="0" t="str">
        <f aca="false">IF(AND(AX183="pass",AQ183&lt;&gt;"Y",C183&lt;&gt;"",OR(AW183&lt;&gt;"Y",AV183="Y")),"Y","N")</f>
        <v>N</v>
      </c>
      <c r="AU183" s="0" t="str">
        <f aca="false">_xlfn.TEXTJOIN("; ",TRUE(),IF(AX183&lt;&gt;"pass","gated out",""),IF(AQ183="Y","on hold: "&amp;AR183,""),IF(C183="","no contact named on an opened page",""),IF(AND(AW183="Y",AV183&lt;&gt;"Y"),"Tuesday estimate band "&amp;L183&amp;": founder's call",""))</f>
        <v>no contact named on an opened page</v>
      </c>
      <c r="AW183" s="0" t="s">
        <v>162</v>
      </c>
      <c r="AX183" s="0" t="s">
        <v>181</v>
      </c>
      <c r="AY183" s="0" t="s">
        <v>182</v>
      </c>
      <c r="AZ183" s="0" t="s">
        <v>1</v>
      </c>
      <c r="BA183" s="0" t="s">
        <v>3103</v>
      </c>
      <c r="BB183" s="0" t="s">
        <v>3104</v>
      </c>
      <c r="BC183" s="0" t="s">
        <v>3105</v>
      </c>
      <c r="BD183" s="0" t="s">
        <v>163</v>
      </c>
      <c r="BF183" s="0" t="s">
        <v>163</v>
      </c>
      <c r="BG183" s="0" t="s">
        <v>163</v>
      </c>
      <c r="BH183" s="0" t="s">
        <v>2195</v>
      </c>
      <c r="BK183" s="0" t="s">
        <v>163</v>
      </c>
      <c r="BL183" s="0" t="s">
        <v>163</v>
      </c>
      <c r="BM183" s="0" t="s">
        <v>163</v>
      </c>
      <c r="BN183" s="0" t="s">
        <v>163</v>
      </c>
      <c r="BO183" s="0" t="s">
        <v>163</v>
      </c>
      <c r="BP183" s="0" t="s">
        <v>346</v>
      </c>
      <c r="BQ183" s="0" t="n">
        <v>40.739363</v>
      </c>
      <c r="BR183" s="0" t="n">
        <v>-73.989534</v>
      </c>
      <c r="BS183" s="0" t="s">
        <v>168</v>
      </c>
      <c r="BT183" s="0" t="n">
        <v>0</v>
      </c>
      <c r="BU183" s="0" t="s">
        <v>1441</v>
      </c>
      <c r="BV183" s="0" t="s">
        <v>1442</v>
      </c>
      <c r="BW183" s="0" t="s">
        <v>3101</v>
      </c>
      <c r="BX183" s="0" t="s">
        <v>3102</v>
      </c>
      <c r="BY183" s="0" t="s">
        <v>247</v>
      </c>
      <c r="CC183" s="0" t="s">
        <v>738</v>
      </c>
      <c r="CE183" s="0" t="s">
        <v>162</v>
      </c>
      <c r="CH183" s="0" t="s">
        <v>201</v>
      </c>
      <c r="CI183" s="0" t="s">
        <v>1444</v>
      </c>
      <c r="CJ183" s="0" t="s">
        <v>163</v>
      </c>
      <c r="CK183" s="0" t="s">
        <v>162</v>
      </c>
      <c r="CL183" s="0" t="s">
        <v>163</v>
      </c>
      <c r="CO183" s="0" t="s">
        <v>163</v>
      </c>
      <c r="CQ183" s="0" t="s">
        <v>2196</v>
      </c>
      <c r="CR183" s="0" t="s">
        <v>206</v>
      </c>
      <c r="CS183" s="0" t="s">
        <v>163</v>
      </c>
      <c r="CT183" s="0" t="n">
        <v>29</v>
      </c>
      <c r="CU183" s="0" t="n">
        <v>7</v>
      </c>
      <c r="CV183" s="0" t="n">
        <v>8</v>
      </c>
      <c r="CW183" s="0" t="n">
        <v>6</v>
      </c>
      <c r="CX183" s="0" t="n">
        <v>8</v>
      </c>
      <c r="CY183" s="0" t="n">
        <f aca="false">IF(AH183="exact",10,IF(AH183="adjacent",5,0))</f>
        <v>0</v>
      </c>
      <c r="CZ183" s="0" t="n">
        <f aca="false">IF(R183="Y",15,0)</f>
        <v>0</v>
      </c>
      <c r="DF183" s="0" t="s">
        <v>158</v>
      </c>
      <c r="DG183" s="0" t="s">
        <v>211</v>
      </c>
      <c r="DJ183" s="0" t="s">
        <v>3106</v>
      </c>
      <c r="DK183" s="0" t="s">
        <v>3107</v>
      </c>
      <c r="DS183" s="0" t="s">
        <v>158</v>
      </c>
      <c r="DX183" s="0" t="s">
        <v>162</v>
      </c>
      <c r="ER183" s="0" t="str">
        <f aca="false">IF(ISNUMBER(MATCH(U183,{"queued","contacted","replied","call_booked","call_done","yes_in_principle","materials_sent"},0)),"Y","N")</f>
        <v>N</v>
      </c>
      <c r="ES183" s="0" t="str">
        <f aca="false">IF(COUNTIFS($AP$2:$AP$1000,AP183,$ER$2:$ER$1000,"Y")+COUNTIFS($AP$2:$AP$1000,AP183,$T$2:$T$1000,"Y")&gt;0,"Y","N")</f>
        <v>N</v>
      </c>
      <c r="ET183" s="0" t="str">
        <f aca="false">IF(AND(U183="new",T183="N",AT183="Y",AS183="",ES183="N"),"Y","N")</f>
        <v>N</v>
      </c>
      <c r="EU183" s="0" t="str">
        <f aca="false">IF(ET183&lt;&gt;"Y","N",IF(COUNTIFS($AP$2:$AP$1000,AP183,$ET$2:$ET$1000,"Y",$J$2:$J$1000,"&gt;"&amp;J183)+COUNTIFS($AP$2:$AP$1000,AP183,$ET$2:$ET$1000,"Y",$J$2:$J$1000,J183,$EW$2:$EW$1000,"&lt;"&amp;EW183)=0,"Y","N"))</f>
        <v>N</v>
      </c>
      <c r="EV183" s="0" t="str">
        <f aca="false">IF(Y183="","N",IF(Y183&lt;=10,"Y","N"))</f>
        <v>N</v>
      </c>
      <c r="EW183" s="0" t="n">
        <f aca="false">ROW()-1</f>
        <v>182</v>
      </c>
    </row>
    <row r="184" customFormat="false" ht="15" hidden="false" customHeight="false" outlineLevel="0" collapsed="false">
      <c r="A184" s="0" t="s">
        <v>3108</v>
      </c>
      <c r="B184" s="0" t="s">
        <v>3109</v>
      </c>
      <c r="H184" s="5" t="s">
        <v>158</v>
      </c>
      <c r="I184" s="5" t="s">
        <v>159</v>
      </c>
      <c r="J184" s="0" t="n">
        <f aca="false">IF(AX184="pass",ROUND(CU184+CV184+CW184+CX184+CY184+CZ184,1),0)</f>
        <v>29</v>
      </c>
      <c r="K184" s="0" t="s">
        <v>3048</v>
      </c>
      <c r="L184" s="0" t="s">
        <v>163</v>
      </c>
      <c r="R184" s="5" t="s">
        <v>162</v>
      </c>
      <c r="S184" s="0" t="s">
        <v>163</v>
      </c>
      <c r="T184" s="5" t="s">
        <v>162</v>
      </c>
      <c r="U184" s="5" t="s">
        <v>561</v>
      </c>
      <c r="V184" s="0" t="s">
        <v>952</v>
      </c>
      <c r="W184" s="0" t="s">
        <v>166</v>
      </c>
      <c r="X184" s="0" t="s">
        <v>167</v>
      </c>
      <c r="Y184" s="0" t="str">
        <f aca="false">IF(EU184&lt;&gt;"Y","",COUNTIFS($EU$2:$EU$1000,"Y",$J$2:$J$1000,"&gt;"&amp;J184)+COUNTIFS($EU$2:$EU$1000,"Y",$J$2:$J$1000,J184,$EW$2:$EW$1000,"&lt;"&amp;EW184)+1)</f>
        <v/>
      </c>
      <c r="Z184" s="0" t="n">
        <v>183</v>
      </c>
      <c r="AA184" s="0" t="s">
        <v>162</v>
      </c>
      <c r="AD184" s="0" t="s">
        <v>158</v>
      </c>
      <c r="AH184" s="5" t="s">
        <v>158</v>
      </c>
      <c r="AI184" s="0" t="s">
        <v>956</v>
      </c>
      <c r="AJ184" s="0" t="s">
        <v>233</v>
      </c>
      <c r="AK184" s="0" t="s">
        <v>434</v>
      </c>
      <c r="AL184" s="0" t="s">
        <v>163</v>
      </c>
      <c r="AM184" s="0" t="s">
        <v>163</v>
      </c>
      <c r="AN184" s="0" t="s">
        <v>158</v>
      </c>
      <c r="AO184" s="0" t="s">
        <v>163</v>
      </c>
      <c r="AP184" s="0" t="s">
        <v>3108</v>
      </c>
      <c r="AQ184" s="5" t="s">
        <v>162</v>
      </c>
      <c r="AT184" s="0" t="str">
        <f aca="false">IF(AND(AX184="pass",AQ184&lt;&gt;"Y",C184&lt;&gt;"",OR(AW184&lt;&gt;"Y",AV184="Y")),"Y","N")</f>
        <v>N</v>
      </c>
      <c r="AU184" s="0" t="str">
        <f aca="false">_xlfn.TEXTJOIN("; ",TRUE(),IF(AX184&lt;&gt;"pass","gated out",""),IF(AQ184="Y","on hold: "&amp;AR184,""),IF(C184="","no contact named on an opened page",""),IF(AND(AW184="Y",AV184&lt;&gt;"Y"),"Tuesday estimate band "&amp;L184&amp;": founder's call",""))</f>
        <v>no contact named on an opened page</v>
      </c>
      <c r="AW184" s="0" t="s">
        <v>162</v>
      </c>
      <c r="AX184" s="0" t="s">
        <v>181</v>
      </c>
      <c r="AY184" s="0" t="s">
        <v>182</v>
      </c>
      <c r="AZ184" s="0" t="s">
        <v>1</v>
      </c>
      <c r="BA184" s="0" t="s">
        <v>3110</v>
      </c>
      <c r="BB184" s="0" t="s">
        <v>163</v>
      </c>
      <c r="BC184" s="0" t="s">
        <v>3111</v>
      </c>
      <c r="BD184" s="0" t="s">
        <v>163</v>
      </c>
      <c r="BF184" s="0" t="s">
        <v>163</v>
      </c>
      <c r="BG184" s="0" t="s">
        <v>163</v>
      </c>
      <c r="BH184" s="0" t="s">
        <v>2195</v>
      </c>
      <c r="BK184" s="0" t="s">
        <v>163</v>
      </c>
      <c r="BL184" s="0" t="s">
        <v>163</v>
      </c>
      <c r="BM184" s="0" t="s">
        <v>163</v>
      </c>
      <c r="BN184" s="0" t="s">
        <v>163</v>
      </c>
      <c r="BO184" s="0" t="s">
        <v>163</v>
      </c>
      <c r="BP184" s="0" t="s">
        <v>243</v>
      </c>
      <c r="BQ184" s="0" t="n">
        <v>40.74291</v>
      </c>
      <c r="BR184" s="0" t="n">
        <v>-73.984627</v>
      </c>
      <c r="BS184" s="0" t="s">
        <v>168</v>
      </c>
      <c r="BT184" s="0" t="n">
        <v>0</v>
      </c>
      <c r="BU184" s="0" t="s">
        <v>965</v>
      </c>
      <c r="BV184" s="0" t="s">
        <v>966</v>
      </c>
      <c r="BW184" s="0" t="s">
        <v>952</v>
      </c>
      <c r="BX184" s="0" t="s">
        <v>953</v>
      </c>
      <c r="BY184" s="0" t="s">
        <v>247</v>
      </c>
      <c r="CC184" s="0" t="s">
        <v>738</v>
      </c>
      <c r="CE184" s="0" t="s">
        <v>162</v>
      </c>
      <c r="CH184" s="0" t="s">
        <v>163</v>
      </c>
      <c r="CJ184" s="0" t="s">
        <v>163</v>
      </c>
      <c r="CK184" s="0" t="s">
        <v>162</v>
      </c>
      <c r="CL184" s="0" t="s">
        <v>163</v>
      </c>
      <c r="CO184" s="0" t="s">
        <v>163</v>
      </c>
      <c r="CQ184" s="0" t="s">
        <v>2196</v>
      </c>
      <c r="CR184" s="0" t="s">
        <v>206</v>
      </c>
      <c r="CS184" s="0" t="s">
        <v>163</v>
      </c>
      <c r="CT184" s="0" t="n">
        <v>29</v>
      </c>
      <c r="CU184" s="0" t="n">
        <v>7</v>
      </c>
      <c r="CV184" s="0" t="n">
        <v>8</v>
      </c>
      <c r="CW184" s="0" t="n">
        <v>6</v>
      </c>
      <c r="CX184" s="0" t="n">
        <v>8</v>
      </c>
      <c r="CY184" s="0" t="n">
        <f aca="false">IF(AH184="exact",10,IF(AH184="adjacent",5,0))</f>
        <v>0</v>
      </c>
      <c r="CZ184" s="0" t="n">
        <f aca="false">IF(R184="Y",15,0)</f>
        <v>0</v>
      </c>
      <c r="DF184" s="0" t="s">
        <v>158</v>
      </c>
      <c r="DG184" s="0" t="s">
        <v>211</v>
      </c>
      <c r="DJ184" s="0" t="s">
        <v>3112</v>
      </c>
      <c r="DK184" s="0" t="s">
        <v>3113</v>
      </c>
      <c r="DS184" s="0" t="s">
        <v>158</v>
      </c>
      <c r="DX184" s="0" t="s">
        <v>162</v>
      </c>
      <c r="ER184" s="0" t="str">
        <f aca="false">IF(ISNUMBER(MATCH(U184,{"queued","contacted","replied","call_booked","call_done","yes_in_principle","materials_sent"},0)),"Y","N")</f>
        <v>N</v>
      </c>
      <c r="ES184" s="0" t="str">
        <f aca="false">IF(COUNTIFS($AP$2:$AP$1000,AP184,$ER$2:$ER$1000,"Y")+COUNTIFS($AP$2:$AP$1000,AP184,$T$2:$T$1000,"Y")&gt;0,"Y","N")</f>
        <v>N</v>
      </c>
      <c r="ET184" s="0" t="str">
        <f aca="false">IF(AND(U184="new",T184="N",AT184="Y",AS184="",ES184="N"),"Y","N")</f>
        <v>N</v>
      </c>
      <c r="EU184" s="0" t="str">
        <f aca="false">IF(ET184&lt;&gt;"Y","N",IF(COUNTIFS($AP$2:$AP$1000,AP184,$ET$2:$ET$1000,"Y",$J$2:$J$1000,"&gt;"&amp;J184)+COUNTIFS($AP$2:$AP$1000,AP184,$ET$2:$ET$1000,"Y",$J$2:$J$1000,J184,$EW$2:$EW$1000,"&lt;"&amp;EW184)=0,"Y","N"))</f>
        <v>N</v>
      </c>
      <c r="EV184" s="0" t="str">
        <f aca="false">IF(Y184="","N",IF(Y184&lt;=10,"Y","N"))</f>
        <v>N</v>
      </c>
      <c r="EW184" s="0" t="n">
        <f aca="false">ROW()-1</f>
        <v>183</v>
      </c>
    </row>
    <row r="185" customFormat="false" ht="15" hidden="false" customHeight="false" outlineLevel="0" collapsed="false">
      <c r="A185" s="0" t="s">
        <v>3114</v>
      </c>
      <c r="B185" s="0" t="s">
        <v>3115</v>
      </c>
      <c r="H185" s="5" t="s">
        <v>158</v>
      </c>
      <c r="I185" s="5" t="s">
        <v>159</v>
      </c>
      <c r="J185" s="0" t="n">
        <f aca="false">IF(AX185="pass",ROUND(CU185+CV185+CW185+CX185+CY185+CZ185,1),0)</f>
        <v>29</v>
      </c>
      <c r="K185" s="0" t="s">
        <v>3048</v>
      </c>
      <c r="L185" s="0" t="s">
        <v>163</v>
      </c>
      <c r="O185" s="0" t="s">
        <v>3116</v>
      </c>
      <c r="P185" s="0" t="s">
        <v>688</v>
      </c>
      <c r="Q185" s="0" t="s">
        <v>689</v>
      </c>
      <c r="R185" s="5" t="s">
        <v>162</v>
      </c>
      <c r="S185" s="0" t="s">
        <v>163</v>
      </c>
      <c r="T185" s="5" t="s">
        <v>162</v>
      </c>
      <c r="U185" s="5" t="s">
        <v>561</v>
      </c>
      <c r="V185" s="0" t="s">
        <v>688</v>
      </c>
      <c r="W185" s="0" t="s">
        <v>166</v>
      </c>
      <c r="X185" s="0" t="s">
        <v>167</v>
      </c>
      <c r="Y185" s="0" t="str">
        <f aca="false">IF(EU185&lt;&gt;"Y","",COUNTIFS($EU$2:$EU$1000,"Y",$J$2:$J$1000,"&gt;"&amp;J185)+COUNTIFS($EU$2:$EU$1000,"Y",$J$2:$J$1000,J185,$EW$2:$EW$1000,"&lt;"&amp;EW185)+1)</f>
        <v/>
      </c>
      <c r="Z185" s="0" t="n">
        <v>184</v>
      </c>
      <c r="AA185" s="0" t="s">
        <v>162</v>
      </c>
      <c r="AD185" s="0" t="s">
        <v>158</v>
      </c>
      <c r="AH185" s="5" t="s">
        <v>158</v>
      </c>
      <c r="AI185" s="0" t="s">
        <v>678</v>
      </c>
      <c r="AJ185" s="0" t="s">
        <v>3117</v>
      </c>
      <c r="AK185" s="0" t="s">
        <v>434</v>
      </c>
      <c r="AL185" s="0" t="s">
        <v>163</v>
      </c>
      <c r="AM185" s="0" t="s">
        <v>163</v>
      </c>
      <c r="AN185" s="0" t="s">
        <v>158</v>
      </c>
      <c r="AO185" s="0" t="s">
        <v>163</v>
      </c>
      <c r="AP185" s="0" t="s">
        <v>3114</v>
      </c>
      <c r="AQ185" s="5" t="s">
        <v>162</v>
      </c>
      <c r="AT185" s="0" t="str">
        <f aca="false">IF(AND(AX185="pass",AQ185&lt;&gt;"Y",C185&lt;&gt;"",OR(AW185&lt;&gt;"Y",AV185="Y")),"Y","N")</f>
        <v>N</v>
      </c>
      <c r="AU185" s="0" t="str">
        <f aca="false">_xlfn.TEXTJOIN("; ",TRUE(),IF(AX185&lt;&gt;"pass","gated out",""),IF(AQ185="Y","on hold: "&amp;AR185,""),IF(C185="","no contact named on an opened page",""),IF(AND(AW185="Y",AV185&lt;&gt;"Y"),"Tuesday estimate band "&amp;L185&amp;": founder's call",""))</f>
        <v>no contact named on an opened page</v>
      </c>
      <c r="AW185" s="0" t="s">
        <v>162</v>
      </c>
      <c r="AX185" s="0" t="s">
        <v>181</v>
      </c>
      <c r="AY185" s="0" t="s">
        <v>182</v>
      </c>
      <c r="AZ185" s="0" t="s">
        <v>1</v>
      </c>
      <c r="BA185" s="0" t="s">
        <v>3118</v>
      </c>
      <c r="BB185" s="0" t="s">
        <v>3119</v>
      </c>
      <c r="BC185" s="0" t="s">
        <v>3120</v>
      </c>
      <c r="BD185" s="0" t="s">
        <v>163</v>
      </c>
      <c r="BF185" s="0" t="s">
        <v>163</v>
      </c>
      <c r="BG185" s="0" t="s">
        <v>163</v>
      </c>
      <c r="BH185" s="0" t="s">
        <v>2195</v>
      </c>
      <c r="BK185" s="0" t="s">
        <v>163</v>
      </c>
      <c r="BL185" s="0" t="s">
        <v>163</v>
      </c>
      <c r="BM185" s="0" t="s">
        <v>163</v>
      </c>
      <c r="BN185" s="0" t="s">
        <v>163</v>
      </c>
      <c r="BO185" s="0" t="s">
        <v>163</v>
      </c>
      <c r="BP185" s="0" t="s">
        <v>193</v>
      </c>
      <c r="BQ185" s="0" t="n">
        <v>40.737722</v>
      </c>
      <c r="BR185" s="0" t="n">
        <v>-73.989367</v>
      </c>
      <c r="BS185" s="0" t="s">
        <v>168</v>
      </c>
      <c r="BT185" s="0" t="n">
        <v>0</v>
      </c>
      <c r="BU185" s="0" t="s">
        <v>686</v>
      </c>
      <c r="BV185" s="0" t="s">
        <v>687</v>
      </c>
      <c r="BW185" s="0" t="s">
        <v>688</v>
      </c>
      <c r="BX185" s="0" t="s">
        <v>689</v>
      </c>
      <c r="BY185" s="0" t="s">
        <v>247</v>
      </c>
      <c r="CC185" s="0" t="s">
        <v>738</v>
      </c>
      <c r="CE185" s="0" t="s">
        <v>162</v>
      </c>
      <c r="CH185" s="0" t="s">
        <v>163</v>
      </c>
      <c r="CJ185" s="0" t="s">
        <v>163</v>
      </c>
      <c r="CK185" s="0" t="s">
        <v>162</v>
      </c>
      <c r="CL185" s="0" t="s">
        <v>163</v>
      </c>
      <c r="CO185" s="0" t="s">
        <v>163</v>
      </c>
      <c r="CQ185" s="0" t="s">
        <v>2196</v>
      </c>
      <c r="CR185" s="0" t="s">
        <v>206</v>
      </c>
      <c r="CS185" s="0" t="s">
        <v>163</v>
      </c>
      <c r="CT185" s="0" t="n">
        <v>29</v>
      </c>
      <c r="CU185" s="0" t="n">
        <v>7</v>
      </c>
      <c r="CV185" s="0" t="n">
        <v>8</v>
      </c>
      <c r="CW185" s="0" t="n">
        <v>6</v>
      </c>
      <c r="CX185" s="0" t="n">
        <v>8</v>
      </c>
      <c r="CY185" s="0" t="n">
        <f aca="false">IF(AH185="exact",10,IF(AH185="adjacent",5,0))</f>
        <v>0</v>
      </c>
      <c r="CZ185" s="0" t="n">
        <f aca="false">IF(R185="Y",15,0)</f>
        <v>0</v>
      </c>
      <c r="DF185" s="0" t="s">
        <v>158</v>
      </c>
      <c r="DG185" s="0" t="s">
        <v>211</v>
      </c>
      <c r="DJ185" s="0" t="s">
        <v>3121</v>
      </c>
      <c r="DK185" s="0" t="s">
        <v>3122</v>
      </c>
      <c r="DS185" s="0" t="s">
        <v>158</v>
      </c>
      <c r="DX185" s="0" t="s">
        <v>162</v>
      </c>
      <c r="ER185" s="0" t="str">
        <f aca="false">IF(ISNUMBER(MATCH(U185,{"queued","contacted","replied","call_booked","call_done","yes_in_principle","materials_sent"},0)),"Y","N")</f>
        <v>N</v>
      </c>
      <c r="ES185" s="0" t="str">
        <f aca="false">IF(COUNTIFS($AP$2:$AP$1000,AP185,$ER$2:$ER$1000,"Y")+COUNTIFS($AP$2:$AP$1000,AP185,$T$2:$T$1000,"Y")&gt;0,"Y","N")</f>
        <v>N</v>
      </c>
      <c r="ET185" s="0" t="str">
        <f aca="false">IF(AND(U185="new",T185="N",AT185="Y",AS185="",ES185="N"),"Y","N")</f>
        <v>N</v>
      </c>
      <c r="EU185" s="0" t="str">
        <f aca="false">IF(ET185&lt;&gt;"Y","N",IF(COUNTIFS($AP$2:$AP$1000,AP185,$ET$2:$ET$1000,"Y",$J$2:$J$1000,"&gt;"&amp;J185)+COUNTIFS($AP$2:$AP$1000,AP185,$ET$2:$ET$1000,"Y",$J$2:$J$1000,J185,$EW$2:$EW$1000,"&lt;"&amp;EW185)=0,"Y","N"))</f>
        <v>N</v>
      </c>
      <c r="EV185" s="0" t="str">
        <f aca="false">IF(Y185="","N",IF(Y185&lt;=10,"Y","N"))</f>
        <v>N</v>
      </c>
      <c r="EW185" s="0" t="n">
        <f aca="false">ROW()-1</f>
        <v>184</v>
      </c>
    </row>
    <row r="186" customFormat="false" ht="15" hidden="false" customHeight="false" outlineLevel="0" collapsed="false">
      <c r="A186" s="0" t="s">
        <v>3123</v>
      </c>
      <c r="B186" s="0" t="s">
        <v>3124</v>
      </c>
      <c r="H186" s="5" t="s">
        <v>158</v>
      </c>
      <c r="I186" s="5" t="s">
        <v>159</v>
      </c>
      <c r="J186" s="0" t="n">
        <f aca="false">IF(AX186="pass",ROUND(CU186+CV186+CW186+CX186+CY186+CZ186,1),0)</f>
        <v>29</v>
      </c>
      <c r="K186" s="0" t="s">
        <v>3048</v>
      </c>
      <c r="L186" s="0" t="s">
        <v>163</v>
      </c>
      <c r="O186" s="0" t="s">
        <v>3125</v>
      </c>
      <c r="P186" s="0" t="s">
        <v>1234</v>
      </c>
      <c r="Q186" s="0" t="s">
        <v>1244</v>
      </c>
      <c r="R186" s="5" t="s">
        <v>162</v>
      </c>
      <c r="S186" s="0" t="s">
        <v>163</v>
      </c>
      <c r="T186" s="5" t="s">
        <v>162</v>
      </c>
      <c r="U186" s="5" t="s">
        <v>561</v>
      </c>
      <c r="V186" s="0" t="s">
        <v>1234</v>
      </c>
      <c r="W186" s="0" t="s">
        <v>166</v>
      </c>
      <c r="X186" s="0" t="s">
        <v>167</v>
      </c>
      <c r="Y186" s="0" t="str">
        <f aca="false">IF(EU186&lt;&gt;"Y","",COUNTIFS($EU$2:$EU$1000,"Y",$J$2:$J$1000,"&gt;"&amp;J186)+COUNTIFS($EU$2:$EU$1000,"Y",$J$2:$J$1000,J186,$EW$2:$EW$1000,"&lt;"&amp;EW186)+1)</f>
        <v/>
      </c>
      <c r="Z186" s="0" t="n">
        <v>185</v>
      </c>
      <c r="AA186" s="0" t="s">
        <v>162</v>
      </c>
      <c r="AD186" s="0" t="s">
        <v>158</v>
      </c>
      <c r="AH186" s="5" t="s">
        <v>158</v>
      </c>
      <c r="AI186" s="0" t="s">
        <v>836</v>
      </c>
      <c r="AJ186" s="0" t="s">
        <v>3126</v>
      </c>
      <c r="AK186" s="0" t="s">
        <v>434</v>
      </c>
      <c r="AL186" s="0" t="s">
        <v>163</v>
      </c>
      <c r="AM186" s="0" t="s">
        <v>163</v>
      </c>
      <c r="AN186" s="0" t="s">
        <v>158</v>
      </c>
      <c r="AO186" s="0" t="s">
        <v>163</v>
      </c>
      <c r="AP186" s="0" t="s">
        <v>3123</v>
      </c>
      <c r="AQ186" s="5" t="s">
        <v>162</v>
      </c>
      <c r="AT186" s="0" t="str">
        <f aca="false">IF(AND(AX186="pass",AQ186&lt;&gt;"Y",C186&lt;&gt;"",OR(AW186&lt;&gt;"Y",AV186="Y")),"Y","N")</f>
        <v>N</v>
      </c>
      <c r="AU186" s="0" t="str">
        <f aca="false">_xlfn.TEXTJOIN("; ",TRUE(),IF(AX186&lt;&gt;"pass","gated out",""),IF(AQ186="Y","on hold: "&amp;AR186,""),IF(C186="","no contact named on an opened page",""),IF(AND(AW186="Y",AV186&lt;&gt;"Y"),"Tuesday estimate band "&amp;L186&amp;": founder's call",""))</f>
        <v>no contact named on an opened page</v>
      </c>
      <c r="AW186" s="0" t="s">
        <v>162</v>
      </c>
      <c r="AX186" s="0" t="s">
        <v>181</v>
      </c>
      <c r="AY186" s="0" t="s">
        <v>182</v>
      </c>
      <c r="AZ186" s="0" t="s">
        <v>1</v>
      </c>
      <c r="BA186" s="0" t="s">
        <v>3127</v>
      </c>
      <c r="BB186" s="0" t="s">
        <v>3128</v>
      </c>
      <c r="BC186" s="0" t="s">
        <v>3129</v>
      </c>
      <c r="BD186" s="0" t="s">
        <v>163</v>
      </c>
      <c r="BF186" s="0" t="s">
        <v>163</v>
      </c>
      <c r="BG186" s="0" t="s">
        <v>163</v>
      </c>
      <c r="BH186" s="0" t="s">
        <v>2195</v>
      </c>
      <c r="BK186" s="0" t="s">
        <v>163</v>
      </c>
      <c r="BL186" s="0" t="s">
        <v>163</v>
      </c>
      <c r="BM186" s="0" t="s">
        <v>163</v>
      </c>
      <c r="BN186" s="0" t="s">
        <v>163</v>
      </c>
      <c r="BO186" s="0" t="s">
        <v>163</v>
      </c>
      <c r="BP186" s="0" t="s">
        <v>346</v>
      </c>
      <c r="BQ186" s="0" t="n">
        <v>40.743006</v>
      </c>
      <c r="BR186" s="0" t="n">
        <v>-73.98947</v>
      </c>
      <c r="BS186" s="0" t="s">
        <v>168</v>
      </c>
      <c r="BT186" s="0" t="n">
        <v>0</v>
      </c>
      <c r="BU186" s="0" t="s">
        <v>842</v>
      </c>
      <c r="BV186" s="0" t="s">
        <v>843</v>
      </c>
      <c r="BW186" s="0" t="s">
        <v>1234</v>
      </c>
      <c r="BX186" s="0" t="s">
        <v>1244</v>
      </c>
      <c r="BY186" s="0" t="s">
        <v>247</v>
      </c>
      <c r="BZ186" s="0" t="s">
        <v>3130</v>
      </c>
      <c r="CA186" s="0" t="s">
        <v>610</v>
      </c>
      <c r="CC186" s="0" t="s">
        <v>738</v>
      </c>
      <c r="CE186" s="0" t="s">
        <v>162</v>
      </c>
      <c r="CH186" s="0" t="s">
        <v>201</v>
      </c>
      <c r="CI186" s="0" t="s">
        <v>845</v>
      </c>
      <c r="CJ186" s="0" t="s">
        <v>163</v>
      </c>
      <c r="CK186" s="0" t="s">
        <v>162</v>
      </c>
      <c r="CL186" s="0" t="s">
        <v>163</v>
      </c>
      <c r="CO186" s="0" t="s">
        <v>163</v>
      </c>
      <c r="CQ186" s="0" t="s">
        <v>2196</v>
      </c>
      <c r="CR186" s="0" t="s">
        <v>206</v>
      </c>
      <c r="CS186" s="0" t="s">
        <v>163</v>
      </c>
      <c r="CT186" s="0" t="n">
        <v>29</v>
      </c>
      <c r="CU186" s="0" t="n">
        <v>7</v>
      </c>
      <c r="CV186" s="0" t="n">
        <v>8</v>
      </c>
      <c r="CW186" s="0" t="n">
        <v>6</v>
      </c>
      <c r="CX186" s="0" t="n">
        <v>8</v>
      </c>
      <c r="CY186" s="0" t="n">
        <f aca="false">IF(AH186="exact",10,IF(AH186="adjacent",5,0))</f>
        <v>0</v>
      </c>
      <c r="CZ186" s="0" t="n">
        <f aca="false">IF(R186="Y",15,0)</f>
        <v>0</v>
      </c>
      <c r="DF186" s="0" t="s">
        <v>158</v>
      </c>
      <c r="DG186" s="0" t="s">
        <v>211</v>
      </c>
      <c r="DJ186" s="0" t="s">
        <v>3131</v>
      </c>
      <c r="DK186" s="0" t="s">
        <v>3132</v>
      </c>
      <c r="DS186" s="0" t="s">
        <v>158</v>
      </c>
      <c r="DX186" s="0" t="s">
        <v>162</v>
      </c>
      <c r="ER186" s="0" t="str">
        <f aca="false">IF(ISNUMBER(MATCH(U186,{"queued","contacted","replied","call_booked","call_done","yes_in_principle","materials_sent"},0)),"Y","N")</f>
        <v>N</v>
      </c>
      <c r="ES186" s="0" t="str">
        <f aca="false">IF(COUNTIFS($AP$2:$AP$1000,AP186,$ER$2:$ER$1000,"Y")+COUNTIFS($AP$2:$AP$1000,AP186,$T$2:$T$1000,"Y")&gt;0,"Y","N")</f>
        <v>N</v>
      </c>
      <c r="ET186" s="0" t="str">
        <f aca="false">IF(AND(U186="new",T186="N",AT186="Y",AS186="",ES186="N"),"Y","N")</f>
        <v>N</v>
      </c>
      <c r="EU186" s="0" t="str">
        <f aca="false">IF(ET186&lt;&gt;"Y","N",IF(COUNTIFS($AP$2:$AP$1000,AP186,$ET$2:$ET$1000,"Y",$J$2:$J$1000,"&gt;"&amp;J186)+COUNTIFS($AP$2:$AP$1000,AP186,$ET$2:$ET$1000,"Y",$J$2:$J$1000,J186,$EW$2:$EW$1000,"&lt;"&amp;EW186)=0,"Y","N"))</f>
        <v>N</v>
      </c>
      <c r="EV186" s="0" t="str">
        <f aca="false">IF(Y186="","N",IF(Y186&lt;=10,"Y","N"))</f>
        <v>N</v>
      </c>
      <c r="EW186" s="0" t="n">
        <f aca="false">ROW()-1</f>
        <v>185</v>
      </c>
    </row>
    <row r="187" customFormat="false" ht="15" hidden="false" customHeight="false" outlineLevel="0" collapsed="false">
      <c r="A187" s="0" t="s">
        <v>3133</v>
      </c>
      <c r="B187" s="0" t="s">
        <v>3134</v>
      </c>
      <c r="H187" s="5" t="s">
        <v>158</v>
      </c>
      <c r="I187" s="5" t="s">
        <v>159</v>
      </c>
      <c r="J187" s="0" t="n">
        <f aca="false">IF(AX187="pass",ROUND(CU187+CV187+CW187+CX187+CY187+CZ187,1),0)</f>
        <v>29</v>
      </c>
      <c r="K187" s="0" t="s">
        <v>3048</v>
      </c>
      <c r="L187" s="0" t="s">
        <v>163</v>
      </c>
      <c r="R187" s="5" t="s">
        <v>162</v>
      </c>
      <c r="S187" s="0" t="s">
        <v>163</v>
      </c>
      <c r="T187" s="5" t="s">
        <v>162</v>
      </c>
      <c r="U187" s="5" t="s">
        <v>561</v>
      </c>
      <c r="V187" s="0" t="s">
        <v>2636</v>
      </c>
      <c r="W187" s="0" t="s">
        <v>166</v>
      </c>
      <c r="X187" s="0" t="s">
        <v>167</v>
      </c>
      <c r="Y187" s="0" t="str">
        <f aca="false">IF(EU187&lt;&gt;"Y","",COUNTIFS($EU$2:$EU$1000,"Y",$J$2:$J$1000,"&gt;"&amp;J187)+COUNTIFS($EU$2:$EU$1000,"Y",$J$2:$J$1000,J187,$EW$2:$EW$1000,"&lt;"&amp;EW187)+1)</f>
        <v/>
      </c>
      <c r="Z187" s="0" t="n">
        <v>186</v>
      </c>
      <c r="AA187" s="0" t="s">
        <v>162</v>
      </c>
      <c r="AD187" s="0" t="s">
        <v>158</v>
      </c>
      <c r="AH187" s="5" t="s">
        <v>158</v>
      </c>
      <c r="AI187" s="0" t="s">
        <v>753</v>
      </c>
      <c r="AJ187" s="0" t="s">
        <v>471</v>
      </c>
      <c r="AK187" s="0" t="s">
        <v>434</v>
      </c>
      <c r="AL187" s="0" t="s">
        <v>163</v>
      </c>
      <c r="AM187" s="0" t="s">
        <v>163</v>
      </c>
      <c r="AN187" s="0" t="s">
        <v>158</v>
      </c>
      <c r="AO187" s="0" t="s">
        <v>163</v>
      </c>
      <c r="AP187" s="0" t="s">
        <v>3133</v>
      </c>
      <c r="AQ187" s="5" t="s">
        <v>162</v>
      </c>
      <c r="AT187" s="0" t="str">
        <f aca="false">IF(AND(AX187="pass",AQ187&lt;&gt;"Y",C187&lt;&gt;"",OR(AW187&lt;&gt;"Y",AV187="Y")),"Y","N")</f>
        <v>N</v>
      </c>
      <c r="AU187" s="0" t="str">
        <f aca="false">_xlfn.TEXTJOIN("; ",TRUE(),IF(AX187&lt;&gt;"pass","gated out",""),IF(AQ187="Y","on hold: "&amp;AR187,""),IF(C187="","no contact named on an opened page",""),IF(AND(AW187="Y",AV187&lt;&gt;"Y"),"Tuesday estimate band "&amp;L187&amp;": founder's call",""))</f>
        <v>no contact named on an opened page</v>
      </c>
      <c r="AW187" s="0" t="s">
        <v>162</v>
      </c>
      <c r="AX187" s="0" t="s">
        <v>181</v>
      </c>
      <c r="AY187" s="0" t="s">
        <v>182</v>
      </c>
      <c r="AZ187" s="0" t="s">
        <v>1</v>
      </c>
      <c r="BA187" s="0" t="s">
        <v>3135</v>
      </c>
      <c r="BB187" s="0" t="s">
        <v>3136</v>
      </c>
      <c r="BC187" s="0" t="s">
        <v>3137</v>
      </c>
      <c r="BD187" s="0" t="s">
        <v>163</v>
      </c>
      <c r="BF187" s="0" t="s">
        <v>163</v>
      </c>
      <c r="BG187" s="0" t="s">
        <v>163</v>
      </c>
      <c r="BH187" s="0" t="s">
        <v>2195</v>
      </c>
      <c r="BK187" s="0" t="s">
        <v>163</v>
      </c>
      <c r="BL187" s="0" t="s">
        <v>163</v>
      </c>
      <c r="BM187" s="0" t="s">
        <v>163</v>
      </c>
      <c r="BN187" s="0" t="s">
        <v>163</v>
      </c>
      <c r="BO187" s="0" t="s">
        <v>163</v>
      </c>
      <c r="BP187" s="0" t="s">
        <v>346</v>
      </c>
      <c r="BQ187" s="0" t="n">
        <v>40.743309</v>
      </c>
      <c r="BR187" s="0" t="n">
        <v>-73.987329</v>
      </c>
      <c r="BS187" s="0" t="s">
        <v>168</v>
      </c>
      <c r="BT187" s="0" t="n">
        <v>0</v>
      </c>
      <c r="BU187" s="0" t="s">
        <v>763</v>
      </c>
      <c r="BV187" s="0" t="s">
        <v>764</v>
      </c>
      <c r="BW187" s="0" t="s">
        <v>2636</v>
      </c>
      <c r="BX187" s="0" t="s">
        <v>2637</v>
      </c>
      <c r="BY187" s="0" t="s">
        <v>247</v>
      </c>
      <c r="BZ187" s="0" t="s">
        <v>2067</v>
      </c>
      <c r="CA187" s="0" t="s">
        <v>2075</v>
      </c>
      <c r="CC187" s="0" t="s">
        <v>738</v>
      </c>
      <c r="CE187" s="0" t="s">
        <v>162</v>
      </c>
      <c r="CH187" s="0" t="s">
        <v>163</v>
      </c>
      <c r="CJ187" s="0" t="s">
        <v>163</v>
      </c>
      <c r="CK187" s="0" t="s">
        <v>162</v>
      </c>
      <c r="CL187" s="0" t="s">
        <v>163</v>
      </c>
      <c r="CO187" s="0" t="s">
        <v>163</v>
      </c>
      <c r="CQ187" s="0" t="s">
        <v>2196</v>
      </c>
      <c r="CR187" s="0" t="s">
        <v>206</v>
      </c>
      <c r="CS187" s="0" t="s">
        <v>163</v>
      </c>
      <c r="CT187" s="0" t="n">
        <v>29</v>
      </c>
      <c r="CU187" s="0" t="n">
        <v>7</v>
      </c>
      <c r="CV187" s="0" t="n">
        <v>8</v>
      </c>
      <c r="CW187" s="0" t="n">
        <v>6</v>
      </c>
      <c r="CX187" s="0" t="n">
        <v>8</v>
      </c>
      <c r="CY187" s="0" t="n">
        <f aca="false">IF(AH187="exact",10,IF(AH187="adjacent",5,0))</f>
        <v>0</v>
      </c>
      <c r="CZ187" s="0" t="n">
        <f aca="false">IF(R187="Y",15,0)</f>
        <v>0</v>
      </c>
      <c r="DF187" s="0" t="s">
        <v>158</v>
      </c>
      <c r="DG187" s="0" t="s">
        <v>211</v>
      </c>
      <c r="DJ187" s="0" t="s">
        <v>3138</v>
      </c>
      <c r="DK187" s="0" t="s">
        <v>3139</v>
      </c>
      <c r="DS187" s="0" t="s">
        <v>158</v>
      </c>
      <c r="DX187" s="0" t="s">
        <v>162</v>
      </c>
      <c r="ER187" s="0" t="str">
        <f aca="false">IF(ISNUMBER(MATCH(U187,{"queued","contacted","replied","call_booked","call_done","yes_in_principle","materials_sent"},0)),"Y","N")</f>
        <v>N</v>
      </c>
      <c r="ES187" s="0" t="str">
        <f aca="false">IF(COUNTIFS($AP$2:$AP$1000,AP187,$ER$2:$ER$1000,"Y")+COUNTIFS($AP$2:$AP$1000,AP187,$T$2:$T$1000,"Y")&gt;0,"Y","N")</f>
        <v>N</v>
      </c>
      <c r="ET187" s="0" t="str">
        <f aca="false">IF(AND(U187="new",T187="N",AT187="Y",AS187="",ES187="N"),"Y","N")</f>
        <v>N</v>
      </c>
      <c r="EU187" s="0" t="str">
        <f aca="false">IF(ET187&lt;&gt;"Y","N",IF(COUNTIFS($AP$2:$AP$1000,AP187,$ET$2:$ET$1000,"Y",$J$2:$J$1000,"&gt;"&amp;J187)+COUNTIFS($AP$2:$AP$1000,AP187,$ET$2:$ET$1000,"Y",$J$2:$J$1000,J187,$EW$2:$EW$1000,"&lt;"&amp;EW187)=0,"Y","N"))</f>
        <v>N</v>
      </c>
      <c r="EV187" s="0" t="str">
        <f aca="false">IF(Y187="","N",IF(Y187&lt;=10,"Y","N"))</f>
        <v>N</v>
      </c>
      <c r="EW187" s="0" t="n">
        <f aca="false">ROW()-1</f>
        <v>186</v>
      </c>
    </row>
    <row r="188" customFormat="false" ht="15" hidden="false" customHeight="false" outlineLevel="0" collapsed="false">
      <c r="A188" s="0" t="s">
        <v>3140</v>
      </c>
      <c r="B188" s="0" t="s">
        <v>3141</v>
      </c>
      <c r="H188" s="5" t="s">
        <v>158</v>
      </c>
      <c r="I188" s="5" t="s">
        <v>159</v>
      </c>
      <c r="J188" s="0" t="n">
        <f aca="false">IF(AX188="pass",ROUND(CU188+CV188+CW188+CX188+CY188+CZ188,1),0)</f>
        <v>29</v>
      </c>
      <c r="K188" s="0" t="s">
        <v>3048</v>
      </c>
      <c r="L188" s="0" t="s">
        <v>163</v>
      </c>
      <c r="R188" s="5" t="s">
        <v>162</v>
      </c>
      <c r="S188" s="0" t="s">
        <v>163</v>
      </c>
      <c r="T188" s="5" t="s">
        <v>162</v>
      </c>
      <c r="U188" s="5" t="s">
        <v>561</v>
      </c>
      <c r="V188" s="0" t="s">
        <v>3142</v>
      </c>
      <c r="W188" s="0" t="s">
        <v>166</v>
      </c>
      <c r="X188" s="0" t="s">
        <v>167</v>
      </c>
      <c r="Y188" s="0" t="str">
        <f aca="false">IF(EU188&lt;&gt;"Y","",COUNTIFS($EU$2:$EU$1000,"Y",$J$2:$J$1000,"&gt;"&amp;J188)+COUNTIFS($EU$2:$EU$1000,"Y",$J$2:$J$1000,J188,$EW$2:$EW$1000,"&lt;"&amp;EW188)+1)</f>
        <v/>
      </c>
      <c r="Z188" s="0" t="n">
        <v>187</v>
      </c>
      <c r="AA188" s="0" t="s">
        <v>162</v>
      </c>
      <c r="AD188" s="0" t="s">
        <v>158</v>
      </c>
      <c r="AH188" s="5" t="s">
        <v>158</v>
      </c>
      <c r="AI188" s="0" t="s">
        <v>2335</v>
      </c>
      <c r="AJ188" s="0" t="s">
        <v>3143</v>
      </c>
      <c r="AK188" s="0" t="s">
        <v>434</v>
      </c>
      <c r="AL188" s="0" t="s">
        <v>163</v>
      </c>
      <c r="AM188" s="0" t="s">
        <v>163</v>
      </c>
      <c r="AN188" s="0" t="s">
        <v>158</v>
      </c>
      <c r="AO188" s="0" t="s">
        <v>163</v>
      </c>
      <c r="AP188" s="0" t="s">
        <v>3140</v>
      </c>
      <c r="AQ188" s="5" t="s">
        <v>162</v>
      </c>
      <c r="AT188" s="0" t="str">
        <f aca="false">IF(AND(AX188="pass",AQ188&lt;&gt;"Y",C188&lt;&gt;"",OR(AW188&lt;&gt;"Y",AV188="Y")),"Y","N")</f>
        <v>N</v>
      </c>
      <c r="AU188" s="0" t="str">
        <f aca="false">_xlfn.TEXTJOIN("; ",TRUE(),IF(AX188&lt;&gt;"pass","gated out",""),IF(AQ188="Y","on hold: "&amp;AR188,""),IF(C188="","no contact named on an opened page",""),IF(AND(AW188="Y",AV188&lt;&gt;"Y"),"Tuesday estimate band "&amp;L188&amp;": founder's call",""))</f>
        <v>no contact named on an opened page</v>
      </c>
      <c r="AW188" s="0" t="s">
        <v>162</v>
      </c>
      <c r="AX188" s="0" t="s">
        <v>181</v>
      </c>
      <c r="AY188" s="0" t="s">
        <v>182</v>
      </c>
      <c r="AZ188" s="0" t="s">
        <v>1</v>
      </c>
      <c r="BA188" s="0" t="s">
        <v>3144</v>
      </c>
      <c r="BB188" s="0" t="s">
        <v>163</v>
      </c>
      <c r="BC188" s="0" t="s">
        <v>3145</v>
      </c>
      <c r="BD188" s="0" t="s">
        <v>163</v>
      </c>
      <c r="BF188" s="0" t="s">
        <v>163</v>
      </c>
      <c r="BG188" s="0" t="s">
        <v>163</v>
      </c>
      <c r="BH188" s="0" t="s">
        <v>2195</v>
      </c>
      <c r="BK188" s="0" t="s">
        <v>163</v>
      </c>
      <c r="BL188" s="0" t="s">
        <v>163</v>
      </c>
      <c r="BM188" s="0" t="s">
        <v>163</v>
      </c>
      <c r="BN188" s="0" t="s">
        <v>163</v>
      </c>
      <c r="BO188" s="0" t="s">
        <v>163</v>
      </c>
      <c r="BP188" s="0" t="s">
        <v>243</v>
      </c>
      <c r="BQ188" s="0" t="n">
        <v>40.7425</v>
      </c>
      <c r="BR188" s="0" t="n">
        <v>-73.984446</v>
      </c>
      <c r="BS188" s="0" t="s">
        <v>168</v>
      </c>
      <c r="BT188" s="0" t="n">
        <v>0</v>
      </c>
      <c r="BU188" s="0" t="s">
        <v>2340</v>
      </c>
      <c r="BV188" s="0" t="s">
        <v>2341</v>
      </c>
      <c r="BW188" s="0" t="s">
        <v>3142</v>
      </c>
      <c r="BX188" s="0" t="s">
        <v>3146</v>
      </c>
      <c r="BY188" s="0" t="s">
        <v>247</v>
      </c>
      <c r="CC188" s="0" t="s">
        <v>738</v>
      </c>
      <c r="CE188" s="0" t="s">
        <v>162</v>
      </c>
      <c r="CH188" s="0" t="s">
        <v>163</v>
      </c>
      <c r="CJ188" s="0" t="s">
        <v>163</v>
      </c>
      <c r="CK188" s="0" t="s">
        <v>162</v>
      </c>
      <c r="CL188" s="0" t="s">
        <v>163</v>
      </c>
      <c r="CO188" s="0" t="s">
        <v>163</v>
      </c>
      <c r="CQ188" s="0" t="s">
        <v>2196</v>
      </c>
      <c r="CR188" s="0" t="s">
        <v>206</v>
      </c>
      <c r="CS188" s="0" t="s">
        <v>163</v>
      </c>
      <c r="CT188" s="0" t="n">
        <v>29</v>
      </c>
      <c r="CU188" s="0" t="n">
        <v>7</v>
      </c>
      <c r="CV188" s="0" t="n">
        <v>8</v>
      </c>
      <c r="CW188" s="0" t="n">
        <v>6</v>
      </c>
      <c r="CX188" s="0" t="n">
        <v>8</v>
      </c>
      <c r="CY188" s="0" t="n">
        <f aca="false">IF(AH188="exact",10,IF(AH188="adjacent",5,0))</f>
        <v>0</v>
      </c>
      <c r="CZ188" s="0" t="n">
        <f aca="false">IF(R188="Y",15,0)</f>
        <v>0</v>
      </c>
      <c r="DF188" s="0" t="s">
        <v>158</v>
      </c>
      <c r="DG188" s="0" t="s">
        <v>211</v>
      </c>
      <c r="DJ188" s="0" t="s">
        <v>3147</v>
      </c>
      <c r="DK188" s="0" t="s">
        <v>3148</v>
      </c>
      <c r="DS188" s="0" t="s">
        <v>158</v>
      </c>
      <c r="DX188" s="0" t="s">
        <v>162</v>
      </c>
      <c r="ER188" s="0" t="str">
        <f aca="false">IF(ISNUMBER(MATCH(U188,{"queued","contacted","replied","call_booked","call_done","yes_in_principle","materials_sent"},0)),"Y","N")</f>
        <v>N</v>
      </c>
      <c r="ES188" s="0" t="str">
        <f aca="false">IF(COUNTIFS($AP$2:$AP$1000,AP188,$ER$2:$ER$1000,"Y")+COUNTIFS($AP$2:$AP$1000,AP188,$T$2:$T$1000,"Y")&gt;0,"Y","N")</f>
        <v>N</v>
      </c>
      <c r="ET188" s="0" t="str">
        <f aca="false">IF(AND(U188="new",T188="N",AT188="Y",AS188="",ES188="N"),"Y","N")</f>
        <v>N</v>
      </c>
      <c r="EU188" s="0" t="str">
        <f aca="false">IF(ET188&lt;&gt;"Y","N",IF(COUNTIFS($AP$2:$AP$1000,AP188,$ET$2:$ET$1000,"Y",$J$2:$J$1000,"&gt;"&amp;J188)+COUNTIFS($AP$2:$AP$1000,AP188,$ET$2:$ET$1000,"Y",$J$2:$J$1000,J188,$EW$2:$EW$1000,"&lt;"&amp;EW188)=0,"Y","N"))</f>
        <v>N</v>
      </c>
      <c r="EV188" s="0" t="str">
        <f aca="false">IF(Y188="","N",IF(Y188&lt;=10,"Y","N"))</f>
        <v>N</v>
      </c>
      <c r="EW188" s="0" t="n">
        <f aca="false">ROW()-1</f>
        <v>187</v>
      </c>
    </row>
    <row r="189" customFormat="false" ht="15" hidden="false" customHeight="false" outlineLevel="0" collapsed="false">
      <c r="A189" s="0" t="s">
        <v>3149</v>
      </c>
      <c r="B189" s="0" t="s">
        <v>3150</v>
      </c>
      <c r="H189" s="5" t="s">
        <v>158</v>
      </c>
      <c r="I189" s="5" t="s">
        <v>159</v>
      </c>
      <c r="J189" s="0" t="n">
        <f aca="false">IF(AX189="pass",ROUND(CU189+CV189+CW189+CX189+CY189+CZ189,1),0)</f>
        <v>29</v>
      </c>
      <c r="K189" s="0" t="s">
        <v>3048</v>
      </c>
      <c r="L189" s="0" t="s">
        <v>163</v>
      </c>
      <c r="R189" s="5" t="s">
        <v>162</v>
      </c>
      <c r="S189" s="0" t="s">
        <v>163</v>
      </c>
      <c r="T189" s="5" t="s">
        <v>162</v>
      </c>
      <c r="U189" s="5" t="s">
        <v>561</v>
      </c>
      <c r="V189" s="0" t="s">
        <v>3151</v>
      </c>
      <c r="W189" s="0" t="s">
        <v>166</v>
      </c>
      <c r="X189" s="0" t="s">
        <v>167</v>
      </c>
      <c r="Y189" s="0" t="str">
        <f aca="false">IF(EU189&lt;&gt;"Y","",COUNTIFS($EU$2:$EU$1000,"Y",$J$2:$J$1000,"&gt;"&amp;J189)+COUNTIFS($EU$2:$EU$1000,"Y",$J$2:$J$1000,J189,$EW$2:$EW$1000,"&lt;"&amp;EW189)+1)</f>
        <v/>
      </c>
      <c r="Z189" s="0" t="n">
        <v>188</v>
      </c>
      <c r="AA189" s="0" t="s">
        <v>162</v>
      </c>
      <c r="AD189" s="0" t="s">
        <v>158</v>
      </c>
      <c r="AH189" s="5" t="s">
        <v>158</v>
      </c>
      <c r="AI189" s="0" t="s">
        <v>2407</v>
      </c>
      <c r="AJ189" s="0" t="s">
        <v>3152</v>
      </c>
      <c r="AK189" s="0" t="s">
        <v>434</v>
      </c>
      <c r="AL189" s="0" t="s">
        <v>163</v>
      </c>
      <c r="AM189" s="0" t="s">
        <v>163</v>
      </c>
      <c r="AN189" s="0" t="s">
        <v>158</v>
      </c>
      <c r="AO189" s="0" t="s">
        <v>163</v>
      </c>
      <c r="AP189" s="0" t="s">
        <v>3149</v>
      </c>
      <c r="AQ189" s="5" t="s">
        <v>162</v>
      </c>
      <c r="AT189" s="0" t="str">
        <f aca="false">IF(AND(AX189="pass",AQ189&lt;&gt;"Y",C189&lt;&gt;"",OR(AW189&lt;&gt;"Y",AV189="Y")),"Y","N")</f>
        <v>N</v>
      </c>
      <c r="AU189" s="0" t="str">
        <f aca="false">_xlfn.TEXTJOIN("; ",TRUE(),IF(AX189&lt;&gt;"pass","gated out",""),IF(AQ189="Y","on hold: "&amp;AR189,""),IF(C189="","no contact named on an opened page",""),IF(AND(AW189="Y",AV189&lt;&gt;"Y"),"Tuesday estimate band "&amp;L189&amp;": founder's call",""))</f>
        <v>no contact named on an opened page</v>
      </c>
      <c r="AW189" s="0" t="s">
        <v>162</v>
      </c>
      <c r="AX189" s="0" t="s">
        <v>181</v>
      </c>
      <c r="AY189" s="0" t="s">
        <v>182</v>
      </c>
      <c r="AZ189" s="0" t="s">
        <v>1</v>
      </c>
      <c r="BA189" s="0" t="s">
        <v>3153</v>
      </c>
      <c r="BB189" s="0" t="s">
        <v>163</v>
      </c>
      <c r="BC189" s="0" t="s">
        <v>3154</v>
      </c>
      <c r="BD189" s="0" t="s">
        <v>163</v>
      </c>
      <c r="BF189" s="0" t="s">
        <v>163</v>
      </c>
      <c r="BG189" s="0" t="s">
        <v>163</v>
      </c>
      <c r="BH189" s="0" t="s">
        <v>2195</v>
      </c>
      <c r="BK189" s="0" t="s">
        <v>163</v>
      </c>
      <c r="BL189" s="0" t="s">
        <v>163</v>
      </c>
      <c r="BM189" s="0" t="s">
        <v>163</v>
      </c>
      <c r="BN189" s="0" t="s">
        <v>163</v>
      </c>
      <c r="BO189" s="0" t="s">
        <v>163</v>
      </c>
      <c r="BP189" s="0" t="s">
        <v>346</v>
      </c>
      <c r="BQ189" s="0" t="n">
        <v>40.742477</v>
      </c>
      <c r="BR189" s="0" t="n">
        <v>-73.986608</v>
      </c>
      <c r="BS189" s="0" t="s">
        <v>168</v>
      </c>
      <c r="BT189" s="0" t="n">
        <v>0</v>
      </c>
      <c r="BU189" s="0" t="s">
        <v>2412</v>
      </c>
      <c r="BV189" s="0" t="s">
        <v>2413</v>
      </c>
      <c r="BW189" s="0" t="s">
        <v>3151</v>
      </c>
      <c r="BX189" s="0" t="s">
        <v>3155</v>
      </c>
      <c r="BY189" s="0" t="s">
        <v>247</v>
      </c>
      <c r="CC189" s="0" t="s">
        <v>738</v>
      </c>
      <c r="CE189" s="0" t="s">
        <v>162</v>
      </c>
      <c r="CH189" s="0" t="s">
        <v>201</v>
      </c>
      <c r="CI189" s="0" t="s">
        <v>2415</v>
      </c>
      <c r="CJ189" s="0" t="s">
        <v>163</v>
      </c>
      <c r="CK189" s="0" t="s">
        <v>162</v>
      </c>
      <c r="CL189" s="0" t="s">
        <v>163</v>
      </c>
      <c r="CO189" s="0" t="s">
        <v>163</v>
      </c>
      <c r="CQ189" s="0" t="s">
        <v>2196</v>
      </c>
      <c r="CR189" s="0" t="s">
        <v>206</v>
      </c>
      <c r="CS189" s="0" t="s">
        <v>163</v>
      </c>
      <c r="CT189" s="0" t="n">
        <v>29</v>
      </c>
      <c r="CU189" s="0" t="n">
        <v>7</v>
      </c>
      <c r="CV189" s="0" t="n">
        <v>8</v>
      </c>
      <c r="CW189" s="0" t="n">
        <v>6</v>
      </c>
      <c r="CX189" s="0" t="n">
        <v>8</v>
      </c>
      <c r="CY189" s="0" t="n">
        <f aca="false">IF(AH189="exact",10,IF(AH189="adjacent",5,0))</f>
        <v>0</v>
      </c>
      <c r="CZ189" s="0" t="n">
        <f aca="false">IF(R189="Y",15,0)</f>
        <v>0</v>
      </c>
      <c r="DF189" s="0" t="s">
        <v>158</v>
      </c>
      <c r="DG189" s="0" t="s">
        <v>211</v>
      </c>
      <c r="DJ189" s="0" t="s">
        <v>3156</v>
      </c>
      <c r="DK189" s="0" t="s">
        <v>3157</v>
      </c>
      <c r="DS189" s="0" t="s">
        <v>158</v>
      </c>
      <c r="DX189" s="0" t="s">
        <v>162</v>
      </c>
      <c r="ER189" s="0" t="str">
        <f aca="false">IF(ISNUMBER(MATCH(U189,{"queued","contacted","replied","call_booked","call_done","yes_in_principle","materials_sent"},0)),"Y","N")</f>
        <v>N</v>
      </c>
      <c r="ES189" s="0" t="str">
        <f aca="false">IF(COUNTIFS($AP$2:$AP$1000,AP189,$ER$2:$ER$1000,"Y")+COUNTIFS($AP$2:$AP$1000,AP189,$T$2:$T$1000,"Y")&gt;0,"Y","N")</f>
        <v>N</v>
      </c>
      <c r="ET189" s="0" t="str">
        <f aca="false">IF(AND(U189="new",T189="N",AT189="Y",AS189="",ES189="N"),"Y","N")</f>
        <v>N</v>
      </c>
      <c r="EU189" s="0" t="str">
        <f aca="false">IF(ET189&lt;&gt;"Y","N",IF(COUNTIFS($AP$2:$AP$1000,AP189,$ET$2:$ET$1000,"Y",$J$2:$J$1000,"&gt;"&amp;J189)+COUNTIFS($AP$2:$AP$1000,AP189,$ET$2:$ET$1000,"Y",$J$2:$J$1000,J189,$EW$2:$EW$1000,"&lt;"&amp;EW189)=0,"Y","N"))</f>
        <v>N</v>
      </c>
      <c r="EV189" s="0" t="str">
        <f aca="false">IF(Y189="","N",IF(Y189&lt;=10,"Y","N"))</f>
        <v>N</v>
      </c>
      <c r="EW189" s="0" t="n">
        <f aca="false">ROW()-1</f>
        <v>188</v>
      </c>
    </row>
    <row r="190" customFormat="false" ht="15" hidden="false" customHeight="false" outlineLevel="0" collapsed="false">
      <c r="A190" s="0" t="s">
        <v>3158</v>
      </c>
      <c r="B190" s="0" t="s">
        <v>3159</v>
      </c>
      <c r="H190" s="5" t="s">
        <v>158</v>
      </c>
      <c r="I190" s="5" t="s">
        <v>159</v>
      </c>
      <c r="J190" s="0" t="n">
        <f aca="false">IF(AX190="pass",ROUND(CU190+CV190+CW190+CX190+CY190+CZ190,1),0)</f>
        <v>29</v>
      </c>
      <c r="K190" s="0" t="s">
        <v>3048</v>
      </c>
      <c r="L190" s="0" t="s">
        <v>163</v>
      </c>
      <c r="R190" s="5" t="s">
        <v>162</v>
      </c>
      <c r="S190" s="0" t="s">
        <v>163</v>
      </c>
      <c r="T190" s="5" t="s">
        <v>162</v>
      </c>
      <c r="U190" s="5" t="s">
        <v>561</v>
      </c>
      <c r="V190" s="0" t="s">
        <v>2780</v>
      </c>
      <c r="W190" s="0" t="s">
        <v>166</v>
      </c>
      <c r="X190" s="0" t="s">
        <v>167</v>
      </c>
      <c r="Y190" s="0" t="str">
        <f aca="false">IF(EU190&lt;&gt;"Y","",COUNTIFS($EU$2:$EU$1000,"Y",$J$2:$J$1000,"&gt;"&amp;J190)+COUNTIFS($EU$2:$EU$1000,"Y",$J$2:$J$1000,J190,$EW$2:$EW$1000,"&lt;"&amp;EW190)+1)</f>
        <v/>
      </c>
      <c r="Z190" s="0" t="n">
        <v>189</v>
      </c>
      <c r="AA190" s="0" t="s">
        <v>162</v>
      </c>
      <c r="AD190" s="0" t="s">
        <v>158</v>
      </c>
      <c r="AH190" s="5" t="s">
        <v>158</v>
      </c>
      <c r="AI190" s="0" t="s">
        <v>2781</v>
      </c>
      <c r="AJ190" s="0" t="s">
        <v>163</v>
      </c>
      <c r="AK190" s="0" t="s">
        <v>434</v>
      </c>
      <c r="AL190" s="0" t="s">
        <v>163</v>
      </c>
      <c r="AM190" s="0" t="s">
        <v>163</v>
      </c>
      <c r="AN190" s="0" t="s">
        <v>158</v>
      </c>
      <c r="AO190" s="0" t="s">
        <v>163</v>
      </c>
      <c r="AP190" s="0" t="s">
        <v>3158</v>
      </c>
      <c r="AQ190" s="5" t="s">
        <v>162</v>
      </c>
      <c r="AT190" s="0" t="str">
        <f aca="false">IF(AND(AX190="pass",AQ190&lt;&gt;"Y",C190&lt;&gt;"",OR(AW190&lt;&gt;"Y",AV190="Y")),"Y","N")</f>
        <v>N</v>
      </c>
      <c r="AU190" s="0" t="str">
        <f aca="false">_xlfn.TEXTJOIN("; ",TRUE(),IF(AX190&lt;&gt;"pass","gated out",""),IF(AQ190="Y","on hold: "&amp;AR190,""),IF(C190="","no contact named on an opened page",""),IF(AND(AW190="Y",AV190&lt;&gt;"Y"),"Tuesday estimate band "&amp;L190&amp;": founder's call",""))</f>
        <v>no contact named on an opened page</v>
      </c>
      <c r="AW190" s="0" t="s">
        <v>162</v>
      </c>
      <c r="AX190" s="0" t="s">
        <v>181</v>
      </c>
      <c r="AY190" s="0" t="s">
        <v>182</v>
      </c>
      <c r="AZ190" s="0" t="s">
        <v>1</v>
      </c>
      <c r="BA190" s="0" t="s">
        <v>3160</v>
      </c>
      <c r="BB190" s="0" t="s">
        <v>3161</v>
      </c>
      <c r="BC190" s="0" t="s">
        <v>3162</v>
      </c>
      <c r="BD190" s="0" t="s">
        <v>163</v>
      </c>
      <c r="BF190" s="0" t="s">
        <v>163</v>
      </c>
      <c r="BG190" s="0" t="s">
        <v>163</v>
      </c>
      <c r="BH190" s="0" t="s">
        <v>2195</v>
      </c>
      <c r="BK190" s="0" t="s">
        <v>163</v>
      </c>
      <c r="BL190" s="0" t="s">
        <v>163</v>
      </c>
      <c r="BM190" s="0" t="s">
        <v>163</v>
      </c>
      <c r="BN190" s="0" t="s">
        <v>163</v>
      </c>
      <c r="BO190" s="0" t="s">
        <v>163</v>
      </c>
      <c r="BP190" s="0" t="s">
        <v>346</v>
      </c>
      <c r="BQ190" s="0" t="n">
        <v>40.740438</v>
      </c>
      <c r="BR190" s="0" t="n">
        <v>-73.990034</v>
      </c>
      <c r="BS190" s="0" t="s">
        <v>168</v>
      </c>
      <c r="BT190" s="0" t="n">
        <v>0</v>
      </c>
      <c r="BU190" s="0" t="s">
        <v>2785</v>
      </c>
      <c r="BV190" s="0" t="s">
        <v>2786</v>
      </c>
      <c r="BW190" s="0" t="s">
        <v>2780</v>
      </c>
      <c r="BX190" s="0" t="s">
        <v>2787</v>
      </c>
      <c r="BY190" s="0" t="s">
        <v>247</v>
      </c>
      <c r="CC190" s="0" t="s">
        <v>738</v>
      </c>
      <c r="CE190" s="0" t="s">
        <v>162</v>
      </c>
      <c r="CH190" s="0" t="s">
        <v>163</v>
      </c>
      <c r="CJ190" s="0" t="s">
        <v>163</v>
      </c>
      <c r="CK190" s="0" t="s">
        <v>162</v>
      </c>
      <c r="CL190" s="0" t="s">
        <v>163</v>
      </c>
      <c r="CO190" s="0" t="s">
        <v>163</v>
      </c>
      <c r="CQ190" s="0" t="s">
        <v>2196</v>
      </c>
      <c r="CR190" s="0" t="s">
        <v>206</v>
      </c>
      <c r="CS190" s="0" t="s">
        <v>163</v>
      </c>
      <c r="CT190" s="0" t="n">
        <v>29</v>
      </c>
      <c r="CU190" s="0" t="n">
        <v>7</v>
      </c>
      <c r="CV190" s="0" t="n">
        <v>8</v>
      </c>
      <c r="CW190" s="0" t="n">
        <v>6</v>
      </c>
      <c r="CX190" s="0" t="n">
        <v>8</v>
      </c>
      <c r="CY190" s="0" t="n">
        <f aca="false">IF(AH190="exact",10,IF(AH190="adjacent",5,0))</f>
        <v>0</v>
      </c>
      <c r="CZ190" s="0" t="n">
        <f aca="false">IF(R190="Y",15,0)</f>
        <v>0</v>
      </c>
      <c r="DF190" s="0" t="s">
        <v>158</v>
      </c>
      <c r="DG190" s="0" t="s">
        <v>211</v>
      </c>
      <c r="DJ190" s="0" t="s">
        <v>3163</v>
      </c>
      <c r="DK190" s="0" t="s">
        <v>3164</v>
      </c>
      <c r="DS190" s="0" t="s">
        <v>158</v>
      </c>
      <c r="DX190" s="0" t="s">
        <v>162</v>
      </c>
      <c r="ER190" s="0" t="str">
        <f aca="false">IF(ISNUMBER(MATCH(U190,{"queued","contacted","replied","call_booked","call_done","yes_in_principle","materials_sent"},0)),"Y","N")</f>
        <v>N</v>
      </c>
      <c r="ES190" s="0" t="str">
        <f aca="false">IF(COUNTIFS($AP$2:$AP$1000,AP190,$ER$2:$ER$1000,"Y")+COUNTIFS($AP$2:$AP$1000,AP190,$T$2:$T$1000,"Y")&gt;0,"Y","N")</f>
        <v>N</v>
      </c>
      <c r="ET190" s="0" t="str">
        <f aca="false">IF(AND(U190="new",T190="N",AT190="Y",AS190="",ES190="N"),"Y","N")</f>
        <v>N</v>
      </c>
      <c r="EU190" s="0" t="str">
        <f aca="false">IF(ET190&lt;&gt;"Y","N",IF(COUNTIFS($AP$2:$AP$1000,AP190,$ET$2:$ET$1000,"Y",$J$2:$J$1000,"&gt;"&amp;J190)+COUNTIFS($AP$2:$AP$1000,AP190,$ET$2:$ET$1000,"Y",$J$2:$J$1000,J190,$EW$2:$EW$1000,"&lt;"&amp;EW190)=0,"Y","N"))</f>
        <v>N</v>
      </c>
      <c r="EV190" s="0" t="str">
        <f aca="false">IF(Y190="","N",IF(Y190&lt;=10,"Y","N"))</f>
        <v>N</v>
      </c>
      <c r="EW190" s="0" t="n">
        <f aca="false">ROW()-1</f>
        <v>189</v>
      </c>
    </row>
    <row r="191" customFormat="false" ht="15" hidden="false" customHeight="false" outlineLevel="0" collapsed="false">
      <c r="A191" s="0" t="s">
        <v>3165</v>
      </c>
      <c r="B191" s="0" t="s">
        <v>3166</v>
      </c>
      <c r="H191" s="5" t="s">
        <v>158</v>
      </c>
      <c r="I191" s="5" t="s">
        <v>159</v>
      </c>
      <c r="J191" s="0" t="n">
        <f aca="false">IF(AX191="pass",ROUND(CU191+CV191+CW191+CX191+CY191+CZ191,1),0)</f>
        <v>29</v>
      </c>
      <c r="K191" s="0" t="s">
        <v>3167</v>
      </c>
      <c r="L191" s="0" t="s">
        <v>163</v>
      </c>
      <c r="R191" s="5" t="s">
        <v>162</v>
      </c>
      <c r="S191" s="0" t="s">
        <v>163</v>
      </c>
      <c r="T191" s="5" t="s">
        <v>162</v>
      </c>
      <c r="U191" s="5" t="s">
        <v>561</v>
      </c>
      <c r="V191" s="0" t="s">
        <v>3168</v>
      </c>
      <c r="W191" s="0" t="s">
        <v>166</v>
      </c>
      <c r="X191" s="0" t="s">
        <v>167</v>
      </c>
      <c r="Y191" s="0" t="str">
        <f aca="false">IF(EU191&lt;&gt;"Y","",COUNTIFS($EU$2:$EU$1000,"Y",$J$2:$J$1000,"&gt;"&amp;J191)+COUNTIFS($EU$2:$EU$1000,"Y",$J$2:$J$1000,J191,$EW$2:$EW$1000,"&lt;"&amp;EW191)+1)</f>
        <v/>
      </c>
      <c r="Z191" s="0" t="n">
        <v>190</v>
      </c>
      <c r="AA191" s="0" t="s">
        <v>162</v>
      </c>
      <c r="AD191" s="0" t="s">
        <v>158</v>
      </c>
      <c r="AH191" s="5" t="s">
        <v>158</v>
      </c>
      <c r="AI191" s="0" t="s">
        <v>3169</v>
      </c>
      <c r="AJ191" s="0" t="s">
        <v>163</v>
      </c>
      <c r="AK191" s="0" t="s">
        <v>3170</v>
      </c>
      <c r="AL191" s="0" t="s">
        <v>163</v>
      </c>
      <c r="AM191" s="0" t="s">
        <v>163</v>
      </c>
      <c r="AN191" s="0" t="s">
        <v>158</v>
      </c>
      <c r="AO191" s="0" t="s">
        <v>163</v>
      </c>
      <c r="AP191" s="0" t="s">
        <v>2798</v>
      </c>
      <c r="AQ191" s="5" t="s">
        <v>162</v>
      </c>
      <c r="AT191" s="0" t="str">
        <f aca="false">IF(AND(AX191="pass",AQ191&lt;&gt;"Y",C191&lt;&gt;"",OR(AW191&lt;&gt;"Y",AV191="Y")),"Y","N")</f>
        <v>N</v>
      </c>
      <c r="AU191" s="0" t="str">
        <f aca="false">_xlfn.TEXTJOIN("; ",TRUE(),IF(AX191&lt;&gt;"pass","gated out",""),IF(AQ191="Y","on hold: "&amp;AR191,""),IF(C191="","no contact named on an opened page",""),IF(AND(AW191="Y",AV191&lt;&gt;"Y"),"Tuesday estimate band "&amp;L191&amp;": founder's call",""))</f>
        <v>no contact named on an opened page</v>
      </c>
      <c r="AW191" s="0" t="s">
        <v>162</v>
      </c>
      <c r="AX191" s="0" t="s">
        <v>181</v>
      </c>
      <c r="AY191" s="0" t="s">
        <v>182</v>
      </c>
      <c r="AZ191" s="0" t="s">
        <v>2228</v>
      </c>
      <c r="BA191" s="0" t="s">
        <v>3171</v>
      </c>
      <c r="BB191" s="0" t="s">
        <v>2800</v>
      </c>
      <c r="BC191" s="0" t="s">
        <v>2231</v>
      </c>
      <c r="BD191" s="0" t="s">
        <v>163</v>
      </c>
      <c r="BF191" s="0" t="s">
        <v>163</v>
      </c>
      <c r="BG191" s="0" t="s">
        <v>163</v>
      </c>
      <c r="BK191" s="0" t="s">
        <v>163</v>
      </c>
      <c r="BL191" s="0" t="s">
        <v>2232</v>
      </c>
      <c r="BM191" s="0" t="s">
        <v>163</v>
      </c>
      <c r="BN191" s="0" t="s">
        <v>2801</v>
      </c>
      <c r="BP191" s="0" t="s">
        <v>243</v>
      </c>
      <c r="BQ191" s="0" t="n">
        <v>40.74441</v>
      </c>
      <c r="BR191" s="0" t="n">
        <v>-73.987275</v>
      </c>
      <c r="BS191" s="0" t="s">
        <v>168</v>
      </c>
      <c r="BT191" s="0" t="n">
        <v>0</v>
      </c>
      <c r="BU191" s="0" t="s">
        <v>2669</v>
      </c>
      <c r="BV191" s="0" t="s">
        <v>2670</v>
      </c>
      <c r="BW191" s="0" t="s">
        <v>3168</v>
      </c>
      <c r="BX191" s="0" t="s">
        <v>166</v>
      </c>
      <c r="BY191" s="0" t="s">
        <v>2236</v>
      </c>
      <c r="CC191" s="0" t="s">
        <v>738</v>
      </c>
      <c r="CE191" s="0" t="s">
        <v>162</v>
      </c>
      <c r="CF191" s="0" t="s">
        <v>3171</v>
      </c>
      <c r="CG191" s="0" t="s">
        <v>2238</v>
      </c>
      <c r="CH191" s="0" t="s">
        <v>201</v>
      </c>
      <c r="CI191" s="0" t="s">
        <v>2672</v>
      </c>
      <c r="CJ191" s="0" t="s">
        <v>163</v>
      </c>
      <c r="CK191" s="0" t="s">
        <v>162</v>
      </c>
      <c r="CL191" s="0" t="s">
        <v>163</v>
      </c>
      <c r="CO191" s="0" t="s">
        <v>163</v>
      </c>
      <c r="CQ191" s="0" t="s">
        <v>2239</v>
      </c>
      <c r="CR191" s="0" t="s">
        <v>206</v>
      </c>
      <c r="CS191" s="0" t="s">
        <v>163</v>
      </c>
      <c r="CT191" s="0" t="n">
        <v>29</v>
      </c>
      <c r="CU191" s="0" t="n">
        <v>7</v>
      </c>
      <c r="CV191" s="0" t="n">
        <v>8</v>
      </c>
      <c r="CW191" s="0" t="n">
        <v>6</v>
      </c>
      <c r="CX191" s="0" t="n">
        <v>8</v>
      </c>
      <c r="CY191" s="0" t="n">
        <f aca="false">IF(AH191="exact",10,IF(AH191="adjacent",5,0))</f>
        <v>0</v>
      </c>
      <c r="CZ191" s="0" t="n">
        <f aca="false">IF(R191="Y",15,0)</f>
        <v>0</v>
      </c>
      <c r="DF191" s="0" t="s">
        <v>158</v>
      </c>
      <c r="DG191" s="0" t="s">
        <v>2228</v>
      </c>
      <c r="DK191" s="0" t="s">
        <v>3172</v>
      </c>
      <c r="DS191" s="0" t="s">
        <v>158</v>
      </c>
      <c r="DX191" s="0" t="s">
        <v>162</v>
      </c>
      <c r="DZ191" s="0" t="s">
        <v>3173</v>
      </c>
      <c r="ER191" s="0" t="str">
        <f aca="false">IF(ISNUMBER(MATCH(U191,{"queued","contacted","replied","call_booked","call_done","yes_in_principle","materials_sent"},0)),"Y","N")</f>
        <v>N</v>
      </c>
      <c r="ES191" s="0" t="str">
        <f aca="false">IF(COUNTIFS($AP$2:$AP$1000,AP191,$ER$2:$ER$1000,"Y")+COUNTIFS($AP$2:$AP$1000,AP191,$T$2:$T$1000,"Y")&gt;0,"Y","N")</f>
        <v>N</v>
      </c>
      <c r="ET191" s="0" t="str">
        <f aca="false">IF(AND(U191="new",T191="N",AT191="Y",AS191="",ES191="N"),"Y","N")</f>
        <v>N</v>
      </c>
      <c r="EU191" s="0" t="str">
        <f aca="false">IF(ET191&lt;&gt;"Y","N",IF(COUNTIFS($AP$2:$AP$1000,AP191,$ET$2:$ET$1000,"Y",$J$2:$J$1000,"&gt;"&amp;J191)+COUNTIFS($AP$2:$AP$1000,AP191,$ET$2:$ET$1000,"Y",$J$2:$J$1000,J191,$EW$2:$EW$1000,"&lt;"&amp;EW191)=0,"Y","N"))</f>
        <v>N</v>
      </c>
      <c r="EV191" s="0" t="str">
        <f aca="false">IF(Y191="","N",IF(Y191&lt;=10,"Y","N"))</f>
        <v>N</v>
      </c>
      <c r="EW191" s="0" t="n">
        <f aca="false">ROW()-1</f>
        <v>190</v>
      </c>
    </row>
    <row r="192" customFormat="false" ht="15" hidden="false" customHeight="false" outlineLevel="0" collapsed="false">
      <c r="A192" s="0" t="s">
        <v>3174</v>
      </c>
      <c r="B192" s="0" t="s">
        <v>3175</v>
      </c>
      <c r="H192" s="5" t="s">
        <v>158</v>
      </c>
      <c r="I192" s="5" t="s">
        <v>159</v>
      </c>
      <c r="J192" s="0" t="n">
        <f aca="false">IF(AX192="pass",ROUND(CU192+CV192+CW192+CX192+CY192+CZ192,1),0)</f>
        <v>28.2</v>
      </c>
      <c r="K192" s="0" t="s">
        <v>3176</v>
      </c>
      <c r="L192" s="0" t="s">
        <v>239</v>
      </c>
      <c r="R192" s="5" t="s">
        <v>162</v>
      </c>
      <c r="S192" s="0" t="s">
        <v>163</v>
      </c>
      <c r="T192" s="5" t="s">
        <v>162</v>
      </c>
      <c r="U192" s="5" t="s">
        <v>561</v>
      </c>
      <c r="V192" s="0" t="s">
        <v>3177</v>
      </c>
      <c r="W192" s="0" t="s">
        <v>166</v>
      </c>
      <c r="X192" s="0" t="s">
        <v>167</v>
      </c>
      <c r="Y192" s="0" t="str">
        <f aca="false">IF(EU192&lt;&gt;"Y","",COUNTIFS($EU$2:$EU$1000,"Y",$J$2:$J$1000,"&gt;"&amp;J192)+COUNTIFS($EU$2:$EU$1000,"Y",$J$2:$J$1000,J192,$EW$2:$EW$1000,"&lt;"&amp;EW192)+1)</f>
        <v/>
      </c>
      <c r="Z192" s="0" t="n">
        <v>191</v>
      </c>
      <c r="AA192" s="0" t="s">
        <v>162</v>
      </c>
      <c r="AB192" s="0" t="s">
        <v>1661</v>
      </c>
      <c r="AD192" s="0" t="s">
        <v>158</v>
      </c>
      <c r="AH192" s="5" t="s">
        <v>158</v>
      </c>
      <c r="AI192" s="0" t="s">
        <v>623</v>
      </c>
      <c r="AJ192" s="0" t="s">
        <v>272</v>
      </c>
      <c r="AK192" s="0" t="s">
        <v>178</v>
      </c>
      <c r="AL192" s="0" t="n">
        <v>235</v>
      </c>
      <c r="AM192" s="0" t="n">
        <v>470</v>
      </c>
      <c r="AN192" s="0" t="s">
        <v>179</v>
      </c>
      <c r="AO192" s="0" t="s">
        <v>861</v>
      </c>
      <c r="AP192" s="0" t="s">
        <v>3174</v>
      </c>
      <c r="AQ192" s="5" t="s">
        <v>162</v>
      </c>
      <c r="AT192" s="0" t="str">
        <f aca="false">IF(AND(AX192="pass",AQ192&lt;&gt;"Y",C192&lt;&gt;"",OR(AW192&lt;&gt;"Y",AV192="Y")),"Y","N")</f>
        <v>N</v>
      </c>
      <c r="AU192" s="0" t="str">
        <f aca="false">_xlfn.TEXTJOIN("; ",TRUE(),IF(AX192&lt;&gt;"pass","gated out",""),IF(AQ192="Y","on hold: "&amp;AR192,""),IF(C192="","no contact named on an opened page",""),IF(AND(AW192="Y",AV192&lt;&gt;"Y"),"Tuesday estimate band "&amp;L192&amp;": founder's call",""))</f>
        <v>no contact named on an opened page; Tuesday estimate band 251-500: founder's call</v>
      </c>
      <c r="AW192" s="0" t="s">
        <v>168</v>
      </c>
      <c r="AX192" s="0" t="s">
        <v>181</v>
      </c>
      <c r="AY192" s="0" t="s">
        <v>182</v>
      </c>
      <c r="AZ192" s="0" t="s">
        <v>1</v>
      </c>
      <c r="BA192" s="0" t="s">
        <v>3178</v>
      </c>
      <c r="BB192" s="0" t="s">
        <v>3179</v>
      </c>
      <c r="BC192" s="0" t="s">
        <v>3180</v>
      </c>
      <c r="BD192" s="0" t="s">
        <v>3181</v>
      </c>
      <c r="BF192" s="0" t="s">
        <v>1322</v>
      </c>
      <c r="BG192" s="0" t="s">
        <v>188</v>
      </c>
      <c r="BH192" s="0" t="s">
        <v>189</v>
      </c>
      <c r="BI192" s="0" t="s">
        <v>3182</v>
      </c>
      <c r="BK192" s="0" t="s">
        <v>1263</v>
      </c>
      <c r="BL192" s="0" t="s">
        <v>192</v>
      </c>
      <c r="BM192" s="0" t="s">
        <v>168</v>
      </c>
      <c r="BN192" s="0" t="s">
        <v>163</v>
      </c>
      <c r="BO192" s="0" t="s">
        <v>163</v>
      </c>
      <c r="BP192" s="0" t="s">
        <v>377</v>
      </c>
      <c r="BQ192" s="0" t="n">
        <v>40.74024</v>
      </c>
      <c r="BR192" s="0" t="n">
        <v>-73.994996</v>
      </c>
      <c r="BS192" s="0" t="s">
        <v>168</v>
      </c>
      <c r="BT192" s="0" t="n">
        <v>0</v>
      </c>
      <c r="BU192" s="0" t="s">
        <v>632</v>
      </c>
      <c r="BV192" s="0" t="s">
        <v>633</v>
      </c>
      <c r="BW192" s="0" t="s">
        <v>3177</v>
      </c>
      <c r="BX192" s="0" t="s">
        <v>166</v>
      </c>
      <c r="BY192" s="0" t="s">
        <v>444</v>
      </c>
      <c r="BZ192" s="0" t="s">
        <v>622</v>
      </c>
      <c r="CA192" s="0" t="s">
        <v>634</v>
      </c>
      <c r="CC192" s="0" t="s">
        <v>200</v>
      </c>
      <c r="CE192" s="0" t="s">
        <v>162</v>
      </c>
      <c r="CH192" s="0" t="s">
        <v>163</v>
      </c>
      <c r="CJ192" s="0" t="s">
        <v>163</v>
      </c>
      <c r="CK192" s="0" t="s">
        <v>162</v>
      </c>
      <c r="CL192" s="0" t="s">
        <v>1910</v>
      </c>
      <c r="CM192" s="0" t="s">
        <v>3177</v>
      </c>
      <c r="CN192" s="0" t="s">
        <v>174</v>
      </c>
      <c r="CO192" s="0" t="n">
        <v>332</v>
      </c>
      <c r="CP192" s="0" t="s">
        <v>250</v>
      </c>
      <c r="CQ192" s="0" t="s">
        <v>3183</v>
      </c>
      <c r="CR192" s="0" t="s">
        <v>206</v>
      </c>
      <c r="CS192" s="0" t="n">
        <v>0.09</v>
      </c>
      <c r="CT192" s="0" t="n">
        <v>28.2</v>
      </c>
      <c r="CU192" s="0" t="n">
        <v>2.2</v>
      </c>
      <c r="CV192" s="0" t="n">
        <v>6</v>
      </c>
      <c r="CW192" s="0" t="n">
        <v>5</v>
      </c>
      <c r="CX192" s="0" t="n">
        <v>15</v>
      </c>
      <c r="CY192" s="0" t="n">
        <f aca="false">IF(AH192="exact",10,IF(AH192="adjacent",5,0))</f>
        <v>0</v>
      </c>
      <c r="CZ192" s="0" t="n">
        <f aca="false">IF(R192="Y",15,0)</f>
        <v>0</v>
      </c>
      <c r="DF192" s="0" t="s">
        <v>158</v>
      </c>
      <c r="DG192" s="0" t="s">
        <v>1335</v>
      </c>
      <c r="DH192" s="0" t="s">
        <v>1336</v>
      </c>
      <c r="DI192" s="0" t="s">
        <v>162</v>
      </c>
      <c r="DJ192" s="0" t="s">
        <v>638</v>
      </c>
      <c r="DK192" s="0" t="s">
        <v>3184</v>
      </c>
      <c r="DS192" s="0" t="s">
        <v>158</v>
      </c>
      <c r="DX192" s="0" t="s">
        <v>162</v>
      </c>
      <c r="ER192" s="0" t="str">
        <f aca="false">IF(ISNUMBER(MATCH(U192,{"queued","contacted","replied","call_booked","call_done","yes_in_principle","materials_sent"},0)),"Y","N")</f>
        <v>N</v>
      </c>
      <c r="ES192" s="0" t="str">
        <f aca="false">IF(COUNTIFS($AP$2:$AP$1000,AP192,$ER$2:$ER$1000,"Y")+COUNTIFS($AP$2:$AP$1000,AP192,$T$2:$T$1000,"Y")&gt;0,"Y","N")</f>
        <v>N</v>
      </c>
      <c r="ET192" s="0" t="str">
        <f aca="false">IF(AND(U192="new",T192="N",AT192="Y",AS192="",ES192="N"),"Y","N")</f>
        <v>N</v>
      </c>
      <c r="EU192" s="0" t="str">
        <f aca="false">IF(ET192&lt;&gt;"Y","N",IF(COUNTIFS($AP$2:$AP$1000,AP192,$ET$2:$ET$1000,"Y",$J$2:$J$1000,"&gt;"&amp;J192)+COUNTIFS($AP$2:$AP$1000,AP192,$ET$2:$ET$1000,"Y",$J$2:$J$1000,J192,$EW$2:$EW$1000,"&lt;"&amp;EW192)=0,"Y","N"))</f>
        <v>N</v>
      </c>
      <c r="EV192" s="0" t="str">
        <f aca="false">IF(Y192="","N",IF(Y192&lt;=10,"Y","N"))</f>
        <v>N</v>
      </c>
      <c r="EW192" s="0" t="n">
        <f aca="false">ROW()-1</f>
        <v>191</v>
      </c>
    </row>
    <row r="193" customFormat="false" ht="15" hidden="false" customHeight="false" outlineLevel="0" collapsed="false">
      <c r="A193" s="0" t="s">
        <v>3185</v>
      </c>
      <c r="B193" s="0" t="s">
        <v>3186</v>
      </c>
      <c r="H193" s="5" t="s">
        <v>158</v>
      </c>
      <c r="I193" s="5" t="s">
        <v>159</v>
      </c>
      <c r="J193" s="0" t="n">
        <f aca="false">IF(AX193="pass",ROUND(CU193+CV193+CW193+CX193+CY193+CZ193,1),0)</f>
        <v>28.1</v>
      </c>
      <c r="K193" s="0" t="s">
        <v>3187</v>
      </c>
      <c r="L193" s="0" t="s">
        <v>394</v>
      </c>
      <c r="R193" s="5" t="s">
        <v>162</v>
      </c>
      <c r="S193" s="0" t="s">
        <v>163</v>
      </c>
      <c r="T193" s="5" t="s">
        <v>162</v>
      </c>
      <c r="U193" s="5" t="s">
        <v>561</v>
      </c>
      <c r="V193" s="0" t="s">
        <v>2608</v>
      </c>
      <c r="W193" s="0" t="s">
        <v>166</v>
      </c>
      <c r="X193" s="0" t="s">
        <v>167</v>
      </c>
      <c r="Y193" s="0" t="str">
        <f aca="false">IF(EU193&lt;&gt;"Y","",COUNTIFS($EU$2:$EU$1000,"Y",$J$2:$J$1000,"&gt;"&amp;J193)+COUNTIFS($EU$2:$EU$1000,"Y",$J$2:$J$1000,J193,$EW$2:$EW$1000,"&lt;"&amp;EW193)+1)</f>
        <v/>
      </c>
      <c r="Z193" s="0" t="n">
        <v>192</v>
      </c>
      <c r="AA193" s="0" t="s">
        <v>162</v>
      </c>
      <c r="AD193" s="0" t="s">
        <v>158</v>
      </c>
      <c r="AH193" s="5" t="s">
        <v>158</v>
      </c>
      <c r="AI193" s="0" t="s">
        <v>2609</v>
      </c>
      <c r="AJ193" s="0" t="s">
        <v>163</v>
      </c>
      <c r="AK193" s="0" t="s">
        <v>3188</v>
      </c>
      <c r="AL193" s="0" t="n">
        <v>15</v>
      </c>
      <c r="AM193" s="0" t="n">
        <v>309</v>
      </c>
      <c r="AN193" s="0" t="s">
        <v>179</v>
      </c>
      <c r="AO193" s="0" t="s">
        <v>369</v>
      </c>
      <c r="AP193" s="0" t="s">
        <v>3185</v>
      </c>
      <c r="AQ193" s="5" t="s">
        <v>168</v>
      </c>
      <c r="AR193" s="0" t="s">
        <v>3189</v>
      </c>
      <c r="AT193" s="0" t="str">
        <f aca="false">IF(AND(AX193="pass",AQ193&lt;&gt;"Y",C193&lt;&gt;"",OR(AW193&lt;&gt;"Y",AV193="Y")),"Y","N")</f>
        <v>N</v>
      </c>
      <c r="AU193" s="0" t="str">
        <f aca="false">_xlfn.TEXTJOIN("; ",TRUE(),IF(AX193&lt;&gt;"pass","gated out",""),IF(AQ193="Y","on hold: "&amp;AR193,""),IF(C193="","no contact named on an opened page",""),IF(AND(AW193="Y",AV193&lt;&gt;"Y"),"Tuesday estimate band "&amp;L193&amp;": founder's call",""))</f>
        <v>on hold: moving out of this address: confirm where the office will be before outreach (B); no contact named on an opened page</v>
      </c>
      <c r="AW193" s="0" t="s">
        <v>162</v>
      </c>
      <c r="AX193" s="0" t="s">
        <v>181</v>
      </c>
      <c r="AY193" s="0" t="s">
        <v>182</v>
      </c>
      <c r="AZ193" s="0" t="s">
        <v>1</v>
      </c>
      <c r="BA193" s="0" t="s">
        <v>3190</v>
      </c>
      <c r="BB193" s="0" t="s">
        <v>163</v>
      </c>
      <c r="BC193" s="0" t="s">
        <v>3191</v>
      </c>
      <c r="BD193" s="0" t="s">
        <v>1261</v>
      </c>
      <c r="BF193" s="0" t="s">
        <v>1322</v>
      </c>
      <c r="BG193" s="0" t="s">
        <v>188</v>
      </c>
      <c r="BH193" s="0" t="s">
        <v>189</v>
      </c>
      <c r="BI193" s="0" t="s">
        <v>3192</v>
      </c>
      <c r="BK193" s="0" t="s">
        <v>1263</v>
      </c>
      <c r="BL193" s="0" t="s">
        <v>3193</v>
      </c>
      <c r="BM193" s="0" t="s">
        <v>162</v>
      </c>
      <c r="BN193" s="0" t="s">
        <v>163</v>
      </c>
      <c r="BO193" s="0" t="s">
        <v>163</v>
      </c>
      <c r="BP193" s="0" t="s">
        <v>377</v>
      </c>
      <c r="BQ193" s="0" t="n">
        <v>40.738186</v>
      </c>
      <c r="BR193" s="0" t="n">
        <v>-73.992429</v>
      </c>
      <c r="BS193" s="0" t="s">
        <v>168</v>
      </c>
      <c r="BT193" s="0" t="n">
        <v>0</v>
      </c>
      <c r="BU193" s="0" t="s">
        <v>2612</v>
      </c>
      <c r="BV193" s="0" t="s">
        <v>2609</v>
      </c>
      <c r="BW193" s="0" t="s">
        <v>2608</v>
      </c>
      <c r="BX193" s="0" t="s">
        <v>2613</v>
      </c>
      <c r="BY193" s="0" t="s">
        <v>247</v>
      </c>
      <c r="CC193" s="0" t="s">
        <v>179</v>
      </c>
      <c r="CD193" s="0" t="s">
        <v>163</v>
      </c>
      <c r="CE193" s="0" t="s">
        <v>162</v>
      </c>
      <c r="CH193" s="0" t="s">
        <v>163</v>
      </c>
      <c r="CJ193" s="0" t="s">
        <v>163</v>
      </c>
      <c r="CK193" s="0" t="s">
        <v>162</v>
      </c>
      <c r="CL193" s="0" t="s">
        <v>381</v>
      </c>
      <c r="CM193" s="0" t="s">
        <v>3194</v>
      </c>
      <c r="CN193" s="0" t="s">
        <v>174</v>
      </c>
      <c r="CO193" s="0" t="n">
        <v>68</v>
      </c>
      <c r="CP193" s="0" t="s">
        <v>767</v>
      </c>
      <c r="CQ193" s="0" t="s">
        <v>3195</v>
      </c>
      <c r="CR193" s="0" t="s">
        <v>206</v>
      </c>
      <c r="CS193" s="0" t="n">
        <v>0.61</v>
      </c>
      <c r="CT193" s="0" t="n">
        <v>28.1</v>
      </c>
      <c r="CU193" s="0" t="n">
        <v>15.1</v>
      </c>
      <c r="CV193" s="0" t="n">
        <v>6</v>
      </c>
      <c r="CW193" s="0" t="n">
        <v>7</v>
      </c>
      <c r="CX193" s="0" t="n">
        <v>0</v>
      </c>
      <c r="CY193" s="0" t="n">
        <f aca="false">IF(AH193="exact",10,IF(AH193="adjacent",5,0))</f>
        <v>0</v>
      </c>
      <c r="CZ193" s="0" t="n">
        <f aca="false">IF(R193="Y",15,0)</f>
        <v>0</v>
      </c>
      <c r="DF193" s="0" t="s">
        <v>158</v>
      </c>
      <c r="DG193" s="0" t="s">
        <v>1335</v>
      </c>
      <c r="DH193" s="0" t="s">
        <v>1336</v>
      </c>
      <c r="DI193" s="0" t="s">
        <v>162</v>
      </c>
      <c r="DJ193" s="0" t="s">
        <v>3196</v>
      </c>
      <c r="DK193" s="0" t="s">
        <v>3197</v>
      </c>
      <c r="DS193" s="0" t="s">
        <v>158</v>
      </c>
      <c r="DX193" s="0" t="s">
        <v>162</v>
      </c>
      <c r="ER193" s="0" t="str">
        <f aca="false">IF(ISNUMBER(MATCH(U193,{"queued","contacted","replied","call_booked","call_done","yes_in_principle","materials_sent"},0)),"Y","N")</f>
        <v>N</v>
      </c>
      <c r="ES193" s="0" t="str">
        <f aca="false">IF(COUNTIFS($AP$2:$AP$1000,AP193,$ER$2:$ER$1000,"Y")+COUNTIFS($AP$2:$AP$1000,AP193,$T$2:$T$1000,"Y")&gt;0,"Y","N")</f>
        <v>N</v>
      </c>
      <c r="ET193" s="0" t="str">
        <f aca="false">IF(AND(U193="new",T193="N",AT193="Y",AS193="",ES193="N"),"Y","N")</f>
        <v>N</v>
      </c>
      <c r="EU193" s="0" t="str">
        <f aca="false">IF(ET193&lt;&gt;"Y","N",IF(COUNTIFS($AP$2:$AP$1000,AP193,$ET$2:$ET$1000,"Y",$J$2:$J$1000,"&gt;"&amp;J193)+COUNTIFS($AP$2:$AP$1000,AP193,$ET$2:$ET$1000,"Y",$J$2:$J$1000,J193,$EW$2:$EW$1000,"&lt;"&amp;EW193)=0,"Y","N"))</f>
        <v>N</v>
      </c>
      <c r="EV193" s="0" t="str">
        <f aca="false">IF(Y193="","N",IF(Y193&lt;=10,"Y","N"))</f>
        <v>N</v>
      </c>
      <c r="EW193" s="0" t="n">
        <f aca="false">ROW()-1</f>
        <v>192</v>
      </c>
    </row>
    <row r="194" customFormat="false" ht="15" hidden="false" customHeight="false" outlineLevel="0" collapsed="false">
      <c r="A194" s="0" t="s">
        <v>3198</v>
      </c>
      <c r="B194" s="0" t="s">
        <v>3199</v>
      </c>
      <c r="H194" s="5" t="s">
        <v>158</v>
      </c>
      <c r="I194" s="5" t="s">
        <v>159</v>
      </c>
      <c r="J194" s="0" t="n">
        <f aca="false">IF(AX194="pass",ROUND(CU194+CV194+CW194+CX194+CY194+CZ194,1),0)</f>
        <v>28</v>
      </c>
      <c r="K194" s="0" t="s">
        <v>3200</v>
      </c>
      <c r="L194" s="0" t="s">
        <v>239</v>
      </c>
      <c r="R194" s="5" t="s">
        <v>162</v>
      </c>
      <c r="S194" s="0" t="s">
        <v>163</v>
      </c>
      <c r="T194" s="5" t="s">
        <v>162</v>
      </c>
      <c r="U194" s="5" t="s">
        <v>561</v>
      </c>
      <c r="V194" s="0" t="s">
        <v>3201</v>
      </c>
      <c r="W194" s="0" t="s">
        <v>166</v>
      </c>
      <c r="X194" s="0" t="s">
        <v>167</v>
      </c>
      <c r="Y194" s="0" t="str">
        <f aca="false">IF(EU194&lt;&gt;"Y","",COUNTIFS($EU$2:$EU$1000,"Y",$J$2:$J$1000,"&gt;"&amp;J194)+COUNTIFS($EU$2:$EU$1000,"Y",$J$2:$J$1000,J194,$EW$2:$EW$1000,"&lt;"&amp;EW194)+1)</f>
        <v/>
      </c>
      <c r="Z194" s="0" t="n">
        <v>193</v>
      </c>
      <c r="AA194" s="0" t="s">
        <v>162</v>
      </c>
      <c r="AB194" s="0" t="s">
        <v>1661</v>
      </c>
      <c r="AD194" s="0" t="s">
        <v>158</v>
      </c>
      <c r="AH194" s="5" t="s">
        <v>158</v>
      </c>
      <c r="AI194" s="0" t="s">
        <v>1991</v>
      </c>
      <c r="AJ194" s="0" t="s">
        <v>163</v>
      </c>
      <c r="AK194" s="0" t="s">
        <v>178</v>
      </c>
      <c r="AL194" s="0" t="n">
        <v>108</v>
      </c>
      <c r="AM194" s="0" t="n">
        <v>2150</v>
      </c>
      <c r="AN194" s="0" t="s">
        <v>179</v>
      </c>
      <c r="AO194" s="0" t="s">
        <v>163</v>
      </c>
      <c r="AP194" s="0" t="s">
        <v>3198</v>
      </c>
      <c r="AQ194" s="5" t="s">
        <v>162</v>
      </c>
      <c r="AT194" s="0" t="str">
        <f aca="false">IF(AND(AX194="pass",AQ194&lt;&gt;"Y",C194&lt;&gt;"",OR(AW194&lt;&gt;"Y",AV194="Y")),"Y","N")</f>
        <v>N</v>
      </c>
      <c r="AU194" s="0" t="str">
        <f aca="false">_xlfn.TEXTJOIN("; ",TRUE(),IF(AX194&lt;&gt;"pass","gated out",""),IF(AQ194="Y","on hold: "&amp;AR194,""),IF(C194="","no contact named on an opened page",""),IF(AND(AW194="Y",AV194&lt;&gt;"Y"),"Tuesday estimate band "&amp;L194&amp;": founder's call",""))</f>
        <v>no contact named on an opened page; Tuesday estimate band 251-500: founder's call</v>
      </c>
      <c r="AW194" s="0" t="s">
        <v>168</v>
      </c>
      <c r="AX194" s="0" t="s">
        <v>181</v>
      </c>
      <c r="AY194" s="0" t="s">
        <v>182</v>
      </c>
      <c r="AZ194" s="0" t="s">
        <v>1</v>
      </c>
      <c r="BA194" s="0" t="s">
        <v>3202</v>
      </c>
      <c r="BB194" s="0" t="s">
        <v>3203</v>
      </c>
      <c r="BC194" s="0" t="s">
        <v>3204</v>
      </c>
      <c r="BD194" s="0" t="s">
        <v>3205</v>
      </c>
      <c r="BF194" s="0" t="s">
        <v>1322</v>
      </c>
      <c r="BG194" s="0" t="s">
        <v>188</v>
      </c>
      <c r="BH194" s="0" t="s">
        <v>189</v>
      </c>
      <c r="BI194" s="0" t="s">
        <v>3206</v>
      </c>
      <c r="BK194" s="0" t="s">
        <v>1439</v>
      </c>
      <c r="BL194" s="0" t="s">
        <v>163</v>
      </c>
      <c r="BM194" s="0" t="s">
        <v>163</v>
      </c>
      <c r="BN194" s="0" t="s">
        <v>163</v>
      </c>
      <c r="BO194" s="0" t="s">
        <v>163</v>
      </c>
      <c r="BP194" s="0" t="s">
        <v>346</v>
      </c>
      <c r="BQ194" s="0" t="n">
        <v>40.741141</v>
      </c>
      <c r="BR194" s="0" t="n">
        <v>-73.987489</v>
      </c>
      <c r="BS194" s="0" t="s">
        <v>168</v>
      </c>
      <c r="BT194" s="0" t="n">
        <v>0</v>
      </c>
      <c r="BV194" s="0" t="s">
        <v>163</v>
      </c>
      <c r="BW194" s="0" t="s">
        <v>3201</v>
      </c>
      <c r="BX194" s="0" t="s">
        <v>3207</v>
      </c>
      <c r="BY194" s="0" t="s">
        <v>3208</v>
      </c>
      <c r="CC194" s="0" t="s">
        <v>738</v>
      </c>
      <c r="CE194" s="0" t="s">
        <v>162</v>
      </c>
      <c r="CH194" s="0" t="s">
        <v>163</v>
      </c>
      <c r="CJ194" s="0" t="s">
        <v>163</v>
      </c>
      <c r="CK194" s="0" t="s">
        <v>162</v>
      </c>
      <c r="CL194" s="0" t="s">
        <v>163</v>
      </c>
      <c r="CO194" s="0" t="n">
        <v>482</v>
      </c>
      <c r="CP194" s="0" t="s">
        <v>250</v>
      </c>
      <c r="CQ194" s="0" t="s">
        <v>3209</v>
      </c>
      <c r="CR194" s="0" t="s">
        <v>206</v>
      </c>
      <c r="CS194" s="0" t="n">
        <v>0.28</v>
      </c>
      <c r="CT194" s="0" t="n">
        <v>28</v>
      </c>
      <c r="CU194" s="0" t="n">
        <v>7</v>
      </c>
      <c r="CV194" s="0" t="n">
        <v>2</v>
      </c>
      <c r="CW194" s="0" t="n">
        <v>6</v>
      </c>
      <c r="CX194" s="0" t="n">
        <v>13</v>
      </c>
      <c r="CY194" s="0" t="n">
        <f aca="false">IF(AH194="exact",10,IF(AH194="adjacent",5,0))</f>
        <v>0</v>
      </c>
      <c r="CZ194" s="0" t="n">
        <f aca="false">IF(R194="Y",15,0)</f>
        <v>0</v>
      </c>
      <c r="DF194" s="0" t="s">
        <v>158</v>
      </c>
      <c r="DG194" s="0" t="s">
        <v>1335</v>
      </c>
      <c r="DH194" s="0" t="s">
        <v>1446</v>
      </c>
      <c r="DI194" s="0" t="s">
        <v>162</v>
      </c>
      <c r="DK194" s="0" t="s">
        <v>3210</v>
      </c>
      <c r="DS194" s="0" t="s">
        <v>158</v>
      </c>
      <c r="DX194" s="0" t="s">
        <v>162</v>
      </c>
      <c r="ER194" s="0" t="str">
        <f aca="false">IF(ISNUMBER(MATCH(U194,{"queued","contacted","replied","call_booked","call_done","yes_in_principle","materials_sent"},0)),"Y","N")</f>
        <v>N</v>
      </c>
      <c r="ES194" s="0" t="str">
        <f aca="false">IF(COUNTIFS($AP$2:$AP$1000,AP194,$ER$2:$ER$1000,"Y")+COUNTIFS($AP$2:$AP$1000,AP194,$T$2:$T$1000,"Y")&gt;0,"Y","N")</f>
        <v>N</v>
      </c>
      <c r="ET194" s="0" t="str">
        <f aca="false">IF(AND(U194="new",T194="N",AT194="Y",AS194="",ES194="N"),"Y","N")</f>
        <v>N</v>
      </c>
      <c r="EU194" s="0" t="str">
        <f aca="false">IF(ET194&lt;&gt;"Y","N",IF(COUNTIFS($AP$2:$AP$1000,AP194,$ET$2:$ET$1000,"Y",$J$2:$J$1000,"&gt;"&amp;J194)+COUNTIFS($AP$2:$AP$1000,AP194,$ET$2:$ET$1000,"Y",$J$2:$J$1000,J194,$EW$2:$EW$1000,"&lt;"&amp;EW194)=0,"Y","N"))</f>
        <v>N</v>
      </c>
      <c r="EV194" s="0" t="str">
        <f aca="false">IF(Y194="","N",IF(Y194&lt;=10,"Y","N"))</f>
        <v>N</v>
      </c>
      <c r="EW194" s="0" t="n">
        <f aca="false">ROW()-1</f>
        <v>193</v>
      </c>
    </row>
    <row r="195" customFormat="false" ht="15" hidden="false" customHeight="false" outlineLevel="0" collapsed="false">
      <c r="A195" s="0" t="s">
        <v>3211</v>
      </c>
      <c r="B195" s="0" t="s">
        <v>3212</v>
      </c>
      <c r="H195" s="5" t="s">
        <v>158</v>
      </c>
      <c r="I195" s="5" t="s">
        <v>159</v>
      </c>
      <c r="J195" s="0" t="n">
        <f aca="false">IF(AX195="pass",ROUND(CU195+CV195+CW195+CX195+CY195+CZ195,1),0)</f>
        <v>28</v>
      </c>
      <c r="K195" s="0" t="s">
        <v>3213</v>
      </c>
      <c r="L195" s="0" t="s">
        <v>163</v>
      </c>
      <c r="O195" s="0" t="s">
        <v>3214</v>
      </c>
      <c r="P195" s="0" t="s">
        <v>2922</v>
      </c>
      <c r="Q195" s="0" t="s">
        <v>2923</v>
      </c>
      <c r="R195" s="5" t="s">
        <v>162</v>
      </c>
      <c r="S195" s="0" t="s">
        <v>163</v>
      </c>
      <c r="T195" s="5" t="s">
        <v>162</v>
      </c>
      <c r="U195" s="5" t="s">
        <v>561</v>
      </c>
      <c r="V195" s="0" t="s">
        <v>2922</v>
      </c>
      <c r="W195" s="0" t="s">
        <v>166</v>
      </c>
      <c r="X195" s="0" t="s">
        <v>167</v>
      </c>
      <c r="Y195" s="0" t="str">
        <f aca="false">IF(EU195&lt;&gt;"Y","",COUNTIFS($EU$2:$EU$1000,"Y",$J$2:$J$1000,"&gt;"&amp;J195)+COUNTIFS($EU$2:$EU$1000,"Y",$J$2:$J$1000,J195,$EW$2:$EW$1000,"&lt;"&amp;EW195)+1)</f>
        <v/>
      </c>
      <c r="Z195" s="0" t="n">
        <v>194</v>
      </c>
      <c r="AA195" s="0" t="s">
        <v>162</v>
      </c>
      <c r="AD195" s="0" t="s">
        <v>158</v>
      </c>
      <c r="AH195" s="5" t="s">
        <v>158</v>
      </c>
      <c r="AI195" s="0" t="s">
        <v>1473</v>
      </c>
      <c r="AJ195" s="0" t="s">
        <v>888</v>
      </c>
      <c r="AK195" s="0" t="s">
        <v>889</v>
      </c>
      <c r="AL195" s="0" t="s">
        <v>163</v>
      </c>
      <c r="AM195" s="0" t="s">
        <v>163</v>
      </c>
      <c r="AN195" s="0" t="s">
        <v>158</v>
      </c>
      <c r="AO195" s="0" t="s">
        <v>163</v>
      </c>
      <c r="AP195" s="0" t="s">
        <v>3211</v>
      </c>
      <c r="AQ195" s="5" t="s">
        <v>168</v>
      </c>
      <c r="AR195" s="0" t="s">
        <v>890</v>
      </c>
      <c r="AT195" s="0" t="str">
        <f aca="false">IF(AND(AX195="pass",AQ195&lt;&gt;"Y",C195&lt;&gt;"",OR(AW195&lt;&gt;"Y",AV195="Y")),"Y","N")</f>
        <v>N</v>
      </c>
      <c r="AU195" s="0" t="str">
        <f aca="false">_xlfn.TEXTJOIN("; ",TRUE(),IF(AX195&lt;&gt;"pass","gated out",""),IF(AQ195="Y","on hold: "&amp;AR195,""),IF(C195="","no contact named on an opened page",""),IF(AND(AW195="Y",AV195&lt;&gt;"Y"),"Tuesday estimate band "&amp;L195&amp;": founder's call",""))</f>
        <v>on hold: lease signed, move not confirmed: check the lobby directory before outreach (B); no contact named on an opened page</v>
      </c>
      <c r="AW195" s="0" t="s">
        <v>162</v>
      </c>
      <c r="AX195" s="0" t="s">
        <v>181</v>
      </c>
      <c r="AY195" s="0" t="s">
        <v>182</v>
      </c>
      <c r="AZ195" s="0" t="s">
        <v>1</v>
      </c>
      <c r="BA195" s="0" t="s">
        <v>3215</v>
      </c>
      <c r="BB195" s="0" t="s">
        <v>3216</v>
      </c>
      <c r="BC195" s="0" t="s">
        <v>3217</v>
      </c>
      <c r="BD195" s="0" t="s">
        <v>163</v>
      </c>
      <c r="BF195" s="0" t="s">
        <v>163</v>
      </c>
      <c r="BG195" s="0" t="s">
        <v>163</v>
      </c>
      <c r="BH195" s="0" t="s">
        <v>2195</v>
      </c>
      <c r="BK195" s="0" t="s">
        <v>163</v>
      </c>
      <c r="BL195" s="0" t="s">
        <v>163</v>
      </c>
      <c r="BM195" s="0" t="s">
        <v>163</v>
      </c>
      <c r="BN195" s="0" t="s">
        <v>163</v>
      </c>
      <c r="BO195" s="0" t="s">
        <v>163</v>
      </c>
      <c r="BP195" s="0" t="s">
        <v>346</v>
      </c>
      <c r="BQ195" s="0" t="n">
        <v>40.741968</v>
      </c>
      <c r="BR195" s="0" t="n">
        <v>-73.985327</v>
      </c>
      <c r="BS195" s="0" t="s">
        <v>168</v>
      </c>
      <c r="BT195" s="0" t="n">
        <v>0</v>
      </c>
      <c r="BU195" s="0" t="s">
        <v>1480</v>
      </c>
      <c r="BV195" s="0" t="s">
        <v>1481</v>
      </c>
      <c r="BW195" s="0" t="s">
        <v>2922</v>
      </c>
      <c r="BX195" s="0" t="s">
        <v>2923</v>
      </c>
      <c r="BY195" s="0" t="s">
        <v>247</v>
      </c>
      <c r="BZ195" s="0" t="s">
        <v>2008</v>
      </c>
      <c r="CA195" s="0" t="s">
        <v>2016</v>
      </c>
      <c r="CC195" s="0" t="s">
        <v>200</v>
      </c>
      <c r="CD195" s="0" t="s">
        <v>163</v>
      </c>
      <c r="CE195" s="0" t="s">
        <v>162</v>
      </c>
      <c r="CH195" s="0" t="s">
        <v>163</v>
      </c>
      <c r="CJ195" s="0" t="s">
        <v>163</v>
      </c>
      <c r="CK195" s="0" t="s">
        <v>162</v>
      </c>
      <c r="CL195" s="0" t="s">
        <v>163</v>
      </c>
      <c r="CO195" s="0" t="s">
        <v>163</v>
      </c>
      <c r="CQ195" s="0" t="s">
        <v>2196</v>
      </c>
      <c r="CR195" s="0" t="s">
        <v>206</v>
      </c>
      <c r="CS195" s="0" t="s">
        <v>163</v>
      </c>
      <c r="CT195" s="0" t="n">
        <v>28</v>
      </c>
      <c r="CU195" s="0" t="n">
        <v>7</v>
      </c>
      <c r="CV195" s="0" t="n">
        <v>8</v>
      </c>
      <c r="CW195" s="0" t="n">
        <v>6</v>
      </c>
      <c r="CX195" s="0" t="n">
        <v>7</v>
      </c>
      <c r="CY195" s="0" t="n">
        <f aca="false">IF(AH195="exact",10,IF(AH195="adjacent",5,0))</f>
        <v>0</v>
      </c>
      <c r="CZ195" s="0" t="n">
        <f aca="false">IF(R195="Y",15,0)</f>
        <v>0</v>
      </c>
      <c r="DF195" s="0" t="s">
        <v>158</v>
      </c>
      <c r="DG195" s="0" t="s">
        <v>211</v>
      </c>
      <c r="DJ195" s="0" t="s">
        <v>2020</v>
      </c>
      <c r="DK195" s="0" t="s">
        <v>3218</v>
      </c>
      <c r="DS195" s="0" t="s">
        <v>158</v>
      </c>
      <c r="DX195" s="0" t="s">
        <v>162</v>
      </c>
      <c r="ER195" s="0" t="str">
        <f aca="false">IF(ISNUMBER(MATCH(U195,{"queued","contacted","replied","call_booked","call_done","yes_in_principle","materials_sent"},0)),"Y","N")</f>
        <v>N</v>
      </c>
      <c r="ES195" s="0" t="str">
        <f aca="false">IF(COUNTIFS($AP$2:$AP$1000,AP195,$ER$2:$ER$1000,"Y")+COUNTIFS($AP$2:$AP$1000,AP195,$T$2:$T$1000,"Y")&gt;0,"Y","N")</f>
        <v>N</v>
      </c>
      <c r="ET195" s="0" t="str">
        <f aca="false">IF(AND(U195="new",T195="N",AT195="Y",AS195="",ES195="N"),"Y","N")</f>
        <v>N</v>
      </c>
      <c r="EU195" s="0" t="str">
        <f aca="false">IF(ET195&lt;&gt;"Y","N",IF(COUNTIFS($AP$2:$AP$1000,AP195,$ET$2:$ET$1000,"Y",$J$2:$J$1000,"&gt;"&amp;J195)+COUNTIFS($AP$2:$AP$1000,AP195,$ET$2:$ET$1000,"Y",$J$2:$J$1000,J195,$EW$2:$EW$1000,"&lt;"&amp;EW195)=0,"Y","N"))</f>
        <v>N</v>
      </c>
      <c r="EV195" s="0" t="str">
        <f aca="false">IF(Y195="","N",IF(Y195&lt;=10,"Y","N"))</f>
        <v>N</v>
      </c>
      <c r="EW195" s="0" t="n">
        <f aca="false">ROW()-1</f>
        <v>194</v>
      </c>
    </row>
    <row r="196" customFormat="false" ht="15" hidden="false" customHeight="false" outlineLevel="0" collapsed="false">
      <c r="A196" s="0" t="s">
        <v>3219</v>
      </c>
      <c r="B196" s="0" t="s">
        <v>3220</v>
      </c>
      <c r="H196" s="5" t="s">
        <v>158</v>
      </c>
      <c r="I196" s="5" t="s">
        <v>159</v>
      </c>
      <c r="J196" s="0" t="n">
        <f aca="false">IF(AX196="pass",ROUND(CU196+CV196+CW196+CX196+CY196+CZ196,1),0)</f>
        <v>27.1</v>
      </c>
      <c r="K196" s="0" t="s">
        <v>3221</v>
      </c>
      <c r="L196" s="0" t="s">
        <v>239</v>
      </c>
      <c r="R196" s="5" t="s">
        <v>162</v>
      </c>
      <c r="S196" s="0" t="s">
        <v>163</v>
      </c>
      <c r="T196" s="5" t="s">
        <v>162</v>
      </c>
      <c r="U196" s="5" t="s">
        <v>561</v>
      </c>
      <c r="V196" s="0" t="s">
        <v>1692</v>
      </c>
      <c r="W196" s="0" t="s">
        <v>166</v>
      </c>
      <c r="X196" s="0" t="s">
        <v>167</v>
      </c>
      <c r="Y196" s="0" t="str">
        <f aca="false">IF(EU196&lt;&gt;"Y","",COUNTIFS($EU$2:$EU$1000,"Y",$J$2:$J$1000,"&gt;"&amp;J196)+COUNTIFS($EU$2:$EU$1000,"Y",$J$2:$J$1000,J196,$EW$2:$EW$1000,"&lt;"&amp;EW196)+1)</f>
        <v/>
      </c>
      <c r="Z196" s="0" t="n">
        <v>195</v>
      </c>
      <c r="AA196" s="0" t="s">
        <v>162</v>
      </c>
      <c r="AB196" s="0" t="s">
        <v>1661</v>
      </c>
      <c r="AD196" s="0" t="s">
        <v>158</v>
      </c>
      <c r="AH196" s="5" t="s">
        <v>158</v>
      </c>
      <c r="AI196" s="0" t="s">
        <v>1693</v>
      </c>
      <c r="AJ196" s="0" t="s">
        <v>163</v>
      </c>
      <c r="AK196" s="0" t="s">
        <v>434</v>
      </c>
      <c r="AL196" s="0" t="n">
        <v>66</v>
      </c>
      <c r="AM196" s="0" t="n">
        <v>1311</v>
      </c>
      <c r="AN196" s="0" t="s">
        <v>179</v>
      </c>
      <c r="AO196" s="0" t="s">
        <v>163</v>
      </c>
      <c r="AP196" s="0" t="s">
        <v>3219</v>
      </c>
      <c r="AQ196" s="5" t="s">
        <v>162</v>
      </c>
      <c r="AT196" s="0" t="str">
        <f aca="false">IF(AND(AX196="pass",AQ196&lt;&gt;"Y",C196&lt;&gt;"",OR(AW196&lt;&gt;"Y",AV196="Y")),"Y","N")</f>
        <v>N</v>
      </c>
      <c r="AU196" s="0" t="str">
        <f aca="false">_xlfn.TEXTJOIN("; ",TRUE(),IF(AX196&lt;&gt;"pass","gated out",""),IF(AQ196="Y","on hold: "&amp;AR196,""),IF(C196="","no contact named on an opened page",""),IF(AND(AW196="Y",AV196&lt;&gt;"Y"),"Tuesday estimate band "&amp;L196&amp;": founder's call",""))</f>
        <v>no contact named on an opened page; Tuesday estimate band 251-500: founder's call</v>
      </c>
      <c r="AW196" s="0" t="s">
        <v>168</v>
      </c>
      <c r="AX196" s="0" t="s">
        <v>181</v>
      </c>
      <c r="AY196" s="0" t="s">
        <v>182</v>
      </c>
      <c r="AZ196" s="0" t="s">
        <v>1</v>
      </c>
      <c r="BA196" s="0" t="s">
        <v>3222</v>
      </c>
      <c r="BB196" s="0" t="s">
        <v>3223</v>
      </c>
      <c r="BC196" s="0" t="s">
        <v>3224</v>
      </c>
      <c r="BD196" s="0" t="s">
        <v>3225</v>
      </c>
      <c r="BF196" s="0" t="s">
        <v>1322</v>
      </c>
      <c r="BG196" s="0" t="s">
        <v>188</v>
      </c>
      <c r="BH196" s="0" t="s">
        <v>189</v>
      </c>
      <c r="BI196" s="0" t="s">
        <v>3226</v>
      </c>
      <c r="BK196" s="0" t="s">
        <v>1439</v>
      </c>
      <c r="BL196" s="0" t="s">
        <v>163</v>
      </c>
      <c r="BM196" s="0" t="s">
        <v>163</v>
      </c>
      <c r="BN196" s="0" t="s">
        <v>163</v>
      </c>
      <c r="BO196" s="0" t="s">
        <v>163</v>
      </c>
      <c r="BP196" s="0" t="s">
        <v>346</v>
      </c>
      <c r="BQ196" s="0" t="n">
        <v>40.741761</v>
      </c>
      <c r="BR196" s="0" t="n">
        <v>-73.987033</v>
      </c>
      <c r="BS196" s="0" t="s">
        <v>168</v>
      </c>
      <c r="BT196" s="0" t="n">
        <v>0</v>
      </c>
      <c r="BU196" s="0" t="s">
        <v>1702</v>
      </c>
      <c r="BV196" s="0" t="s">
        <v>1703</v>
      </c>
      <c r="BW196" s="0" t="s">
        <v>1692</v>
      </c>
      <c r="BX196" s="0" t="s">
        <v>522</v>
      </c>
      <c r="BY196" s="0" t="s">
        <v>247</v>
      </c>
      <c r="BZ196" s="0" t="s">
        <v>3227</v>
      </c>
      <c r="CA196" s="0" t="s">
        <v>3228</v>
      </c>
      <c r="CC196" s="0" t="s">
        <v>738</v>
      </c>
      <c r="CE196" s="0" t="s">
        <v>162</v>
      </c>
      <c r="CH196" s="0" t="s">
        <v>1706</v>
      </c>
      <c r="CI196" s="0" t="s">
        <v>1707</v>
      </c>
      <c r="CJ196" s="0" t="s">
        <v>163</v>
      </c>
      <c r="CK196" s="0" t="s">
        <v>162</v>
      </c>
      <c r="CL196" s="0" t="s">
        <v>163</v>
      </c>
      <c r="CO196" s="0" t="n">
        <v>294</v>
      </c>
      <c r="CP196" s="0" t="s">
        <v>250</v>
      </c>
      <c r="CQ196" s="0" t="s">
        <v>3229</v>
      </c>
      <c r="CR196" s="0" t="s">
        <v>206</v>
      </c>
      <c r="CS196" s="0" t="n">
        <v>0.45</v>
      </c>
      <c r="CT196" s="0" t="n">
        <v>27.1</v>
      </c>
      <c r="CU196" s="0" t="n">
        <v>11.1</v>
      </c>
      <c r="CV196" s="0" t="n">
        <v>2</v>
      </c>
      <c r="CW196" s="0" t="n">
        <v>6</v>
      </c>
      <c r="CX196" s="0" t="n">
        <v>8</v>
      </c>
      <c r="CY196" s="0" t="n">
        <f aca="false">IF(AH196="exact",10,IF(AH196="adjacent",5,0))</f>
        <v>0</v>
      </c>
      <c r="CZ196" s="0" t="n">
        <f aca="false">IF(R196="Y",15,0)</f>
        <v>0</v>
      </c>
      <c r="DF196" s="0" t="s">
        <v>158</v>
      </c>
      <c r="DG196" s="0" t="s">
        <v>1335</v>
      </c>
      <c r="DH196" s="0" t="s">
        <v>1446</v>
      </c>
      <c r="DI196" s="0" t="s">
        <v>162</v>
      </c>
      <c r="DJ196" s="0" t="s">
        <v>3230</v>
      </c>
      <c r="DK196" s="0" t="s">
        <v>3231</v>
      </c>
      <c r="DS196" s="0" t="s">
        <v>158</v>
      </c>
      <c r="DX196" s="0" t="s">
        <v>162</v>
      </c>
      <c r="ER196" s="0" t="str">
        <f aca="false">IF(ISNUMBER(MATCH(U196,{"queued","contacted","replied","call_booked","call_done","yes_in_principle","materials_sent"},0)),"Y","N")</f>
        <v>N</v>
      </c>
      <c r="ES196" s="0" t="str">
        <f aca="false">IF(COUNTIFS($AP$2:$AP$1000,AP196,$ER$2:$ER$1000,"Y")+COUNTIFS($AP$2:$AP$1000,AP196,$T$2:$T$1000,"Y")&gt;0,"Y","N")</f>
        <v>N</v>
      </c>
      <c r="ET196" s="0" t="str">
        <f aca="false">IF(AND(U196="new",T196="N",AT196="Y",AS196="",ES196="N"),"Y","N")</f>
        <v>N</v>
      </c>
      <c r="EU196" s="0" t="str">
        <f aca="false">IF(ET196&lt;&gt;"Y","N",IF(COUNTIFS($AP$2:$AP$1000,AP196,$ET$2:$ET$1000,"Y",$J$2:$J$1000,"&gt;"&amp;J196)+COUNTIFS($AP$2:$AP$1000,AP196,$ET$2:$ET$1000,"Y",$J$2:$J$1000,J196,$EW$2:$EW$1000,"&lt;"&amp;EW196)=0,"Y","N"))</f>
        <v>N</v>
      </c>
      <c r="EV196" s="0" t="str">
        <f aca="false">IF(Y196="","N",IF(Y196&lt;=10,"Y","N"))</f>
        <v>N</v>
      </c>
      <c r="EW196" s="0" t="n">
        <f aca="false">ROW()-1</f>
        <v>195</v>
      </c>
    </row>
    <row r="197" customFormat="false" ht="15" hidden="false" customHeight="false" outlineLevel="0" collapsed="false">
      <c r="A197" s="0" t="s">
        <v>3232</v>
      </c>
      <c r="B197" s="0" t="s">
        <v>3233</v>
      </c>
      <c r="H197" s="5" t="s">
        <v>158</v>
      </c>
      <c r="I197" s="5" t="s">
        <v>159</v>
      </c>
      <c r="J197" s="0" t="n">
        <f aca="false">IF(AX197="pass",ROUND(CU197+CV197+CW197+CX197+CY197+CZ197,1),0)</f>
        <v>26.3</v>
      </c>
      <c r="K197" s="0" t="s">
        <v>3234</v>
      </c>
      <c r="L197" s="0" t="s">
        <v>239</v>
      </c>
      <c r="R197" s="5" t="s">
        <v>162</v>
      </c>
      <c r="S197" s="0" t="s">
        <v>163</v>
      </c>
      <c r="T197" s="5" t="s">
        <v>162</v>
      </c>
      <c r="U197" s="5" t="s">
        <v>561</v>
      </c>
      <c r="V197" s="0" t="s">
        <v>3235</v>
      </c>
      <c r="W197" s="0" t="s">
        <v>166</v>
      </c>
      <c r="X197" s="0" t="s">
        <v>167</v>
      </c>
      <c r="Y197" s="0" t="str">
        <f aca="false">IF(EU197&lt;&gt;"Y","",COUNTIFS($EU$2:$EU$1000,"Y",$J$2:$J$1000,"&gt;"&amp;J197)+COUNTIFS($EU$2:$EU$1000,"Y",$J$2:$J$1000,J197,$EW$2:$EW$1000,"&lt;"&amp;EW197)+1)</f>
        <v/>
      </c>
      <c r="Z197" s="0" t="n">
        <v>196</v>
      </c>
      <c r="AA197" s="0" t="s">
        <v>162</v>
      </c>
      <c r="AB197" s="0" t="s">
        <v>1661</v>
      </c>
      <c r="AD197" s="0" t="s">
        <v>158</v>
      </c>
      <c r="AH197" s="5" t="s">
        <v>158</v>
      </c>
      <c r="AI197" s="0" t="s">
        <v>2050</v>
      </c>
      <c r="AJ197" s="0" t="s">
        <v>233</v>
      </c>
      <c r="AK197" s="0" t="s">
        <v>434</v>
      </c>
      <c r="AL197" s="0" t="n">
        <v>57</v>
      </c>
      <c r="AM197" s="0" t="n">
        <v>1142</v>
      </c>
      <c r="AN197" s="0" t="s">
        <v>179</v>
      </c>
      <c r="AO197" s="0" t="s">
        <v>369</v>
      </c>
      <c r="AP197" s="0" t="s">
        <v>3232</v>
      </c>
      <c r="AQ197" s="5" t="s">
        <v>162</v>
      </c>
      <c r="AT197" s="0" t="str">
        <f aca="false">IF(AND(AX197="pass",AQ197&lt;&gt;"Y",C197&lt;&gt;"",OR(AW197&lt;&gt;"Y",AV197="Y")),"Y","N")</f>
        <v>N</v>
      </c>
      <c r="AU197" s="0" t="str">
        <f aca="false">_xlfn.TEXTJOIN("; ",TRUE(),IF(AX197&lt;&gt;"pass","gated out",""),IF(AQ197="Y","on hold: "&amp;AR197,""),IF(C197="","no contact named on an opened page",""),IF(AND(AW197="Y",AV197&lt;&gt;"Y"),"Tuesday estimate band "&amp;L197&amp;": founder's call",""))</f>
        <v>no contact named on an opened page; Tuesday estimate band 251-500: founder's call</v>
      </c>
      <c r="AW197" s="0" t="s">
        <v>168</v>
      </c>
      <c r="AX197" s="0" t="s">
        <v>181</v>
      </c>
      <c r="AY197" s="0" t="s">
        <v>182</v>
      </c>
      <c r="AZ197" s="0" t="s">
        <v>1</v>
      </c>
      <c r="BA197" s="0" t="s">
        <v>3236</v>
      </c>
      <c r="BB197" s="0" t="s">
        <v>3237</v>
      </c>
      <c r="BC197" s="0" t="s">
        <v>3238</v>
      </c>
      <c r="BD197" s="0" t="s">
        <v>3239</v>
      </c>
      <c r="BF197" s="0" t="s">
        <v>1322</v>
      </c>
      <c r="BG197" s="0" t="s">
        <v>188</v>
      </c>
      <c r="BH197" s="0" t="s">
        <v>189</v>
      </c>
      <c r="BI197" s="0" t="s">
        <v>3240</v>
      </c>
      <c r="BK197" s="0" t="s">
        <v>1439</v>
      </c>
      <c r="BL197" s="0" t="s">
        <v>163</v>
      </c>
      <c r="BM197" s="0" t="s">
        <v>163</v>
      </c>
      <c r="BN197" s="0" t="s">
        <v>163</v>
      </c>
      <c r="BO197" s="0" t="s">
        <v>163</v>
      </c>
      <c r="BP197" s="0" t="s">
        <v>346</v>
      </c>
      <c r="BQ197" s="0" t="n">
        <v>40.74118</v>
      </c>
      <c r="BR197" s="0" t="n">
        <v>-73.99129</v>
      </c>
      <c r="BS197" s="0" t="s">
        <v>168</v>
      </c>
      <c r="BT197" s="0" t="n">
        <v>0</v>
      </c>
      <c r="BU197" s="0" t="s">
        <v>2057</v>
      </c>
      <c r="BV197" s="0" t="s">
        <v>2058</v>
      </c>
      <c r="BW197" s="0" t="s">
        <v>3235</v>
      </c>
      <c r="BX197" s="0" t="s">
        <v>166</v>
      </c>
      <c r="BY197" s="0" t="s">
        <v>444</v>
      </c>
      <c r="BZ197" s="0" t="s">
        <v>3241</v>
      </c>
      <c r="CA197" s="0" t="s">
        <v>3242</v>
      </c>
      <c r="CC197" s="0" t="s">
        <v>179</v>
      </c>
      <c r="CE197" s="0" t="s">
        <v>162</v>
      </c>
      <c r="CH197" s="0" t="s">
        <v>163</v>
      </c>
      <c r="CJ197" s="0" t="s">
        <v>163</v>
      </c>
      <c r="CK197" s="0" t="s">
        <v>162</v>
      </c>
      <c r="CL197" s="0" t="s">
        <v>3243</v>
      </c>
      <c r="CM197" s="0" t="s">
        <v>3235</v>
      </c>
      <c r="CN197" s="0" t="s">
        <v>174</v>
      </c>
      <c r="CO197" s="0" t="n">
        <v>255</v>
      </c>
      <c r="CP197" s="0" t="s">
        <v>250</v>
      </c>
      <c r="CQ197" s="0" t="s">
        <v>3244</v>
      </c>
      <c r="CR197" s="0" t="s">
        <v>206</v>
      </c>
      <c r="CS197" s="0" t="n">
        <v>0.49</v>
      </c>
      <c r="CT197" s="0" t="n">
        <v>26.3</v>
      </c>
      <c r="CU197" s="0" t="n">
        <v>12.3</v>
      </c>
      <c r="CV197" s="0" t="n">
        <v>2</v>
      </c>
      <c r="CW197" s="0" t="n">
        <v>7</v>
      </c>
      <c r="CX197" s="0" t="n">
        <v>5</v>
      </c>
      <c r="CY197" s="0" t="n">
        <f aca="false">IF(AH197="exact",10,IF(AH197="adjacent",5,0))</f>
        <v>0</v>
      </c>
      <c r="CZ197" s="0" t="n">
        <f aca="false">IF(R197="Y",15,0)</f>
        <v>0</v>
      </c>
      <c r="DF197" s="0" t="s">
        <v>158</v>
      </c>
      <c r="DG197" s="0" t="s">
        <v>1335</v>
      </c>
      <c r="DH197" s="0" t="s">
        <v>1446</v>
      </c>
      <c r="DI197" s="0" t="s">
        <v>162</v>
      </c>
      <c r="DJ197" s="0" t="s">
        <v>2630</v>
      </c>
      <c r="DK197" s="0" t="s">
        <v>3245</v>
      </c>
      <c r="DS197" s="0" t="s">
        <v>158</v>
      </c>
      <c r="DX197" s="0" t="s">
        <v>162</v>
      </c>
      <c r="ER197" s="0" t="str">
        <f aca="false">IF(ISNUMBER(MATCH(U197,{"queued","contacted","replied","call_booked","call_done","yes_in_principle","materials_sent"},0)),"Y","N")</f>
        <v>N</v>
      </c>
      <c r="ES197" s="0" t="str">
        <f aca="false">IF(COUNTIFS($AP$2:$AP$1000,AP197,$ER$2:$ER$1000,"Y")+COUNTIFS($AP$2:$AP$1000,AP197,$T$2:$T$1000,"Y")&gt;0,"Y","N")</f>
        <v>N</v>
      </c>
      <c r="ET197" s="0" t="str">
        <f aca="false">IF(AND(U197="new",T197="N",AT197="Y",AS197="",ES197="N"),"Y","N")</f>
        <v>N</v>
      </c>
      <c r="EU197" s="0" t="str">
        <f aca="false">IF(ET197&lt;&gt;"Y","N",IF(COUNTIFS($AP$2:$AP$1000,AP197,$ET$2:$ET$1000,"Y",$J$2:$J$1000,"&gt;"&amp;J197)+COUNTIFS($AP$2:$AP$1000,AP197,$ET$2:$ET$1000,"Y",$J$2:$J$1000,J197,$EW$2:$EW$1000,"&lt;"&amp;EW197)=0,"Y","N"))</f>
        <v>N</v>
      </c>
      <c r="EV197" s="0" t="str">
        <f aca="false">IF(Y197="","N",IF(Y197&lt;=10,"Y","N"))</f>
        <v>N</v>
      </c>
      <c r="EW197" s="0" t="n">
        <f aca="false">ROW()-1</f>
        <v>196</v>
      </c>
    </row>
    <row r="198" customFormat="false" ht="15" hidden="false" customHeight="false" outlineLevel="0" collapsed="false">
      <c r="A198" s="0" t="s">
        <v>3246</v>
      </c>
      <c r="B198" s="0" t="s">
        <v>3247</v>
      </c>
      <c r="H198" s="5" t="s">
        <v>158</v>
      </c>
      <c r="I198" s="5" t="s">
        <v>159</v>
      </c>
      <c r="J198" s="0" t="n">
        <f aca="false">IF(AX198="pass",ROUND(CU198+CV198+CW198+CX198+CY198+CZ198,1),0)</f>
        <v>26.2</v>
      </c>
      <c r="K198" s="0" t="s">
        <v>3248</v>
      </c>
      <c r="L198" s="0" t="s">
        <v>239</v>
      </c>
      <c r="R198" s="5" t="s">
        <v>162</v>
      </c>
      <c r="S198" s="0" t="s">
        <v>163</v>
      </c>
      <c r="T198" s="5" t="s">
        <v>162</v>
      </c>
      <c r="U198" s="5" t="s">
        <v>561</v>
      </c>
      <c r="V198" s="0" t="s">
        <v>3249</v>
      </c>
      <c r="W198" s="0" t="s">
        <v>166</v>
      </c>
      <c r="X198" s="0" t="s">
        <v>167</v>
      </c>
      <c r="Y198" s="0" t="str">
        <f aca="false">IF(EU198&lt;&gt;"Y","",COUNTIFS($EU$2:$EU$1000,"Y",$J$2:$J$1000,"&gt;"&amp;J198)+COUNTIFS($EU$2:$EU$1000,"Y",$J$2:$J$1000,J198,$EW$2:$EW$1000,"&lt;"&amp;EW198)+1)</f>
        <v/>
      </c>
      <c r="Z198" s="0" t="n">
        <v>197</v>
      </c>
      <c r="AA198" s="0" t="s">
        <v>162</v>
      </c>
      <c r="AB198" s="0" t="s">
        <v>1661</v>
      </c>
      <c r="AD198" s="0" t="s">
        <v>158</v>
      </c>
      <c r="AH198" s="5" t="s">
        <v>158</v>
      </c>
      <c r="AI198" s="0" t="s">
        <v>2528</v>
      </c>
      <c r="AJ198" s="0" t="s">
        <v>3250</v>
      </c>
      <c r="AK198" s="0" t="s">
        <v>434</v>
      </c>
      <c r="AL198" s="0" t="n">
        <v>199</v>
      </c>
      <c r="AM198" s="0" t="n">
        <v>399</v>
      </c>
      <c r="AN198" s="0" t="s">
        <v>179</v>
      </c>
      <c r="AO198" s="0" t="s">
        <v>369</v>
      </c>
      <c r="AP198" s="0" t="s">
        <v>3246</v>
      </c>
      <c r="AQ198" s="5" t="s">
        <v>162</v>
      </c>
      <c r="AT198" s="0" t="str">
        <f aca="false">IF(AND(AX198="pass",AQ198&lt;&gt;"Y",C198&lt;&gt;"",OR(AW198&lt;&gt;"Y",AV198="Y")),"Y","N")</f>
        <v>N</v>
      </c>
      <c r="AU198" s="0" t="str">
        <f aca="false">_xlfn.TEXTJOIN("; ",TRUE(),IF(AX198&lt;&gt;"pass","gated out",""),IF(AQ198="Y","on hold: "&amp;AR198,""),IF(C198="","no contact named on an opened page",""),IF(AND(AW198="Y",AV198&lt;&gt;"Y"),"Tuesday estimate band "&amp;L198&amp;": founder's call",""))</f>
        <v>no contact named on an opened page; Tuesday estimate band 251-500: founder's call</v>
      </c>
      <c r="AW198" s="0" t="s">
        <v>168</v>
      </c>
      <c r="AX198" s="0" t="s">
        <v>181</v>
      </c>
      <c r="AY198" s="0" t="s">
        <v>182</v>
      </c>
      <c r="AZ198" s="0" t="s">
        <v>1</v>
      </c>
      <c r="BA198" s="0" t="s">
        <v>3251</v>
      </c>
      <c r="BB198" s="0" t="s">
        <v>3252</v>
      </c>
      <c r="BC198" s="0" t="s">
        <v>3253</v>
      </c>
      <c r="BD198" s="0" t="s">
        <v>3254</v>
      </c>
      <c r="BF198" s="0" t="s">
        <v>1322</v>
      </c>
      <c r="BG198" s="0" t="s">
        <v>188</v>
      </c>
      <c r="BH198" s="0" t="s">
        <v>189</v>
      </c>
      <c r="BI198" s="0" t="s">
        <v>3255</v>
      </c>
      <c r="BK198" s="0" t="s">
        <v>1263</v>
      </c>
      <c r="BL198" s="0" t="s">
        <v>192</v>
      </c>
      <c r="BM198" s="0" t="s">
        <v>168</v>
      </c>
      <c r="BN198" s="0" t="s">
        <v>163</v>
      </c>
      <c r="BO198" s="0" t="s">
        <v>163</v>
      </c>
      <c r="BP198" s="0" t="s">
        <v>377</v>
      </c>
      <c r="BQ198" s="0" t="n">
        <v>40.737788</v>
      </c>
      <c r="BR198" s="0" t="n">
        <v>-73.992555</v>
      </c>
      <c r="BS198" s="0" t="s">
        <v>168</v>
      </c>
      <c r="BT198" s="0" t="n">
        <v>0</v>
      </c>
      <c r="BU198" s="0" t="s">
        <v>2535</v>
      </c>
      <c r="BV198" s="0" t="s">
        <v>2528</v>
      </c>
      <c r="BW198" s="0" t="s">
        <v>3249</v>
      </c>
      <c r="BX198" s="0" t="s">
        <v>2873</v>
      </c>
      <c r="BY198" s="0" t="s">
        <v>247</v>
      </c>
      <c r="CC198" s="0" t="s">
        <v>179</v>
      </c>
      <c r="CE198" s="0" t="s">
        <v>162</v>
      </c>
      <c r="CH198" s="0" t="s">
        <v>163</v>
      </c>
      <c r="CJ198" s="0" t="s">
        <v>163</v>
      </c>
      <c r="CK198" s="0" t="s">
        <v>162</v>
      </c>
      <c r="CL198" s="0" t="s">
        <v>715</v>
      </c>
      <c r="CM198" s="0" t="s">
        <v>3256</v>
      </c>
      <c r="CN198" s="0" t="s">
        <v>174</v>
      </c>
      <c r="CO198" s="0" t="n">
        <v>282</v>
      </c>
      <c r="CP198" s="0" t="s">
        <v>250</v>
      </c>
      <c r="CQ198" s="0" t="s">
        <v>3257</v>
      </c>
      <c r="CR198" s="0" t="s">
        <v>206</v>
      </c>
      <c r="CS198" s="0" t="n">
        <v>0.33</v>
      </c>
      <c r="CT198" s="0" t="n">
        <v>26.2</v>
      </c>
      <c r="CU198" s="0" t="n">
        <v>8.2</v>
      </c>
      <c r="CV198" s="0" t="n">
        <v>6</v>
      </c>
      <c r="CW198" s="0" t="n">
        <v>7</v>
      </c>
      <c r="CX198" s="0" t="n">
        <v>5</v>
      </c>
      <c r="CY198" s="0" t="n">
        <f aca="false">IF(AH198="exact",10,IF(AH198="adjacent",5,0))</f>
        <v>0</v>
      </c>
      <c r="CZ198" s="0" t="n">
        <f aca="false">IF(R198="Y",15,0)</f>
        <v>0</v>
      </c>
      <c r="DF198" s="0" t="s">
        <v>158</v>
      </c>
      <c r="DG198" s="0" t="s">
        <v>1335</v>
      </c>
      <c r="DH198" s="0" t="s">
        <v>1336</v>
      </c>
      <c r="DI198" s="0" t="s">
        <v>162</v>
      </c>
      <c r="DJ198" s="0" t="s">
        <v>3258</v>
      </c>
      <c r="DK198" s="0" t="s">
        <v>3259</v>
      </c>
      <c r="DS198" s="0" t="s">
        <v>158</v>
      </c>
      <c r="DX198" s="0" t="s">
        <v>162</v>
      </c>
      <c r="ER198" s="0" t="str">
        <f aca="false">IF(ISNUMBER(MATCH(U198,{"queued","contacted","replied","call_booked","call_done","yes_in_principle","materials_sent"},0)),"Y","N")</f>
        <v>N</v>
      </c>
      <c r="ES198" s="0" t="str">
        <f aca="false">IF(COUNTIFS($AP$2:$AP$1000,AP198,$ER$2:$ER$1000,"Y")+COUNTIFS($AP$2:$AP$1000,AP198,$T$2:$T$1000,"Y")&gt;0,"Y","N")</f>
        <v>N</v>
      </c>
      <c r="ET198" s="0" t="str">
        <f aca="false">IF(AND(U198="new",T198="N",AT198="Y",AS198="",ES198="N"),"Y","N")</f>
        <v>N</v>
      </c>
      <c r="EU198" s="0" t="str">
        <f aca="false">IF(ET198&lt;&gt;"Y","N",IF(COUNTIFS($AP$2:$AP$1000,AP198,$ET$2:$ET$1000,"Y",$J$2:$J$1000,"&gt;"&amp;J198)+COUNTIFS($AP$2:$AP$1000,AP198,$ET$2:$ET$1000,"Y",$J$2:$J$1000,J198,$EW$2:$EW$1000,"&lt;"&amp;EW198)=0,"Y","N"))</f>
        <v>N</v>
      </c>
      <c r="EV198" s="0" t="str">
        <f aca="false">IF(Y198="","N",IF(Y198&lt;=10,"Y","N"))</f>
        <v>N</v>
      </c>
      <c r="EW198" s="0" t="n">
        <f aca="false">ROW()-1</f>
        <v>197</v>
      </c>
    </row>
    <row r="199" customFormat="false" ht="15" hidden="false" customHeight="false" outlineLevel="0" collapsed="false">
      <c r="A199" s="0" t="s">
        <v>3260</v>
      </c>
      <c r="B199" s="0" t="s">
        <v>3261</v>
      </c>
      <c r="H199" s="5" t="s">
        <v>158</v>
      </c>
      <c r="I199" s="5" t="s">
        <v>159</v>
      </c>
      <c r="J199" s="0" t="n">
        <f aca="false">IF(AX199="pass",ROUND(CU199+CV199+CW199+CX199+CY199+CZ199,1),0)</f>
        <v>26</v>
      </c>
      <c r="K199" s="0" t="s">
        <v>3262</v>
      </c>
      <c r="L199" s="0" t="s">
        <v>239</v>
      </c>
      <c r="R199" s="5" t="s">
        <v>162</v>
      </c>
      <c r="S199" s="0" t="s">
        <v>163</v>
      </c>
      <c r="T199" s="5" t="s">
        <v>162</v>
      </c>
      <c r="U199" s="5" t="s">
        <v>561</v>
      </c>
      <c r="V199" s="0" t="s">
        <v>3263</v>
      </c>
      <c r="W199" s="0" t="s">
        <v>166</v>
      </c>
      <c r="X199" s="0" t="s">
        <v>167</v>
      </c>
      <c r="Y199" s="0" t="str">
        <f aca="false">IF(EU199&lt;&gt;"Y","",COUNTIFS($EU$2:$EU$1000,"Y",$J$2:$J$1000,"&gt;"&amp;J199)+COUNTIFS($EU$2:$EU$1000,"Y",$J$2:$J$1000,J199,$EW$2:$EW$1000,"&lt;"&amp;EW199)+1)</f>
        <v/>
      </c>
      <c r="Z199" s="0" t="n">
        <v>198</v>
      </c>
      <c r="AA199" s="0" t="s">
        <v>162</v>
      </c>
      <c r="AB199" s="0" t="s">
        <v>1661</v>
      </c>
      <c r="AD199" s="0" t="s">
        <v>158</v>
      </c>
      <c r="AH199" s="5" t="s">
        <v>158</v>
      </c>
      <c r="AI199" s="0" t="s">
        <v>3264</v>
      </c>
      <c r="AJ199" s="0" t="s">
        <v>3265</v>
      </c>
      <c r="AK199" s="0" t="s">
        <v>178</v>
      </c>
      <c r="AL199" s="0" t="n">
        <v>85</v>
      </c>
      <c r="AM199" s="0" t="n">
        <v>1710</v>
      </c>
      <c r="AN199" s="0" t="s">
        <v>179</v>
      </c>
      <c r="AO199" s="0" t="s">
        <v>163</v>
      </c>
      <c r="AP199" s="0" t="s">
        <v>3260</v>
      </c>
      <c r="AQ199" s="5" t="s">
        <v>162</v>
      </c>
      <c r="AT199" s="0" t="str">
        <f aca="false">IF(AND(AX199="pass",AQ199&lt;&gt;"Y",C199&lt;&gt;"",OR(AW199&lt;&gt;"Y",AV199="Y")),"Y","N")</f>
        <v>N</v>
      </c>
      <c r="AU199" s="0" t="str">
        <f aca="false">_xlfn.TEXTJOIN("; ",TRUE(),IF(AX199&lt;&gt;"pass","gated out",""),IF(AQ199="Y","on hold: "&amp;AR199,""),IF(C199="","no contact named on an opened page",""),IF(AND(AW199="Y",AV199&lt;&gt;"Y"),"Tuesday estimate band "&amp;L199&amp;": founder's call",""))</f>
        <v>no contact named on an opened page; Tuesday estimate band 251-500: founder's call</v>
      </c>
      <c r="AW199" s="0" t="s">
        <v>168</v>
      </c>
      <c r="AX199" s="0" t="s">
        <v>181</v>
      </c>
      <c r="AY199" s="0" t="s">
        <v>182</v>
      </c>
      <c r="AZ199" s="0" t="s">
        <v>1</v>
      </c>
      <c r="BA199" s="0" t="s">
        <v>3266</v>
      </c>
      <c r="BB199" s="0" t="s">
        <v>3267</v>
      </c>
      <c r="BC199" s="0" t="s">
        <v>3268</v>
      </c>
      <c r="BD199" s="0" t="s">
        <v>3269</v>
      </c>
      <c r="BF199" s="0" t="s">
        <v>1322</v>
      </c>
      <c r="BG199" s="0" t="s">
        <v>188</v>
      </c>
      <c r="BH199" s="0" t="s">
        <v>189</v>
      </c>
      <c r="BI199" s="0" t="s">
        <v>3270</v>
      </c>
      <c r="BK199" s="0" t="s">
        <v>1439</v>
      </c>
      <c r="BL199" s="0" t="s">
        <v>163</v>
      </c>
      <c r="BM199" s="0" t="s">
        <v>163</v>
      </c>
      <c r="BN199" s="0" t="s">
        <v>3271</v>
      </c>
      <c r="BO199" s="0" t="s">
        <v>163</v>
      </c>
      <c r="BQ199" s="0" t="n">
        <v>40.740049</v>
      </c>
      <c r="BR199" s="0" t="n">
        <v>-73.986717</v>
      </c>
      <c r="BS199" s="0" t="s">
        <v>168</v>
      </c>
      <c r="BT199" s="0" t="n">
        <v>0</v>
      </c>
      <c r="BV199" s="0" t="s">
        <v>163</v>
      </c>
      <c r="BW199" s="0" t="s">
        <v>3263</v>
      </c>
      <c r="BX199" s="0" t="s">
        <v>3272</v>
      </c>
      <c r="BY199" s="0" t="s">
        <v>247</v>
      </c>
      <c r="BZ199" s="0" t="s">
        <v>3273</v>
      </c>
      <c r="CA199" s="0" t="s">
        <v>3274</v>
      </c>
      <c r="CC199" s="0" t="s">
        <v>738</v>
      </c>
      <c r="CE199" s="0" t="s">
        <v>162</v>
      </c>
      <c r="CH199" s="0" t="s">
        <v>163</v>
      </c>
      <c r="CJ199" s="0" t="s">
        <v>163</v>
      </c>
      <c r="CK199" s="0" t="s">
        <v>162</v>
      </c>
      <c r="CL199" s="0" t="s">
        <v>163</v>
      </c>
      <c r="CO199" s="0" t="n">
        <v>381</v>
      </c>
      <c r="CP199" s="0" t="s">
        <v>250</v>
      </c>
      <c r="CQ199" s="0" t="s">
        <v>3275</v>
      </c>
      <c r="CR199" s="0" t="s">
        <v>206</v>
      </c>
      <c r="CS199" s="0" t="n">
        <v>0.36</v>
      </c>
      <c r="CT199" s="0" t="n">
        <v>26</v>
      </c>
      <c r="CU199" s="0" t="n">
        <v>9</v>
      </c>
      <c r="CV199" s="0" t="n">
        <v>-2</v>
      </c>
      <c r="CW199" s="0" t="n">
        <v>6</v>
      </c>
      <c r="CX199" s="0" t="n">
        <v>13</v>
      </c>
      <c r="CY199" s="0" t="n">
        <f aca="false">IF(AH199="exact",10,IF(AH199="adjacent",5,0))</f>
        <v>0</v>
      </c>
      <c r="CZ199" s="0" t="n">
        <f aca="false">IF(R199="Y",15,0)</f>
        <v>0</v>
      </c>
      <c r="DF199" s="0" t="s">
        <v>158</v>
      </c>
      <c r="DG199" s="0" t="s">
        <v>1335</v>
      </c>
      <c r="DH199" s="0" t="s">
        <v>1446</v>
      </c>
      <c r="DI199" s="0" t="s">
        <v>162</v>
      </c>
      <c r="DJ199" s="0" t="s">
        <v>3276</v>
      </c>
      <c r="DK199" s="0" t="s">
        <v>3277</v>
      </c>
      <c r="DS199" s="0" t="s">
        <v>158</v>
      </c>
      <c r="DX199" s="0" t="s">
        <v>162</v>
      </c>
      <c r="ER199" s="0" t="str">
        <f aca="false">IF(ISNUMBER(MATCH(U199,{"queued","contacted","replied","call_booked","call_done","yes_in_principle","materials_sent"},0)),"Y","N")</f>
        <v>N</v>
      </c>
      <c r="ES199" s="0" t="str">
        <f aca="false">IF(COUNTIFS($AP$2:$AP$1000,AP199,$ER$2:$ER$1000,"Y")+COUNTIFS($AP$2:$AP$1000,AP199,$T$2:$T$1000,"Y")&gt;0,"Y","N")</f>
        <v>N</v>
      </c>
      <c r="ET199" s="0" t="str">
        <f aca="false">IF(AND(U199="new",T199="N",AT199="Y",AS199="",ES199="N"),"Y","N")</f>
        <v>N</v>
      </c>
      <c r="EU199" s="0" t="str">
        <f aca="false">IF(ET199&lt;&gt;"Y","N",IF(COUNTIFS($AP$2:$AP$1000,AP199,$ET$2:$ET$1000,"Y",$J$2:$J$1000,"&gt;"&amp;J199)+COUNTIFS($AP$2:$AP$1000,AP199,$ET$2:$ET$1000,"Y",$J$2:$J$1000,J199,$EW$2:$EW$1000,"&lt;"&amp;EW199)=0,"Y","N"))</f>
        <v>N</v>
      </c>
      <c r="EV199" s="0" t="str">
        <f aca="false">IF(Y199="","N",IF(Y199&lt;=10,"Y","N"))</f>
        <v>N</v>
      </c>
      <c r="EW199" s="0" t="n">
        <f aca="false">ROW()-1</f>
        <v>198</v>
      </c>
    </row>
    <row r="200" customFormat="false" ht="15" hidden="false" customHeight="false" outlineLevel="0" collapsed="false">
      <c r="A200" s="0" t="s">
        <v>3278</v>
      </c>
      <c r="B200" s="0" t="s">
        <v>3279</v>
      </c>
      <c r="H200" s="5" t="s">
        <v>158</v>
      </c>
      <c r="I200" s="5" t="s">
        <v>159</v>
      </c>
      <c r="J200" s="0" t="n">
        <f aca="false">IF(AX200="pass",ROUND(CU200+CV200+CW200+CX200+CY200+CZ200,1),0)</f>
        <v>26</v>
      </c>
      <c r="K200" s="0" t="s">
        <v>3280</v>
      </c>
      <c r="L200" s="0" t="s">
        <v>1322</v>
      </c>
      <c r="R200" s="5" t="s">
        <v>162</v>
      </c>
      <c r="S200" s="0" t="s">
        <v>163</v>
      </c>
      <c r="T200" s="5" t="s">
        <v>162</v>
      </c>
      <c r="U200" s="5" t="s">
        <v>561</v>
      </c>
      <c r="V200" s="0" t="s">
        <v>3281</v>
      </c>
      <c r="W200" s="0" t="s">
        <v>166</v>
      </c>
      <c r="X200" s="0" t="s">
        <v>167</v>
      </c>
      <c r="Y200" s="0" t="str">
        <f aca="false">IF(EU200&lt;&gt;"Y","",COUNTIFS($EU$2:$EU$1000,"Y",$J$2:$J$1000,"&gt;"&amp;J200)+COUNTIFS($EU$2:$EU$1000,"Y",$J$2:$J$1000,J200,$EW$2:$EW$1000,"&lt;"&amp;EW200)+1)</f>
        <v/>
      </c>
      <c r="Z200" s="0" t="n">
        <v>199</v>
      </c>
      <c r="AA200" s="0" t="s">
        <v>162</v>
      </c>
      <c r="AB200" s="0" t="s">
        <v>2527</v>
      </c>
      <c r="AD200" s="0" t="s">
        <v>158</v>
      </c>
      <c r="AH200" s="5" t="s">
        <v>158</v>
      </c>
      <c r="AI200" s="0" t="s">
        <v>1693</v>
      </c>
      <c r="AJ200" s="0" t="s">
        <v>163</v>
      </c>
      <c r="AK200" s="0" t="s">
        <v>178</v>
      </c>
      <c r="AL200" s="0" t="n">
        <v>138</v>
      </c>
      <c r="AM200" s="0" t="n">
        <v>2760</v>
      </c>
      <c r="AN200" s="0" t="s">
        <v>179</v>
      </c>
      <c r="AO200" s="0" t="s">
        <v>163</v>
      </c>
      <c r="AP200" s="0" t="s">
        <v>3278</v>
      </c>
      <c r="AQ200" s="5" t="s">
        <v>162</v>
      </c>
      <c r="AT200" s="0" t="str">
        <f aca="false">IF(AND(AX200="pass",AQ200&lt;&gt;"Y",C200&lt;&gt;"",OR(AW200&lt;&gt;"Y",AV200="Y")),"Y","N")</f>
        <v>N</v>
      </c>
      <c r="AU200" s="0" t="str">
        <f aca="false">_xlfn.TEXTJOIN("; ",TRUE(),IF(AX200&lt;&gt;"pass","gated out",""),IF(AQ200="Y","on hold: "&amp;AR200,""),IF(C200="","no contact named on an opened page",""),IF(AND(AW200="Y",AV200&lt;&gt;"Y"),"Tuesday estimate band "&amp;L200&amp;": founder's call",""))</f>
        <v>no contact named on an opened page; Tuesday estimate band over-500: founder's call</v>
      </c>
      <c r="AW200" s="0" t="s">
        <v>168</v>
      </c>
      <c r="AX200" s="0" t="s">
        <v>181</v>
      </c>
      <c r="AY200" s="0" t="s">
        <v>182</v>
      </c>
      <c r="AZ200" s="0" t="s">
        <v>1</v>
      </c>
      <c r="BA200" s="0" t="s">
        <v>3282</v>
      </c>
      <c r="BB200" s="0" t="s">
        <v>3283</v>
      </c>
      <c r="BC200" s="0" t="s">
        <v>3284</v>
      </c>
      <c r="BD200" s="0" t="s">
        <v>3285</v>
      </c>
      <c r="BF200" s="0" t="s">
        <v>1322</v>
      </c>
      <c r="BG200" s="0" t="s">
        <v>188</v>
      </c>
      <c r="BH200" s="0" t="s">
        <v>189</v>
      </c>
      <c r="BI200" s="0" t="s">
        <v>3286</v>
      </c>
      <c r="BK200" s="0" t="s">
        <v>3287</v>
      </c>
      <c r="BL200" s="0" t="s">
        <v>163</v>
      </c>
      <c r="BM200" s="0" t="s">
        <v>163</v>
      </c>
      <c r="BN200" s="0" t="s">
        <v>163</v>
      </c>
      <c r="BO200" s="0" t="s">
        <v>163</v>
      </c>
      <c r="BP200" s="0" t="s">
        <v>346</v>
      </c>
      <c r="BQ200" s="0" t="n">
        <v>40.741761</v>
      </c>
      <c r="BR200" s="0" t="n">
        <v>-73.987033</v>
      </c>
      <c r="BS200" s="0" t="s">
        <v>168</v>
      </c>
      <c r="BT200" s="0" t="n">
        <v>0</v>
      </c>
      <c r="BU200" s="0" t="s">
        <v>1702</v>
      </c>
      <c r="BV200" s="0" t="s">
        <v>1703</v>
      </c>
      <c r="BW200" s="0" t="s">
        <v>3281</v>
      </c>
      <c r="BX200" s="0" t="s">
        <v>3288</v>
      </c>
      <c r="BY200" s="0" t="s">
        <v>3208</v>
      </c>
      <c r="BZ200" s="0" t="s">
        <v>3227</v>
      </c>
      <c r="CA200" s="0" t="s">
        <v>3228</v>
      </c>
      <c r="CC200" s="0" t="s">
        <v>200</v>
      </c>
      <c r="CE200" s="0" t="s">
        <v>162</v>
      </c>
      <c r="CH200" s="0" t="s">
        <v>1706</v>
      </c>
      <c r="CI200" s="0" t="s">
        <v>1707</v>
      </c>
      <c r="CJ200" s="0" t="s">
        <v>163</v>
      </c>
      <c r="CK200" s="0" t="s">
        <v>162</v>
      </c>
      <c r="CL200" s="0" t="s">
        <v>163</v>
      </c>
      <c r="CO200" s="0" t="n">
        <v>617</v>
      </c>
      <c r="CP200" s="0" t="s">
        <v>250</v>
      </c>
      <c r="CQ200" s="0" t="s">
        <v>3289</v>
      </c>
      <c r="CR200" s="0" t="s">
        <v>206</v>
      </c>
      <c r="CS200" s="0" t="n">
        <v>0.2</v>
      </c>
      <c r="CT200" s="0" t="n">
        <v>26</v>
      </c>
      <c r="CU200" s="0" t="n">
        <v>5</v>
      </c>
      <c r="CV200" s="0" t="n">
        <v>0</v>
      </c>
      <c r="CW200" s="0" t="n">
        <v>6</v>
      </c>
      <c r="CX200" s="0" t="n">
        <v>15</v>
      </c>
      <c r="CY200" s="0" t="n">
        <f aca="false">IF(AH200="exact",10,IF(AH200="adjacent",5,0))</f>
        <v>0</v>
      </c>
      <c r="CZ200" s="0" t="n">
        <f aca="false">IF(R200="Y",15,0)</f>
        <v>0</v>
      </c>
      <c r="DF200" s="0" t="s">
        <v>158</v>
      </c>
      <c r="DG200" s="0" t="s">
        <v>1335</v>
      </c>
      <c r="DH200" s="0" t="s">
        <v>3290</v>
      </c>
      <c r="DI200" s="0" t="s">
        <v>162</v>
      </c>
      <c r="DJ200" s="0" t="s">
        <v>3291</v>
      </c>
      <c r="DK200" s="0" t="s">
        <v>3292</v>
      </c>
      <c r="DS200" s="0" t="s">
        <v>158</v>
      </c>
      <c r="DX200" s="0" t="s">
        <v>162</v>
      </c>
      <c r="ER200" s="0" t="str">
        <f aca="false">IF(ISNUMBER(MATCH(U200,{"queued","contacted","replied","call_booked","call_done","yes_in_principle","materials_sent"},0)),"Y","N")</f>
        <v>N</v>
      </c>
      <c r="ES200" s="0" t="str">
        <f aca="false">IF(COUNTIFS($AP$2:$AP$1000,AP200,$ER$2:$ER$1000,"Y")+COUNTIFS($AP$2:$AP$1000,AP200,$T$2:$T$1000,"Y")&gt;0,"Y","N")</f>
        <v>N</v>
      </c>
      <c r="ET200" s="0" t="str">
        <f aca="false">IF(AND(U200="new",T200="N",AT200="Y",AS200="",ES200="N"),"Y","N")</f>
        <v>N</v>
      </c>
      <c r="EU200" s="0" t="str">
        <f aca="false">IF(ET200&lt;&gt;"Y","N",IF(COUNTIFS($AP$2:$AP$1000,AP200,$ET$2:$ET$1000,"Y",$J$2:$J$1000,"&gt;"&amp;J200)+COUNTIFS($AP$2:$AP$1000,AP200,$ET$2:$ET$1000,"Y",$J$2:$J$1000,J200,$EW$2:$EW$1000,"&lt;"&amp;EW200)=0,"Y","N"))</f>
        <v>N</v>
      </c>
      <c r="EV200" s="0" t="str">
        <f aca="false">IF(Y200="","N",IF(Y200&lt;=10,"Y","N"))</f>
        <v>N</v>
      </c>
      <c r="EW200" s="0" t="n">
        <f aca="false">ROW()-1</f>
        <v>199</v>
      </c>
    </row>
    <row r="201" customFormat="false" ht="15" hidden="false" customHeight="false" outlineLevel="0" collapsed="false">
      <c r="A201" s="0" t="s">
        <v>3293</v>
      </c>
      <c r="B201" s="0" t="s">
        <v>3294</v>
      </c>
      <c r="H201" s="5" t="s">
        <v>158</v>
      </c>
      <c r="I201" s="5" t="s">
        <v>159</v>
      </c>
      <c r="J201" s="0" t="n">
        <f aca="false">IF(AX201="pass",ROUND(CU201+CV201+CW201+CX201+CY201+CZ201,1),0)</f>
        <v>26</v>
      </c>
      <c r="K201" s="0" t="s">
        <v>3295</v>
      </c>
      <c r="L201" s="0" t="s">
        <v>163</v>
      </c>
      <c r="O201" s="0" t="s">
        <v>3296</v>
      </c>
      <c r="P201" s="0" t="s">
        <v>3297</v>
      </c>
      <c r="Q201" s="0" t="s">
        <v>3298</v>
      </c>
      <c r="R201" s="5" t="s">
        <v>162</v>
      </c>
      <c r="S201" s="0" t="s">
        <v>163</v>
      </c>
      <c r="T201" s="5" t="s">
        <v>162</v>
      </c>
      <c r="U201" s="5" t="s">
        <v>561</v>
      </c>
      <c r="V201" s="0" t="s">
        <v>3297</v>
      </c>
      <c r="W201" s="0" t="s">
        <v>166</v>
      </c>
      <c r="X201" s="0" t="s">
        <v>167</v>
      </c>
      <c r="Y201" s="0" t="str">
        <f aca="false">IF(EU201&lt;&gt;"Y","",COUNTIFS($EU$2:$EU$1000,"Y",$J$2:$J$1000,"&gt;"&amp;J201)+COUNTIFS($EU$2:$EU$1000,"Y",$J$2:$J$1000,J201,$EW$2:$EW$1000,"&lt;"&amp;EW201)+1)</f>
        <v/>
      </c>
      <c r="Z201" s="0" t="n">
        <v>200</v>
      </c>
      <c r="AA201" s="0" t="s">
        <v>162</v>
      </c>
      <c r="AD201" s="0" t="s">
        <v>158</v>
      </c>
      <c r="AH201" s="5" t="s">
        <v>158</v>
      </c>
      <c r="AI201" s="0" t="s">
        <v>1733</v>
      </c>
      <c r="AJ201" s="0" t="s">
        <v>471</v>
      </c>
      <c r="AK201" s="0" t="s">
        <v>889</v>
      </c>
      <c r="AL201" s="0" t="s">
        <v>163</v>
      </c>
      <c r="AM201" s="0" t="s">
        <v>163</v>
      </c>
      <c r="AN201" s="0" t="s">
        <v>158</v>
      </c>
      <c r="AO201" s="0" t="s">
        <v>163</v>
      </c>
      <c r="AP201" s="0" t="s">
        <v>3293</v>
      </c>
      <c r="AQ201" s="5" t="s">
        <v>168</v>
      </c>
      <c r="AR201" s="0" t="s">
        <v>890</v>
      </c>
      <c r="AT201" s="0" t="str">
        <f aca="false">IF(AND(AX201="pass",AQ201&lt;&gt;"Y",C201&lt;&gt;"",OR(AW201&lt;&gt;"Y",AV201="Y")),"Y","N")</f>
        <v>N</v>
      </c>
      <c r="AU201" s="0" t="str">
        <f aca="false">_xlfn.TEXTJOIN("; ",TRUE(),IF(AX201&lt;&gt;"pass","gated out",""),IF(AQ201="Y","on hold: "&amp;AR201,""),IF(C201="","no contact named on an opened page",""),IF(AND(AW201="Y",AV201&lt;&gt;"Y"),"Tuesday estimate band "&amp;L201&amp;": founder's call",""))</f>
        <v>on hold: lease signed, move not confirmed: check the lobby directory before outreach (B); no contact named on an opened page</v>
      </c>
      <c r="AW201" s="0" t="s">
        <v>162</v>
      </c>
      <c r="AX201" s="0" t="s">
        <v>181</v>
      </c>
      <c r="AY201" s="0" t="s">
        <v>182</v>
      </c>
      <c r="AZ201" s="0" t="s">
        <v>1</v>
      </c>
      <c r="BA201" s="0" t="s">
        <v>3299</v>
      </c>
      <c r="BB201" s="0" t="s">
        <v>163</v>
      </c>
      <c r="BC201" s="0" t="s">
        <v>3300</v>
      </c>
      <c r="BD201" s="0" t="s">
        <v>163</v>
      </c>
      <c r="BF201" s="0" t="s">
        <v>163</v>
      </c>
      <c r="BG201" s="0" t="s">
        <v>163</v>
      </c>
      <c r="BH201" s="0" t="s">
        <v>2195</v>
      </c>
      <c r="BK201" s="0" t="s">
        <v>163</v>
      </c>
      <c r="BL201" s="0" t="s">
        <v>163</v>
      </c>
      <c r="BM201" s="0" t="s">
        <v>163</v>
      </c>
      <c r="BN201" s="0" t="s">
        <v>163</v>
      </c>
      <c r="BO201" s="0" t="s">
        <v>163</v>
      </c>
      <c r="BP201" s="0" t="s">
        <v>346</v>
      </c>
      <c r="BQ201" s="0" t="n">
        <v>40.743288</v>
      </c>
      <c r="BR201" s="0" t="n">
        <v>-73.986627</v>
      </c>
      <c r="BS201" s="0" t="s">
        <v>168</v>
      </c>
      <c r="BT201" s="0" t="n">
        <v>0</v>
      </c>
      <c r="BU201" s="0" t="s">
        <v>1739</v>
      </c>
      <c r="BV201" s="0" t="s">
        <v>1740</v>
      </c>
      <c r="BW201" s="0" t="s">
        <v>3297</v>
      </c>
      <c r="BX201" s="0" t="s">
        <v>3298</v>
      </c>
      <c r="BY201" s="0" t="s">
        <v>247</v>
      </c>
      <c r="CC201" s="0" t="s">
        <v>738</v>
      </c>
      <c r="CD201" s="0" t="s">
        <v>163</v>
      </c>
      <c r="CE201" s="0" t="s">
        <v>162</v>
      </c>
      <c r="CH201" s="0" t="s">
        <v>163</v>
      </c>
      <c r="CJ201" s="0" t="s">
        <v>163</v>
      </c>
      <c r="CK201" s="0" t="s">
        <v>162</v>
      </c>
      <c r="CL201" s="0" t="s">
        <v>163</v>
      </c>
      <c r="CO201" s="0" t="s">
        <v>163</v>
      </c>
      <c r="CQ201" s="0" t="s">
        <v>2196</v>
      </c>
      <c r="CR201" s="0" t="s">
        <v>206</v>
      </c>
      <c r="CS201" s="0" t="s">
        <v>163</v>
      </c>
      <c r="CT201" s="0" t="n">
        <v>26</v>
      </c>
      <c r="CU201" s="0" t="n">
        <v>7</v>
      </c>
      <c r="CV201" s="0" t="n">
        <v>8</v>
      </c>
      <c r="CW201" s="0" t="n">
        <v>6</v>
      </c>
      <c r="CX201" s="0" t="n">
        <v>5</v>
      </c>
      <c r="CY201" s="0" t="n">
        <f aca="false">IF(AH201="exact",10,IF(AH201="adjacent",5,0))</f>
        <v>0</v>
      </c>
      <c r="CZ201" s="0" t="n">
        <f aca="false">IF(R201="Y",15,0)</f>
        <v>0</v>
      </c>
      <c r="DF201" s="0" t="s">
        <v>158</v>
      </c>
      <c r="DG201" s="0" t="s">
        <v>211</v>
      </c>
      <c r="DJ201" s="0" t="s">
        <v>3301</v>
      </c>
      <c r="DK201" s="0" t="s">
        <v>3302</v>
      </c>
      <c r="DS201" s="0" t="s">
        <v>158</v>
      </c>
      <c r="DX201" s="0" t="s">
        <v>162</v>
      </c>
      <c r="ER201" s="0" t="str">
        <f aca="false">IF(ISNUMBER(MATCH(U201,{"queued","contacted","replied","call_booked","call_done","yes_in_principle","materials_sent"},0)),"Y","N")</f>
        <v>N</v>
      </c>
      <c r="ES201" s="0" t="str">
        <f aca="false">IF(COUNTIFS($AP$2:$AP$1000,AP201,$ER$2:$ER$1000,"Y")+COUNTIFS($AP$2:$AP$1000,AP201,$T$2:$T$1000,"Y")&gt;0,"Y","N")</f>
        <v>N</v>
      </c>
      <c r="ET201" s="0" t="str">
        <f aca="false">IF(AND(U201="new",T201="N",AT201="Y",AS201="",ES201="N"),"Y","N")</f>
        <v>N</v>
      </c>
      <c r="EU201" s="0" t="str">
        <f aca="false">IF(ET201&lt;&gt;"Y","N",IF(COUNTIFS($AP$2:$AP$1000,AP201,$ET$2:$ET$1000,"Y",$J$2:$J$1000,"&gt;"&amp;J201)+COUNTIFS($AP$2:$AP$1000,AP201,$ET$2:$ET$1000,"Y",$J$2:$J$1000,J201,$EW$2:$EW$1000,"&lt;"&amp;EW201)=0,"Y","N"))</f>
        <v>N</v>
      </c>
      <c r="EV201" s="0" t="str">
        <f aca="false">IF(Y201="","N",IF(Y201&lt;=10,"Y","N"))</f>
        <v>N</v>
      </c>
      <c r="EW201" s="0" t="n">
        <f aca="false">ROW()-1</f>
        <v>200</v>
      </c>
    </row>
    <row r="202" customFormat="false" ht="15" hidden="false" customHeight="false" outlineLevel="0" collapsed="false">
      <c r="A202" s="0" t="s">
        <v>3303</v>
      </c>
      <c r="B202" s="0" t="s">
        <v>3304</v>
      </c>
      <c r="H202" s="5" t="s">
        <v>158</v>
      </c>
      <c r="I202" s="5" t="s">
        <v>159</v>
      </c>
      <c r="J202" s="0" t="n">
        <f aca="false">IF(AX202="pass",ROUND(CU202+CV202+CW202+CX202+CY202+CZ202,1),0)</f>
        <v>26</v>
      </c>
      <c r="K202" s="0" t="s">
        <v>3295</v>
      </c>
      <c r="L202" s="0" t="s">
        <v>163</v>
      </c>
      <c r="O202" s="0" t="s">
        <v>3305</v>
      </c>
      <c r="P202" s="0" t="s">
        <v>3306</v>
      </c>
      <c r="Q202" s="0" t="s">
        <v>3307</v>
      </c>
      <c r="R202" s="5" t="s">
        <v>162</v>
      </c>
      <c r="S202" s="0" t="s">
        <v>163</v>
      </c>
      <c r="T202" s="5" t="s">
        <v>162</v>
      </c>
      <c r="U202" s="5" t="s">
        <v>561</v>
      </c>
      <c r="V202" s="0" t="s">
        <v>3306</v>
      </c>
      <c r="W202" s="0" t="s">
        <v>166</v>
      </c>
      <c r="X202" s="0" t="s">
        <v>167</v>
      </c>
      <c r="Y202" s="0" t="str">
        <f aca="false">IF(EU202&lt;&gt;"Y","",COUNTIFS($EU$2:$EU$1000,"Y",$J$2:$J$1000,"&gt;"&amp;J202)+COUNTIFS($EU$2:$EU$1000,"Y",$J$2:$J$1000,J202,$EW$2:$EW$1000,"&lt;"&amp;EW202)+1)</f>
        <v/>
      </c>
      <c r="Z202" s="0" t="n">
        <v>201</v>
      </c>
      <c r="AA202" s="0" t="s">
        <v>162</v>
      </c>
      <c r="AD202" s="0" t="s">
        <v>158</v>
      </c>
      <c r="AH202" s="5" t="s">
        <v>158</v>
      </c>
      <c r="AI202" s="0" t="s">
        <v>1611</v>
      </c>
      <c r="AJ202" s="0" t="s">
        <v>2455</v>
      </c>
      <c r="AK202" s="0" t="s">
        <v>889</v>
      </c>
      <c r="AL202" s="0" t="s">
        <v>163</v>
      </c>
      <c r="AM202" s="0" t="s">
        <v>163</v>
      </c>
      <c r="AN202" s="0" t="s">
        <v>158</v>
      </c>
      <c r="AO202" s="0" t="s">
        <v>163</v>
      </c>
      <c r="AP202" s="0" t="s">
        <v>3303</v>
      </c>
      <c r="AQ202" s="5" t="s">
        <v>168</v>
      </c>
      <c r="AR202" s="0" t="s">
        <v>890</v>
      </c>
      <c r="AT202" s="0" t="str">
        <f aca="false">IF(AND(AX202="pass",AQ202&lt;&gt;"Y",C202&lt;&gt;"",OR(AW202&lt;&gt;"Y",AV202="Y")),"Y","N")</f>
        <v>N</v>
      </c>
      <c r="AU202" s="0" t="str">
        <f aca="false">_xlfn.TEXTJOIN("; ",TRUE(),IF(AX202&lt;&gt;"pass","gated out",""),IF(AQ202="Y","on hold: "&amp;AR202,""),IF(C202="","no contact named on an opened page",""),IF(AND(AW202="Y",AV202&lt;&gt;"Y"),"Tuesday estimate band "&amp;L202&amp;": founder's call",""))</f>
        <v>on hold: lease signed, move not confirmed: check the lobby directory before outreach (B); no contact named on an opened page</v>
      </c>
      <c r="AW202" s="0" t="s">
        <v>162</v>
      </c>
      <c r="AX202" s="0" t="s">
        <v>181</v>
      </c>
      <c r="AY202" s="0" t="s">
        <v>182</v>
      </c>
      <c r="AZ202" s="0" t="s">
        <v>1</v>
      </c>
      <c r="BA202" s="0" t="s">
        <v>3308</v>
      </c>
      <c r="BB202" s="0" t="s">
        <v>3309</v>
      </c>
      <c r="BC202" s="0" t="s">
        <v>3310</v>
      </c>
      <c r="BD202" s="0" t="s">
        <v>163</v>
      </c>
      <c r="BF202" s="0" t="s">
        <v>163</v>
      </c>
      <c r="BG202" s="0" t="s">
        <v>163</v>
      </c>
      <c r="BH202" s="0" t="s">
        <v>2195</v>
      </c>
      <c r="BK202" s="0" t="s">
        <v>163</v>
      </c>
      <c r="BL202" s="0" t="s">
        <v>163</v>
      </c>
      <c r="BM202" s="0" t="s">
        <v>163</v>
      </c>
      <c r="BN202" s="0" t="s">
        <v>163</v>
      </c>
      <c r="BO202" s="0" t="s">
        <v>163</v>
      </c>
      <c r="BP202" s="0" t="s">
        <v>346</v>
      </c>
      <c r="BQ202" s="0" t="n">
        <v>40.738577</v>
      </c>
      <c r="BR202" s="0" t="n">
        <v>-73.987151</v>
      </c>
      <c r="BS202" s="0" t="s">
        <v>168</v>
      </c>
      <c r="BT202" s="0" t="n">
        <v>0</v>
      </c>
      <c r="BU202" s="0" t="s">
        <v>1617</v>
      </c>
      <c r="BV202" s="0" t="s">
        <v>1618</v>
      </c>
      <c r="BW202" s="0" t="s">
        <v>3306</v>
      </c>
      <c r="BX202" s="0" t="s">
        <v>3307</v>
      </c>
      <c r="BY202" s="0" t="s">
        <v>247</v>
      </c>
      <c r="BZ202" s="0" t="s">
        <v>3311</v>
      </c>
      <c r="CA202" s="0" t="s">
        <v>3312</v>
      </c>
      <c r="CC202" s="0" t="s">
        <v>738</v>
      </c>
      <c r="CD202" s="0" t="s">
        <v>163</v>
      </c>
      <c r="CE202" s="0" t="s">
        <v>162</v>
      </c>
      <c r="CH202" s="0" t="s">
        <v>163</v>
      </c>
      <c r="CJ202" s="0" t="s">
        <v>163</v>
      </c>
      <c r="CK202" s="0" t="s">
        <v>162</v>
      </c>
      <c r="CL202" s="0" t="s">
        <v>163</v>
      </c>
      <c r="CO202" s="0" t="s">
        <v>163</v>
      </c>
      <c r="CQ202" s="0" t="s">
        <v>2196</v>
      </c>
      <c r="CR202" s="0" t="s">
        <v>206</v>
      </c>
      <c r="CS202" s="0" t="s">
        <v>163</v>
      </c>
      <c r="CT202" s="0" t="n">
        <v>26</v>
      </c>
      <c r="CU202" s="0" t="n">
        <v>7</v>
      </c>
      <c r="CV202" s="0" t="n">
        <v>8</v>
      </c>
      <c r="CW202" s="0" t="n">
        <v>6</v>
      </c>
      <c r="CX202" s="0" t="n">
        <v>5</v>
      </c>
      <c r="CY202" s="0" t="n">
        <f aca="false">IF(AH202="exact",10,IF(AH202="adjacent",5,0))</f>
        <v>0</v>
      </c>
      <c r="CZ202" s="0" t="n">
        <f aca="false">IF(R202="Y",15,0)</f>
        <v>0</v>
      </c>
      <c r="DF202" s="0" t="s">
        <v>158</v>
      </c>
      <c r="DG202" s="0" t="s">
        <v>211</v>
      </c>
      <c r="DJ202" s="0" t="s">
        <v>2630</v>
      </c>
      <c r="DK202" s="0" t="s">
        <v>3313</v>
      </c>
      <c r="DS202" s="0" t="s">
        <v>158</v>
      </c>
      <c r="DX202" s="0" t="s">
        <v>162</v>
      </c>
      <c r="ER202" s="0" t="str">
        <f aca="false">IF(ISNUMBER(MATCH(U202,{"queued","contacted","replied","call_booked","call_done","yes_in_principle","materials_sent"},0)),"Y","N")</f>
        <v>N</v>
      </c>
      <c r="ES202" s="0" t="str">
        <f aca="false">IF(COUNTIFS($AP$2:$AP$1000,AP202,$ER$2:$ER$1000,"Y")+COUNTIFS($AP$2:$AP$1000,AP202,$T$2:$T$1000,"Y")&gt;0,"Y","N")</f>
        <v>N</v>
      </c>
      <c r="ET202" s="0" t="str">
        <f aca="false">IF(AND(U202="new",T202="N",AT202="Y",AS202="",ES202="N"),"Y","N")</f>
        <v>N</v>
      </c>
      <c r="EU202" s="0" t="str">
        <f aca="false">IF(ET202&lt;&gt;"Y","N",IF(COUNTIFS($AP$2:$AP$1000,AP202,$ET$2:$ET$1000,"Y",$J$2:$J$1000,"&gt;"&amp;J202)+COUNTIFS($AP$2:$AP$1000,AP202,$ET$2:$ET$1000,"Y",$J$2:$J$1000,J202,$EW$2:$EW$1000,"&lt;"&amp;EW202)=0,"Y","N"))</f>
        <v>N</v>
      </c>
      <c r="EV202" s="0" t="str">
        <f aca="false">IF(Y202="","N",IF(Y202&lt;=10,"Y","N"))</f>
        <v>N</v>
      </c>
      <c r="EW202" s="0" t="n">
        <f aca="false">ROW()-1</f>
        <v>201</v>
      </c>
    </row>
    <row r="203" customFormat="false" ht="15" hidden="false" customHeight="false" outlineLevel="0" collapsed="false">
      <c r="A203" s="0" t="s">
        <v>3314</v>
      </c>
      <c r="B203" s="0" t="s">
        <v>3315</v>
      </c>
      <c r="H203" s="5" t="s">
        <v>158</v>
      </c>
      <c r="I203" s="5" t="s">
        <v>159</v>
      </c>
      <c r="J203" s="0" t="n">
        <f aca="false">IF(AX203="pass",ROUND(CU203+CV203+CW203+CX203+CY203+CZ203,1),0)</f>
        <v>26</v>
      </c>
      <c r="K203" s="0" t="s">
        <v>3295</v>
      </c>
      <c r="L203" s="0" t="s">
        <v>163</v>
      </c>
      <c r="O203" s="0" t="s">
        <v>3316</v>
      </c>
      <c r="P203" s="0" t="s">
        <v>2608</v>
      </c>
      <c r="Q203" s="0" t="s">
        <v>2613</v>
      </c>
      <c r="R203" s="5" t="s">
        <v>162</v>
      </c>
      <c r="S203" s="0" t="s">
        <v>163</v>
      </c>
      <c r="T203" s="5" t="s">
        <v>162</v>
      </c>
      <c r="U203" s="5" t="s">
        <v>561</v>
      </c>
      <c r="V203" s="0" t="s">
        <v>2608</v>
      </c>
      <c r="W203" s="0" t="s">
        <v>166</v>
      </c>
      <c r="X203" s="0" t="s">
        <v>167</v>
      </c>
      <c r="Y203" s="0" t="str">
        <f aca="false">IF(EU203&lt;&gt;"Y","",COUNTIFS($EU$2:$EU$1000,"Y",$J$2:$J$1000,"&gt;"&amp;J203)+COUNTIFS($EU$2:$EU$1000,"Y",$J$2:$J$1000,J203,$EW$2:$EW$1000,"&lt;"&amp;EW203)+1)</f>
        <v/>
      </c>
      <c r="Z203" s="0" t="n">
        <v>202</v>
      </c>
      <c r="AA203" s="0" t="s">
        <v>162</v>
      </c>
      <c r="AD203" s="0" t="s">
        <v>158</v>
      </c>
      <c r="AH203" s="5" t="s">
        <v>158</v>
      </c>
      <c r="AI203" s="0" t="s">
        <v>2609</v>
      </c>
      <c r="AJ203" s="0" t="s">
        <v>1140</v>
      </c>
      <c r="AK203" s="0" t="s">
        <v>889</v>
      </c>
      <c r="AL203" s="0" t="s">
        <v>163</v>
      </c>
      <c r="AM203" s="0" t="s">
        <v>163</v>
      </c>
      <c r="AN203" s="0" t="s">
        <v>158</v>
      </c>
      <c r="AO203" s="0" t="s">
        <v>163</v>
      </c>
      <c r="AP203" s="0" t="s">
        <v>3314</v>
      </c>
      <c r="AQ203" s="5" t="s">
        <v>168</v>
      </c>
      <c r="AR203" s="0" t="s">
        <v>890</v>
      </c>
      <c r="AT203" s="0" t="str">
        <f aca="false">IF(AND(AX203="pass",AQ203&lt;&gt;"Y",C203&lt;&gt;"",OR(AW203&lt;&gt;"Y",AV203="Y")),"Y","N")</f>
        <v>N</v>
      </c>
      <c r="AU203" s="0" t="str">
        <f aca="false">_xlfn.TEXTJOIN("; ",TRUE(),IF(AX203&lt;&gt;"pass","gated out",""),IF(AQ203="Y","on hold: "&amp;AR203,""),IF(C203="","no contact named on an opened page",""),IF(AND(AW203="Y",AV203&lt;&gt;"Y"),"Tuesday estimate band "&amp;L203&amp;": founder's call",""))</f>
        <v>on hold: lease signed, move not confirmed: check the lobby directory before outreach (B); no contact named on an opened page</v>
      </c>
      <c r="AW203" s="0" t="s">
        <v>162</v>
      </c>
      <c r="AX203" s="0" t="s">
        <v>181</v>
      </c>
      <c r="AY203" s="0" t="s">
        <v>182</v>
      </c>
      <c r="AZ203" s="0" t="s">
        <v>1</v>
      </c>
      <c r="BA203" s="0" t="s">
        <v>3317</v>
      </c>
      <c r="BB203" s="0" t="s">
        <v>163</v>
      </c>
      <c r="BC203" s="0" t="s">
        <v>3318</v>
      </c>
      <c r="BD203" s="0" t="s">
        <v>163</v>
      </c>
      <c r="BF203" s="0" t="s">
        <v>163</v>
      </c>
      <c r="BG203" s="0" t="s">
        <v>163</v>
      </c>
      <c r="BH203" s="0" t="s">
        <v>2195</v>
      </c>
      <c r="BK203" s="0" t="s">
        <v>163</v>
      </c>
      <c r="BL203" s="0" t="s">
        <v>163</v>
      </c>
      <c r="BM203" s="0" t="s">
        <v>163</v>
      </c>
      <c r="BN203" s="0" t="s">
        <v>163</v>
      </c>
      <c r="BO203" s="0" t="s">
        <v>163</v>
      </c>
      <c r="BP203" s="0" t="s">
        <v>377</v>
      </c>
      <c r="BQ203" s="0" t="n">
        <v>40.738186</v>
      </c>
      <c r="BR203" s="0" t="n">
        <v>-73.992429</v>
      </c>
      <c r="BS203" s="0" t="s">
        <v>168</v>
      </c>
      <c r="BT203" s="0" t="n">
        <v>0</v>
      </c>
      <c r="BU203" s="0" t="s">
        <v>2612</v>
      </c>
      <c r="BV203" s="0" t="s">
        <v>2609</v>
      </c>
      <c r="BW203" s="0" t="s">
        <v>2608</v>
      </c>
      <c r="BX203" s="0" t="s">
        <v>2613</v>
      </c>
      <c r="BY203" s="0" t="s">
        <v>247</v>
      </c>
      <c r="CC203" s="0" t="s">
        <v>738</v>
      </c>
      <c r="CD203" s="0" t="s">
        <v>163</v>
      </c>
      <c r="CE203" s="0" t="s">
        <v>162</v>
      </c>
      <c r="CH203" s="0" t="s">
        <v>163</v>
      </c>
      <c r="CJ203" s="0" t="s">
        <v>163</v>
      </c>
      <c r="CK203" s="0" t="s">
        <v>162</v>
      </c>
      <c r="CL203" s="0" t="s">
        <v>163</v>
      </c>
      <c r="CO203" s="0" t="s">
        <v>163</v>
      </c>
      <c r="CQ203" s="0" t="s">
        <v>2196</v>
      </c>
      <c r="CR203" s="0" t="s">
        <v>206</v>
      </c>
      <c r="CS203" s="0" t="s">
        <v>163</v>
      </c>
      <c r="CT203" s="0" t="n">
        <v>26</v>
      </c>
      <c r="CU203" s="0" t="n">
        <v>7</v>
      </c>
      <c r="CV203" s="0" t="n">
        <v>8</v>
      </c>
      <c r="CW203" s="0" t="n">
        <v>6</v>
      </c>
      <c r="CX203" s="0" t="n">
        <v>5</v>
      </c>
      <c r="CY203" s="0" t="n">
        <f aca="false">IF(AH203="exact",10,IF(AH203="adjacent",5,0))</f>
        <v>0</v>
      </c>
      <c r="CZ203" s="0" t="n">
        <f aca="false">IF(R203="Y",15,0)</f>
        <v>0</v>
      </c>
      <c r="DF203" s="0" t="s">
        <v>158</v>
      </c>
      <c r="DG203" s="0" t="s">
        <v>211</v>
      </c>
      <c r="DJ203" s="0" t="s">
        <v>2957</v>
      </c>
      <c r="DK203" s="0" t="s">
        <v>3319</v>
      </c>
      <c r="DS203" s="0" t="s">
        <v>158</v>
      </c>
      <c r="DX203" s="0" t="s">
        <v>162</v>
      </c>
      <c r="ER203" s="0" t="str">
        <f aca="false">IF(ISNUMBER(MATCH(U203,{"queued","contacted","replied","call_booked","call_done","yes_in_principle","materials_sent"},0)),"Y","N")</f>
        <v>N</v>
      </c>
      <c r="ES203" s="0" t="str">
        <f aca="false">IF(COUNTIFS($AP$2:$AP$1000,AP203,$ER$2:$ER$1000,"Y")+COUNTIFS($AP$2:$AP$1000,AP203,$T$2:$T$1000,"Y")&gt;0,"Y","N")</f>
        <v>N</v>
      </c>
      <c r="ET203" s="0" t="str">
        <f aca="false">IF(AND(U203="new",T203="N",AT203="Y",AS203="",ES203="N"),"Y","N")</f>
        <v>N</v>
      </c>
      <c r="EU203" s="0" t="str">
        <f aca="false">IF(ET203&lt;&gt;"Y","N",IF(COUNTIFS($AP$2:$AP$1000,AP203,$ET$2:$ET$1000,"Y",$J$2:$J$1000,"&gt;"&amp;J203)+COUNTIFS($AP$2:$AP$1000,AP203,$ET$2:$ET$1000,"Y",$J$2:$J$1000,J203,$EW$2:$EW$1000,"&lt;"&amp;EW203)=0,"Y","N"))</f>
        <v>N</v>
      </c>
      <c r="EV203" s="0" t="str">
        <f aca="false">IF(Y203="","N",IF(Y203&lt;=10,"Y","N"))</f>
        <v>N</v>
      </c>
      <c r="EW203" s="0" t="n">
        <f aca="false">ROW()-1</f>
        <v>202</v>
      </c>
    </row>
    <row r="204" customFormat="false" ht="15" hidden="false" customHeight="false" outlineLevel="0" collapsed="false">
      <c r="A204" s="0" t="s">
        <v>3320</v>
      </c>
      <c r="B204" s="0" t="s">
        <v>3321</v>
      </c>
      <c r="H204" s="5" t="s">
        <v>158</v>
      </c>
      <c r="I204" s="5" t="s">
        <v>159</v>
      </c>
      <c r="J204" s="0" t="n">
        <f aca="false">IF(AX204="pass",ROUND(CU204+CV204+CW204+CX204+CY204+CZ204,1),0)</f>
        <v>26</v>
      </c>
      <c r="K204" s="0" t="s">
        <v>3295</v>
      </c>
      <c r="L204" s="0" t="s">
        <v>163</v>
      </c>
      <c r="O204" s="0" t="s">
        <v>1489</v>
      </c>
      <c r="P204" s="0" t="s">
        <v>1490</v>
      </c>
      <c r="Q204" s="0" t="s">
        <v>1491</v>
      </c>
      <c r="R204" s="5" t="s">
        <v>162</v>
      </c>
      <c r="S204" s="0" t="s">
        <v>163</v>
      </c>
      <c r="T204" s="5" t="s">
        <v>162</v>
      </c>
      <c r="U204" s="5" t="s">
        <v>561</v>
      </c>
      <c r="V204" s="0" t="s">
        <v>1490</v>
      </c>
      <c r="W204" s="0" t="s">
        <v>166</v>
      </c>
      <c r="X204" s="0" t="s">
        <v>167</v>
      </c>
      <c r="Y204" s="0" t="str">
        <f aca="false">IF(EU204&lt;&gt;"Y","",COUNTIFS($EU$2:$EU$1000,"Y",$J$2:$J$1000,"&gt;"&amp;J204)+COUNTIFS($EU$2:$EU$1000,"Y",$J$2:$J$1000,J204,$EW$2:$EW$1000,"&lt;"&amp;EW204)+1)</f>
        <v/>
      </c>
      <c r="Z204" s="0" t="n">
        <v>203</v>
      </c>
      <c r="AA204" s="0" t="s">
        <v>162</v>
      </c>
      <c r="AD204" s="0" t="s">
        <v>158</v>
      </c>
      <c r="AH204" s="5" t="s">
        <v>158</v>
      </c>
      <c r="AI204" s="0" t="s">
        <v>1492</v>
      </c>
      <c r="AJ204" s="0" t="s">
        <v>2370</v>
      </c>
      <c r="AK204" s="0" t="s">
        <v>889</v>
      </c>
      <c r="AL204" s="0" t="s">
        <v>163</v>
      </c>
      <c r="AM204" s="0" t="s">
        <v>163</v>
      </c>
      <c r="AN204" s="0" t="s">
        <v>158</v>
      </c>
      <c r="AO204" s="0" t="s">
        <v>163</v>
      </c>
      <c r="AP204" s="0" t="s">
        <v>3320</v>
      </c>
      <c r="AQ204" s="5" t="s">
        <v>168</v>
      </c>
      <c r="AR204" s="0" t="s">
        <v>890</v>
      </c>
      <c r="AT204" s="0" t="str">
        <f aca="false">IF(AND(AX204="pass",AQ204&lt;&gt;"Y",C204&lt;&gt;"",OR(AW204&lt;&gt;"Y",AV204="Y")),"Y","N")</f>
        <v>N</v>
      </c>
      <c r="AU204" s="0" t="str">
        <f aca="false">_xlfn.TEXTJOIN("; ",TRUE(),IF(AX204&lt;&gt;"pass","gated out",""),IF(AQ204="Y","on hold: "&amp;AR204,""),IF(C204="","no contact named on an opened page",""),IF(AND(AW204="Y",AV204&lt;&gt;"Y"),"Tuesday estimate band "&amp;L204&amp;": founder's call",""))</f>
        <v>on hold: lease signed, move not confirmed: check the lobby directory before outreach (B); no contact named on an opened page</v>
      </c>
      <c r="AW204" s="0" t="s">
        <v>162</v>
      </c>
      <c r="AX204" s="0" t="s">
        <v>181</v>
      </c>
      <c r="AY204" s="0" t="s">
        <v>182</v>
      </c>
      <c r="AZ204" s="0" t="s">
        <v>1</v>
      </c>
      <c r="BA204" s="0" t="s">
        <v>3322</v>
      </c>
      <c r="BB204" s="0" t="s">
        <v>3323</v>
      </c>
      <c r="BC204" s="0" t="s">
        <v>3324</v>
      </c>
      <c r="BD204" s="0" t="s">
        <v>163</v>
      </c>
      <c r="BF204" s="0" t="s">
        <v>163</v>
      </c>
      <c r="BG204" s="0" t="s">
        <v>163</v>
      </c>
      <c r="BH204" s="0" t="s">
        <v>2195</v>
      </c>
      <c r="BK204" s="0" t="s">
        <v>163</v>
      </c>
      <c r="BL204" s="0" t="s">
        <v>163</v>
      </c>
      <c r="BM204" s="0" t="s">
        <v>163</v>
      </c>
      <c r="BN204" s="0" t="s">
        <v>163</v>
      </c>
      <c r="BO204" s="0" t="s">
        <v>163</v>
      </c>
      <c r="BP204" s="0" t="s">
        <v>377</v>
      </c>
      <c r="BQ204" s="0" t="n">
        <v>40.736981</v>
      </c>
      <c r="BR204" s="0" t="n">
        <v>-73.993144</v>
      </c>
      <c r="BS204" s="0" t="s">
        <v>168</v>
      </c>
      <c r="BT204" s="0" t="n">
        <v>0</v>
      </c>
      <c r="BU204" s="0" t="s">
        <v>1501</v>
      </c>
      <c r="BV204" s="0" t="s">
        <v>1502</v>
      </c>
      <c r="BW204" s="0" t="s">
        <v>1490</v>
      </c>
      <c r="BX204" s="0" t="s">
        <v>1491</v>
      </c>
      <c r="BY204" s="0" t="s">
        <v>247</v>
      </c>
      <c r="CC204" s="0" t="s">
        <v>738</v>
      </c>
      <c r="CD204" s="0" t="s">
        <v>163</v>
      </c>
      <c r="CE204" s="0" t="s">
        <v>162</v>
      </c>
      <c r="CH204" s="0" t="s">
        <v>163</v>
      </c>
      <c r="CJ204" s="0" t="s">
        <v>163</v>
      </c>
      <c r="CK204" s="0" t="s">
        <v>162</v>
      </c>
      <c r="CL204" s="0" t="s">
        <v>163</v>
      </c>
      <c r="CO204" s="0" t="s">
        <v>163</v>
      </c>
      <c r="CQ204" s="0" t="s">
        <v>2196</v>
      </c>
      <c r="CR204" s="0" t="s">
        <v>206</v>
      </c>
      <c r="CS204" s="0" t="s">
        <v>163</v>
      </c>
      <c r="CT204" s="0" t="n">
        <v>26</v>
      </c>
      <c r="CU204" s="0" t="n">
        <v>7</v>
      </c>
      <c r="CV204" s="0" t="n">
        <v>8</v>
      </c>
      <c r="CW204" s="0" t="n">
        <v>6</v>
      </c>
      <c r="CX204" s="0" t="n">
        <v>5</v>
      </c>
      <c r="CY204" s="0" t="n">
        <f aca="false">IF(AH204="exact",10,IF(AH204="adjacent",5,0))</f>
        <v>0</v>
      </c>
      <c r="CZ204" s="0" t="n">
        <f aca="false">IF(R204="Y",15,0)</f>
        <v>0</v>
      </c>
      <c r="DF204" s="0" t="s">
        <v>158</v>
      </c>
      <c r="DG204" s="0" t="s">
        <v>211</v>
      </c>
      <c r="DJ204" s="0" t="s">
        <v>3325</v>
      </c>
      <c r="DK204" s="0" t="s">
        <v>3326</v>
      </c>
      <c r="DS204" s="0" t="s">
        <v>158</v>
      </c>
      <c r="DX204" s="0" t="s">
        <v>162</v>
      </c>
      <c r="ER204" s="0" t="str">
        <f aca="false">IF(ISNUMBER(MATCH(U204,{"queued","contacted","replied","call_booked","call_done","yes_in_principle","materials_sent"},0)),"Y","N")</f>
        <v>N</v>
      </c>
      <c r="ES204" s="0" t="str">
        <f aca="false">IF(COUNTIFS($AP$2:$AP$1000,AP204,$ER$2:$ER$1000,"Y")+COUNTIFS($AP$2:$AP$1000,AP204,$T$2:$T$1000,"Y")&gt;0,"Y","N")</f>
        <v>N</v>
      </c>
      <c r="ET204" s="0" t="str">
        <f aca="false">IF(AND(U204="new",T204="N",AT204="Y",AS204="",ES204="N"),"Y","N")</f>
        <v>N</v>
      </c>
      <c r="EU204" s="0" t="str">
        <f aca="false">IF(ET204&lt;&gt;"Y","N",IF(COUNTIFS($AP$2:$AP$1000,AP204,$ET$2:$ET$1000,"Y",$J$2:$J$1000,"&gt;"&amp;J204)+COUNTIFS($AP$2:$AP$1000,AP204,$ET$2:$ET$1000,"Y",$J$2:$J$1000,J204,$EW$2:$EW$1000,"&lt;"&amp;EW204)=0,"Y","N"))</f>
        <v>N</v>
      </c>
      <c r="EV204" s="0" t="str">
        <f aca="false">IF(Y204="","N",IF(Y204&lt;=10,"Y","N"))</f>
        <v>N</v>
      </c>
      <c r="EW204" s="0" t="n">
        <f aca="false">ROW()-1</f>
        <v>203</v>
      </c>
    </row>
    <row r="205" customFormat="false" ht="15" hidden="false" customHeight="false" outlineLevel="0" collapsed="false">
      <c r="A205" s="0" t="s">
        <v>3327</v>
      </c>
      <c r="B205" s="0" t="s">
        <v>3328</v>
      </c>
      <c r="H205" s="5" t="s">
        <v>158</v>
      </c>
      <c r="I205" s="5" t="s">
        <v>159</v>
      </c>
      <c r="J205" s="0" t="n">
        <f aca="false">IF(AX205="pass",ROUND(CU205+CV205+CW205+CX205+CY205+CZ205,1),0)</f>
        <v>26</v>
      </c>
      <c r="K205" s="0" t="s">
        <v>3295</v>
      </c>
      <c r="L205" s="0" t="s">
        <v>163</v>
      </c>
      <c r="R205" s="5" t="s">
        <v>162</v>
      </c>
      <c r="S205" s="0" t="s">
        <v>163</v>
      </c>
      <c r="T205" s="5" t="s">
        <v>162</v>
      </c>
      <c r="U205" s="5" t="s">
        <v>561</v>
      </c>
      <c r="V205" s="0" t="s">
        <v>2267</v>
      </c>
      <c r="W205" s="0" t="s">
        <v>166</v>
      </c>
      <c r="X205" s="0" t="s">
        <v>167</v>
      </c>
      <c r="Y205" s="0" t="str">
        <f aca="false">IF(EU205&lt;&gt;"Y","",COUNTIFS($EU$2:$EU$1000,"Y",$J$2:$J$1000,"&gt;"&amp;J205)+COUNTIFS($EU$2:$EU$1000,"Y",$J$2:$J$1000,J205,$EW$2:$EW$1000,"&lt;"&amp;EW205)+1)</f>
        <v/>
      </c>
      <c r="Z205" s="0" t="n">
        <v>204</v>
      </c>
      <c r="AA205" s="0" t="s">
        <v>162</v>
      </c>
      <c r="AD205" s="0" t="s">
        <v>158</v>
      </c>
      <c r="AH205" s="5" t="s">
        <v>158</v>
      </c>
      <c r="AI205" s="0" t="s">
        <v>1733</v>
      </c>
      <c r="AJ205" s="0" t="s">
        <v>1257</v>
      </c>
      <c r="AK205" s="0" t="s">
        <v>889</v>
      </c>
      <c r="AL205" s="0" t="s">
        <v>163</v>
      </c>
      <c r="AM205" s="0" t="s">
        <v>163</v>
      </c>
      <c r="AN205" s="0" t="s">
        <v>158</v>
      </c>
      <c r="AO205" s="0" t="s">
        <v>163</v>
      </c>
      <c r="AP205" s="0" t="s">
        <v>3327</v>
      </c>
      <c r="AQ205" s="5" t="s">
        <v>168</v>
      </c>
      <c r="AR205" s="0" t="s">
        <v>890</v>
      </c>
      <c r="AT205" s="0" t="str">
        <f aca="false">IF(AND(AX205="pass",AQ205&lt;&gt;"Y",C205&lt;&gt;"",OR(AW205&lt;&gt;"Y",AV205="Y")),"Y","N")</f>
        <v>N</v>
      </c>
      <c r="AU205" s="0" t="str">
        <f aca="false">_xlfn.TEXTJOIN("; ",TRUE(),IF(AX205&lt;&gt;"pass","gated out",""),IF(AQ205="Y","on hold: "&amp;AR205,""),IF(C205="","no contact named on an opened page",""),IF(AND(AW205="Y",AV205&lt;&gt;"Y"),"Tuesday estimate band "&amp;L205&amp;": founder's call",""))</f>
        <v>on hold: lease signed, move not confirmed: check the lobby directory before outreach (B); no contact named on an opened page</v>
      </c>
      <c r="AW205" s="0" t="s">
        <v>162</v>
      </c>
      <c r="AX205" s="0" t="s">
        <v>181</v>
      </c>
      <c r="AY205" s="0" t="s">
        <v>182</v>
      </c>
      <c r="AZ205" s="0" t="s">
        <v>1</v>
      </c>
      <c r="BA205" s="0" t="s">
        <v>3329</v>
      </c>
      <c r="BB205" s="0" t="s">
        <v>163</v>
      </c>
      <c r="BC205" s="0" t="s">
        <v>3330</v>
      </c>
      <c r="BD205" s="0" t="s">
        <v>163</v>
      </c>
      <c r="BF205" s="0" t="s">
        <v>163</v>
      </c>
      <c r="BG205" s="0" t="s">
        <v>163</v>
      </c>
      <c r="BH205" s="0" t="s">
        <v>2195</v>
      </c>
      <c r="BK205" s="0" t="s">
        <v>163</v>
      </c>
      <c r="BL205" s="0" t="s">
        <v>192</v>
      </c>
      <c r="BM205" s="0" t="s">
        <v>168</v>
      </c>
      <c r="BN205" s="0" t="s">
        <v>163</v>
      </c>
      <c r="BO205" s="0" t="s">
        <v>163</v>
      </c>
      <c r="BP205" s="0" t="s">
        <v>346</v>
      </c>
      <c r="BQ205" s="0" t="n">
        <v>40.743288</v>
      </c>
      <c r="BR205" s="0" t="n">
        <v>-73.986627</v>
      </c>
      <c r="BS205" s="0" t="s">
        <v>168</v>
      </c>
      <c r="BT205" s="0" t="n">
        <v>0</v>
      </c>
      <c r="BU205" s="0" t="s">
        <v>1739</v>
      </c>
      <c r="BV205" s="0" t="s">
        <v>1740</v>
      </c>
      <c r="BW205" s="0" t="s">
        <v>2267</v>
      </c>
      <c r="BX205" s="0" t="s">
        <v>2140</v>
      </c>
      <c r="BY205" s="0" t="s">
        <v>247</v>
      </c>
      <c r="CC205" s="0" t="s">
        <v>738</v>
      </c>
      <c r="CD205" s="0" t="s">
        <v>163</v>
      </c>
      <c r="CE205" s="0" t="s">
        <v>162</v>
      </c>
      <c r="CH205" s="0" t="s">
        <v>163</v>
      </c>
      <c r="CJ205" s="0" t="s">
        <v>163</v>
      </c>
      <c r="CK205" s="0" t="s">
        <v>162</v>
      </c>
      <c r="CL205" s="0" t="s">
        <v>163</v>
      </c>
      <c r="CO205" s="0" t="s">
        <v>163</v>
      </c>
      <c r="CQ205" s="0" t="s">
        <v>2196</v>
      </c>
      <c r="CR205" s="0" t="s">
        <v>206</v>
      </c>
      <c r="CS205" s="0" t="s">
        <v>163</v>
      </c>
      <c r="CT205" s="0" t="n">
        <v>26</v>
      </c>
      <c r="CU205" s="0" t="n">
        <v>7</v>
      </c>
      <c r="CV205" s="0" t="n">
        <v>8</v>
      </c>
      <c r="CW205" s="0" t="n">
        <v>6</v>
      </c>
      <c r="CX205" s="0" t="n">
        <v>5</v>
      </c>
      <c r="CY205" s="0" t="n">
        <f aca="false">IF(AH205="exact",10,IF(AH205="adjacent",5,0))</f>
        <v>0</v>
      </c>
      <c r="CZ205" s="0" t="n">
        <f aca="false">IF(R205="Y",15,0)</f>
        <v>0</v>
      </c>
      <c r="DF205" s="0" t="s">
        <v>158</v>
      </c>
      <c r="DG205" s="0" t="s">
        <v>211</v>
      </c>
      <c r="DJ205" s="0" t="s">
        <v>3331</v>
      </c>
      <c r="DK205" s="0" t="s">
        <v>3332</v>
      </c>
      <c r="DS205" s="0" t="s">
        <v>158</v>
      </c>
      <c r="DX205" s="0" t="s">
        <v>162</v>
      </c>
      <c r="ER205" s="0" t="str">
        <f aca="false">IF(ISNUMBER(MATCH(U205,{"queued","contacted","replied","call_booked","call_done","yes_in_principle","materials_sent"},0)),"Y","N")</f>
        <v>N</v>
      </c>
      <c r="ES205" s="0" t="str">
        <f aca="false">IF(COUNTIFS($AP$2:$AP$1000,AP205,$ER$2:$ER$1000,"Y")+COUNTIFS($AP$2:$AP$1000,AP205,$T$2:$T$1000,"Y")&gt;0,"Y","N")</f>
        <v>N</v>
      </c>
      <c r="ET205" s="0" t="str">
        <f aca="false">IF(AND(U205="new",T205="N",AT205="Y",AS205="",ES205="N"),"Y","N")</f>
        <v>N</v>
      </c>
      <c r="EU205" s="0" t="str">
        <f aca="false">IF(ET205&lt;&gt;"Y","N",IF(COUNTIFS($AP$2:$AP$1000,AP205,$ET$2:$ET$1000,"Y",$J$2:$J$1000,"&gt;"&amp;J205)+COUNTIFS($AP$2:$AP$1000,AP205,$ET$2:$ET$1000,"Y",$J$2:$J$1000,J205,$EW$2:$EW$1000,"&lt;"&amp;EW205)=0,"Y","N"))</f>
        <v>N</v>
      </c>
      <c r="EV205" s="0" t="str">
        <f aca="false">IF(Y205="","N",IF(Y205&lt;=10,"Y","N"))</f>
        <v>N</v>
      </c>
      <c r="EW205" s="0" t="n">
        <f aca="false">ROW()-1</f>
        <v>204</v>
      </c>
    </row>
    <row r="206" customFormat="false" ht="15" hidden="false" customHeight="false" outlineLevel="0" collapsed="false">
      <c r="A206" s="0" t="s">
        <v>3333</v>
      </c>
      <c r="B206" s="0" t="s">
        <v>3334</v>
      </c>
      <c r="H206" s="5" t="s">
        <v>158</v>
      </c>
      <c r="I206" s="5" t="s">
        <v>159</v>
      </c>
      <c r="J206" s="0" t="n">
        <f aca="false">IF(AX206="pass",ROUND(CU206+CV206+CW206+CX206+CY206+CZ206,1),0)</f>
        <v>26</v>
      </c>
      <c r="K206" s="0" t="s">
        <v>3295</v>
      </c>
      <c r="L206" s="0" t="s">
        <v>163</v>
      </c>
      <c r="R206" s="5" t="s">
        <v>162</v>
      </c>
      <c r="S206" s="0" t="s">
        <v>163</v>
      </c>
      <c r="T206" s="5" t="s">
        <v>162</v>
      </c>
      <c r="U206" s="5" t="s">
        <v>561</v>
      </c>
      <c r="V206" s="0" t="s">
        <v>2008</v>
      </c>
      <c r="W206" s="0" t="s">
        <v>166</v>
      </c>
      <c r="X206" s="0" t="s">
        <v>167</v>
      </c>
      <c r="Y206" s="0" t="str">
        <f aca="false">IF(EU206&lt;&gt;"Y","",COUNTIFS($EU$2:$EU$1000,"Y",$J$2:$J$1000,"&gt;"&amp;J206)+COUNTIFS($EU$2:$EU$1000,"Y",$J$2:$J$1000,J206,$EW$2:$EW$1000,"&lt;"&amp;EW206)+1)</f>
        <v/>
      </c>
      <c r="Z206" s="0" t="n">
        <v>205</v>
      </c>
      <c r="AA206" s="0" t="s">
        <v>162</v>
      </c>
      <c r="AD206" s="0" t="s">
        <v>158</v>
      </c>
      <c r="AH206" s="5" t="s">
        <v>158</v>
      </c>
      <c r="AI206" s="0" t="s">
        <v>1473</v>
      </c>
      <c r="AJ206" s="0" t="s">
        <v>163</v>
      </c>
      <c r="AK206" s="0" t="s">
        <v>889</v>
      </c>
      <c r="AL206" s="0" t="s">
        <v>163</v>
      </c>
      <c r="AM206" s="0" t="s">
        <v>163</v>
      </c>
      <c r="AN206" s="0" t="s">
        <v>158</v>
      </c>
      <c r="AO206" s="0" t="s">
        <v>163</v>
      </c>
      <c r="AP206" s="0" t="s">
        <v>3333</v>
      </c>
      <c r="AQ206" s="5" t="s">
        <v>168</v>
      </c>
      <c r="AR206" s="0" t="s">
        <v>890</v>
      </c>
      <c r="AT206" s="0" t="str">
        <f aca="false">IF(AND(AX206="pass",AQ206&lt;&gt;"Y",C206&lt;&gt;"",OR(AW206&lt;&gt;"Y",AV206="Y")),"Y","N")</f>
        <v>N</v>
      </c>
      <c r="AU206" s="0" t="str">
        <f aca="false">_xlfn.TEXTJOIN("; ",TRUE(),IF(AX206&lt;&gt;"pass","gated out",""),IF(AQ206="Y","on hold: "&amp;AR206,""),IF(C206="","no contact named on an opened page",""),IF(AND(AW206="Y",AV206&lt;&gt;"Y"),"Tuesday estimate band "&amp;L206&amp;": founder's call",""))</f>
        <v>on hold: lease signed, move not confirmed: check the lobby directory before outreach (B); no contact named on an opened page</v>
      </c>
      <c r="AW206" s="0" t="s">
        <v>162</v>
      </c>
      <c r="AX206" s="0" t="s">
        <v>181</v>
      </c>
      <c r="AY206" s="0" t="s">
        <v>182</v>
      </c>
      <c r="AZ206" s="0" t="s">
        <v>1</v>
      </c>
      <c r="BA206" s="0" t="s">
        <v>3335</v>
      </c>
      <c r="BB206" s="0" t="s">
        <v>3336</v>
      </c>
      <c r="BC206" s="0" t="s">
        <v>3337</v>
      </c>
      <c r="BD206" s="0" t="s">
        <v>163</v>
      </c>
      <c r="BF206" s="0" t="s">
        <v>163</v>
      </c>
      <c r="BG206" s="0" t="s">
        <v>163</v>
      </c>
      <c r="BH206" s="0" t="s">
        <v>2195</v>
      </c>
      <c r="BK206" s="0" t="s">
        <v>163</v>
      </c>
      <c r="BL206" s="0" t="s">
        <v>163</v>
      </c>
      <c r="BM206" s="0" t="s">
        <v>163</v>
      </c>
      <c r="BN206" s="0" t="s">
        <v>163</v>
      </c>
      <c r="BO206" s="0" t="s">
        <v>163</v>
      </c>
      <c r="BP206" s="0" t="s">
        <v>346</v>
      </c>
      <c r="BQ206" s="0" t="n">
        <v>40.741968</v>
      </c>
      <c r="BR206" s="0" t="n">
        <v>-73.985327</v>
      </c>
      <c r="BS206" s="0" t="s">
        <v>168</v>
      </c>
      <c r="BT206" s="0" t="n">
        <v>0</v>
      </c>
      <c r="BU206" s="0" t="s">
        <v>1480</v>
      </c>
      <c r="BV206" s="0" t="s">
        <v>1481</v>
      </c>
      <c r="BW206" s="0" t="s">
        <v>2008</v>
      </c>
      <c r="BX206" s="0" t="s">
        <v>2016</v>
      </c>
      <c r="BY206" s="0" t="s">
        <v>247</v>
      </c>
      <c r="BZ206" s="0" t="s">
        <v>2017</v>
      </c>
      <c r="CA206" s="0" t="s">
        <v>2016</v>
      </c>
      <c r="CC206" s="0" t="s">
        <v>738</v>
      </c>
      <c r="CD206" s="0" t="s">
        <v>163</v>
      </c>
      <c r="CE206" s="0" t="s">
        <v>162</v>
      </c>
      <c r="CH206" s="0" t="s">
        <v>163</v>
      </c>
      <c r="CJ206" s="0" t="s">
        <v>163</v>
      </c>
      <c r="CK206" s="0" t="s">
        <v>162</v>
      </c>
      <c r="CL206" s="0" t="s">
        <v>163</v>
      </c>
      <c r="CO206" s="0" t="s">
        <v>163</v>
      </c>
      <c r="CQ206" s="0" t="s">
        <v>2196</v>
      </c>
      <c r="CR206" s="0" t="s">
        <v>206</v>
      </c>
      <c r="CS206" s="0" t="s">
        <v>163</v>
      </c>
      <c r="CT206" s="0" t="n">
        <v>26</v>
      </c>
      <c r="CU206" s="0" t="n">
        <v>7</v>
      </c>
      <c r="CV206" s="0" t="n">
        <v>8</v>
      </c>
      <c r="CW206" s="0" t="n">
        <v>6</v>
      </c>
      <c r="CX206" s="0" t="n">
        <v>5</v>
      </c>
      <c r="CY206" s="0" t="n">
        <f aca="false">IF(AH206="exact",10,IF(AH206="adjacent",5,0))</f>
        <v>0</v>
      </c>
      <c r="CZ206" s="0" t="n">
        <f aca="false">IF(R206="Y",15,0)</f>
        <v>0</v>
      </c>
      <c r="DF206" s="0" t="s">
        <v>158</v>
      </c>
      <c r="DG206" s="0" t="s">
        <v>211</v>
      </c>
      <c r="DJ206" s="0" t="s">
        <v>2425</v>
      </c>
      <c r="DK206" s="0" t="s">
        <v>3338</v>
      </c>
      <c r="DS206" s="0" t="s">
        <v>158</v>
      </c>
      <c r="DX206" s="0" t="s">
        <v>162</v>
      </c>
      <c r="ER206" s="0" t="str">
        <f aca="false">IF(ISNUMBER(MATCH(U206,{"queued","contacted","replied","call_booked","call_done","yes_in_principle","materials_sent"},0)),"Y","N")</f>
        <v>N</v>
      </c>
      <c r="ES206" s="0" t="str">
        <f aca="false">IF(COUNTIFS($AP$2:$AP$1000,AP206,$ER$2:$ER$1000,"Y")+COUNTIFS($AP$2:$AP$1000,AP206,$T$2:$T$1000,"Y")&gt;0,"Y","N")</f>
        <v>N</v>
      </c>
      <c r="ET206" s="0" t="str">
        <f aca="false">IF(AND(U206="new",T206="N",AT206="Y",AS206="",ES206="N"),"Y","N")</f>
        <v>N</v>
      </c>
      <c r="EU206" s="0" t="str">
        <f aca="false">IF(ET206&lt;&gt;"Y","N",IF(COUNTIFS($AP$2:$AP$1000,AP206,$ET$2:$ET$1000,"Y",$J$2:$J$1000,"&gt;"&amp;J206)+COUNTIFS($AP$2:$AP$1000,AP206,$ET$2:$ET$1000,"Y",$J$2:$J$1000,J206,$EW$2:$EW$1000,"&lt;"&amp;EW206)=0,"Y","N"))</f>
        <v>N</v>
      </c>
      <c r="EV206" s="0" t="str">
        <f aca="false">IF(Y206="","N",IF(Y206&lt;=10,"Y","N"))</f>
        <v>N</v>
      </c>
      <c r="EW206" s="0" t="n">
        <f aca="false">ROW()-1</f>
        <v>205</v>
      </c>
    </row>
    <row r="207" customFormat="false" ht="15" hidden="false" customHeight="false" outlineLevel="0" collapsed="false">
      <c r="A207" s="0" t="s">
        <v>3339</v>
      </c>
      <c r="B207" s="0" t="s">
        <v>3340</v>
      </c>
      <c r="H207" s="5" t="s">
        <v>158</v>
      </c>
      <c r="I207" s="5" t="s">
        <v>159</v>
      </c>
      <c r="J207" s="0" t="n">
        <f aca="false">IF(AX207="pass",ROUND(CU207+CV207+CW207+CX207+CY207+CZ207,1),0)</f>
        <v>26</v>
      </c>
      <c r="K207" s="0" t="s">
        <v>3295</v>
      </c>
      <c r="L207" s="0" t="s">
        <v>163</v>
      </c>
      <c r="O207" s="0" t="s">
        <v>3341</v>
      </c>
      <c r="P207" s="0" t="s">
        <v>3342</v>
      </c>
      <c r="Q207" s="0" t="s">
        <v>3343</v>
      </c>
      <c r="R207" s="5" t="s">
        <v>162</v>
      </c>
      <c r="S207" s="0" t="s">
        <v>163</v>
      </c>
      <c r="T207" s="5" t="s">
        <v>162</v>
      </c>
      <c r="U207" s="5" t="s">
        <v>561</v>
      </c>
      <c r="V207" s="0" t="s">
        <v>3342</v>
      </c>
      <c r="W207" s="0" t="s">
        <v>166</v>
      </c>
      <c r="X207" s="0" t="s">
        <v>167</v>
      </c>
      <c r="Y207" s="0" t="str">
        <f aca="false">IF(EU207&lt;&gt;"Y","",COUNTIFS($EU$2:$EU$1000,"Y",$J$2:$J$1000,"&gt;"&amp;J207)+COUNTIFS($EU$2:$EU$1000,"Y",$J$2:$J$1000,J207,$EW$2:$EW$1000,"&lt;"&amp;EW207)+1)</f>
        <v/>
      </c>
      <c r="Z207" s="0" t="n">
        <v>206</v>
      </c>
      <c r="AA207" s="0" t="s">
        <v>162</v>
      </c>
      <c r="AD207" s="0" t="s">
        <v>158</v>
      </c>
      <c r="AH207" s="5" t="s">
        <v>158</v>
      </c>
      <c r="AI207" s="0" t="s">
        <v>1577</v>
      </c>
      <c r="AJ207" s="0" t="s">
        <v>1751</v>
      </c>
      <c r="AK207" s="0" t="s">
        <v>889</v>
      </c>
      <c r="AL207" s="0" t="s">
        <v>163</v>
      </c>
      <c r="AM207" s="0" t="s">
        <v>163</v>
      </c>
      <c r="AN207" s="0" t="s">
        <v>158</v>
      </c>
      <c r="AO207" s="0" t="s">
        <v>163</v>
      </c>
      <c r="AP207" s="0" t="s">
        <v>3339</v>
      </c>
      <c r="AQ207" s="5" t="s">
        <v>168</v>
      </c>
      <c r="AR207" s="0" t="s">
        <v>890</v>
      </c>
      <c r="AT207" s="0" t="str">
        <f aca="false">IF(AND(AX207="pass",AQ207&lt;&gt;"Y",C207&lt;&gt;"",OR(AW207&lt;&gt;"Y",AV207="Y")),"Y","N")</f>
        <v>N</v>
      </c>
      <c r="AU207" s="0" t="str">
        <f aca="false">_xlfn.TEXTJOIN("; ",TRUE(),IF(AX207&lt;&gt;"pass","gated out",""),IF(AQ207="Y","on hold: "&amp;AR207,""),IF(C207="","no contact named on an opened page",""),IF(AND(AW207="Y",AV207&lt;&gt;"Y"),"Tuesday estimate band "&amp;L207&amp;": founder's call",""))</f>
        <v>on hold: lease signed, move not confirmed: check the lobby directory before outreach (B); no contact named on an opened page</v>
      </c>
      <c r="AW207" s="0" t="s">
        <v>162</v>
      </c>
      <c r="AX207" s="0" t="s">
        <v>181</v>
      </c>
      <c r="AY207" s="0" t="s">
        <v>182</v>
      </c>
      <c r="AZ207" s="0" t="s">
        <v>1</v>
      </c>
      <c r="BA207" s="0" t="s">
        <v>3344</v>
      </c>
      <c r="BB207" s="0" t="s">
        <v>163</v>
      </c>
      <c r="BC207" s="0" t="s">
        <v>3345</v>
      </c>
      <c r="BD207" s="0" t="s">
        <v>163</v>
      </c>
      <c r="BF207" s="0" t="s">
        <v>163</v>
      </c>
      <c r="BG207" s="0" t="s">
        <v>163</v>
      </c>
      <c r="BH207" s="0" t="s">
        <v>2195</v>
      </c>
      <c r="BK207" s="0" t="s">
        <v>163</v>
      </c>
      <c r="BL207" s="0" t="s">
        <v>163</v>
      </c>
      <c r="BM207" s="0" t="s">
        <v>163</v>
      </c>
      <c r="BN207" s="0" t="s">
        <v>163</v>
      </c>
      <c r="BO207" s="0" t="s">
        <v>163</v>
      </c>
      <c r="BP207" s="0" t="s">
        <v>243</v>
      </c>
      <c r="BQ207" s="0" t="n">
        <v>40.744255</v>
      </c>
      <c r="BR207" s="0" t="n">
        <v>-73.983762</v>
      </c>
      <c r="BS207" s="0" t="s">
        <v>168</v>
      </c>
      <c r="BT207" s="0" t="n">
        <v>0</v>
      </c>
      <c r="BU207" s="0" t="s">
        <v>1583</v>
      </c>
      <c r="BV207" s="0" t="s">
        <v>1584</v>
      </c>
      <c r="BW207" s="0" t="s">
        <v>3342</v>
      </c>
      <c r="BX207" s="0" t="s">
        <v>3343</v>
      </c>
      <c r="BY207" s="0" t="s">
        <v>247</v>
      </c>
      <c r="CC207" s="0" t="s">
        <v>738</v>
      </c>
      <c r="CD207" s="0" t="s">
        <v>163</v>
      </c>
      <c r="CE207" s="0" t="s">
        <v>162</v>
      </c>
      <c r="CH207" s="0" t="s">
        <v>163</v>
      </c>
      <c r="CJ207" s="0" t="s">
        <v>163</v>
      </c>
      <c r="CK207" s="0" t="s">
        <v>162</v>
      </c>
      <c r="CL207" s="0" t="s">
        <v>163</v>
      </c>
      <c r="CO207" s="0" t="s">
        <v>163</v>
      </c>
      <c r="CQ207" s="0" t="s">
        <v>2196</v>
      </c>
      <c r="CR207" s="0" t="s">
        <v>206</v>
      </c>
      <c r="CS207" s="0" t="s">
        <v>163</v>
      </c>
      <c r="CT207" s="0" t="n">
        <v>26</v>
      </c>
      <c r="CU207" s="0" t="n">
        <v>7</v>
      </c>
      <c r="CV207" s="0" t="n">
        <v>8</v>
      </c>
      <c r="CW207" s="0" t="n">
        <v>6</v>
      </c>
      <c r="CX207" s="0" t="n">
        <v>5</v>
      </c>
      <c r="CY207" s="0" t="n">
        <f aca="false">IF(AH207="exact",10,IF(AH207="adjacent",5,0))</f>
        <v>0</v>
      </c>
      <c r="CZ207" s="0" t="n">
        <f aca="false">IF(R207="Y",15,0)</f>
        <v>0</v>
      </c>
      <c r="DF207" s="0" t="s">
        <v>158</v>
      </c>
      <c r="DG207" s="0" t="s">
        <v>211</v>
      </c>
      <c r="DJ207" s="0" t="s">
        <v>3346</v>
      </c>
      <c r="DK207" s="0" t="s">
        <v>3347</v>
      </c>
      <c r="DS207" s="0" t="s">
        <v>158</v>
      </c>
      <c r="DX207" s="0" t="s">
        <v>162</v>
      </c>
      <c r="ER207" s="0" t="str">
        <f aca="false">IF(ISNUMBER(MATCH(U207,{"queued","contacted","replied","call_booked","call_done","yes_in_principle","materials_sent"},0)),"Y","N")</f>
        <v>N</v>
      </c>
      <c r="ES207" s="0" t="str">
        <f aca="false">IF(COUNTIFS($AP$2:$AP$1000,AP207,$ER$2:$ER$1000,"Y")+COUNTIFS($AP$2:$AP$1000,AP207,$T$2:$T$1000,"Y")&gt;0,"Y","N")</f>
        <v>N</v>
      </c>
      <c r="ET207" s="0" t="str">
        <f aca="false">IF(AND(U207="new",T207="N",AT207="Y",AS207="",ES207="N"),"Y","N")</f>
        <v>N</v>
      </c>
      <c r="EU207" s="0" t="str">
        <f aca="false">IF(ET207&lt;&gt;"Y","N",IF(COUNTIFS($AP$2:$AP$1000,AP207,$ET$2:$ET$1000,"Y",$J$2:$J$1000,"&gt;"&amp;J207)+COUNTIFS($AP$2:$AP$1000,AP207,$ET$2:$ET$1000,"Y",$J$2:$J$1000,J207,$EW$2:$EW$1000,"&lt;"&amp;EW207)=0,"Y","N"))</f>
        <v>N</v>
      </c>
      <c r="EV207" s="0" t="str">
        <f aca="false">IF(Y207="","N",IF(Y207&lt;=10,"Y","N"))</f>
        <v>N</v>
      </c>
      <c r="EW207" s="0" t="n">
        <f aca="false">ROW()-1</f>
        <v>206</v>
      </c>
    </row>
    <row r="208" customFormat="false" ht="15" hidden="false" customHeight="false" outlineLevel="0" collapsed="false">
      <c r="A208" s="0" t="s">
        <v>3348</v>
      </c>
      <c r="B208" s="0" t="s">
        <v>3349</v>
      </c>
      <c r="H208" s="5" t="s">
        <v>158</v>
      </c>
      <c r="I208" s="5" t="s">
        <v>159</v>
      </c>
      <c r="J208" s="0" t="n">
        <f aca="false">IF(AX208="pass",ROUND(CU208+CV208+CW208+CX208+CY208+CZ208,1),0)</f>
        <v>26</v>
      </c>
      <c r="K208" s="0" t="s">
        <v>3295</v>
      </c>
      <c r="L208" s="0" t="s">
        <v>163</v>
      </c>
      <c r="R208" s="5" t="s">
        <v>162</v>
      </c>
      <c r="S208" s="0" t="s">
        <v>163</v>
      </c>
      <c r="T208" s="5" t="s">
        <v>162</v>
      </c>
      <c r="U208" s="5" t="s">
        <v>561</v>
      </c>
      <c r="V208" s="0" t="s">
        <v>1610</v>
      </c>
      <c r="W208" s="0" t="s">
        <v>166</v>
      </c>
      <c r="X208" s="0" t="s">
        <v>167</v>
      </c>
      <c r="Y208" s="0" t="str">
        <f aca="false">IF(EU208&lt;&gt;"Y","",COUNTIFS($EU$2:$EU$1000,"Y",$J$2:$J$1000,"&gt;"&amp;J208)+COUNTIFS($EU$2:$EU$1000,"Y",$J$2:$J$1000,J208,$EW$2:$EW$1000,"&lt;"&amp;EW208)+1)</f>
        <v/>
      </c>
      <c r="Z208" s="0" t="n">
        <v>207</v>
      </c>
      <c r="AA208" s="0" t="s">
        <v>162</v>
      </c>
      <c r="AD208" s="0" t="s">
        <v>158</v>
      </c>
      <c r="AH208" s="5" t="s">
        <v>158</v>
      </c>
      <c r="AI208" s="0" t="s">
        <v>1611</v>
      </c>
      <c r="AJ208" s="0" t="s">
        <v>2370</v>
      </c>
      <c r="AK208" s="0" t="s">
        <v>889</v>
      </c>
      <c r="AL208" s="0" t="s">
        <v>163</v>
      </c>
      <c r="AM208" s="0" t="s">
        <v>163</v>
      </c>
      <c r="AN208" s="0" t="s">
        <v>158</v>
      </c>
      <c r="AO208" s="0" t="s">
        <v>163</v>
      </c>
      <c r="AP208" s="0" t="s">
        <v>3348</v>
      </c>
      <c r="AQ208" s="5" t="s">
        <v>168</v>
      </c>
      <c r="AR208" s="0" t="s">
        <v>890</v>
      </c>
      <c r="AT208" s="0" t="str">
        <f aca="false">IF(AND(AX208="pass",AQ208&lt;&gt;"Y",C208&lt;&gt;"",OR(AW208&lt;&gt;"Y",AV208="Y")),"Y","N")</f>
        <v>N</v>
      </c>
      <c r="AU208" s="0" t="str">
        <f aca="false">_xlfn.TEXTJOIN("; ",TRUE(),IF(AX208&lt;&gt;"pass","gated out",""),IF(AQ208="Y","on hold: "&amp;AR208,""),IF(C208="","no contact named on an opened page",""),IF(AND(AW208="Y",AV208&lt;&gt;"Y"),"Tuesday estimate band "&amp;L208&amp;": founder's call",""))</f>
        <v>on hold: lease signed, move not confirmed: check the lobby directory before outreach (B); no contact named on an opened page</v>
      </c>
      <c r="AW208" s="0" t="s">
        <v>162</v>
      </c>
      <c r="AX208" s="0" t="s">
        <v>181</v>
      </c>
      <c r="AY208" s="0" t="s">
        <v>182</v>
      </c>
      <c r="AZ208" s="0" t="s">
        <v>1</v>
      </c>
      <c r="BA208" s="0" t="s">
        <v>3350</v>
      </c>
      <c r="BB208" s="0" t="s">
        <v>3351</v>
      </c>
      <c r="BC208" s="0" t="s">
        <v>3352</v>
      </c>
      <c r="BD208" s="0" t="s">
        <v>163</v>
      </c>
      <c r="BF208" s="0" t="s">
        <v>163</v>
      </c>
      <c r="BG208" s="0" t="s">
        <v>163</v>
      </c>
      <c r="BH208" s="0" t="s">
        <v>2195</v>
      </c>
      <c r="BK208" s="0" t="s">
        <v>163</v>
      </c>
      <c r="BL208" s="0" t="s">
        <v>163</v>
      </c>
      <c r="BM208" s="0" t="s">
        <v>163</v>
      </c>
      <c r="BN208" s="0" t="s">
        <v>163</v>
      </c>
      <c r="BO208" s="0" t="s">
        <v>163</v>
      </c>
      <c r="BP208" s="0" t="s">
        <v>346</v>
      </c>
      <c r="BQ208" s="0" t="n">
        <v>40.738577</v>
      </c>
      <c r="BR208" s="0" t="n">
        <v>-73.987151</v>
      </c>
      <c r="BS208" s="0" t="s">
        <v>168</v>
      </c>
      <c r="BT208" s="0" t="n">
        <v>0</v>
      </c>
      <c r="BU208" s="0" t="s">
        <v>1617</v>
      </c>
      <c r="BV208" s="0" t="s">
        <v>1618</v>
      </c>
      <c r="BW208" s="0" t="s">
        <v>1610</v>
      </c>
      <c r="BX208" s="0" t="s">
        <v>1619</v>
      </c>
      <c r="BY208" s="0" t="s">
        <v>247</v>
      </c>
      <c r="CC208" s="0" t="s">
        <v>738</v>
      </c>
      <c r="CD208" s="0" t="s">
        <v>163</v>
      </c>
      <c r="CE208" s="0" t="s">
        <v>162</v>
      </c>
      <c r="CH208" s="0" t="s">
        <v>163</v>
      </c>
      <c r="CJ208" s="0" t="s">
        <v>163</v>
      </c>
      <c r="CK208" s="0" t="s">
        <v>162</v>
      </c>
      <c r="CL208" s="0" t="s">
        <v>163</v>
      </c>
      <c r="CO208" s="0" t="s">
        <v>163</v>
      </c>
      <c r="CQ208" s="0" t="s">
        <v>2196</v>
      </c>
      <c r="CR208" s="0" t="s">
        <v>206</v>
      </c>
      <c r="CS208" s="0" t="s">
        <v>163</v>
      </c>
      <c r="CT208" s="0" t="n">
        <v>26</v>
      </c>
      <c r="CU208" s="0" t="n">
        <v>7</v>
      </c>
      <c r="CV208" s="0" t="n">
        <v>8</v>
      </c>
      <c r="CW208" s="0" t="n">
        <v>6</v>
      </c>
      <c r="CX208" s="0" t="n">
        <v>5</v>
      </c>
      <c r="CY208" s="0" t="n">
        <f aca="false">IF(AH208="exact",10,IF(AH208="adjacent",5,0))</f>
        <v>0</v>
      </c>
      <c r="CZ208" s="0" t="n">
        <f aca="false">IF(R208="Y",15,0)</f>
        <v>0</v>
      </c>
      <c r="DF208" s="0" t="s">
        <v>158</v>
      </c>
      <c r="DG208" s="0" t="s">
        <v>211</v>
      </c>
      <c r="DJ208" s="0" t="s">
        <v>3353</v>
      </c>
      <c r="DK208" s="0" t="s">
        <v>3354</v>
      </c>
      <c r="DS208" s="0" t="s">
        <v>158</v>
      </c>
      <c r="DX208" s="0" t="s">
        <v>162</v>
      </c>
      <c r="ER208" s="0" t="str">
        <f aca="false">IF(ISNUMBER(MATCH(U208,{"queued","contacted","replied","call_booked","call_done","yes_in_principle","materials_sent"},0)),"Y","N")</f>
        <v>N</v>
      </c>
      <c r="ES208" s="0" t="str">
        <f aca="false">IF(COUNTIFS($AP$2:$AP$1000,AP208,$ER$2:$ER$1000,"Y")+COUNTIFS($AP$2:$AP$1000,AP208,$T$2:$T$1000,"Y")&gt;0,"Y","N")</f>
        <v>N</v>
      </c>
      <c r="ET208" s="0" t="str">
        <f aca="false">IF(AND(U208="new",T208="N",AT208="Y",AS208="",ES208="N"),"Y","N")</f>
        <v>N</v>
      </c>
      <c r="EU208" s="0" t="str">
        <f aca="false">IF(ET208&lt;&gt;"Y","N",IF(COUNTIFS($AP$2:$AP$1000,AP208,$ET$2:$ET$1000,"Y",$J$2:$J$1000,"&gt;"&amp;J208)+COUNTIFS($AP$2:$AP$1000,AP208,$ET$2:$ET$1000,"Y",$J$2:$J$1000,J208,$EW$2:$EW$1000,"&lt;"&amp;EW208)=0,"Y","N"))</f>
        <v>N</v>
      </c>
      <c r="EV208" s="0" t="str">
        <f aca="false">IF(Y208="","N",IF(Y208&lt;=10,"Y","N"))</f>
        <v>N</v>
      </c>
      <c r="EW208" s="0" t="n">
        <f aca="false">ROW()-1</f>
        <v>207</v>
      </c>
    </row>
    <row r="209" customFormat="false" ht="15" hidden="false" customHeight="false" outlineLevel="0" collapsed="false">
      <c r="A209" s="0" t="s">
        <v>3355</v>
      </c>
      <c r="B209" s="0" t="s">
        <v>3356</v>
      </c>
      <c r="H209" s="5" t="s">
        <v>158</v>
      </c>
      <c r="I209" s="5" t="s">
        <v>159</v>
      </c>
      <c r="J209" s="0" t="n">
        <f aca="false">IF(AX209="pass",ROUND(CU209+CV209+CW209+CX209+CY209+CZ209,1),0)</f>
        <v>26</v>
      </c>
      <c r="K209" s="0" t="s">
        <v>3295</v>
      </c>
      <c r="L209" s="0" t="s">
        <v>163</v>
      </c>
      <c r="O209" s="0" t="s">
        <v>3357</v>
      </c>
      <c r="P209" s="0" t="s">
        <v>1266</v>
      </c>
      <c r="Q209" s="0" t="s">
        <v>1267</v>
      </c>
      <c r="R209" s="5" t="s">
        <v>162</v>
      </c>
      <c r="S209" s="0" t="s">
        <v>163</v>
      </c>
      <c r="T209" s="5" t="s">
        <v>162</v>
      </c>
      <c r="U209" s="5" t="s">
        <v>561</v>
      </c>
      <c r="V209" s="0" t="s">
        <v>1266</v>
      </c>
      <c r="W209" s="0" t="s">
        <v>166</v>
      </c>
      <c r="X209" s="0" t="s">
        <v>167</v>
      </c>
      <c r="Y209" s="0" t="str">
        <f aca="false">IF(EU209&lt;&gt;"Y","",COUNTIFS($EU$2:$EU$1000,"Y",$J$2:$J$1000,"&gt;"&amp;J209)+COUNTIFS($EU$2:$EU$1000,"Y",$J$2:$J$1000,J209,$EW$2:$EW$1000,"&lt;"&amp;EW209)+1)</f>
        <v/>
      </c>
      <c r="Z209" s="0" t="n">
        <v>208</v>
      </c>
      <c r="AA209" s="0" t="s">
        <v>162</v>
      </c>
      <c r="AD209" s="0" t="s">
        <v>158</v>
      </c>
      <c r="AH209" s="5" t="s">
        <v>158</v>
      </c>
      <c r="AI209" s="0" t="s">
        <v>1256</v>
      </c>
      <c r="AJ209" s="0" t="s">
        <v>3358</v>
      </c>
      <c r="AK209" s="0" t="s">
        <v>889</v>
      </c>
      <c r="AL209" s="0" t="s">
        <v>163</v>
      </c>
      <c r="AM209" s="0" t="s">
        <v>163</v>
      </c>
      <c r="AN209" s="0" t="s">
        <v>158</v>
      </c>
      <c r="AO209" s="0" t="s">
        <v>163</v>
      </c>
      <c r="AP209" s="0" t="s">
        <v>3355</v>
      </c>
      <c r="AQ209" s="5" t="s">
        <v>168</v>
      </c>
      <c r="AR209" s="0" t="s">
        <v>890</v>
      </c>
      <c r="AT209" s="0" t="str">
        <f aca="false">IF(AND(AX209="pass",AQ209&lt;&gt;"Y",C209&lt;&gt;"",OR(AW209&lt;&gt;"Y",AV209="Y")),"Y","N")</f>
        <v>N</v>
      </c>
      <c r="AU209" s="0" t="str">
        <f aca="false">_xlfn.TEXTJOIN("; ",TRUE(),IF(AX209&lt;&gt;"pass","gated out",""),IF(AQ209="Y","on hold: "&amp;AR209,""),IF(C209="","no contact named on an opened page",""),IF(AND(AW209="Y",AV209&lt;&gt;"Y"),"Tuesday estimate band "&amp;L209&amp;": founder's call",""))</f>
        <v>on hold: lease signed, move not confirmed: check the lobby directory before outreach (B); no contact named on an opened page</v>
      </c>
      <c r="AW209" s="0" t="s">
        <v>162</v>
      </c>
      <c r="AX209" s="0" t="s">
        <v>181</v>
      </c>
      <c r="AY209" s="0" t="s">
        <v>182</v>
      </c>
      <c r="AZ209" s="0" t="s">
        <v>1</v>
      </c>
      <c r="BA209" s="0" t="s">
        <v>3359</v>
      </c>
      <c r="BB209" s="0" t="s">
        <v>3360</v>
      </c>
      <c r="BC209" s="0" t="s">
        <v>3361</v>
      </c>
      <c r="BD209" s="0" t="s">
        <v>163</v>
      </c>
      <c r="BF209" s="0" t="s">
        <v>163</v>
      </c>
      <c r="BG209" s="0" t="s">
        <v>163</v>
      </c>
      <c r="BH209" s="0" t="s">
        <v>2195</v>
      </c>
      <c r="BI209" s="0" t="s">
        <v>3362</v>
      </c>
      <c r="BK209" s="0" t="s">
        <v>163</v>
      </c>
      <c r="BL209" s="0" t="s">
        <v>192</v>
      </c>
      <c r="BM209" s="0" t="s">
        <v>168</v>
      </c>
      <c r="BN209" s="0" t="s">
        <v>163</v>
      </c>
      <c r="BO209" s="0" t="s">
        <v>163</v>
      </c>
      <c r="BP209" s="0" t="s">
        <v>193</v>
      </c>
      <c r="BQ209" s="0" t="n">
        <v>40.7357</v>
      </c>
      <c r="BR209" s="0" t="n">
        <v>-73.991754</v>
      </c>
      <c r="BS209" s="0" t="s">
        <v>168</v>
      </c>
      <c r="BT209" s="0" t="n">
        <v>0</v>
      </c>
      <c r="BU209" s="0" t="s">
        <v>1264</v>
      </c>
      <c r="BV209" s="0" t="s">
        <v>1265</v>
      </c>
      <c r="BW209" s="0" t="s">
        <v>1266</v>
      </c>
      <c r="BX209" s="0" t="s">
        <v>1267</v>
      </c>
      <c r="BY209" s="0" t="s">
        <v>247</v>
      </c>
      <c r="CC209" s="0" t="s">
        <v>738</v>
      </c>
      <c r="CD209" s="0" t="s">
        <v>163</v>
      </c>
      <c r="CE209" s="0" t="s">
        <v>162</v>
      </c>
      <c r="CH209" s="0" t="s">
        <v>163</v>
      </c>
      <c r="CJ209" s="0" t="s">
        <v>163</v>
      </c>
      <c r="CK209" s="0" t="s">
        <v>162</v>
      </c>
      <c r="CL209" s="0" t="s">
        <v>163</v>
      </c>
      <c r="CO209" s="0" t="s">
        <v>163</v>
      </c>
      <c r="CQ209" s="0" t="s">
        <v>2196</v>
      </c>
      <c r="CR209" s="0" t="s">
        <v>206</v>
      </c>
      <c r="CS209" s="0" t="s">
        <v>163</v>
      </c>
      <c r="CT209" s="0" t="n">
        <v>26</v>
      </c>
      <c r="CU209" s="0" t="n">
        <v>7</v>
      </c>
      <c r="CV209" s="0" t="n">
        <v>8</v>
      </c>
      <c r="CW209" s="0" t="n">
        <v>6</v>
      </c>
      <c r="CX209" s="0" t="n">
        <v>5</v>
      </c>
      <c r="CY209" s="0" t="n">
        <f aca="false">IF(AH209="exact",10,IF(AH209="adjacent",5,0))</f>
        <v>0</v>
      </c>
      <c r="CZ209" s="0" t="n">
        <f aca="false">IF(R209="Y",15,0)</f>
        <v>0</v>
      </c>
      <c r="DF209" s="0" t="s">
        <v>158</v>
      </c>
      <c r="DG209" s="0" t="s">
        <v>211</v>
      </c>
      <c r="DJ209" s="0" t="s">
        <v>3363</v>
      </c>
      <c r="DK209" s="0" t="s">
        <v>3364</v>
      </c>
      <c r="DS209" s="0" t="s">
        <v>158</v>
      </c>
      <c r="DX209" s="0" t="s">
        <v>162</v>
      </c>
      <c r="ER209" s="0" t="str">
        <f aca="false">IF(ISNUMBER(MATCH(U209,{"queued","contacted","replied","call_booked","call_done","yes_in_principle","materials_sent"},0)),"Y","N")</f>
        <v>N</v>
      </c>
      <c r="ES209" s="0" t="str">
        <f aca="false">IF(COUNTIFS($AP$2:$AP$1000,AP209,$ER$2:$ER$1000,"Y")+COUNTIFS($AP$2:$AP$1000,AP209,$T$2:$T$1000,"Y")&gt;0,"Y","N")</f>
        <v>N</v>
      </c>
      <c r="ET209" s="0" t="str">
        <f aca="false">IF(AND(U209="new",T209="N",AT209="Y",AS209="",ES209="N"),"Y","N")</f>
        <v>N</v>
      </c>
      <c r="EU209" s="0" t="str">
        <f aca="false">IF(ET209&lt;&gt;"Y","N",IF(COUNTIFS($AP$2:$AP$1000,AP209,$ET$2:$ET$1000,"Y",$J$2:$J$1000,"&gt;"&amp;J209)+COUNTIFS($AP$2:$AP$1000,AP209,$ET$2:$ET$1000,"Y",$J$2:$J$1000,J209,$EW$2:$EW$1000,"&lt;"&amp;EW209)=0,"Y","N"))</f>
        <v>N</v>
      </c>
      <c r="EV209" s="0" t="str">
        <f aca="false">IF(Y209="","N",IF(Y209&lt;=10,"Y","N"))</f>
        <v>N</v>
      </c>
      <c r="EW209" s="0" t="n">
        <f aca="false">ROW()-1</f>
        <v>208</v>
      </c>
    </row>
    <row r="210" customFormat="false" ht="15" hidden="false" customHeight="false" outlineLevel="0" collapsed="false">
      <c r="A210" s="0" t="s">
        <v>3365</v>
      </c>
      <c r="B210" s="0" t="s">
        <v>3366</v>
      </c>
      <c r="H210" s="5" t="s">
        <v>158</v>
      </c>
      <c r="I210" s="5" t="s">
        <v>159</v>
      </c>
      <c r="J210" s="0" t="n">
        <f aca="false">IF(AX210="pass",ROUND(CU210+CV210+CW210+CX210+CY210+CZ210,1),0)</f>
        <v>26</v>
      </c>
      <c r="K210" s="0" t="s">
        <v>3295</v>
      </c>
      <c r="L210" s="0" t="s">
        <v>163</v>
      </c>
      <c r="O210" s="0" t="s">
        <v>3367</v>
      </c>
      <c r="P210" s="0" t="s">
        <v>2706</v>
      </c>
      <c r="Q210" s="0" t="s">
        <v>2710</v>
      </c>
      <c r="R210" s="5" t="s">
        <v>162</v>
      </c>
      <c r="S210" s="0" t="s">
        <v>163</v>
      </c>
      <c r="T210" s="5" t="s">
        <v>162</v>
      </c>
      <c r="U210" s="5" t="s">
        <v>561</v>
      </c>
      <c r="V210" s="0" t="s">
        <v>2706</v>
      </c>
      <c r="W210" s="0" t="s">
        <v>166</v>
      </c>
      <c r="X210" s="0" t="s">
        <v>167</v>
      </c>
      <c r="Y210" s="0" t="str">
        <f aca="false">IF(EU210&lt;&gt;"Y","",COUNTIFS($EU$2:$EU$1000,"Y",$J$2:$J$1000,"&gt;"&amp;J210)+COUNTIFS($EU$2:$EU$1000,"Y",$J$2:$J$1000,J210,$EW$2:$EW$1000,"&lt;"&amp;EW210)+1)</f>
        <v/>
      </c>
      <c r="Z210" s="0" t="n">
        <v>209</v>
      </c>
      <c r="AA210" s="0" t="s">
        <v>162</v>
      </c>
      <c r="AD210" s="0" t="s">
        <v>158</v>
      </c>
      <c r="AH210" s="5" t="s">
        <v>158</v>
      </c>
      <c r="AI210" s="0" t="s">
        <v>1562</v>
      </c>
      <c r="AJ210" s="0" t="s">
        <v>2212</v>
      </c>
      <c r="AK210" s="0" t="s">
        <v>889</v>
      </c>
      <c r="AL210" s="0" t="s">
        <v>163</v>
      </c>
      <c r="AM210" s="0" t="s">
        <v>163</v>
      </c>
      <c r="AN210" s="0" t="s">
        <v>158</v>
      </c>
      <c r="AO210" s="0" t="s">
        <v>163</v>
      </c>
      <c r="AP210" s="0" t="s">
        <v>3365</v>
      </c>
      <c r="AQ210" s="5" t="s">
        <v>168</v>
      </c>
      <c r="AR210" s="0" t="s">
        <v>890</v>
      </c>
      <c r="AT210" s="0" t="str">
        <f aca="false">IF(AND(AX210="pass",AQ210&lt;&gt;"Y",C210&lt;&gt;"",OR(AW210&lt;&gt;"Y",AV210="Y")),"Y","N")</f>
        <v>N</v>
      </c>
      <c r="AU210" s="0" t="str">
        <f aca="false">_xlfn.TEXTJOIN("; ",TRUE(),IF(AX210&lt;&gt;"pass","gated out",""),IF(AQ210="Y","on hold: "&amp;AR210,""),IF(C210="","no contact named on an opened page",""),IF(AND(AW210="Y",AV210&lt;&gt;"Y"),"Tuesday estimate band "&amp;L210&amp;": founder's call",""))</f>
        <v>on hold: lease signed, move not confirmed: check the lobby directory before outreach (B); no contact named on an opened page</v>
      </c>
      <c r="AW210" s="0" t="s">
        <v>162</v>
      </c>
      <c r="AX210" s="0" t="s">
        <v>181</v>
      </c>
      <c r="AY210" s="0" t="s">
        <v>182</v>
      </c>
      <c r="AZ210" s="0" t="s">
        <v>1</v>
      </c>
      <c r="BA210" s="0" t="s">
        <v>3368</v>
      </c>
      <c r="BB210" s="0" t="s">
        <v>163</v>
      </c>
      <c r="BC210" s="0" t="s">
        <v>3369</v>
      </c>
      <c r="BD210" s="0" t="s">
        <v>163</v>
      </c>
      <c r="BF210" s="0" t="s">
        <v>163</v>
      </c>
      <c r="BG210" s="0" t="s">
        <v>163</v>
      </c>
      <c r="BH210" s="0" t="s">
        <v>2195</v>
      </c>
      <c r="BK210" s="0" t="s">
        <v>163</v>
      </c>
      <c r="BL210" s="0" t="s">
        <v>163</v>
      </c>
      <c r="BM210" s="0" t="s">
        <v>163</v>
      </c>
      <c r="BN210" s="0" t="s">
        <v>163</v>
      </c>
      <c r="BO210" s="0" t="s">
        <v>163</v>
      </c>
      <c r="BP210" s="0" t="s">
        <v>346</v>
      </c>
      <c r="BQ210" s="0" t="n">
        <v>40.743751</v>
      </c>
      <c r="BR210" s="0" t="n">
        <v>-73.991374</v>
      </c>
      <c r="BS210" s="0" t="s">
        <v>168</v>
      </c>
      <c r="BT210" s="0" t="n">
        <v>0</v>
      </c>
      <c r="BU210" s="0" t="s">
        <v>1569</v>
      </c>
      <c r="BV210" s="0" t="s">
        <v>1570</v>
      </c>
      <c r="BW210" s="0" t="s">
        <v>2706</v>
      </c>
      <c r="BX210" s="0" t="s">
        <v>2710</v>
      </c>
      <c r="BY210" s="0" t="s">
        <v>247</v>
      </c>
      <c r="BZ210" s="0" t="s">
        <v>3370</v>
      </c>
      <c r="CA210" s="0" t="s">
        <v>1291</v>
      </c>
      <c r="CC210" s="0" t="s">
        <v>738</v>
      </c>
      <c r="CD210" s="0" t="s">
        <v>163</v>
      </c>
      <c r="CE210" s="0" t="s">
        <v>162</v>
      </c>
      <c r="CH210" s="0" t="s">
        <v>163</v>
      </c>
      <c r="CJ210" s="0" t="s">
        <v>163</v>
      </c>
      <c r="CK210" s="0" t="s">
        <v>162</v>
      </c>
      <c r="CL210" s="0" t="s">
        <v>163</v>
      </c>
      <c r="CO210" s="0" t="s">
        <v>163</v>
      </c>
      <c r="CQ210" s="0" t="s">
        <v>2196</v>
      </c>
      <c r="CR210" s="0" t="s">
        <v>206</v>
      </c>
      <c r="CS210" s="0" t="s">
        <v>163</v>
      </c>
      <c r="CT210" s="0" t="n">
        <v>26</v>
      </c>
      <c r="CU210" s="0" t="n">
        <v>7</v>
      </c>
      <c r="CV210" s="0" t="n">
        <v>8</v>
      </c>
      <c r="CW210" s="0" t="n">
        <v>6</v>
      </c>
      <c r="CX210" s="0" t="n">
        <v>5</v>
      </c>
      <c r="CY210" s="0" t="n">
        <f aca="false">IF(AH210="exact",10,IF(AH210="adjacent",5,0))</f>
        <v>0</v>
      </c>
      <c r="CZ210" s="0" t="n">
        <f aca="false">IF(R210="Y",15,0)</f>
        <v>0</v>
      </c>
      <c r="DF210" s="0" t="s">
        <v>158</v>
      </c>
      <c r="DG210" s="0" t="s">
        <v>211</v>
      </c>
      <c r="DJ210" s="0" t="s">
        <v>3371</v>
      </c>
      <c r="DK210" s="0" t="s">
        <v>3372</v>
      </c>
      <c r="DS210" s="0" t="s">
        <v>158</v>
      </c>
      <c r="DX210" s="0" t="s">
        <v>162</v>
      </c>
      <c r="ER210" s="0" t="str">
        <f aca="false">IF(ISNUMBER(MATCH(U210,{"queued","contacted","replied","call_booked","call_done","yes_in_principle","materials_sent"},0)),"Y","N")</f>
        <v>N</v>
      </c>
      <c r="ES210" s="0" t="str">
        <f aca="false">IF(COUNTIFS($AP$2:$AP$1000,AP210,$ER$2:$ER$1000,"Y")+COUNTIFS($AP$2:$AP$1000,AP210,$T$2:$T$1000,"Y")&gt;0,"Y","N")</f>
        <v>N</v>
      </c>
      <c r="ET210" s="0" t="str">
        <f aca="false">IF(AND(U210="new",T210="N",AT210="Y",AS210="",ES210="N"),"Y","N")</f>
        <v>N</v>
      </c>
      <c r="EU210" s="0" t="str">
        <f aca="false">IF(ET210&lt;&gt;"Y","N",IF(COUNTIFS($AP$2:$AP$1000,AP210,$ET$2:$ET$1000,"Y",$J$2:$J$1000,"&gt;"&amp;J210)+COUNTIFS($AP$2:$AP$1000,AP210,$ET$2:$ET$1000,"Y",$J$2:$J$1000,J210,$EW$2:$EW$1000,"&lt;"&amp;EW210)=0,"Y","N"))</f>
        <v>N</v>
      </c>
      <c r="EV210" s="0" t="str">
        <f aca="false">IF(Y210="","N",IF(Y210&lt;=10,"Y","N"))</f>
        <v>N</v>
      </c>
      <c r="EW210" s="0" t="n">
        <f aca="false">ROW()-1</f>
        <v>209</v>
      </c>
    </row>
    <row r="211" customFormat="false" ht="15" hidden="false" customHeight="false" outlineLevel="0" collapsed="false">
      <c r="A211" s="0" t="s">
        <v>3373</v>
      </c>
      <c r="B211" s="0" t="s">
        <v>3374</v>
      </c>
      <c r="H211" s="5" t="s">
        <v>158</v>
      </c>
      <c r="I211" s="5" t="s">
        <v>159</v>
      </c>
      <c r="J211" s="0" t="n">
        <f aca="false">IF(AX211="pass",ROUND(CU211+CV211+CW211+CX211+CY211+CZ211,1),0)</f>
        <v>26</v>
      </c>
      <c r="K211" s="0" t="s">
        <v>3295</v>
      </c>
      <c r="L211" s="0" t="s">
        <v>163</v>
      </c>
      <c r="O211" s="0" t="s">
        <v>3375</v>
      </c>
      <c r="P211" s="0" t="s">
        <v>2267</v>
      </c>
      <c r="Q211" s="0" t="s">
        <v>2140</v>
      </c>
      <c r="R211" s="5" t="s">
        <v>162</v>
      </c>
      <c r="S211" s="0" t="s">
        <v>163</v>
      </c>
      <c r="T211" s="5" t="s">
        <v>162</v>
      </c>
      <c r="U211" s="5" t="s">
        <v>561</v>
      </c>
      <c r="V211" s="0" t="s">
        <v>2267</v>
      </c>
      <c r="W211" s="0" t="s">
        <v>166</v>
      </c>
      <c r="X211" s="0" t="s">
        <v>167</v>
      </c>
      <c r="Y211" s="0" t="str">
        <f aca="false">IF(EU211&lt;&gt;"Y","",COUNTIFS($EU$2:$EU$1000,"Y",$J$2:$J$1000,"&gt;"&amp;J211)+COUNTIFS($EU$2:$EU$1000,"Y",$J$2:$J$1000,J211,$EW$2:$EW$1000,"&lt;"&amp;EW211)+1)</f>
        <v/>
      </c>
      <c r="Z211" s="0" t="n">
        <v>210</v>
      </c>
      <c r="AA211" s="0" t="s">
        <v>162</v>
      </c>
      <c r="AD211" s="0" t="s">
        <v>158</v>
      </c>
      <c r="AH211" s="5" t="s">
        <v>158</v>
      </c>
      <c r="AI211" s="0" t="s">
        <v>1733</v>
      </c>
      <c r="AJ211" s="0" t="s">
        <v>3376</v>
      </c>
      <c r="AK211" s="0" t="s">
        <v>889</v>
      </c>
      <c r="AL211" s="0" t="s">
        <v>163</v>
      </c>
      <c r="AM211" s="0" t="s">
        <v>163</v>
      </c>
      <c r="AN211" s="0" t="s">
        <v>158</v>
      </c>
      <c r="AO211" s="0" t="s">
        <v>163</v>
      </c>
      <c r="AP211" s="0" t="s">
        <v>3373</v>
      </c>
      <c r="AQ211" s="5" t="s">
        <v>168</v>
      </c>
      <c r="AR211" s="0" t="s">
        <v>890</v>
      </c>
      <c r="AT211" s="0" t="str">
        <f aca="false">IF(AND(AX211="pass",AQ211&lt;&gt;"Y",C211&lt;&gt;"",OR(AW211&lt;&gt;"Y",AV211="Y")),"Y","N")</f>
        <v>N</v>
      </c>
      <c r="AU211" s="0" t="str">
        <f aca="false">_xlfn.TEXTJOIN("; ",TRUE(),IF(AX211&lt;&gt;"pass","gated out",""),IF(AQ211="Y","on hold: "&amp;AR211,""),IF(C211="","no contact named on an opened page",""),IF(AND(AW211="Y",AV211&lt;&gt;"Y"),"Tuesday estimate band "&amp;L211&amp;": founder's call",""))</f>
        <v>on hold: lease signed, move not confirmed: check the lobby directory before outreach (B); no contact named on an opened page</v>
      </c>
      <c r="AW211" s="0" t="s">
        <v>162</v>
      </c>
      <c r="AX211" s="0" t="s">
        <v>181</v>
      </c>
      <c r="AY211" s="0" t="s">
        <v>182</v>
      </c>
      <c r="AZ211" s="0" t="s">
        <v>1</v>
      </c>
      <c r="BA211" s="0" t="s">
        <v>3377</v>
      </c>
      <c r="BB211" s="0" t="s">
        <v>163</v>
      </c>
      <c r="BC211" s="0" t="s">
        <v>3378</v>
      </c>
      <c r="BD211" s="0" t="s">
        <v>163</v>
      </c>
      <c r="BF211" s="0" t="s">
        <v>163</v>
      </c>
      <c r="BG211" s="0" t="s">
        <v>163</v>
      </c>
      <c r="BH211" s="0" t="s">
        <v>2195</v>
      </c>
      <c r="BK211" s="0" t="s">
        <v>163</v>
      </c>
      <c r="BL211" s="0" t="s">
        <v>163</v>
      </c>
      <c r="BM211" s="0" t="s">
        <v>163</v>
      </c>
      <c r="BN211" s="0" t="s">
        <v>163</v>
      </c>
      <c r="BO211" s="0" t="s">
        <v>163</v>
      </c>
      <c r="BP211" s="0" t="s">
        <v>346</v>
      </c>
      <c r="BQ211" s="0" t="n">
        <v>40.743288</v>
      </c>
      <c r="BR211" s="0" t="n">
        <v>-73.986627</v>
      </c>
      <c r="BS211" s="0" t="s">
        <v>168</v>
      </c>
      <c r="BT211" s="0" t="n">
        <v>0</v>
      </c>
      <c r="BU211" s="0" t="s">
        <v>1739</v>
      </c>
      <c r="BV211" s="0" t="s">
        <v>1740</v>
      </c>
      <c r="BW211" s="0" t="s">
        <v>2267</v>
      </c>
      <c r="BX211" s="0" t="s">
        <v>2140</v>
      </c>
      <c r="BY211" s="0" t="s">
        <v>247</v>
      </c>
      <c r="CC211" s="0" t="s">
        <v>738</v>
      </c>
      <c r="CD211" s="0" t="s">
        <v>163</v>
      </c>
      <c r="CE211" s="0" t="s">
        <v>162</v>
      </c>
      <c r="CH211" s="0" t="s">
        <v>163</v>
      </c>
      <c r="CJ211" s="0" t="s">
        <v>163</v>
      </c>
      <c r="CK211" s="0" t="s">
        <v>162</v>
      </c>
      <c r="CL211" s="0" t="s">
        <v>163</v>
      </c>
      <c r="CO211" s="0" t="s">
        <v>163</v>
      </c>
      <c r="CQ211" s="0" t="s">
        <v>2196</v>
      </c>
      <c r="CR211" s="0" t="s">
        <v>206</v>
      </c>
      <c r="CS211" s="0" t="s">
        <v>163</v>
      </c>
      <c r="CT211" s="0" t="n">
        <v>26</v>
      </c>
      <c r="CU211" s="0" t="n">
        <v>7</v>
      </c>
      <c r="CV211" s="0" t="n">
        <v>8</v>
      </c>
      <c r="CW211" s="0" t="n">
        <v>6</v>
      </c>
      <c r="CX211" s="0" t="n">
        <v>5</v>
      </c>
      <c r="CY211" s="0" t="n">
        <f aca="false">IF(AH211="exact",10,IF(AH211="adjacent",5,0))</f>
        <v>0</v>
      </c>
      <c r="CZ211" s="0" t="n">
        <f aca="false">IF(R211="Y",15,0)</f>
        <v>0</v>
      </c>
      <c r="DF211" s="0" t="s">
        <v>158</v>
      </c>
      <c r="DG211" s="0" t="s">
        <v>211</v>
      </c>
      <c r="DJ211" s="0" t="s">
        <v>2711</v>
      </c>
      <c r="DK211" s="0" t="s">
        <v>3379</v>
      </c>
      <c r="DS211" s="0" t="s">
        <v>158</v>
      </c>
      <c r="DX211" s="0" t="s">
        <v>162</v>
      </c>
      <c r="ER211" s="0" t="str">
        <f aca="false">IF(ISNUMBER(MATCH(U211,{"queued","contacted","replied","call_booked","call_done","yes_in_principle","materials_sent"},0)),"Y","N")</f>
        <v>N</v>
      </c>
      <c r="ES211" s="0" t="str">
        <f aca="false">IF(COUNTIFS($AP$2:$AP$1000,AP211,$ER$2:$ER$1000,"Y")+COUNTIFS($AP$2:$AP$1000,AP211,$T$2:$T$1000,"Y")&gt;0,"Y","N")</f>
        <v>N</v>
      </c>
      <c r="ET211" s="0" t="str">
        <f aca="false">IF(AND(U211="new",T211="N",AT211="Y",AS211="",ES211="N"),"Y","N")</f>
        <v>N</v>
      </c>
      <c r="EU211" s="0" t="str">
        <f aca="false">IF(ET211&lt;&gt;"Y","N",IF(COUNTIFS($AP$2:$AP$1000,AP211,$ET$2:$ET$1000,"Y",$J$2:$J$1000,"&gt;"&amp;J211)+COUNTIFS($AP$2:$AP$1000,AP211,$ET$2:$ET$1000,"Y",$J$2:$J$1000,J211,$EW$2:$EW$1000,"&lt;"&amp;EW211)=0,"Y","N"))</f>
        <v>N</v>
      </c>
      <c r="EV211" s="0" t="str">
        <f aca="false">IF(Y211="","N",IF(Y211&lt;=10,"Y","N"))</f>
        <v>N</v>
      </c>
      <c r="EW211" s="0" t="n">
        <f aca="false">ROW()-1</f>
        <v>210</v>
      </c>
    </row>
    <row r="212" customFormat="false" ht="15" hidden="false" customHeight="false" outlineLevel="0" collapsed="false">
      <c r="A212" s="0" t="s">
        <v>3380</v>
      </c>
      <c r="B212" s="0" t="s">
        <v>3381</v>
      </c>
      <c r="H212" s="5" t="s">
        <v>158</v>
      </c>
      <c r="I212" s="5" t="s">
        <v>159</v>
      </c>
      <c r="J212" s="0" t="n">
        <f aca="false">IF(AX212="pass",ROUND(CU212+CV212+CW212+CX212+CY212+CZ212,1),0)</f>
        <v>26</v>
      </c>
      <c r="K212" s="0" t="s">
        <v>3295</v>
      </c>
      <c r="L212" s="0" t="s">
        <v>163</v>
      </c>
      <c r="O212" s="0" t="s">
        <v>3382</v>
      </c>
      <c r="P212" s="0" t="s">
        <v>2822</v>
      </c>
      <c r="Q212" s="0" t="s">
        <v>2823</v>
      </c>
      <c r="R212" s="5" t="s">
        <v>162</v>
      </c>
      <c r="S212" s="0" t="s">
        <v>163</v>
      </c>
      <c r="T212" s="5" t="s">
        <v>162</v>
      </c>
      <c r="U212" s="5" t="s">
        <v>561</v>
      </c>
      <c r="V212" s="0" t="s">
        <v>2822</v>
      </c>
      <c r="W212" s="0" t="s">
        <v>166</v>
      </c>
      <c r="X212" s="0" t="s">
        <v>167</v>
      </c>
      <c r="Y212" s="0" t="str">
        <f aca="false">IF(EU212&lt;&gt;"Y","",COUNTIFS($EU$2:$EU$1000,"Y",$J$2:$J$1000,"&gt;"&amp;J212)+COUNTIFS($EU$2:$EU$1000,"Y",$J$2:$J$1000,J212,$EW$2:$EW$1000,"&lt;"&amp;EW212)+1)</f>
        <v/>
      </c>
      <c r="Z212" s="0" t="n">
        <v>211</v>
      </c>
      <c r="AA212" s="0" t="s">
        <v>162</v>
      </c>
      <c r="AD212" s="0" t="s">
        <v>158</v>
      </c>
      <c r="AH212" s="5" t="s">
        <v>158</v>
      </c>
      <c r="AI212" s="0" t="s">
        <v>1432</v>
      </c>
      <c r="AJ212" s="0" t="s">
        <v>650</v>
      </c>
      <c r="AK212" s="0" t="s">
        <v>889</v>
      </c>
      <c r="AL212" s="0" t="s">
        <v>163</v>
      </c>
      <c r="AM212" s="0" t="s">
        <v>163</v>
      </c>
      <c r="AN212" s="0" t="s">
        <v>158</v>
      </c>
      <c r="AO212" s="0" t="s">
        <v>163</v>
      </c>
      <c r="AP212" s="0" t="s">
        <v>3380</v>
      </c>
      <c r="AQ212" s="5" t="s">
        <v>168</v>
      </c>
      <c r="AR212" s="0" t="s">
        <v>890</v>
      </c>
      <c r="AT212" s="0" t="str">
        <f aca="false">IF(AND(AX212="pass",AQ212&lt;&gt;"Y",C212&lt;&gt;"",OR(AW212&lt;&gt;"Y",AV212="Y")),"Y","N")</f>
        <v>N</v>
      </c>
      <c r="AU212" s="0" t="str">
        <f aca="false">_xlfn.TEXTJOIN("; ",TRUE(),IF(AX212&lt;&gt;"pass","gated out",""),IF(AQ212="Y","on hold: "&amp;AR212,""),IF(C212="","no contact named on an opened page",""),IF(AND(AW212="Y",AV212&lt;&gt;"Y"),"Tuesday estimate band "&amp;L212&amp;": founder's call",""))</f>
        <v>on hold: lease signed, move not confirmed: check the lobby directory before outreach (B); no contact named on an opened page</v>
      </c>
      <c r="AW212" s="0" t="s">
        <v>162</v>
      </c>
      <c r="AX212" s="0" t="s">
        <v>181</v>
      </c>
      <c r="AY212" s="0" t="s">
        <v>182</v>
      </c>
      <c r="AZ212" s="0" t="s">
        <v>1</v>
      </c>
      <c r="BA212" s="0" t="s">
        <v>3383</v>
      </c>
      <c r="BB212" s="0" t="s">
        <v>3384</v>
      </c>
      <c r="BC212" s="0" t="s">
        <v>3385</v>
      </c>
      <c r="BD212" s="0" t="s">
        <v>163</v>
      </c>
      <c r="BF212" s="0" t="s">
        <v>163</v>
      </c>
      <c r="BG212" s="0" t="s">
        <v>163</v>
      </c>
      <c r="BH212" s="0" t="s">
        <v>2195</v>
      </c>
      <c r="BK212" s="0" t="s">
        <v>163</v>
      </c>
      <c r="BL212" s="0" t="s">
        <v>163</v>
      </c>
      <c r="BM212" s="0" t="s">
        <v>163</v>
      </c>
      <c r="BN212" s="0" t="s">
        <v>163</v>
      </c>
      <c r="BO212" s="0" t="s">
        <v>163</v>
      </c>
      <c r="BP212" s="0" t="s">
        <v>346</v>
      </c>
      <c r="BQ212" s="0" t="n">
        <v>40.739363</v>
      </c>
      <c r="BR212" s="0" t="n">
        <v>-73.989534</v>
      </c>
      <c r="BS212" s="0" t="s">
        <v>168</v>
      </c>
      <c r="BT212" s="0" t="n">
        <v>0</v>
      </c>
      <c r="BU212" s="0" t="s">
        <v>1441</v>
      </c>
      <c r="BV212" s="0" t="s">
        <v>1442</v>
      </c>
      <c r="BW212" s="0" t="s">
        <v>2822</v>
      </c>
      <c r="BX212" s="0" t="s">
        <v>2823</v>
      </c>
      <c r="BY212" s="0" t="s">
        <v>247</v>
      </c>
      <c r="BZ212" s="0" t="s">
        <v>3386</v>
      </c>
      <c r="CA212" s="0" t="s">
        <v>3387</v>
      </c>
      <c r="CC212" s="0" t="s">
        <v>738</v>
      </c>
      <c r="CD212" s="0" t="s">
        <v>163</v>
      </c>
      <c r="CE212" s="0" t="s">
        <v>162</v>
      </c>
      <c r="CH212" s="0" t="s">
        <v>201</v>
      </c>
      <c r="CI212" s="0" t="s">
        <v>1444</v>
      </c>
      <c r="CJ212" s="0" t="s">
        <v>163</v>
      </c>
      <c r="CK212" s="0" t="s">
        <v>162</v>
      </c>
      <c r="CL212" s="0" t="s">
        <v>163</v>
      </c>
      <c r="CO212" s="0" t="s">
        <v>163</v>
      </c>
      <c r="CQ212" s="0" t="s">
        <v>2196</v>
      </c>
      <c r="CR212" s="0" t="s">
        <v>206</v>
      </c>
      <c r="CS212" s="0" t="s">
        <v>163</v>
      </c>
      <c r="CT212" s="0" t="n">
        <v>26</v>
      </c>
      <c r="CU212" s="0" t="n">
        <v>7</v>
      </c>
      <c r="CV212" s="0" t="n">
        <v>8</v>
      </c>
      <c r="CW212" s="0" t="n">
        <v>6</v>
      </c>
      <c r="CX212" s="0" t="n">
        <v>5</v>
      </c>
      <c r="CY212" s="0" t="n">
        <f aca="false">IF(AH212="exact",10,IF(AH212="adjacent",5,0))</f>
        <v>0</v>
      </c>
      <c r="CZ212" s="0" t="n">
        <f aca="false">IF(R212="Y",15,0)</f>
        <v>0</v>
      </c>
      <c r="DF212" s="0" t="s">
        <v>158</v>
      </c>
      <c r="DG212" s="0" t="s">
        <v>211</v>
      </c>
      <c r="DK212" s="0" t="s">
        <v>3388</v>
      </c>
      <c r="DS212" s="0" t="s">
        <v>158</v>
      </c>
      <c r="DX212" s="0" t="s">
        <v>162</v>
      </c>
      <c r="ER212" s="0" t="str">
        <f aca="false">IF(ISNUMBER(MATCH(U212,{"queued","contacted","replied","call_booked","call_done","yes_in_principle","materials_sent"},0)),"Y","N")</f>
        <v>N</v>
      </c>
      <c r="ES212" s="0" t="str">
        <f aca="false">IF(COUNTIFS($AP$2:$AP$1000,AP212,$ER$2:$ER$1000,"Y")+COUNTIFS($AP$2:$AP$1000,AP212,$T$2:$T$1000,"Y")&gt;0,"Y","N")</f>
        <v>N</v>
      </c>
      <c r="ET212" s="0" t="str">
        <f aca="false">IF(AND(U212="new",T212="N",AT212="Y",AS212="",ES212="N"),"Y","N")</f>
        <v>N</v>
      </c>
      <c r="EU212" s="0" t="str">
        <f aca="false">IF(ET212&lt;&gt;"Y","N",IF(COUNTIFS($AP$2:$AP$1000,AP212,$ET$2:$ET$1000,"Y",$J$2:$J$1000,"&gt;"&amp;J212)+COUNTIFS($AP$2:$AP$1000,AP212,$ET$2:$ET$1000,"Y",$J$2:$J$1000,J212,$EW$2:$EW$1000,"&lt;"&amp;EW212)=0,"Y","N"))</f>
        <v>N</v>
      </c>
      <c r="EV212" s="0" t="str">
        <f aca="false">IF(Y212="","N",IF(Y212&lt;=10,"Y","N"))</f>
        <v>N</v>
      </c>
      <c r="EW212" s="0" t="n">
        <f aca="false">ROW()-1</f>
        <v>211</v>
      </c>
    </row>
    <row r="213" customFormat="false" ht="15" hidden="false" customHeight="false" outlineLevel="0" collapsed="false">
      <c r="A213" s="0" t="s">
        <v>3389</v>
      </c>
      <c r="B213" s="0" t="s">
        <v>3390</v>
      </c>
      <c r="H213" s="5" t="s">
        <v>158</v>
      </c>
      <c r="I213" s="5" t="s">
        <v>159</v>
      </c>
      <c r="J213" s="0" t="n">
        <f aca="false">IF(AX213="pass",ROUND(CU213+CV213+CW213+CX213+CY213+CZ213,1),0)</f>
        <v>26</v>
      </c>
      <c r="K213" s="0" t="s">
        <v>3295</v>
      </c>
      <c r="L213" s="0" t="s">
        <v>163</v>
      </c>
      <c r="R213" s="5" t="s">
        <v>162</v>
      </c>
      <c r="S213" s="0" t="s">
        <v>163</v>
      </c>
      <c r="T213" s="5" t="s">
        <v>162</v>
      </c>
      <c r="U213" s="5" t="s">
        <v>561</v>
      </c>
      <c r="V213" s="0" t="s">
        <v>3391</v>
      </c>
      <c r="W213" s="0" t="s">
        <v>166</v>
      </c>
      <c r="X213" s="0" t="s">
        <v>167</v>
      </c>
      <c r="Y213" s="0" t="str">
        <f aca="false">IF(EU213&lt;&gt;"Y","",COUNTIFS($EU$2:$EU$1000,"Y",$J$2:$J$1000,"&gt;"&amp;J213)+COUNTIFS($EU$2:$EU$1000,"Y",$J$2:$J$1000,J213,$EW$2:$EW$1000,"&lt;"&amp;EW213)+1)</f>
        <v/>
      </c>
      <c r="Z213" s="0" t="n">
        <v>212</v>
      </c>
      <c r="AA213" s="0" t="s">
        <v>162</v>
      </c>
      <c r="AD213" s="0" t="s">
        <v>158</v>
      </c>
      <c r="AH213" s="5" t="s">
        <v>158</v>
      </c>
      <c r="AI213" s="0" t="s">
        <v>2382</v>
      </c>
      <c r="AJ213" s="0" t="s">
        <v>1257</v>
      </c>
      <c r="AK213" s="0" t="s">
        <v>889</v>
      </c>
      <c r="AL213" s="0" t="s">
        <v>163</v>
      </c>
      <c r="AM213" s="0" t="s">
        <v>163</v>
      </c>
      <c r="AN213" s="0" t="s">
        <v>158</v>
      </c>
      <c r="AO213" s="0" t="s">
        <v>163</v>
      </c>
      <c r="AP213" s="0" t="s">
        <v>3389</v>
      </c>
      <c r="AQ213" s="5" t="s">
        <v>168</v>
      </c>
      <c r="AR213" s="0" t="s">
        <v>890</v>
      </c>
      <c r="AT213" s="0" t="str">
        <f aca="false">IF(AND(AX213="pass",AQ213&lt;&gt;"Y",C213&lt;&gt;"",OR(AW213&lt;&gt;"Y",AV213="Y")),"Y","N")</f>
        <v>N</v>
      </c>
      <c r="AU213" s="0" t="str">
        <f aca="false">_xlfn.TEXTJOIN("; ",TRUE(),IF(AX213&lt;&gt;"pass","gated out",""),IF(AQ213="Y","on hold: "&amp;AR213,""),IF(C213="","no contact named on an opened page",""),IF(AND(AW213="Y",AV213&lt;&gt;"Y"),"Tuesday estimate band "&amp;L213&amp;": founder's call",""))</f>
        <v>on hold: lease signed, move not confirmed: check the lobby directory before outreach (B); no contact named on an opened page</v>
      </c>
      <c r="AW213" s="0" t="s">
        <v>162</v>
      </c>
      <c r="AX213" s="0" t="s">
        <v>181</v>
      </c>
      <c r="AY213" s="0" t="s">
        <v>182</v>
      </c>
      <c r="AZ213" s="0" t="s">
        <v>1</v>
      </c>
      <c r="BA213" s="0" t="s">
        <v>3392</v>
      </c>
      <c r="BB213" s="0" t="s">
        <v>3393</v>
      </c>
      <c r="BC213" s="0" t="s">
        <v>3394</v>
      </c>
      <c r="BD213" s="0" t="s">
        <v>163</v>
      </c>
      <c r="BF213" s="0" t="s">
        <v>163</v>
      </c>
      <c r="BG213" s="0" t="s">
        <v>163</v>
      </c>
      <c r="BH213" s="0" t="s">
        <v>2195</v>
      </c>
      <c r="BK213" s="0" t="s">
        <v>163</v>
      </c>
      <c r="BL213" s="0" t="s">
        <v>163</v>
      </c>
      <c r="BM213" s="0" t="s">
        <v>163</v>
      </c>
      <c r="BN213" s="0" t="s">
        <v>163</v>
      </c>
      <c r="BO213" s="0" t="s">
        <v>163</v>
      </c>
      <c r="BP213" s="0" t="s">
        <v>193</v>
      </c>
      <c r="BQ213" s="0" t="n">
        <v>40.73827</v>
      </c>
      <c r="BR213" s="0" t="n">
        <v>-73.988199</v>
      </c>
      <c r="BS213" s="0" t="s">
        <v>168</v>
      </c>
      <c r="BT213" s="0" t="n">
        <v>0</v>
      </c>
      <c r="BU213" s="0" t="s">
        <v>2386</v>
      </c>
      <c r="BV213" s="0" t="s">
        <v>2387</v>
      </c>
      <c r="BW213" s="0" t="s">
        <v>3391</v>
      </c>
      <c r="BX213" s="0" t="s">
        <v>3395</v>
      </c>
      <c r="BY213" s="0" t="s">
        <v>247</v>
      </c>
      <c r="BZ213" s="0" t="s">
        <v>2388</v>
      </c>
      <c r="CA213" s="0" t="s">
        <v>2389</v>
      </c>
      <c r="CC213" s="0" t="s">
        <v>738</v>
      </c>
      <c r="CD213" s="0" t="s">
        <v>163</v>
      </c>
      <c r="CE213" s="0" t="s">
        <v>162</v>
      </c>
      <c r="CH213" s="0" t="s">
        <v>163</v>
      </c>
      <c r="CJ213" s="0" t="s">
        <v>163</v>
      </c>
      <c r="CK213" s="0" t="s">
        <v>162</v>
      </c>
      <c r="CL213" s="0" t="s">
        <v>163</v>
      </c>
      <c r="CO213" s="0" t="s">
        <v>163</v>
      </c>
      <c r="CQ213" s="0" t="s">
        <v>2196</v>
      </c>
      <c r="CR213" s="0" t="s">
        <v>206</v>
      </c>
      <c r="CS213" s="0" t="s">
        <v>163</v>
      </c>
      <c r="CT213" s="0" t="n">
        <v>26</v>
      </c>
      <c r="CU213" s="0" t="n">
        <v>7</v>
      </c>
      <c r="CV213" s="0" t="n">
        <v>8</v>
      </c>
      <c r="CW213" s="0" t="n">
        <v>6</v>
      </c>
      <c r="CX213" s="0" t="n">
        <v>5</v>
      </c>
      <c r="CY213" s="0" t="n">
        <f aca="false">IF(AH213="exact",10,IF(AH213="adjacent",5,0))</f>
        <v>0</v>
      </c>
      <c r="CZ213" s="0" t="n">
        <f aca="false">IF(R213="Y",15,0)</f>
        <v>0</v>
      </c>
      <c r="DF213" s="0" t="s">
        <v>158</v>
      </c>
      <c r="DG213" s="0" t="s">
        <v>211</v>
      </c>
      <c r="DJ213" s="0" t="s">
        <v>3396</v>
      </c>
      <c r="DK213" s="0" t="s">
        <v>3397</v>
      </c>
      <c r="DS213" s="0" t="s">
        <v>158</v>
      </c>
      <c r="DX213" s="0" t="s">
        <v>162</v>
      </c>
      <c r="ER213" s="0" t="str">
        <f aca="false">IF(ISNUMBER(MATCH(U213,{"queued","contacted","replied","call_booked","call_done","yes_in_principle","materials_sent"},0)),"Y","N")</f>
        <v>N</v>
      </c>
      <c r="ES213" s="0" t="str">
        <f aca="false">IF(COUNTIFS($AP$2:$AP$1000,AP213,$ER$2:$ER$1000,"Y")+COUNTIFS($AP$2:$AP$1000,AP213,$T$2:$T$1000,"Y")&gt;0,"Y","N")</f>
        <v>N</v>
      </c>
      <c r="ET213" s="0" t="str">
        <f aca="false">IF(AND(U213="new",T213="N",AT213="Y",AS213="",ES213="N"),"Y","N")</f>
        <v>N</v>
      </c>
      <c r="EU213" s="0" t="str">
        <f aca="false">IF(ET213&lt;&gt;"Y","N",IF(COUNTIFS($AP$2:$AP$1000,AP213,$ET$2:$ET$1000,"Y",$J$2:$J$1000,"&gt;"&amp;J213)+COUNTIFS($AP$2:$AP$1000,AP213,$ET$2:$ET$1000,"Y",$J$2:$J$1000,J213,$EW$2:$EW$1000,"&lt;"&amp;EW213)=0,"Y","N"))</f>
        <v>N</v>
      </c>
      <c r="EV213" s="0" t="str">
        <f aca="false">IF(Y213="","N",IF(Y213&lt;=10,"Y","N"))</f>
        <v>N</v>
      </c>
      <c r="EW213" s="0" t="n">
        <f aca="false">ROW()-1</f>
        <v>212</v>
      </c>
    </row>
    <row r="214" customFormat="false" ht="15" hidden="false" customHeight="false" outlineLevel="0" collapsed="false">
      <c r="A214" s="0" t="s">
        <v>3398</v>
      </c>
      <c r="B214" s="0" t="s">
        <v>3399</v>
      </c>
      <c r="H214" s="5" t="s">
        <v>158</v>
      </c>
      <c r="I214" s="5" t="s">
        <v>159</v>
      </c>
      <c r="J214" s="0" t="n">
        <f aca="false">IF(AX214="pass",ROUND(CU214+CV214+CW214+CX214+CY214+CZ214,1),0)</f>
        <v>26</v>
      </c>
      <c r="K214" s="0" t="s">
        <v>3400</v>
      </c>
      <c r="L214" s="0" t="s">
        <v>163</v>
      </c>
      <c r="R214" s="5" t="s">
        <v>162</v>
      </c>
      <c r="S214" s="0" t="s">
        <v>163</v>
      </c>
      <c r="T214" s="5" t="s">
        <v>162</v>
      </c>
      <c r="U214" s="5" t="s">
        <v>561</v>
      </c>
      <c r="V214" s="0" t="s">
        <v>3401</v>
      </c>
      <c r="W214" s="0" t="s">
        <v>166</v>
      </c>
      <c r="X214" s="0" t="s">
        <v>167</v>
      </c>
      <c r="Y214" s="0" t="str">
        <f aca="false">IF(EU214&lt;&gt;"Y","",COUNTIFS($EU$2:$EU$1000,"Y",$J$2:$J$1000,"&gt;"&amp;J214)+COUNTIFS($EU$2:$EU$1000,"Y",$J$2:$J$1000,J214,$EW$2:$EW$1000,"&lt;"&amp;EW214)+1)</f>
        <v/>
      </c>
      <c r="Z214" s="0" t="n">
        <v>213</v>
      </c>
      <c r="AA214" s="0" t="s">
        <v>162</v>
      </c>
      <c r="AD214" s="0" t="s">
        <v>158</v>
      </c>
      <c r="AH214" s="5" t="s">
        <v>158</v>
      </c>
      <c r="AI214" s="0" t="s">
        <v>1611</v>
      </c>
      <c r="AJ214" s="0" t="s">
        <v>3402</v>
      </c>
      <c r="AK214" s="0" t="s">
        <v>434</v>
      </c>
      <c r="AL214" s="0" t="s">
        <v>163</v>
      </c>
      <c r="AM214" s="0" t="s">
        <v>163</v>
      </c>
      <c r="AN214" s="0" t="s">
        <v>158</v>
      </c>
      <c r="AO214" s="0" t="s">
        <v>163</v>
      </c>
      <c r="AP214" s="0" t="s">
        <v>3398</v>
      </c>
      <c r="AQ214" s="5" t="s">
        <v>162</v>
      </c>
      <c r="AT214" s="0" t="str">
        <f aca="false">IF(AND(AX214="pass",AQ214&lt;&gt;"Y",C214&lt;&gt;"",OR(AW214&lt;&gt;"Y",AV214="Y")),"Y","N")</f>
        <v>N</v>
      </c>
      <c r="AU214" s="0" t="str">
        <f aca="false">_xlfn.TEXTJOIN("; ",TRUE(),IF(AX214&lt;&gt;"pass","gated out",""),IF(AQ214="Y","on hold: "&amp;AR214,""),IF(C214="","no contact named on an opened page",""),IF(AND(AW214="Y",AV214&lt;&gt;"Y"),"Tuesday estimate band "&amp;L214&amp;": founder's call",""))</f>
        <v>no contact named on an opened page</v>
      </c>
      <c r="AW214" s="0" t="s">
        <v>162</v>
      </c>
      <c r="AX214" s="0" t="s">
        <v>181</v>
      </c>
      <c r="AY214" s="0" t="s">
        <v>182</v>
      </c>
      <c r="AZ214" s="0" t="s">
        <v>1</v>
      </c>
      <c r="BA214" s="0" t="s">
        <v>3403</v>
      </c>
      <c r="BB214" s="0" t="s">
        <v>3404</v>
      </c>
      <c r="BC214" s="0" t="s">
        <v>3405</v>
      </c>
      <c r="BD214" s="0" t="s">
        <v>163</v>
      </c>
      <c r="BF214" s="0" t="s">
        <v>163</v>
      </c>
      <c r="BG214" s="0" t="s">
        <v>163</v>
      </c>
      <c r="BH214" s="0" t="s">
        <v>2195</v>
      </c>
      <c r="BK214" s="0" t="s">
        <v>163</v>
      </c>
      <c r="BL214" s="0" t="s">
        <v>163</v>
      </c>
      <c r="BM214" s="0" t="s">
        <v>163</v>
      </c>
      <c r="BN214" s="0" t="s">
        <v>163</v>
      </c>
      <c r="BO214" s="0" t="s">
        <v>163</v>
      </c>
      <c r="BP214" s="0" t="s">
        <v>346</v>
      </c>
      <c r="BQ214" s="0" t="n">
        <v>40.738577</v>
      </c>
      <c r="BR214" s="0" t="n">
        <v>-73.987151</v>
      </c>
      <c r="BS214" s="0" t="s">
        <v>168</v>
      </c>
      <c r="BT214" s="0" t="n">
        <v>0</v>
      </c>
      <c r="BU214" s="0" t="s">
        <v>1617</v>
      </c>
      <c r="BV214" s="0" t="s">
        <v>1618</v>
      </c>
      <c r="BW214" s="0" t="s">
        <v>3401</v>
      </c>
      <c r="BX214" s="0" t="s">
        <v>3406</v>
      </c>
      <c r="BY214" s="0" t="s">
        <v>247</v>
      </c>
      <c r="CC214" s="0" t="s">
        <v>179</v>
      </c>
      <c r="CE214" s="0" t="s">
        <v>162</v>
      </c>
      <c r="CH214" s="0" t="s">
        <v>163</v>
      </c>
      <c r="CJ214" s="0" t="s">
        <v>163</v>
      </c>
      <c r="CK214" s="0" t="s">
        <v>162</v>
      </c>
      <c r="CL214" s="0" t="s">
        <v>163</v>
      </c>
      <c r="CO214" s="0" t="s">
        <v>163</v>
      </c>
      <c r="CQ214" s="0" t="s">
        <v>2196</v>
      </c>
      <c r="CR214" s="0" t="s">
        <v>206</v>
      </c>
      <c r="CS214" s="0" t="s">
        <v>163</v>
      </c>
      <c r="CT214" s="0" t="n">
        <v>26</v>
      </c>
      <c r="CU214" s="0" t="n">
        <v>7</v>
      </c>
      <c r="CV214" s="0" t="n">
        <v>8</v>
      </c>
      <c r="CW214" s="0" t="n">
        <v>6</v>
      </c>
      <c r="CX214" s="0" t="n">
        <v>5</v>
      </c>
      <c r="CY214" s="0" t="n">
        <f aca="false">IF(AH214="exact",10,IF(AH214="adjacent",5,0))</f>
        <v>0</v>
      </c>
      <c r="CZ214" s="0" t="n">
        <f aca="false">IF(R214="Y",15,0)</f>
        <v>0</v>
      </c>
      <c r="DF214" s="0" t="s">
        <v>158</v>
      </c>
      <c r="DG214" s="0" t="s">
        <v>211</v>
      </c>
      <c r="DJ214" s="0" t="s">
        <v>3407</v>
      </c>
      <c r="DK214" s="0" t="s">
        <v>3408</v>
      </c>
      <c r="DS214" s="0" t="s">
        <v>158</v>
      </c>
      <c r="DX214" s="0" t="s">
        <v>162</v>
      </c>
      <c r="ER214" s="0" t="str">
        <f aca="false">IF(ISNUMBER(MATCH(U214,{"queued","contacted","replied","call_booked","call_done","yes_in_principle","materials_sent"},0)),"Y","N")</f>
        <v>N</v>
      </c>
      <c r="ES214" s="0" t="str">
        <f aca="false">IF(COUNTIFS($AP$2:$AP$1000,AP214,$ER$2:$ER$1000,"Y")+COUNTIFS($AP$2:$AP$1000,AP214,$T$2:$T$1000,"Y")&gt;0,"Y","N")</f>
        <v>N</v>
      </c>
      <c r="ET214" s="0" t="str">
        <f aca="false">IF(AND(U214="new",T214="N",AT214="Y",AS214="",ES214="N"),"Y","N")</f>
        <v>N</v>
      </c>
      <c r="EU214" s="0" t="str">
        <f aca="false">IF(ET214&lt;&gt;"Y","N",IF(COUNTIFS($AP$2:$AP$1000,AP214,$ET$2:$ET$1000,"Y",$J$2:$J$1000,"&gt;"&amp;J214)+COUNTIFS($AP$2:$AP$1000,AP214,$ET$2:$ET$1000,"Y",$J$2:$J$1000,J214,$EW$2:$EW$1000,"&lt;"&amp;EW214)=0,"Y","N"))</f>
        <v>N</v>
      </c>
      <c r="EV214" s="0" t="str">
        <f aca="false">IF(Y214="","N",IF(Y214&lt;=10,"Y","N"))</f>
        <v>N</v>
      </c>
      <c r="EW214" s="0" t="n">
        <f aca="false">ROW()-1</f>
        <v>213</v>
      </c>
    </row>
    <row r="215" customFormat="false" ht="15" hidden="false" customHeight="false" outlineLevel="0" collapsed="false">
      <c r="A215" s="0" t="s">
        <v>3409</v>
      </c>
      <c r="B215" s="0" t="s">
        <v>3410</v>
      </c>
      <c r="H215" s="5" t="s">
        <v>158</v>
      </c>
      <c r="I215" s="5" t="s">
        <v>159</v>
      </c>
      <c r="J215" s="0" t="n">
        <f aca="false">IF(AX215="pass",ROUND(CU215+CV215+CW215+CX215+CY215+CZ215,1),0)</f>
        <v>26</v>
      </c>
      <c r="K215" s="0" t="s">
        <v>3400</v>
      </c>
      <c r="L215" s="0" t="s">
        <v>163</v>
      </c>
      <c r="R215" s="5" t="s">
        <v>162</v>
      </c>
      <c r="S215" s="0" t="s">
        <v>163</v>
      </c>
      <c r="T215" s="5" t="s">
        <v>162</v>
      </c>
      <c r="U215" s="5" t="s">
        <v>561</v>
      </c>
      <c r="V215" s="0" t="s">
        <v>3411</v>
      </c>
      <c r="W215" s="0" t="s">
        <v>166</v>
      </c>
      <c r="X215" s="0" t="s">
        <v>167</v>
      </c>
      <c r="Y215" s="0" t="str">
        <f aca="false">IF(EU215&lt;&gt;"Y","",COUNTIFS($EU$2:$EU$1000,"Y",$J$2:$J$1000,"&gt;"&amp;J215)+COUNTIFS($EU$2:$EU$1000,"Y",$J$2:$J$1000,J215,$EW$2:$EW$1000,"&lt;"&amp;EW215)+1)</f>
        <v/>
      </c>
      <c r="Z215" s="0" t="n">
        <v>214</v>
      </c>
      <c r="AA215" s="0" t="s">
        <v>162</v>
      </c>
      <c r="AD215" s="0" t="s">
        <v>158</v>
      </c>
      <c r="AH215" s="5" t="s">
        <v>158</v>
      </c>
      <c r="AI215" s="0" t="s">
        <v>1526</v>
      </c>
      <c r="AJ215" s="0" t="s">
        <v>433</v>
      </c>
      <c r="AK215" s="0" t="s">
        <v>434</v>
      </c>
      <c r="AL215" s="0" t="s">
        <v>163</v>
      </c>
      <c r="AM215" s="0" t="s">
        <v>163</v>
      </c>
      <c r="AN215" s="0" t="s">
        <v>158</v>
      </c>
      <c r="AO215" s="0" t="s">
        <v>163</v>
      </c>
      <c r="AP215" s="0" t="s">
        <v>3409</v>
      </c>
      <c r="AQ215" s="5" t="s">
        <v>162</v>
      </c>
      <c r="AT215" s="0" t="str">
        <f aca="false">IF(AND(AX215="pass",AQ215&lt;&gt;"Y",C215&lt;&gt;"",OR(AW215&lt;&gt;"Y",AV215="Y")),"Y","N")</f>
        <v>N</v>
      </c>
      <c r="AU215" s="0" t="str">
        <f aca="false">_xlfn.TEXTJOIN("; ",TRUE(),IF(AX215&lt;&gt;"pass","gated out",""),IF(AQ215="Y","on hold: "&amp;AR215,""),IF(C215="","no contact named on an opened page",""),IF(AND(AW215="Y",AV215&lt;&gt;"Y"),"Tuesday estimate band "&amp;L215&amp;": founder's call",""))</f>
        <v>no contact named on an opened page</v>
      </c>
      <c r="AW215" s="0" t="s">
        <v>162</v>
      </c>
      <c r="AX215" s="0" t="s">
        <v>181</v>
      </c>
      <c r="AY215" s="0" t="s">
        <v>182</v>
      </c>
      <c r="AZ215" s="0" t="s">
        <v>1</v>
      </c>
      <c r="BA215" s="0" t="s">
        <v>3412</v>
      </c>
      <c r="BB215" s="0" t="s">
        <v>163</v>
      </c>
      <c r="BC215" s="0" t="s">
        <v>3413</v>
      </c>
      <c r="BD215" s="0" t="s">
        <v>163</v>
      </c>
      <c r="BF215" s="0" t="s">
        <v>163</v>
      </c>
      <c r="BG215" s="0" t="s">
        <v>163</v>
      </c>
      <c r="BH215" s="0" t="s">
        <v>2195</v>
      </c>
      <c r="BK215" s="0" t="s">
        <v>163</v>
      </c>
      <c r="BL215" s="0" t="s">
        <v>163</v>
      </c>
      <c r="BM215" s="0" t="s">
        <v>163</v>
      </c>
      <c r="BN215" s="0" t="s">
        <v>163</v>
      </c>
      <c r="BO215" s="0" t="s">
        <v>163</v>
      </c>
      <c r="BP215" s="0" t="s">
        <v>243</v>
      </c>
      <c r="BQ215" s="0" t="n">
        <v>40.745027</v>
      </c>
      <c r="BR215" s="0" t="n">
        <v>-73.986825</v>
      </c>
      <c r="BS215" s="0" t="s">
        <v>168</v>
      </c>
      <c r="BT215" s="0" t="n">
        <v>0</v>
      </c>
      <c r="BU215" s="0" t="s">
        <v>1533</v>
      </c>
      <c r="BV215" s="0" t="s">
        <v>1534</v>
      </c>
      <c r="BW215" s="0" t="s">
        <v>3411</v>
      </c>
      <c r="BX215" s="0" t="s">
        <v>3414</v>
      </c>
      <c r="BY215" s="0" t="s">
        <v>247</v>
      </c>
      <c r="CC215" s="0" t="s">
        <v>179</v>
      </c>
      <c r="CE215" s="0" t="s">
        <v>162</v>
      </c>
      <c r="CH215" s="0" t="s">
        <v>201</v>
      </c>
      <c r="CI215" s="0" t="s">
        <v>1536</v>
      </c>
      <c r="CJ215" s="0" t="s">
        <v>163</v>
      </c>
      <c r="CK215" s="0" t="s">
        <v>162</v>
      </c>
      <c r="CL215" s="0" t="s">
        <v>163</v>
      </c>
      <c r="CO215" s="0" t="s">
        <v>163</v>
      </c>
      <c r="CQ215" s="0" t="s">
        <v>2196</v>
      </c>
      <c r="CR215" s="0" t="s">
        <v>206</v>
      </c>
      <c r="CS215" s="0" t="s">
        <v>163</v>
      </c>
      <c r="CT215" s="0" t="n">
        <v>26</v>
      </c>
      <c r="CU215" s="0" t="n">
        <v>7</v>
      </c>
      <c r="CV215" s="0" t="n">
        <v>8</v>
      </c>
      <c r="CW215" s="0" t="n">
        <v>6</v>
      </c>
      <c r="CX215" s="0" t="n">
        <v>5</v>
      </c>
      <c r="CY215" s="0" t="n">
        <f aca="false">IF(AH215="exact",10,IF(AH215="adjacent",5,0))</f>
        <v>0</v>
      </c>
      <c r="CZ215" s="0" t="n">
        <f aca="false">IF(R215="Y",15,0)</f>
        <v>0</v>
      </c>
      <c r="DF215" s="0" t="s">
        <v>158</v>
      </c>
      <c r="DG215" s="0" t="s">
        <v>211</v>
      </c>
      <c r="DJ215" s="0" t="s">
        <v>3415</v>
      </c>
      <c r="DK215" s="0" t="s">
        <v>3416</v>
      </c>
      <c r="DS215" s="0" t="s">
        <v>158</v>
      </c>
      <c r="DX215" s="0" t="s">
        <v>162</v>
      </c>
      <c r="ER215" s="0" t="str">
        <f aca="false">IF(ISNUMBER(MATCH(U215,{"queued","contacted","replied","call_booked","call_done","yes_in_principle","materials_sent"},0)),"Y","N")</f>
        <v>N</v>
      </c>
      <c r="ES215" s="0" t="str">
        <f aca="false">IF(COUNTIFS($AP$2:$AP$1000,AP215,$ER$2:$ER$1000,"Y")+COUNTIFS($AP$2:$AP$1000,AP215,$T$2:$T$1000,"Y")&gt;0,"Y","N")</f>
        <v>N</v>
      </c>
      <c r="ET215" s="0" t="str">
        <f aca="false">IF(AND(U215="new",T215="N",AT215="Y",AS215="",ES215="N"),"Y","N")</f>
        <v>N</v>
      </c>
      <c r="EU215" s="0" t="str">
        <f aca="false">IF(ET215&lt;&gt;"Y","N",IF(COUNTIFS($AP$2:$AP$1000,AP215,$ET$2:$ET$1000,"Y",$J$2:$J$1000,"&gt;"&amp;J215)+COUNTIFS($AP$2:$AP$1000,AP215,$ET$2:$ET$1000,"Y",$J$2:$J$1000,J215,$EW$2:$EW$1000,"&lt;"&amp;EW215)=0,"Y","N"))</f>
        <v>N</v>
      </c>
      <c r="EV215" s="0" t="str">
        <f aca="false">IF(Y215="","N",IF(Y215&lt;=10,"Y","N"))</f>
        <v>N</v>
      </c>
      <c r="EW215" s="0" t="n">
        <f aca="false">ROW()-1</f>
        <v>214</v>
      </c>
    </row>
    <row r="216" customFormat="false" ht="15" hidden="false" customHeight="false" outlineLevel="0" collapsed="false">
      <c r="A216" s="0" t="s">
        <v>3417</v>
      </c>
      <c r="B216" s="0" t="s">
        <v>3418</v>
      </c>
      <c r="H216" s="5" t="s">
        <v>158</v>
      </c>
      <c r="I216" s="5" t="s">
        <v>159</v>
      </c>
      <c r="J216" s="0" t="n">
        <f aca="false">IF(AX216="pass",ROUND(CU216+CV216+CW216+CX216+CY216+CZ216,1),0)</f>
        <v>26</v>
      </c>
      <c r="K216" s="0" t="s">
        <v>3400</v>
      </c>
      <c r="L216" s="0" t="s">
        <v>163</v>
      </c>
      <c r="R216" s="5" t="s">
        <v>162</v>
      </c>
      <c r="S216" s="0" t="s">
        <v>163</v>
      </c>
      <c r="T216" s="5" t="s">
        <v>162</v>
      </c>
      <c r="U216" s="5" t="s">
        <v>561</v>
      </c>
      <c r="V216" s="0" t="s">
        <v>3419</v>
      </c>
      <c r="W216" s="0" t="s">
        <v>166</v>
      </c>
      <c r="X216" s="0" t="s">
        <v>167</v>
      </c>
      <c r="Y216" s="0" t="str">
        <f aca="false">IF(EU216&lt;&gt;"Y","",COUNTIFS($EU$2:$EU$1000,"Y",$J$2:$J$1000,"&gt;"&amp;J216)+COUNTIFS($EU$2:$EU$1000,"Y",$J$2:$J$1000,J216,$EW$2:$EW$1000,"&lt;"&amp;EW216)+1)</f>
        <v/>
      </c>
      <c r="Z216" s="0" t="n">
        <v>215</v>
      </c>
      <c r="AA216" s="0" t="s">
        <v>162</v>
      </c>
      <c r="AD216" s="0" t="s">
        <v>158</v>
      </c>
      <c r="AH216" s="5" t="s">
        <v>158</v>
      </c>
      <c r="AI216" s="0" t="s">
        <v>2335</v>
      </c>
      <c r="AJ216" s="0" t="s">
        <v>163</v>
      </c>
      <c r="AK216" s="0" t="s">
        <v>434</v>
      </c>
      <c r="AL216" s="0" t="s">
        <v>163</v>
      </c>
      <c r="AM216" s="0" t="s">
        <v>163</v>
      </c>
      <c r="AN216" s="0" t="s">
        <v>158</v>
      </c>
      <c r="AO216" s="0" t="s">
        <v>163</v>
      </c>
      <c r="AP216" s="0" t="s">
        <v>3417</v>
      </c>
      <c r="AQ216" s="5" t="s">
        <v>162</v>
      </c>
      <c r="AT216" s="0" t="str">
        <f aca="false">IF(AND(AX216="pass",AQ216&lt;&gt;"Y",C216&lt;&gt;"",OR(AW216&lt;&gt;"Y",AV216="Y")),"Y","N")</f>
        <v>N</v>
      </c>
      <c r="AU216" s="0" t="str">
        <f aca="false">_xlfn.TEXTJOIN("; ",TRUE(),IF(AX216&lt;&gt;"pass","gated out",""),IF(AQ216="Y","on hold: "&amp;AR216,""),IF(C216="","no contact named on an opened page",""),IF(AND(AW216="Y",AV216&lt;&gt;"Y"),"Tuesday estimate band "&amp;L216&amp;": founder's call",""))</f>
        <v>no contact named on an opened page</v>
      </c>
      <c r="AW216" s="0" t="s">
        <v>162</v>
      </c>
      <c r="AX216" s="0" t="s">
        <v>181</v>
      </c>
      <c r="AY216" s="0" t="s">
        <v>182</v>
      </c>
      <c r="AZ216" s="0" t="s">
        <v>1</v>
      </c>
      <c r="BA216" s="0" t="s">
        <v>3420</v>
      </c>
      <c r="BB216" s="0" t="s">
        <v>3421</v>
      </c>
      <c r="BC216" s="0" t="s">
        <v>3413</v>
      </c>
      <c r="BD216" s="0" t="s">
        <v>163</v>
      </c>
      <c r="BF216" s="0" t="s">
        <v>163</v>
      </c>
      <c r="BG216" s="0" t="s">
        <v>163</v>
      </c>
      <c r="BH216" s="0" t="s">
        <v>2195</v>
      </c>
      <c r="BK216" s="0" t="s">
        <v>163</v>
      </c>
      <c r="BL216" s="0" t="s">
        <v>163</v>
      </c>
      <c r="BM216" s="0" t="s">
        <v>163</v>
      </c>
      <c r="BN216" s="0" t="s">
        <v>163</v>
      </c>
      <c r="BO216" s="0" t="s">
        <v>163</v>
      </c>
      <c r="BP216" s="0" t="s">
        <v>243</v>
      </c>
      <c r="BQ216" s="0" t="n">
        <v>40.7425</v>
      </c>
      <c r="BR216" s="0" t="n">
        <v>-73.984446</v>
      </c>
      <c r="BS216" s="0" t="s">
        <v>168</v>
      </c>
      <c r="BT216" s="0" t="n">
        <v>0</v>
      </c>
      <c r="BU216" s="0" t="s">
        <v>2340</v>
      </c>
      <c r="BV216" s="0" t="s">
        <v>2341</v>
      </c>
      <c r="BW216" s="0" t="s">
        <v>3419</v>
      </c>
      <c r="BX216" s="0" t="s">
        <v>3422</v>
      </c>
      <c r="BY216" s="0" t="s">
        <v>247</v>
      </c>
      <c r="CC216" s="0" t="s">
        <v>179</v>
      </c>
      <c r="CE216" s="0" t="s">
        <v>162</v>
      </c>
      <c r="CH216" s="0" t="s">
        <v>163</v>
      </c>
      <c r="CJ216" s="0" t="s">
        <v>163</v>
      </c>
      <c r="CK216" s="0" t="s">
        <v>162</v>
      </c>
      <c r="CL216" s="0" t="s">
        <v>163</v>
      </c>
      <c r="CO216" s="0" t="s">
        <v>163</v>
      </c>
      <c r="CQ216" s="0" t="s">
        <v>2196</v>
      </c>
      <c r="CR216" s="0" t="s">
        <v>206</v>
      </c>
      <c r="CS216" s="0" t="s">
        <v>163</v>
      </c>
      <c r="CT216" s="0" t="n">
        <v>26</v>
      </c>
      <c r="CU216" s="0" t="n">
        <v>7</v>
      </c>
      <c r="CV216" s="0" t="n">
        <v>8</v>
      </c>
      <c r="CW216" s="0" t="n">
        <v>6</v>
      </c>
      <c r="CX216" s="0" t="n">
        <v>5</v>
      </c>
      <c r="CY216" s="0" t="n">
        <f aca="false">IF(AH216="exact",10,IF(AH216="adjacent",5,0))</f>
        <v>0</v>
      </c>
      <c r="CZ216" s="0" t="n">
        <f aca="false">IF(R216="Y",15,0)</f>
        <v>0</v>
      </c>
      <c r="DF216" s="0" t="s">
        <v>158</v>
      </c>
      <c r="DG216" s="0" t="s">
        <v>211</v>
      </c>
      <c r="DJ216" s="0" t="s">
        <v>2673</v>
      </c>
      <c r="DK216" s="0" t="s">
        <v>3423</v>
      </c>
      <c r="DS216" s="0" t="s">
        <v>158</v>
      </c>
      <c r="DX216" s="0" t="s">
        <v>162</v>
      </c>
      <c r="ER216" s="0" t="str">
        <f aca="false">IF(ISNUMBER(MATCH(U216,{"queued","contacted","replied","call_booked","call_done","yes_in_principle","materials_sent"},0)),"Y","N")</f>
        <v>N</v>
      </c>
      <c r="ES216" s="0" t="str">
        <f aca="false">IF(COUNTIFS($AP$2:$AP$1000,AP216,$ER$2:$ER$1000,"Y")+COUNTIFS($AP$2:$AP$1000,AP216,$T$2:$T$1000,"Y")&gt;0,"Y","N")</f>
        <v>N</v>
      </c>
      <c r="ET216" s="0" t="str">
        <f aca="false">IF(AND(U216="new",T216="N",AT216="Y",AS216="",ES216="N"),"Y","N")</f>
        <v>N</v>
      </c>
      <c r="EU216" s="0" t="str">
        <f aca="false">IF(ET216&lt;&gt;"Y","N",IF(COUNTIFS($AP$2:$AP$1000,AP216,$ET$2:$ET$1000,"Y",$J$2:$J$1000,"&gt;"&amp;J216)+COUNTIFS($AP$2:$AP$1000,AP216,$ET$2:$ET$1000,"Y",$J$2:$J$1000,J216,$EW$2:$EW$1000,"&lt;"&amp;EW216)=0,"Y","N"))</f>
        <v>N</v>
      </c>
      <c r="EV216" s="0" t="str">
        <f aca="false">IF(Y216="","N",IF(Y216&lt;=10,"Y","N"))</f>
        <v>N</v>
      </c>
      <c r="EW216" s="0" t="n">
        <f aca="false">ROW()-1</f>
        <v>215</v>
      </c>
    </row>
    <row r="217" customFormat="false" ht="15" hidden="false" customHeight="false" outlineLevel="0" collapsed="false">
      <c r="A217" s="0" t="s">
        <v>3424</v>
      </c>
      <c r="B217" s="0" t="s">
        <v>3425</v>
      </c>
      <c r="H217" s="5" t="s">
        <v>158</v>
      </c>
      <c r="I217" s="5" t="s">
        <v>159</v>
      </c>
      <c r="J217" s="0" t="n">
        <f aca="false">IF(AX217="pass",ROUND(CU217+CV217+CW217+CX217+CY217+CZ217,1),0)</f>
        <v>26</v>
      </c>
      <c r="K217" s="0" t="s">
        <v>3400</v>
      </c>
      <c r="L217" s="0" t="s">
        <v>163</v>
      </c>
      <c r="R217" s="5" t="s">
        <v>162</v>
      </c>
      <c r="S217" s="0" t="s">
        <v>163</v>
      </c>
      <c r="T217" s="5" t="s">
        <v>162</v>
      </c>
      <c r="U217" s="5" t="s">
        <v>561</v>
      </c>
      <c r="V217" s="0" t="s">
        <v>3426</v>
      </c>
      <c r="W217" s="0" t="s">
        <v>166</v>
      </c>
      <c r="X217" s="0" t="s">
        <v>167</v>
      </c>
      <c r="Y217" s="0" t="str">
        <f aca="false">IF(EU217&lt;&gt;"Y","",COUNTIFS($EU$2:$EU$1000,"Y",$J$2:$J$1000,"&gt;"&amp;J217)+COUNTIFS($EU$2:$EU$1000,"Y",$J$2:$J$1000,J217,$EW$2:$EW$1000,"&lt;"&amp;EW217)+1)</f>
        <v/>
      </c>
      <c r="Z217" s="0" t="n">
        <v>216</v>
      </c>
      <c r="AA217" s="0" t="s">
        <v>162</v>
      </c>
      <c r="AD217" s="0" t="s">
        <v>158</v>
      </c>
      <c r="AH217" s="5" t="s">
        <v>158</v>
      </c>
      <c r="AI217" s="0" t="s">
        <v>2407</v>
      </c>
      <c r="AJ217" s="0" t="s">
        <v>3427</v>
      </c>
      <c r="AK217" s="0" t="s">
        <v>434</v>
      </c>
      <c r="AL217" s="0" t="s">
        <v>163</v>
      </c>
      <c r="AM217" s="0" t="s">
        <v>163</v>
      </c>
      <c r="AN217" s="0" t="s">
        <v>158</v>
      </c>
      <c r="AO217" s="0" t="s">
        <v>163</v>
      </c>
      <c r="AP217" s="0" t="s">
        <v>3424</v>
      </c>
      <c r="AQ217" s="5" t="s">
        <v>162</v>
      </c>
      <c r="AT217" s="0" t="str">
        <f aca="false">IF(AND(AX217="pass",AQ217&lt;&gt;"Y",C217&lt;&gt;"",OR(AW217&lt;&gt;"Y",AV217="Y")),"Y","N")</f>
        <v>N</v>
      </c>
      <c r="AU217" s="0" t="str">
        <f aca="false">_xlfn.TEXTJOIN("; ",TRUE(),IF(AX217&lt;&gt;"pass","gated out",""),IF(AQ217="Y","on hold: "&amp;AR217,""),IF(C217="","no contact named on an opened page",""),IF(AND(AW217="Y",AV217&lt;&gt;"Y"),"Tuesday estimate band "&amp;L217&amp;": founder's call",""))</f>
        <v>no contact named on an opened page</v>
      </c>
      <c r="AW217" s="0" t="s">
        <v>162</v>
      </c>
      <c r="AX217" s="0" t="s">
        <v>181</v>
      </c>
      <c r="AY217" s="0" t="s">
        <v>182</v>
      </c>
      <c r="AZ217" s="0" t="s">
        <v>1</v>
      </c>
      <c r="BA217" s="0" t="s">
        <v>3428</v>
      </c>
      <c r="BB217" s="0" t="s">
        <v>163</v>
      </c>
      <c r="BC217" s="0" t="s">
        <v>3429</v>
      </c>
      <c r="BD217" s="0" t="s">
        <v>163</v>
      </c>
      <c r="BF217" s="0" t="s">
        <v>163</v>
      </c>
      <c r="BG217" s="0" t="s">
        <v>163</v>
      </c>
      <c r="BH217" s="0" t="s">
        <v>2195</v>
      </c>
      <c r="BK217" s="0" t="s">
        <v>163</v>
      </c>
      <c r="BL217" s="0" t="s">
        <v>163</v>
      </c>
      <c r="BM217" s="0" t="s">
        <v>163</v>
      </c>
      <c r="BN217" s="0" t="s">
        <v>163</v>
      </c>
      <c r="BO217" s="0" t="s">
        <v>163</v>
      </c>
      <c r="BP217" s="0" t="s">
        <v>346</v>
      </c>
      <c r="BQ217" s="0" t="n">
        <v>40.742477</v>
      </c>
      <c r="BR217" s="0" t="n">
        <v>-73.986608</v>
      </c>
      <c r="BS217" s="0" t="s">
        <v>168</v>
      </c>
      <c r="BT217" s="0" t="n">
        <v>0</v>
      </c>
      <c r="BU217" s="0" t="s">
        <v>2412</v>
      </c>
      <c r="BV217" s="0" t="s">
        <v>2413</v>
      </c>
      <c r="BW217" s="0" t="s">
        <v>3426</v>
      </c>
      <c r="BX217" s="0" t="s">
        <v>3430</v>
      </c>
      <c r="BY217" s="0" t="s">
        <v>247</v>
      </c>
      <c r="CC217" s="0" t="s">
        <v>179</v>
      </c>
      <c r="CE217" s="0" t="s">
        <v>162</v>
      </c>
      <c r="CH217" s="0" t="s">
        <v>201</v>
      </c>
      <c r="CI217" s="0" t="s">
        <v>2415</v>
      </c>
      <c r="CJ217" s="0" t="s">
        <v>163</v>
      </c>
      <c r="CK217" s="0" t="s">
        <v>162</v>
      </c>
      <c r="CL217" s="0" t="s">
        <v>163</v>
      </c>
      <c r="CO217" s="0" t="s">
        <v>163</v>
      </c>
      <c r="CQ217" s="0" t="s">
        <v>2196</v>
      </c>
      <c r="CR217" s="0" t="s">
        <v>206</v>
      </c>
      <c r="CS217" s="0" t="s">
        <v>163</v>
      </c>
      <c r="CT217" s="0" t="n">
        <v>26</v>
      </c>
      <c r="CU217" s="0" t="n">
        <v>7</v>
      </c>
      <c r="CV217" s="0" t="n">
        <v>8</v>
      </c>
      <c r="CW217" s="0" t="n">
        <v>6</v>
      </c>
      <c r="CX217" s="0" t="n">
        <v>5</v>
      </c>
      <c r="CY217" s="0" t="n">
        <f aca="false">IF(AH217="exact",10,IF(AH217="adjacent",5,0))</f>
        <v>0</v>
      </c>
      <c r="CZ217" s="0" t="n">
        <f aca="false">IF(R217="Y",15,0)</f>
        <v>0</v>
      </c>
      <c r="DF217" s="0" t="s">
        <v>158</v>
      </c>
      <c r="DG217" s="0" t="s">
        <v>211</v>
      </c>
      <c r="DJ217" s="0" t="s">
        <v>3431</v>
      </c>
      <c r="DK217" s="0" t="s">
        <v>3432</v>
      </c>
      <c r="DS217" s="0" t="s">
        <v>158</v>
      </c>
      <c r="DX217" s="0" t="s">
        <v>162</v>
      </c>
      <c r="ER217" s="0" t="str">
        <f aca="false">IF(ISNUMBER(MATCH(U217,{"queued","contacted","replied","call_booked","call_done","yes_in_principle","materials_sent"},0)),"Y","N")</f>
        <v>N</v>
      </c>
      <c r="ES217" s="0" t="str">
        <f aca="false">IF(COUNTIFS($AP$2:$AP$1000,AP217,$ER$2:$ER$1000,"Y")+COUNTIFS($AP$2:$AP$1000,AP217,$T$2:$T$1000,"Y")&gt;0,"Y","N")</f>
        <v>N</v>
      </c>
      <c r="ET217" s="0" t="str">
        <f aca="false">IF(AND(U217="new",T217="N",AT217="Y",AS217="",ES217="N"),"Y","N")</f>
        <v>N</v>
      </c>
      <c r="EU217" s="0" t="str">
        <f aca="false">IF(ET217&lt;&gt;"Y","N",IF(COUNTIFS($AP$2:$AP$1000,AP217,$ET$2:$ET$1000,"Y",$J$2:$J$1000,"&gt;"&amp;J217)+COUNTIFS($AP$2:$AP$1000,AP217,$ET$2:$ET$1000,"Y",$J$2:$J$1000,J217,$EW$2:$EW$1000,"&lt;"&amp;EW217)=0,"Y","N"))</f>
        <v>N</v>
      </c>
      <c r="EV217" s="0" t="str">
        <f aca="false">IF(Y217="","N",IF(Y217&lt;=10,"Y","N"))</f>
        <v>N</v>
      </c>
      <c r="EW217" s="0" t="n">
        <f aca="false">ROW()-1</f>
        <v>216</v>
      </c>
    </row>
    <row r="218" customFormat="false" ht="15" hidden="false" customHeight="false" outlineLevel="0" collapsed="false">
      <c r="A218" s="0" t="s">
        <v>3433</v>
      </c>
      <c r="B218" s="0" t="s">
        <v>3434</v>
      </c>
      <c r="H218" s="5" t="s">
        <v>158</v>
      </c>
      <c r="I218" s="5" t="s">
        <v>159</v>
      </c>
      <c r="J218" s="0" t="n">
        <f aca="false">IF(AX218="pass",ROUND(CU218+CV218+CW218+CX218+CY218+CZ218,1),0)</f>
        <v>26</v>
      </c>
      <c r="K218" s="0" t="s">
        <v>3400</v>
      </c>
      <c r="L218" s="0" t="s">
        <v>163</v>
      </c>
      <c r="R218" s="5" t="s">
        <v>162</v>
      </c>
      <c r="S218" s="0" t="s">
        <v>163</v>
      </c>
      <c r="T218" s="5" t="s">
        <v>162</v>
      </c>
      <c r="U218" s="5" t="s">
        <v>561</v>
      </c>
      <c r="V218" s="0" t="s">
        <v>3435</v>
      </c>
      <c r="W218" s="0" t="s">
        <v>166</v>
      </c>
      <c r="X218" s="0" t="s">
        <v>167</v>
      </c>
      <c r="Y218" s="0" t="str">
        <f aca="false">IF(EU218&lt;&gt;"Y","",COUNTIFS($EU$2:$EU$1000,"Y",$J$2:$J$1000,"&gt;"&amp;J218)+COUNTIFS($EU$2:$EU$1000,"Y",$J$2:$J$1000,J218,$EW$2:$EW$1000,"&lt;"&amp;EW218)+1)</f>
        <v/>
      </c>
      <c r="Z218" s="0" t="n">
        <v>217</v>
      </c>
      <c r="AA218" s="0" t="s">
        <v>162</v>
      </c>
      <c r="AD218" s="0" t="s">
        <v>158</v>
      </c>
      <c r="AH218" s="5" t="s">
        <v>158</v>
      </c>
      <c r="AI218" s="0" t="s">
        <v>2335</v>
      </c>
      <c r="AJ218" s="0" t="s">
        <v>163</v>
      </c>
      <c r="AK218" s="0" t="s">
        <v>434</v>
      </c>
      <c r="AL218" s="0" t="s">
        <v>163</v>
      </c>
      <c r="AM218" s="0" t="s">
        <v>163</v>
      </c>
      <c r="AN218" s="0" t="s">
        <v>158</v>
      </c>
      <c r="AO218" s="0" t="s">
        <v>163</v>
      </c>
      <c r="AP218" s="0" t="s">
        <v>3433</v>
      </c>
      <c r="AQ218" s="5" t="s">
        <v>162</v>
      </c>
      <c r="AT218" s="0" t="str">
        <f aca="false">IF(AND(AX218="pass",AQ218&lt;&gt;"Y",C218&lt;&gt;"",OR(AW218&lt;&gt;"Y",AV218="Y")),"Y","N")</f>
        <v>N</v>
      </c>
      <c r="AU218" s="0" t="str">
        <f aca="false">_xlfn.TEXTJOIN("; ",TRUE(),IF(AX218&lt;&gt;"pass","gated out",""),IF(AQ218="Y","on hold: "&amp;AR218,""),IF(C218="","no contact named on an opened page",""),IF(AND(AW218="Y",AV218&lt;&gt;"Y"),"Tuesday estimate band "&amp;L218&amp;": founder's call",""))</f>
        <v>no contact named on an opened page</v>
      </c>
      <c r="AW218" s="0" t="s">
        <v>162</v>
      </c>
      <c r="AX218" s="0" t="s">
        <v>181</v>
      </c>
      <c r="AY218" s="0" t="s">
        <v>182</v>
      </c>
      <c r="AZ218" s="0" t="s">
        <v>1</v>
      </c>
      <c r="BA218" s="0" t="s">
        <v>3436</v>
      </c>
      <c r="BB218" s="0" t="s">
        <v>3437</v>
      </c>
      <c r="BC218" s="0" t="s">
        <v>3438</v>
      </c>
      <c r="BD218" s="0" t="s">
        <v>163</v>
      </c>
      <c r="BF218" s="0" t="s">
        <v>163</v>
      </c>
      <c r="BG218" s="0" t="s">
        <v>163</v>
      </c>
      <c r="BH218" s="0" t="s">
        <v>2195</v>
      </c>
      <c r="BK218" s="0" t="s">
        <v>163</v>
      </c>
      <c r="BL218" s="0" t="s">
        <v>163</v>
      </c>
      <c r="BM218" s="0" t="s">
        <v>163</v>
      </c>
      <c r="BN218" s="0" t="s">
        <v>163</v>
      </c>
      <c r="BO218" s="0" t="s">
        <v>163</v>
      </c>
      <c r="BP218" s="0" t="s">
        <v>243</v>
      </c>
      <c r="BQ218" s="0" t="n">
        <v>40.7425</v>
      </c>
      <c r="BR218" s="0" t="n">
        <v>-73.984446</v>
      </c>
      <c r="BS218" s="0" t="s">
        <v>168</v>
      </c>
      <c r="BT218" s="0" t="n">
        <v>0</v>
      </c>
      <c r="BU218" s="0" t="s">
        <v>2340</v>
      </c>
      <c r="BV218" s="0" t="s">
        <v>2341</v>
      </c>
      <c r="BW218" s="0" t="s">
        <v>3435</v>
      </c>
      <c r="BX218" s="0" t="s">
        <v>3439</v>
      </c>
      <c r="BY218" s="0" t="s">
        <v>247</v>
      </c>
      <c r="CC218" s="0" t="s">
        <v>179</v>
      </c>
      <c r="CE218" s="0" t="s">
        <v>162</v>
      </c>
      <c r="CH218" s="0" t="s">
        <v>163</v>
      </c>
      <c r="CJ218" s="0" t="s">
        <v>163</v>
      </c>
      <c r="CK218" s="0" t="s">
        <v>162</v>
      </c>
      <c r="CL218" s="0" t="s">
        <v>163</v>
      </c>
      <c r="CO218" s="0" t="s">
        <v>163</v>
      </c>
      <c r="CQ218" s="0" t="s">
        <v>2196</v>
      </c>
      <c r="CR218" s="0" t="s">
        <v>206</v>
      </c>
      <c r="CS218" s="0" t="s">
        <v>163</v>
      </c>
      <c r="CT218" s="0" t="n">
        <v>26</v>
      </c>
      <c r="CU218" s="0" t="n">
        <v>7</v>
      </c>
      <c r="CV218" s="0" t="n">
        <v>8</v>
      </c>
      <c r="CW218" s="0" t="n">
        <v>6</v>
      </c>
      <c r="CX218" s="0" t="n">
        <v>5</v>
      </c>
      <c r="CY218" s="0" t="n">
        <f aca="false">IF(AH218="exact",10,IF(AH218="adjacent",5,0))</f>
        <v>0</v>
      </c>
      <c r="CZ218" s="0" t="n">
        <f aca="false">IF(R218="Y",15,0)</f>
        <v>0</v>
      </c>
      <c r="DF218" s="0" t="s">
        <v>158</v>
      </c>
      <c r="DG218" s="0" t="s">
        <v>211</v>
      </c>
      <c r="DJ218" s="0" t="s">
        <v>2377</v>
      </c>
      <c r="DK218" s="0" t="s">
        <v>3440</v>
      </c>
      <c r="DS218" s="0" t="s">
        <v>158</v>
      </c>
      <c r="DX218" s="0" t="s">
        <v>162</v>
      </c>
      <c r="ER218" s="0" t="str">
        <f aca="false">IF(ISNUMBER(MATCH(U218,{"queued","contacted","replied","call_booked","call_done","yes_in_principle","materials_sent"},0)),"Y","N")</f>
        <v>N</v>
      </c>
      <c r="ES218" s="0" t="str">
        <f aca="false">IF(COUNTIFS($AP$2:$AP$1000,AP218,$ER$2:$ER$1000,"Y")+COUNTIFS($AP$2:$AP$1000,AP218,$T$2:$T$1000,"Y")&gt;0,"Y","N")</f>
        <v>N</v>
      </c>
      <c r="ET218" s="0" t="str">
        <f aca="false">IF(AND(U218="new",T218="N",AT218="Y",AS218="",ES218="N"),"Y","N")</f>
        <v>N</v>
      </c>
      <c r="EU218" s="0" t="str">
        <f aca="false">IF(ET218&lt;&gt;"Y","N",IF(COUNTIFS($AP$2:$AP$1000,AP218,$ET$2:$ET$1000,"Y",$J$2:$J$1000,"&gt;"&amp;J218)+COUNTIFS($AP$2:$AP$1000,AP218,$ET$2:$ET$1000,"Y",$J$2:$J$1000,J218,$EW$2:$EW$1000,"&lt;"&amp;EW218)=0,"Y","N"))</f>
        <v>N</v>
      </c>
      <c r="EV218" s="0" t="str">
        <f aca="false">IF(Y218="","N",IF(Y218&lt;=10,"Y","N"))</f>
        <v>N</v>
      </c>
      <c r="EW218" s="0" t="n">
        <f aca="false">ROW()-1</f>
        <v>217</v>
      </c>
    </row>
    <row r="219" customFormat="false" ht="15" hidden="false" customHeight="false" outlineLevel="0" collapsed="false">
      <c r="A219" s="0" t="s">
        <v>3441</v>
      </c>
      <c r="B219" s="0" t="s">
        <v>3442</v>
      </c>
      <c r="H219" s="5" t="s">
        <v>158</v>
      </c>
      <c r="I219" s="5" t="s">
        <v>159</v>
      </c>
      <c r="J219" s="0" t="n">
        <f aca="false">IF(AX219="pass",ROUND(CU219+CV219+CW219+CX219+CY219+CZ219,1),0)</f>
        <v>26</v>
      </c>
      <c r="K219" s="0" t="s">
        <v>3400</v>
      </c>
      <c r="L219" s="0" t="s">
        <v>163</v>
      </c>
      <c r="R219" s="5" t="s">
        <v>162</v>
      </c>
      <c r="S219" s="0" t="s">
        <v>163</v>
      </c>
      <c r="T219" s="5" t="s">
        <v>162</v>
      </c>
      <c r="U219" s="5" t="s">
        <v>561</v>
      </c>
      <c r="V219" s="0" t="s">
        <v>3443</v>
      </c>
      <c r="W219" s="0" t="s">
        <v>166</v>
      </c>
      <c r="X219" s="0" t="s">
        <v>167</v>
      </c>
      <c r="Y219" s="0" t="str">
        <f aca="false">IF(EU219&lt;&gt;"Y","",COUNTIFS($EU$2:$EU$1000,"Y",$J$2:$J$1000,"&gt;"&amp;J219)+COUNTIFS($EU$2:$EU$1000,"Y",$J$2:$J$1000,J219,$EW$2:$EW$1000,"&lt;"&amp;EW219)+1)</f>
        <v/>
      </c>
      <c r="Z219" s="0" t="n">
        <v>218</v>
      </c>
      <c r="AA219" s="0" t="s">
        <v>162</v>
      </c>
      <c r="AD219" s="0" t="s">
        <v>158</v>
      </c>
      <c r="AH219" s="5" t="s">
        <v>158</v>
      </c>
      <c r="AI219" s="0" t="s">
        <v>3444</v>
      </c>
      <c r="AJ219" s="0" t="s">
        <v>471</v>
      </c>
      <c r="AK219" s="0" t="s">
        <v>434</v>
      </c>
      <c r="AL219" s="0" t="s">
        <v>163</v>
      </c>
      <c r="AM219" s="0" t="s">
        <v>163</v>
      </c>
      <c r="AN219" s="0" t="s">
        <v>158</v>
      </c>
      <c r="AO219" s="0" t="s">
        <v>163</v>
      </c>
      <c r="AP219" s="0" t="s">
        <v>3441</v>
      </c>
      <c r="AQ219" s="5" t="s">
        <v>162</v>
      </c>
      <c r="AT219" s="0" t="str">
        <f aca="false">IF(AND(AX219="pass",AQ219&lt;&gt;"Y",C219&lt;&gt;"",OR(AW219&lt;&gt;"Y",AV219="Y")),"Y","N")</f>
        <v>N</v>
      </c>
      <c r="AU219" s="0" t="str">
        <f aca="false">_xlfn.TEXTJOIN("; ",TRUE(),IF(AX219&lt;&gt;"pass","gated out",""),IF(AQ219="Y","on hold: "&amp;AR219,""),IF(C219="","no contact named on an opened page",""),IF(AND(AW219="Y",AV219&lt;&gt;"Y"),"Tuesday estimate band "&amp;L219&amp;": founder's call",""))</f>
        <v>no contact named on an opened page</v>
      </c>
      <c r="AW219" s="0" t="s">
        <v>162</v>
      </c>
      <c r="AX219" s="0" t="s">
        <v>181</v>
      </c>
      <c r="AY219" s="0" t="s">
        <v>182</v>
      </c>
      <c r="AZ219" s="0" t="s">
        <v>1</v>
      </c>
      <c r="BA219" s="0" t="s">
        <v>3445</v>
      </c>
      <c r="BB219" s="0" t="s">
        <v>163</v>
      </c>
      <c r="BC219" s="0" t="s">
        <v>3446</v>
      </c>
      <c r="BD219" s="0" t="s">
        <v>163</v>
      </c>
      <c r="BF219" s="0" t="s">
        <v>163</v>
      </c>
      <c r="BG219" s="0" t="s">
        <v>163</v>
      </c>
      <c r="BH219" s="0" t="s">
        <v>2195</v>
      </c>
      <c r="BK219" s="0" t="s">
        <v>163</v>
      </c>
      <c r="BL219" s="0" t="s">
        <v>163</v>
      </c>
      <c r="BM219" s="0" t="s">
        <v>163</v>
      </c>
      <c r="BN219" s="0" t="s">
        <v>163</v>
      </c>
      <c r="BO219" s="0" t="s">
        <v>163</v>
      </c>
      <c r="BP219" s="0" t="s">
        <v>346</v>
      </c>
      <c r="BQ219" s="0" t="n">
        <v>40.744624</v>
      </c>
      <c r="BR219" s="0" t="n">
        <v>-73.990418</v>
      </c>
      <c r="BS219" s="0" t="s">
        <v>168</v>
      </c>
      <c r="BT219" s="0" t="n">
        <v>0</v>
      </c>
      <c r="BU219" s="0" t="s">
        <v>3447</v>
      </c>
      <c r="BV219" s="0" t="s">
        <v>3444</v>
      </c>
      <c r="BW219" s="0" t="s">
        <v>3443</v>
      </c>
      <c r="BX219" s="0" t="s">
        <v>3448</v>
      </c>
      <c r="BY219" s="0" t="s">
        <v>247</v>
      </c>
      <c r="CC219" s="0" t="s">
        <v>179</v>
      </c>
      <c r="CE219" s="0" t="s">
        <v>162</v>
      </c>
      <c r="CH219" s="0" t="s">
        <v>163</v>
      </c>
      <c r="CJ219" s="0" t="s">
        <v>163</v>
      </c>
      <c r="CK219" s="0" t="s">
        <v>162</v>
      </c>
      <c r="CL219" s="0" t="s">
        <v>163</v>
      </c>
      <c r="CO219" s="0" t="s">
        <v>163</v>
      </c>
      <c r="CQ219" s="0" t="s">
        <v>2196</v>
      </c>
      <c r="CR219" s="0" t="s">
        <v>206</v>
      </c>
      <c r="CS219" s="0" t="s">
        <v>163</v>
      </c>
      <c r="CT219" s="0" t="n">
        <v>26</v>
      </c>
      <c r="CU219" s="0" t="n">
        <v>7</v>
      </c>
      <c r="CV219" s="0" t="n">
        <v>8</v>
      </c>
      <c r="CW219" s="0" t="n">
        <v>6</v>
      </c>
      <c r="CX219" s="0" t="n">
        <v>5</v>
      </c>
      <c r="CY219" s="0" t="n">
        <f aca="false">IF(AH219="exact",10,IF(AH219="adjacent",5,0))</f>
        <v>0</v>
      </c>
      <c r="CZ219" s="0" t="n">
        <f aca="false">IF(R219="Y",15,0)</f>
        <v>0</v>
      </c>
      <c r="DF219" s="0" t="s">
        <v>158</v>
      </c>
      <c r="DG219" s="0" t="s">
        <v>211</v>
      </c>
      <c r="DJ219" s="0" t="s">
        <v>3449</v>
      </c>
      <c r="DK219" s="0" t="s">
        <v>3450</v>
      </c>
      <c r="DS219" s="0" t="s">
        <v>158</v>
      </c>
      <c r="DX219" s="0" t="s">
        <v>162</v>
      </c>
      <c r="ER219" s="0" t="str">
        <f aca="false">IF(ISNUMBER(MATCH(U219,{"queued","contacted","replied","call_booked","call_done","yes_in_principle","materials_sent"},0)),"Y","N")</f>
        <v>N</v>
      </c>
      <c r="ES219" s="0" t="str">
        <f aca="false">IF(COUNTIFS($AP$2:$AP$1000,AP219,$ER$2:$ER$1000,"Y")+COUNTIFS($AP$2:$AP$1000,AP219,$T$2:$T$1000,"Y")&gt;0,"Y","N")</f>
        <v>N</v>
      </c>
      <c r="ET219" s="0" t="str">
        <f aca="false">IF(AND(U219="new",T219="N",AT219="Y",AS219="",ES219="N"),"Y","N")</f>
        <v>N</v>
      </c>
      <c r="EU219" s="0" t="str">
        <f aca="false">IF(ET219&lt;&gt;"Y","N",IF(COUNTIFS($AP$2:$AP$1000,AP219,$ET$2:$ET$1000,"Y",$J$2:$J$1000,"&gt;"&amp;J219)+COUNTIFS($AP$2:$AP$1000,AP219,$ET$2:$ET$1000,"Y",$J$2:$J$1000,J219,$EW$2:$EW$1000,"&lt;"&amp;EW219)=0,"Y","N"))</f>
        <v>N</v>
      </c>
      <c r="EV219" s="0" t="str">
        <f aca="false">IF(Y219="","N",IF(Y219&lt;=10,"Y","N"))</f>
        <v>N</v>
      </c>
      <c r="EW219" s="0" t="n">
        <f aca="false">ROW()-1</f>
        <v>218</v>
      </c>
    </row>
    <row r="220" customFormat="false" ht="15" hidden="false" customHeight="false" outlineLevel="0" collapsed="false">
      <c r="A220" s="0" t="s">
        <v>3451</v>
      </c>
      <c r="B220" s="0" t="s">
        <v>3452</v>
      </c>
      <c r="H220" s="5" t="s">
        <v>158</v>
      </c>
      <c r="I220" s="5" t="s">
        <v>159</v>
      </c>
      <c r="J220" s="0" t="n">
        <f aca="false">IF(AX220="pass",ROUND(CU220+CV220+CW220+CX220+CY220+CZ220,1),0)</f>
        <v>26</v>
      </c>
      <c r="K220" s="0" t="s">
        <v>3400</v>
      </c>
      <c r="L220" s="0" t="s">
        <v>163</v>
      </c>
      <c r="R220" s="5" t="s">
        <v>162</v>
      </c>
      <c r="S220" s="0" t="s">
        <v>163</v>
      </c>
      <c r="T220" s="5" t="s">
        <v>162</v>
      </c>
      <c r="U220" s="5" t="s">
        <v>561</v>
      </c>
      <c r="V220" s="0" t="s">
        <v>3453</v>
      </c>
      <c r="W220" s="0" t="s">
        <v>166</v>
      </c>
      <c r="X220" s="0" t="s">
        <v>167</v>
      </c>
      <c r="Y220" s="0" t="str">
        <f aca="false">IF(EU220&lt;&gt;"Y","",COUNTIFS($EU$2:$EU$1000,"Y",$J$2:$J$1000,"&gt;"&amp;J220)+COUNTIFS($EU$2:$EU$1000,"Y",$J$2:$J$1000,J220,$EW$2:$EW$1000,"&lt;"&amp;EW220)+1)</f>
        <v/>
      </c>
      <c r="Z220" s="0" t="n">
        <v>219</v>
      </c>
      <c r="AA220" s="0" t="s">
        <v>162</v>
      </c>
      <c r="AD220" s="0" t="s">
        <v>158</v>
      </c>
      <c r="AH220" s="5" t="s">
        <v>158</v>
      </c>
      <c r="AI220" s="0" t="s">
        <v>2407</v>
      </c>
      <c r="AJ220" s="0" t="s">
        <v>2068</v>
      </c>
      <c r="AK220" s="0" t="s">
        <v>434</v>
      </c>
      <c r="AL220" s="0" t="s">
        <v>163</v>
      </c>
      <c r="AM220" s="0" t="s">
        <v>163</v>
      </c>
      <c r="AN220" s="0" t="s">
        <v>158</v>
      </c>
      <c r="AO220" s="0" t="s">
        <v>163</v>
      </c>
      <c r="AP220" s="0" t="s">
        <v>3451</v>
      </c>
      <c r="AQ220" s="5" t="s">
        <v>162</v>
      </c>
      <c r="AT220" s="0" t="str">
        <f aca="false">IF(AND(AX220="pass",AQ220&lt;&gt;"Y",C220&lt;&gt;"",OR(AW220&lt;&gt;"Y",AV220="Y")),"Y","N")</f>
        <v>N</v>
      </c>
      <c r="AU220" s="0" t="str">
        <f aca="false">_xlfn.TEXTJOIN("; ",TRUE(),IF(AX220&lt;&gt;"pass","gated out",""),IF(AQ220="Y","on hold: "&amp;AR220,""),IF(C220="","no contact named on an opened page",""),IF(AND(AW220="Y",AV220&lt;&gt;"Y"),"Tuesday estimate band "&amp;L220&amp;": founder's call",""))</f>
        <v>no contact named on an opened page</v>
      </c>
      <c r="AW220" s="0" t="s">
        <v>162</v>
      </c>
      <c r="AX220" s="0" t="s">
        <v>181</v>
      </c>
      <c r="AY220" s="0" t="s">
        <v>182</v>
      </c>
      <c r="AZ220" s="0" t="s">
        <v>1</v>
      </c>
      <c r="BA220" s="0" t="s">
        <v>3454</v>
      </c>
      <c r="BB220" s="0" t="s">
        <v>3455</v>
      </c>
      <c r="BC220" s="0" t="s">
        <v>3456</v>
      </c>
      <c r="BD220" s="0" t="s">
        <v>163</v>
      </c>
      <c r="BF220" s="0" t="s">
        <v>163</v>
      </c>
      <c r="BG220" s="0" t="s">
        <v>163</v>
      </c>
      <c r="BH220" s="0" t="s">
        <v>2195</v>
      </c>
      <c r="BK220" s="0" t="s">
        <v>163</v>
      </c>
      <c r="BL220" s="0" t="s">
        <v>163</v>
      </c>
      <c r="BM220" s="0" t="s">
        <v>163</v>
      </c>
      <c r="BN220" s="0" t="s">
        <v>163</v>
      </c>
      <c r="BO220" s="0" t="s">
        <v>163</v>
      </c>
      <c r="BP220" s="0" t="s">
        <v>346</v>
      </c>
      <c r="BQ220" s="0" t="n">
        <v>40.742477</v>
      </c>
      <c r="BR220" s="0" t="n">
        <v>-73.986608</v>
      </c>
      <c r="BS220" s="0" t="s">
        <v>168</v>
      </c>
      <c r="BT220" s="0" t="n">
        <v>0</v>
      </c>
      <c r="BU220" s="0" t="s">
        <v>2412</v>
      </c>
      <c r="BV220" s="0" t="s">
        <v>2413</v>
      </c>
      <c r="BW220" s="0" t="s">
        <v>3453</v>
      </c>
      <c r="BX220" s="0" t="s">
        <v>3457</v>
      </c>
      <c r="BY220" s="0" t="s">
        <v>247</v>
      </c>
      <c r="CC220" s="0" t="s">
        <v>179</v>
      </c>
      <c r="CE220" s="0" t="s">
        <v>162</v>
      </c>
      <c r="CH220" s="0" t="s">
        <v>201</v>
      </c>
      <c r="CI220" s="0" t="s">
        <v>2415</v>
      </c>
      <c r="CJ220" s="0" t="s">
        <v>163</v>
      </c>
      <c r="CK220" s="0" t="s">
        <v>162</v>
      </c>
      <c r="CL220" s="0" t="s">
        <v>163</v>
      </c>
      <c r="CO220" s="0" t="s">
        <v>163</v>
      </c>
      <c r="CQ220" s="0" t="s">
        <v>2196</v>
      </c>
      <c r="CR220" s="0" t="s">
        <v>206</v>
      </c>
      <c r="CS220" s="0" t="s">
        <v>163</v>
      </c>
      <c r="CT220" s="0" t="n">
        <v>26</v>
      </c>
      <c r="CU220" s="0" t="n">
        <v>7</v>
      </c>
      <c r="CV220" s="0" t="n">
        <v>8</v>
      </c>
      <c r="CW220" s="0" t="n">
        <v>6</v>
      </c>
      <c r="CX220" s="0" t="n">
        <v>5</v>
      </c>
      <c r="CY220" s="0" t="n">
        <f aca="false">IF(AH220="exact",10,IF(AH220="adjacent",5,0))</f>
        <v>0</v>
      </c>
      <c r="CZ220" s="0" t="n">
        <f aca="false">IF(R220="Y",15,0)</f>
        <v>0</v>
      </c>
      <c r="DF220" s="0" t="s">
        <v>158</v>
      </c>
      <c r="DG220" s="0" t="s">
        <v>211</v>
      </c>
      <c r="DJ220" s="0" t="s">
        <v>3431</v>
      </c>
      <c r="DK220" s="0" t="s">
        <v>3458</v>
      </c>
      <c r="DS220" s="0" t="s">
        <v>158</v>
      </c>
      <c r="DX220" s="0" t="s">
        <v>162</v>
      </c>
      <c r="ER220" s="0" t="str">
        <f aca="false">IF(ISNUMBER(MATCH(U220,{"queued","contacted","replied","call_booked","call_done","yes_in_principle","materials_sent"},0)),"Y","N")</f>
        <v>N</v>
      </c>
      <c r="ES220" s="0" t="str">
        <f aca="false">IF(COUNTIFS($AP$2:$AP$1000,AP220,$ER$2:$ER$1000,"Y")+COUNTIFS($AP$2:$AP$1000,AP220,$T$2:$T$1000,"Y")&gt;0,"Y","N")</f>
        <v>N</v>
      </c>
      <c r="ET220" s="0" t="str">
        <f aca="false">IF(AND(U220="new",T220="N",AT220="Y",AS220="",ES220="N"),"Y","N")</f>
        <v>N</v>
      </c>
      <c r="EU220" s="0" t="str">
        <f aca="false">IF(ET220&lt;&gt;"Y","N",IF(COUNTIFS($AP$2:$AP$1000,AP220,$ET$2:$ET$1000,"Y",$J$2:$J$1000,"&gt;"&amp;J220)+COUNTIFS($AP$2:$AP$1000,AP220,$ET$2:$ET$1000,"Y",$J$2:$J$1000,J220,$EW$2:$EW$1000,"&lt;"&amp;EW220)=0,"Y","N"))</f>
        <v>N</v>
      </c>
      <c r="EV220" s="0" t="str">
        <f aca="false">IF(Y220="","N",IF(Y220&lt;=10,"Y","N"))</f>
        <v>N</v>
      </c>
      <c r="EW220" s="0" t="n">
        <f aca="false">ROW()-1</f>
        <v>219</v>
      </c>
    </row>
    <row r="221" customFormat="false" ht="15" hidden="false" customHeight="false" outlineLevel="0" collapsed="false">
      <c r="A221" s="0" t="s">
        <v>3459</v>
      </c>
      <c r="B221" s="0" t="s">
        <v>3460</v>
      </c>
      <c r="H221" s="5" t="s">
        <v>158</v>
      </c>
      <c r="I221" s="5" t="s">
        <v>159</v>
      </c>
      <c r="J221" s="0" t="n">
        <f aca="false">IF(AX221="pass",ROUND(CU221+CV221+CW221+CX221+CY221+CZ221,1),0)</f>
        <v>26</v>
      </c>
      <c r="K221" s="0" t="s">
        <v>3400</v>
      </c>
      <c r="L221" s="0" t="s">
        <v>163</v>
      </c>
      <c r="R221" s="5" t="s">
        <v>162</v>
      </c>
      <c r="S221" s="0" t="s">
        <v>163</v>
      </c>
      <c r="T221" s="5" t="s">
        <v>162</v>
      </c>
      <c r="U221" s="5" t="s">
        <v>561</v>
      </c>
      <c r="V221" s="0" t="s">
        <v>3461</v>
      </c>
      <c r="W221" s="0" t="s">
        <v>166</v>
      </c>
      <c r="X221" s="0" t="s">
        <v>167</v>
      </c>
      <c r="Y221" s="0" t="str">
        <f aca="false">IF(EU221&lt;&gt;"Y","",COUNTIFS($EU$2:$EU$1000,"Y",$J$2:$J$1000,"&gt;"&amp;J221)+COUNTIFS($EU$2:$EU$1000,"Y",$J$2:$J$1000,J221,$EW$2:$EW$1000,"&lt;"&amp;EW221)+1)</f>
        <v/>
      </c>
      <c r="Z221" s="0" t="n">
        <v>220</v>
      </c>
      <c r="AA221" s="0" t="s">
        <v>162</v>
      </c>
      <c r="AD221" s="0" t="s">
        <v>158</v>
      </c>
      <c r="AH221" s="5" t="s">
        <v>158</v>
      </c>
      <c r="AI221" s="0" t="s">
        <v>1854</v>
      </c>
      <c r="AJ221" s="0" t="s">
        <v>3462</v>
      </c>
      <c r="AK221" s="0" t="s">
        <v>434</v>
      </c>
      <c r="AL221" s="0" t="s">
        <v>163</v>
      </c>
      <c r="AM221" s="0" t="s">
        <v>163</v>
      </c>
      <c r="AN221" s="0" t="s">
        <v>158</v>
      </c>
      <c r="AO221" s="0" t="s">
        <v>163</v>
      </c>
      <c r="AP221" s="0" t="s">
        <v>3459</v>
      </c>
      <c r="AQ221" s="5" t="s">
        <v>162</v>
      </c>
      <c r="AT221" s="0" t="str">
        <f aca="false">IF(AND(AX221="pass",AQ221&lt;&gt;"Y",C221&lt;&gt;"",OR(AW221&lt;&gt;"Y",AV221="Y")),"Y","N")</f>
        <v>N</v>
      </c>
      <c r="AU221" s="0" t="str">
        <f aca="false">_xlfn.TEXTJOIN("; ",TRUE(),IF(AX221&lt;&gt;"pass","gated out",""),IF(AQ221="Y","on hold: "&amp;AR221,""),IF(C221="","no contact named on an opened page",""),IF(AND(AW221="Y",AV221&lt;&gt;"Y"),"Tuesday estimate band "&amp;L221&amp;": founder's call",""))</f>
        <v>no contact named on an opened page</v>
      </c>
      <c r="AW221" s="0" t="s">
        <v>162</v>
      </c>
      <c r="AX221" s="0" t="s">
        <v>181</v>
      </c>
      <c r="AY221" s="0" t="s">
        <v>182</v>
      </c>
      <c r="AZ221" s="0" t="s">
        <v>1</v>
      </c>
      <c r="BA221" s="0" t="s">
        <v>3463</v>
      </c>
      <c r="BB221" s="0" t="s">
        <v>163</v>
      </c>
      <c r="BC221" s="0" t="s">
        <v>3464</v>
      </c>
      <c r="BD221" s="0" t="s">
        <v>163</v>
      </c>
      <c r="BF221" s="0" t="s">
        <v>163</v>
      </c>
      <c r="BG221" s="0" t="s">
        <v>163</v>
      </c>
      <c r="BH221" s="0" t="s">
        <v>2195</v>
      </c>
      <c r="BK221" s="0" t="s">
        <v>163</v>
      </c>
      <c r="BL221" s="0" t="s">
        <v>163</v>
      </c>
      <c r="BM221" s="0" t="s">
        <v>163</v>
      </c>
      <c r="BN221" s="0" t="s">
        <v>163</v>
      </c>
      <c r="BO221" s="0" t="s">
        <v>163</v>
      </c>
      <c r="BP221" s="0" t="s">
        <v>377</v>
      </c>
      <c r="BQ221" s="0" t="n">
        <v>40.740157</v>
      </c>
      <c r="BR221" s="0" t="n">
        <v>-73.993377</v>
      </c>
      <c r="BS221" s="0" t="s">
        <v>168</v>
      </c>
      <c r="BT221" s="0" t="n">
        <v>0</v>
      </c>
      <c r="BU221" s="0" t="s">
        <v>1859</v>
      </c>
      <c r="BV221" s="0" t="s">
        <v>1860</v>
      </c>
      <c r="BW221" s="0" t="s">
        <v>3461</v>
      </c>
      <c r="BX221" s="0" t="s">
        <v>3465</v>
      </c>
      <c r="BY221" s="0" t="s">
        <v>247</v>
      </c>
      <c r="CC221" s="0" t="s">
        <v>179</v>
      </c>
      <c r="CE221" s="0" t="s">
        <v>162</v>
      </c>
      <c r="CH221" s="0" t="s">
        <v>163</v>
      </c>
      <c r="CJ221" s="0" t="s">
        <v>163</v>
      </c>
      <c r="CK221" s="0" t="s">
        <v>162</v>
      </c>
      <c r="CL221" s="0" t="s">
        <v>163</v>
      </c>
      <c r="CO221" s="0" t="s">
        <v>163</v>
      </c>
      <c r="CQ221" s="0" t="s">
        <v>2196</v>
      </c>
      <c r="CR221" s="0" t="s">
        <v>206</v>
      </c>
      <c r="CS221" s="0" t="s">
        <v>163</v>
      </c>
      <c r="CT221" s="0" t="n">
        <v>26</v>
      </c>
      <c r="CU221" s="0" t="n">
        <v>7</v>
      </c>
      <c r="CV221" s="0" t="n">
        <v>8</v>
      </c>
      <c r="CW221" s="0" t="n">
        <v>6</v>
      </c>
      <c r="CX221" s="0" t="n">
        <v>5</v>
      </c>
      <c r="CY221" s="0" t="n">
        <f aca="false">IF(AH221="exact",10,IF(AH221="adjacent",5,0))</f>
        <v>0</v>
      </c>
      <c r="CZ221" s="0" t="n">
        <f aca="false">IF(R221="Y",15,0)</f>
        <v>0</v>
      </c>
      <c r="DF221" s="0" t="s">
        <v>158</v>
      </c>
      <c r="DG221" s="0" t="s">
        <v>211</v>
      </c>
      <c r="DJ221" s="0" t="s">
        <v>1605</v>
      </c>
      <c r="DK221" s="0" t="s">
        <v>3466</v>
      </c>
      <c r="DS221" s="0" t="s">
        <v>158</v>
      </c>
      <c r="DX221" s="0" t="s">
        <v>162</v>
      </c>
      <c r="ER221" s="0" t="str">
        <f aca="false">IF(ISNUMBER(MATCH(U221,{"queued","contacted","replied","call_booked","call_done","yes_in_principle","materials_sent"},0)),"Y","N")</f>
        <v>N</v>
      </c>
      <c r="ES221" s="0" t="str">
        <f aca="false">IF(COUNTIFS($AP$2:$AP$1000,AP221,$ER$2:$ER$1000,"Y")+COUNTIFS($AP$2:$AP$1000,AP221,$T$2:$T$1000,"Y")&gt;0,"Y","N")</f>
        <v>N</v>
      </c>
      <c r="ET221" s="0" t="str">
        <f aca="false">IF(AND(U221="new",T221="N",AT221="Y",AS221="",ES221="N"),"Y","N")</f>
        <v>N</v>
      </c>
      <c r="EU221" s="0" t="str">
        <f aca="false">IF(ET221&lt;&gt;"Y","N",IF(COUNTIFS($AP$2:$AP$1000,AP221,$ET$2:$ET$1000,"Y",$J$2:$J$1000,"&gt;"&amp;J221)+COUNTIFS($AP$2:$AP$1000,AP221,$ET$2:$ET$1000,"Y",$J$2:$J$1000,J221,$EW$2:$EW$1000,"&lt;"&amp;EW221)=0,"Y","N"))</f>
        <v>N</v>
      </c>
      <c r="EV221" s="0" t="str">
        <f aca="false">IF(Y221="","N",IF(Y221&lt;=10,"Y","N"))</f>
        <v>N</v>
      </c>
      <c r="EW221" s="0" t="n">
        <f aca="false">ROW()-1</f>
        <v>220</v>
      </c>
    </row>
    <row r="222" customFormat="false" ht="15" hidden="false" customHeight="false" outlineLevel="0" collapsed="false">
      <c r="A222" s="0" t="s">
        <v>3467</v>
      </c>
      <c r="B222" s="0" t="s">
        <v>3468</v>
      </c>
      <c r="H222" s="5" t="s">
        <v>158</v>
      </c>
      <c r="I222" s="5" t="s">
        <v>159</v>
      </c>
      <c r="J222" s="0" t="n">
        <f aca="false">IF(AX222="pass",ROUND(CU222+CV222+CW222+CX222+CY222+CZ222,1),0)</f>
        <v>26</v>
      </c>
      <c r="K222" s="0" t="s">
        <v>3400</v>
      </c>
      <c r="L222" s="0" t="s">
        <v>163</v>
      </c>
      <c r="R222" s="5" t="s">
        <v>162</v>
      </c>
      <c r="S222" s="0" t="s">
        <v>163</v>
      </c>
      <c r="T222" s="5" t="s">
        <v>162</v>
      </c>
      <c r="U222" s="5" t="s">
        <v>561</v>
      </c>
      <c r="V222" s="0" t="s">
        <v>3401</v>
      </c>
      <c r="W222" s="0" t="s">
        <v>166</v>
      </c>
      <c r="X222" s="0" t="s">
        <v>167</v>
      </c>
      <c r="Y222" s="0" t="str">
        <f aca="false">IF(EU222&lt;&gt;"Y","",COUNTIFS($EU$2:$EU$1000,"Y",$J$2:$J$1000,"&gt;"&amp;J222)+COUNTIFS($EU$2:$EU$1000,"Y",$J$2:$J$1000,J222,$EW$2:$EW$1000,"&lt;"&amp;EW222)+1)</f>
        <v/>
      </c>
      <c r="Z222" s="0" t="n">
        <v>221</v>
      </c>
      <c r="AA222" s="0" t="s">
        <v>162</v>
      </c>
      <c r="AD222" s="0" t="s">
        <v>158</v>
      </c>
      <c r="AH222" s="5" t="s">
        <v>158</v>
      </c>
      <c r="AI222" s="0" t="s">
        <v>1611</v>
      </c>
      <c r="AJ222" s="0" t="s">
        <v>2212</v>
      </c>
      <c r="AK222" s="0" t="s">
        <v>434</v>
      </c>
      <c r="AL222" s="0" t="s">
        <v>163</v>
      </c>
      <c r="AM222" s="0" t="s">
        <v>163</v>
      </c>
      <c r="AN222" s="0" t="s">
        <v>158</v>
      </c>
      <c r="AO222" s="0" t="s">
        <v>163</v>
      </c>
      <c r="AP222" s="0" t="s">
        <v>3467</v>
      </c>
      <c r="AQ222" s="5" t="s">
        <v>162</v>
      </c>
      <c r="AT222" s="0" t="str">
        <f aca="false">IF(AND(AX222="pass",AQ222&lt;&gt;"Y",C222&lt;&gt;"",OR(AW222&lt;&gt;"Y",AV222="Y")),"Y","N")</f>
        <v>N</v>
      </c>
      <c r="AU222" s="0" t="str">
        <f aca="false">_xlfn.TEXTJOIN("; ",TRUE(),IF(AX222&lt;&gt;"pass","gated out",""),IF(AQ222="Y","on hold: "&amp;AR222,""),IF(C222="","no contact named on an opened page",""),IF(AND(AW222="Y",AV222&lt;&gt;"Y"),"Tuesday estimate band "&amp;L222&amp;": founder's call",""))</f>
        <v>no contact named on an opened page</v>
      </c>
      <c r="AW222" s="0" t="s">
        <v>162</v>
      </c>
      <c r="AX222" s="0" t="s">
        <v>181</v>
      </c>
      <c r="AY222" s="0" t="s">
        <v>182</v>
      </c>
      <c r="AZ222" s="0" t="s">
        <v>1</v>
      </c>
      <c r="BA222" s="0" t="s">
        <v>3469</v>
      </c>
      <c r="BB222" s="0" t="s">
        <v>3470</v>
      </c>
      <c r="BC222" s="0" t="s">
        <v>3471</v>
      </c>
      <c r="BD222" s="0" t="s">
        <v>163</v>
      </c>
      <c r="BF222" s="0" t="s">
        <v>163</v>
      </c>
      <c r="BG222" s="0" t="s">
        <v>163</v>
      </c>
      <c r="BH222" s="0" t="s">
        <v>2195</v>
      </c>
      <c r="BK222" s="0" t="s">
        <v>163</v>
      </c>
      <c r="BL222" s="0" t="s">
        <v>163</v>
      </c>
      <c r="BM222" s="0" t="s">
        <v>163</v>
      </c>
      <c r="BN222" s="0" t="s">
        <v>163</v>
      </c>
      <c r="BO222" s="0" t="s">
        <v>163</v>
      </c>
      <c r="BP222" s="0" t="s">
        <v>346</v>
      </c>
      <c r="BQ222" s="0" t="n">
        <v>40.738577</v>
      </c>
      <c r="BR222" s="0" t="n">
        <v>-73.987151</v>
      </c>
      <c r="BS222" s="0" t="s">
        <v>168</v>
      </c>
      <c r="BT222" s="0" t="n">
        <v>0</v>
      </c>
      <c r="BU222" s="0" t="s">
        <v>1617</v>
      </c>
      <c r="BV222" s="0" t="s">
        <v>1618</v>
      </c>
      <c r="BW222" s="0" t="s">
        <v>3401</v>
      </c>
      <c r="BX222" s="0" t="s">
        <v>3406</v>
      </c>
      <c r="BY222" s="0" t="s">
        <v>247</v>
      </c>
      <c r="CC222" s="0" t="s">
        <v>179</v>
      </c>
      <c r="CE222" s="0" t="s">
        <v>162</v>
      </c>
      <c r="CH222" s="0" t="s">
        <v>163</v>
      </c>
      <c r="CJ222" s="0" t="s">
        <v>163</v>
      </c>
      <c r="CK222" s="0" t="s">
        <v>162</v>
      </c>
      <c r="CL222" s="0" t="s">
        <v>163</v>
      </c>
      <c r="CO222" s="0" t="s">
        <v>163</v>
      </c>
      <c r="CQ222" s="0" t="s">
        <v>2196</v>
      </c>
      <c r="CR222" s="0" t="s">
        <v>206</v>
      </c>
      <c r="CS222" s="0" t="s">
        <v>163</v>
      </c>
      <c r="CT222" s="0" t="n">
        <v>26</v>
      </c>
      <c r="CU222" s="0" t="n">
        <v>7</v>
      </c>
      <c r="CV222" s="0" t="n">
        <v>8</v>
      </c>
      <c r="CW222" s="0" t="n">
        <v>6</v>
      </c>
      <c r="CX222" s="0" t="n">
        <v>5</v>
      </c>
      <c r="CY222" s="0" t="n">
        <f aca="false">IF(AH222="exact",10,IF(AH222="adjacent",5,0))</f>
        <v>0</v>
      </c>
      <c r="CZ222" s="0" t="n">
        <f aca="false">IF(R222="Y",15,0)</f>
        <v>0</v>
      </c>
      <c r="DF222" s="0" t="s">
        <v>158</v>
      </c>
      <c r="DG222" s="0" t="s">
        <v>211</v>
      </c>
      <c r="DJ222" s="0" t="s">
        <v>3472</v>
      </c>
      <c r="DK222" s="0" t="s">
        <v>3473</v>
      </c>
      <c r="DS222" s="0" t="s">
        <v>158</v>
      </c>
      <c r="DX222" s="0" t="s">
        <v>162</v>
      </c>
      <c r="ER222" s="0" t="str">
        <f aca="false">IF(ISNUMBER(MATCH(U222,{"queued","contacted","replied","call_booked","call_done","yes_in_principle","materials_sent"},0)),"Y","N")</f>
        <v>N</v>
      </c>
      <c r="ES222" s="0" t="str">
        <f aca="false">IF(COUNTIFS($AP$2:$AP$1000,AP222,$ER$2:$ER$1000,"Y")+COUNTIFS($AP$2:$AP$1000,AP222,$T$2:$T$1000,"Y")&gt;0,"Y","N")</f>
        <v>N</v>
      </c>
      <c r="ET222" s="0" t="str">
        <f aca="false">IF(AND(U222="new",T222="N",AT222="Y",AS222="",ES222="N"),"Y","N")</f>
        <v>N</v>
      </c>
      <c r="EU222" s="0" t="str">
        <f aca="false">IF(ET222&lt;&gt;"Y","N",IF(COUNTIFS($AP$2:$AP$1000,AP222,$ET$2:$ET$1000,"Y",$J$2:$J$1000,"&gt;"&amp;J222)+COUNTIFS($AP$2:$AP$1000,AP222,$ET$2:$ET$1000,"Y",$J$2:$J$1000,J222,$EW$2:$EW$1000,"&lt;"&amp;EW222)=0,"Y","N"))</f>
        <v>N</v>
      </c>
      <c r="EV222" s="0" t="str">
        <f aca="false">IF(Y222="","N",IF(Y222&lt;=10,"Y","N"))</f>
        <v>N</v>
      </c>
      <c r="EW222" s="0" t="n">
        <f aca="false">ROW()-1</f>
        <v>221</v>
      </c>
    </row>
    <row r="223" customFormat="false" ht="15" hidden="false" customHeight="false" outlineLevel="0" collapsed="false">
      <c r="A223" s="0" t="s">
        <v>3474</v>
      </c>
      <c r="B223" s="0" t="s">
        <v>3475</v>
      </c>
      <c r="H223" s="5" t="s">
        <v>158</v>
      </c>
      <c r="I223" s="5" t="s">
        <v>159</v>
      </c>
      <c r="J223" s="0" t="n">
        <f aca="false">IF(AX223="pass",ROUND(CU223+CV223+CW223+CX223+CY223+CZ223,1),0)</f>
        <v>26</v>
      </c>
      <c r="K223" s="0" t="s">
        <v>3400</v>
      </c>
      <c r="L223" s="0" t="s">
        <v>163</v>
      </c>
      <c r="R223" s="5" t="s">
        <v>162</v>
      </c>
      <c r="S223" s="0" t="s">
        <v>163</v>
      </c>
      <c r="T223" s="5" t="s">
        <v>162</v>
      </c>
      <c r="U223" s="5" t="s">
        <v>561</v>
      </c>
      <c r="V223" s="0" t="s">
        <v>3476</v>
      </c>
      <c r="W223" s="0" t="s">
        <v>166</v>
      </c>
      <c r="X223" s="0" t="s">
        <v>167</v>
      </c>
      <c r="Y223" s="0" t="str">
        <f aca="false">IF(EU223&lt;&gt;"Y","",COUNTIFS($EU$2:$EU$1000,"Y",$J$2:$J$1000,"&gt;"&amp;J223)+COUNTIFS($EU$2:$EU$1000,"Y",$J$2:$J$1000,J223,$EW$2:$EW$1000,"&lt;"&amp;EW223)+1)</f>
        <v/>
      </c>
      <c r="Z223" s="0" t="n">
        <v>222</v>
      </c>
      <c r="AA223" s="0" t="s">
        <v>162</v>
      </c>
      <c r="AD223" s="0" t="s">
        <v>158</v>
      </c>
      <c r="AH223" s="5" t="s">
        <v>158</v>
      </c>
      <c r="AI223" s="0" t="s">
        <v>1611</v>
      </c>
      <c r="AJ223" s="0" t="s">
        <v>728</v>
      </c>
      <c r="AK223" s="0" t="s">
        <v>434</v>
      </c>
      <c r="AL223" s="0" t="s">
        <v>163</v>
      </c>
      <c r="AM223" s="0" t="s">
        <v>163</v>
      </c>
      <c r="AN223" s="0" t="s">
        <v>158</v>
      </c>
      <c r="AO223" s="0" t="s">
        <v>163</v>
      </c>
      <c r="AP223" s="0" t="s">
        <v>3474</v>
      </c>
      <c r="AQ223" s="5" t="s">
        <v>162</v>
      </c>
      <c r="AT223" s="0" t="str">
        <f aca="false">IF(AND(AX223="pass",AQ223&lt;&gt;"Y",C223&lt;&gt;"",OR(AW223&lt;&gt;"Y",AV223="Y")),"Y","N")</f>
        <v>N</v>
      </c>
      <c r="AU223" s="0" t="str">
        <f aca="false">_xlfn.TEXTJOIN("; ",TRUE(),IF(AX223&lt;&gt;"pass","gated out",""),IF(AQ223="Y","on hold: "&amp;AR223,""),IF(C223="","no contact named on an opened page",""),IF(AND(AW223="Y",AV223&lt;&gt;"Y"),"Tuesday estimate band "&amp;L223&amp;": founder's call",""))</f>
        <v>no contact named on an opened page</v>
      </c>
      <c r="AW223" s="0" t="s">
        <v>162</v>
      </c>
      <c r="AX223" s="0" t="s">
        <v>181</v>
      </c>
      <c r="AY223" s="0" t="s">
        <v>182</v>
      </c>
      <c r="AZ223" s="0" t="s">
        <v>1</v>
      </c>
      <c r="BA223" s="0" t="s">
        <v>3477</v>
      </c>
      <c r="BB223" s="0" t="s">
        <v>163</v>
      </c>
      <c r="BC223" s="0" t="s">
        <v>1736</v>
      </c>
      <c r="BD223" s="0" t="s">
        <v>163</v>
      </c>
      <c r="BF223" s="0" t="s">
        <v>163</v>
      </c>
      <c r="BG223" s="0" t="s">
        <v>163</v>
      </c>
      <c r="BH223" s="0" t="s">
        <v>2195</v>
      </c>
      <c r="BK223" s="0" t="s">
        <v>163</v>
      </c>
      <c r="BL223" s="0" t="s">
        <v>163</v>
      </c>
      <c r="BM223" s="0" t="s">
        <v>163</v>
      </c>
      <c r="BN223" s="0" t="s">
        <v>163</v>
      </c>
      <c r="BO223" s="0" t="s">
        <v>163</v>
      </c>
      <c r="BP223" s="0" t="s">
        <v>346</v>
      </c>
      <c r="BQ223" s="0" t="n">
        <v>40.738577</v>
      </c>
      <c r="BR223" s="0" t="n">
        <v>-73.987151</v>
      </c>
      <c r="BS223" s="0" t="s">
        <v>168</v>
      </c>
      <c r="BT223" s="0" t="n">
        <v>0</v>
      </c>
      <c r="BU223" s="0" t="s">
        <v>1617</v>
      </c>
      <c r="BV223" s="0" t="s">
        <v>1618</v>
      </c>
      <c r="BW223" s="0" t="s">
        <v>3476</v>
      </c>
      <c r="BX223" s="0" t="s">
        <v>3478</v>
      </c>
      <c r="BY223" s="0" t="s">
        <v>247</v>
      </c>
      <c r="CC223" s="0" t="s">
        <v>179</v>
      </c>
      <c r="CE223" s="0" t="s">
        <v>162</v>
      </c>
      <c r="CH223" s="0" t="s">
        <v>163</v>
      </c>
      <c r="CJ223" s="0" t="s">
        <v>163</v>
      </c>
      <c r="CK223" s="0" t="s">
        <v>162</v>
      </c>
      <c r="CL223" s="0" t="s">
        <v>163</v>
      </c>
      <c r="CO223" s="0" t="s">
        <v>163</v>
      </c>
      <c r="CQ223" s="0" t="s">
        <v>2196</v>
      </c>
      <c r="CR223" s="0" t="s">
        <v>206</v>
      </c>
      <c r="CS223" s="0" t="s">
        <v>163</v>
      </c>
      <c r="CT223" s="0" t="n">
        <v>26</v>
      </c>
      <c r="CU223" s="0" t="n">
        <v>7</v>
      </c>
      <c r="CV223" s="0" t="n">
        <v>8</v>
      </c>
      <c r="CW223" s="0" t="n">
        <v>6</v>
      </c>
      <c r="CX223" s="0" t="n">
        <v>5</v>
      </c>
      <c r="CY223" s="0" t="n">
        <f aca="false">IF(AH223="exact",10,IF(AH223="adjacent",5,0))</f>
        <v>0</v>
      </c>
      <c r="CZ223" s="0" t="n">
        <f aca="false">IF(R223="Y",15,0)</f>
        <v>0</v>
      </c>
      <c r="DF223" s="0" t="s">
        <v>158</v>
      </c>
      <c r="DG223" s="0" t="s">
        <v>211</v>
      </c>
      <c r="DJ223" s="0" t="s">
        <v>3472</v>
      </c>
      <c r="DK223" s="0" t="s">
        <v>3479</v>
      </c>
      <c r="DS223" s="0" t="s">
        <v>158</v>
      </c>
      <c r="DX223" s="0" t="s">
        <v>162</v>
      </c>
      <c r="ER223" s="0" t="str">
        <f aca="false">IF(ISNUMBER(MATCH(U223,{"queued","contacted","replied","call_booked","call_done","yes_in_principle","materials_sent"},0)),"Y","N")</f>
        <v>N</v>
      </c>
      <c r="ES223" s="0" t="str">
        <f aca="false">IF(COUNTIFS($AP$2:$AP$1000,AP223,$ER$2:$ER$1000,"Y")+COUNTIFS($AP$2:$AP$1000,AP223,$T$2:$T$1000,"Y")&gt;0,"Y","N")</f>
        <v>N</v>
      </c>
      <c r="ET223" s="0" t="str">
        <f aca="false">IF(AND(U223="new",T223="N",AT223="Y",AS223="",ES223="N"),"Y","N")</f>
        <v>N</v>
      </c>
      <c r="EU223" s="0" t="str">
        <f aca="false">IF(ET223&lt;&gt;"Y","N",IF(COUNTIFS($AP$2:$AP$1000,AP223,$ET$2:$ET$1000,"Y",$J$2:$J$1000,"&gt;"&amp;J223)+COUNTIFS($AP$2:$AP$1000,AP223,$ET$2:$ET$1000,"Y",$J$2:$J$1000,J223,$EW$2:$EW$1000,"&lt;"&amp;EW223)=0,"Y","N"))</f>
        <v>N</v>
      </c>
      <c r="EV223" s="0" t="str">
        <f aca="false">IF(Y223="","N",IF(Y223&lt;=10,"Y","N"))</f>
        <v>N</v>
      </c>
      <c r="EW223" s="0" t="n">
        <f aca="false">ROW()-1</f>
        <v>222</v>
      </c>
    </row>
    <row r="224" customFormat="false" ht="15" hidden="false" customHeight="false" outlineLevel="0" collapsed="false">
      <c r="A224" s="0" t="s">
        <v>3480</v>
      </c>
      <c r="B224" s="0" t="s">
        <v>3481</v>
      </c>
      <c r="H224" s="5" t="s">
        <v>158</v>
      </c>
      <c r="I224" s="5" t="s">
        <v>159</v>
      </c>
      <c r="J224" s="0" t="n">
        <f aca="false">IF(AX224="pass",ROUND(CU224+CV224+CW224+CX224+CY224+CZ224,1),0)</f>
        <v>26</v>
      </c>
      <c r="K224" s="0" t="s">
        <v>3400</v>
      </c>
      <c r="L224" s="0" t="s">
        <v>163</v>
      </c>
      <c r="R224" s="5" t="s">
        <v>162</v>
      </c>
      <c r="S224" s="0" t="s">
        <v>163</v>
      </c>
      <c r="T224" s="5" t="s">
        <v>162</v>
      </c>
      <c r="U224" s="5" t="s">
        <v>561</v>
      </c>
      <c r="V224" s="0" t="s">
        <v>3482</v>
      </c>
      <c r="W224" s="0" t="s">
        <v>166</v>
      </c>
      <c r="X224" s="0" t="s">
        <v>167</v>
      </c>
      <c r="Y224" s="0" t="str">
        <f aca="false">IF(EU224&lt;&gt;"Y","",COUNTIFS($EU$2:$EU$1000,"Y",$J$2:$J$1000,"&gt;"&amp;J224)+COUNTIFS($EU$2:$EU$1000,"Y",$J$2:$J$1000,J224,$EW$2:$EW$1000,"&lt;"&amp;EW224)+1)</f>
        <v/>
      </c>
      <c r="Z224" s="0" t="n">
        <v>223</v>
      </c>
      <c r="AA224" s="0" t="s">
        <v>162</v>
      </c>
      <c r="AD224" s="0" t="s">
        <v>158</v>
      </c>
      <c r="AH224" s="5" t="s">
        <v>158</v>
      </c>
      <c r="AI224" s="0" t="s">
        <v>340</v>
      </c>
      <c r="AJ224" s="0" t="s">
        <v>1751</v>
      </c>
      <c r="AK224" s="0" t="s">
        <v>434</v>
      </c>
      <c r="AL224" s="0" t="s">
        <v>163</v>
      </c>
      <c r="AM224" s="0" t="s">
        <v>163</v>
      </c>
      <c r="AN224" s="0" t="s">
        <v>158</v>
      </c>
      <c r="AO224" s="0" t="s">
        <v>163</v>
      </c>
      <c r="AP224" s="0" t="s">
        <v>3480</v>
      </c>
      <c r="AQ224" s="5" t="s">
        <v>162</v>
      </c>
      <c r="AT224" s="0" t="str">
        <f aca="false">IF(AND(AX224="pass",AQ224&lt;&gt;"Y",C224&lt;&gt;"",OR(AW224&lt;&gt;"Y",AV224="Y")),"Y","N")</f>
        <v>N</v>
      </c>
      <c r="AU224" s="0" t="str">
        <f aca="false">_xlfn.TEXTJOIN("; ",TRUE(),IF(AX224&lt;&gt;"pass","gated out",""),IF(AQ224="Y","on hold: "&amp;AR224,""),IF(C224="","no contact named on an opened page",""),IF(AND(AW224="Y",AV224&lt;&gt;"Y"),"Tuesday estimate band "&amp;L224&amp;": founder's call",""))</f>
        <v>no contact named on an opened page</v>
      </c>
      <c r="AW224" s="0" t="s">
        <v>162</v>
      </c>
      <c r="AX224" s="0" t="s">
        <v>181</v>
      </c>
      <c r="AY224" s="0" t="s">
        <v>182</v>
      </c>
      <c r="AZ224" s="0" t="s">
        <v>1</v>
      </c>
      <c r="BA224" s="0" t="s">
        <v>3483</v>
      </c>
      <c r="BB224" s="0" t="s">
        <v>3484</v>
      </c>
      <c r="BC224" s="0" t="s">
        <v>3485</v>
      </c>
      <c r="BD224" s="0" t="s">
        <v>163</v>
      </c>
      <c r="BF224" s="0" t="s">
        <v>163</v>
      </c>
      <c r="BG224" s="0" t="s">
        <v>163</v>
      </c>
      <c r="BH224" s="0" t="s">
        <v>2195</v>
      </c>
      <c r="BK224" s="0" t="s">
        <v>163</v>
      </c>
      <c r="BL224" s="0" t="s">
        <v>163</v>
      </c>
      <c r="BM224" s="0" t="s">
        <v>163</v>
      </c>
      <c r="BN224" s="0" t="s">
        <v>163</v>
      </c>
      <c r="BO224" s="0" t="s">
        <v>163</v>
      </c>
      <c r="BP224" s="0" t="s">
        <v>346</v>
      </c>
      <c r="BQ224" s="0" t="n">
        <v>40.741838</v>
      </c>
      <c r="BR224" s="0" t="n">
        <v>-73.992892</v>
      </c>
      <c r="BS224" s="0" t="s">
        <v>168</v>
      </c>
      <c r="BT224" s="0" t="n">
        <v>0</v>
      </c>
      <c r="BU224" s="0" t="s">
        <v>347</v>
      </c>
      <c r="BV224" s="0" t="s">
        <v>348</v>
      </c>
      <c r="BW224" s="0" t="s">
        <v>3482</v>
      </c>
      <c r="BX224" s="0" t="s">
        <v>3486</v>
      </c>
      <c r="BY224" s="0" t="s">
        <v>247</v>
      </c>
      <c r="CC224" s="0" t="s">
        <v>179</v>
      </c>
      <c r="CE224" s="0" t="s">
        <v>162</v>
      </c>
      <c r="CH224" s="0" t="s">
        <v>163</v>
      </c>
      <c r="CJ224" s="0" t="s">
        <v>163</v>
      </c>
      <c r="CK224" s="0" t="s">
        <v>162</v>
      </c>
      <c r="CL224" s="0" t="s">
        <v>163</v>
      </c>
      <c r="CO224" s="0" t="s">
        <v>163</v>
      </c>
      <c r="CQ224" s="0" t="s">
        <v>2196</v>
      </c>
      <c r="CR224" s="0" t="s">
        <v>206</v>
      </c>
      <c r="CS224" s="0" t="s">
        <v>163</v>
      </c>
      <c r="CT224" s="0" t="n">
        <v>26</v>
      </c>
      <c r="CU224" s="0" t="n">
        <v>7</v>
      </c>
      <c r="CV224" s="0" t="n">
        <v>8</v>
      </c>
      <c r="CW224" s="0" t="n">
        <v>6</v>
      </c>
      <c r="CX224" s="0" t="n">
        <v>5</v>
      </c>
      <c r="CY224" s="0" t="n">
        <f aca="false">IF(AH224="exact",10,IF(AH224="adjacent",5,0))</f>
        <v>0</v>
      </c>
      <c r="CZ224" s="0" t="n">
        <f aca="false">IF(R224="Y",15,0)</f>
        <v>0</v>
      </c>
      <c r="DF224" s="0" t="s">
        <v>158</v>
      </c>
      <c r="DG224" s="0" t="s">
        <v>211</v>
      </c>
      <c r="DJ224" s="0" t="s">
        <v>354</v>
      </c>
      <c r="DK224" s="0" t="s">
        <v>3487</v>
      </c>
      <c r="DS224" s="0" t="s">
        <v>158</v>
      </c>
      <c r="DX224" s="0" t="s">
        <v>162</v>
      </c>
      <c r="ER224" s="0" t="str">
        <f aca="false">IF(ISNUMBER(MATCH(U224,{"queued","contacted","replied","call_booked","call_done","yes_in_principle","materials_sent"},0)),"Y","N")</f>
        <v>N</v>
      </c>
      <c r="ES224" s="0" t="str">
        <f aca="false">IF(COUNTIFS($AP$2:$AP$1000,AP224,$ER$2:$ER$1000,"Y")+COUNTIFS($AP$2:$AP$1000,AP224,$T$2:$T$1000,"Y")&gt;0,"Y","N")</f>
        <v>N</v>
      </c>
      <c r="ET224" s="0" t="str">
        <f aca="false">IF(AND(U224="new",T224="N",AT224="Y",AS224="",ES224="N"),"Y","N")</f>
        <v>N</v>
      </c>
      <c r="EU224" s="0" t="str">
        <f aca="false">IF(ET224&lt;&gt;"Y","N",IF(COUNTIFS($AP$2:$AP$1000,AP224,$ET$2:$ET$1000,"Y",$J$2:$J$1000,"&gt;"&amp;J224)+COUNTIFS($AP$2:$AP$1000,AP224,$ET$2:$ET$1000,"Y",$J$2:$J$1000,J224,$EW$2:$EW$1000,"&lt;"&amp;EW224)=0,"Y","N"))</f>
        <v>N</v>
      </c>
      <c r="EV224" s="0" t="str">
        <f aca="false">IF(Y224="","N",IF(Y224&lt;=10,"Y","N"))</f>
        <v>N</v>
      </c>
      <c r="EW224" s="0" t="n">
        <f aca="false">ROW()-1</f>
        <v>223</v>
      </c>
    </row>
    <row r="225" customFormat="false" ht="15" hidden="false" customHeight="false" outlineLevel="0" collapsed="false">
      <c r="A225" s="0" t="s">
        <v>3488</v>
      </c>
      <c r="B225" s="0" t="s">
        <v>3489</v>
      </c>
      <c r="H225" s="5" t="s">
        <v>158</v>
      </c>
      <c r="I225" s="5" t="s">
        <v>159</v>
      </c>
      <c r="J225" s="0" t="n">
        <f aca="false">IF(AX225="pass",ROUND(CU225+CV225+CW225+CX225+CY225+CZ225,1),0)</f>
        <v>26</v>
      </c>
      <c r="K225" s="0" t="s">
        <v>3400</v>
      </c>
      <c r="L225" s="0" t="s">
        <v>163</v>
      </c>
      <c r="R225" s="5" t="s">
        <v>162</v>
      </c>
      <c r="S225" s="0" t="s">
        <v>163</v>
      </c>
      <c r="T225" s="5" t="s">
        <v>162</v>
      </c>
      <c r="U225" s="5" t="s">
        <v>561</v>
      </c>
      <c r="V225" s="0" t="s">
        <v>3490</v>
      </c>
      <c r="W225" s="0" t="s">
        <v>166</v>
      </c>
      <c r="X225" s="0" t="s">
        <v>167</v>
      </c>
      <c r="Y225" s="0" t="str">
        <f aca="false">IF(EU225&lt;&gt;"Y","",COUNTIFS($EU$2:$EU$1000,"Y",$J$2:$J$1000,"&gt;"&amp;J225)+COUNTIFS($EU$2:$EU$1000,"Y",$J$2:$J$1000,J225,$EW$2:$EW$1000,"&lt;"&amp;EW225)+1)</f>
        <v/>
      </c>
      <c r="Z225" s="0" t="n">
        <v>224</v>
      </c>
      <c r="AA225" s="0" t="s">
        <v>162</v>
      </c>
      <c r="AD225" s="0" t="s">
        <v>158</v>
      </c>
      <c r="AH225" s="5" t="s">
        <v>158</v>
      </c>
      <c r="AI225" s="0" t="s">
        <v>2050</v>
      </c>
      <c r="AJ225" s="0" t="s">
        <v>433</v>
      </c>
      <c r="AK225" s="0" t="s">
        <v>434</v>
      </c>
      <c r="AL225" s="0" t="s">
        <v>163</v>
      </c>
      <c r="AM225" s="0" t="s">
        <v>163</v>
      </c>
      <c r="AN225" s="0" t="s">
        <v>158</v>
      </c>
      <c r="AO225" s="0" t="s">
        <v>163</v>
      </c>
      <c r="AP225" s="0" t="s">
        <v>3488</v>
      </c>
      <c r="AQ225" s="5" t="s">
        <v>162</v>
      </c>
      <c r="AT225" s="0" t="str">
        <f aca="false">IF(AND(AX225="pass",AQ225&lt;&gt;"Y",C225&lt;&gt;"",OR(AW225&lt;&gt;"Y",AV225="Y")),"Y","N")</f>
        <v>N</v>
      </c>
      <c r="AU225" s="0" t="str">
        <f aca="false">_xlfn.TEXTJOIN("; ",TRUE(),IF(AX225&lt;&gt;"pass","gated out",""),IF(AQ225="Y","on hold: "&amp;AR225,""),IF(C225="","no contact named on an opened page",""),IF(AND(AW225="Y",AV225&lt;&gt;"Y"),"Tuesday estimate band "&amp;L225&amp;": founder's call",""))</f>
        <v>no contact named on an opened page</v>
      </c>
      <c r="AW225" s="0" t="s">
        <v>162</v>
      </c>
      <c r="AX225" s="0" t="s">
        <v>181</v>
      </c>
      <c r="AY225" s="0" t="s">
        <v>182</v>
      </c>
      <c r="AZ225" s="0" t="s">
        <v>1</v>
      </c>
      <c r="BA225" s="0" t="s">
        <v>3491</v>
      </c>
      <c r="BB225" s="0" t="s">
        <v>3492</v>
      </c>
      <c r="BC225" s="0" t="s">
        <v>3493</v>
      </c>
      <c r="BD225" s="0" t="s">
        <v>163</v>
      </c>
      <c r="BF225" s="0" t="s">
        <v>163</v>
      </c>
      <c r="BG225" s="0" t="s">
        <v>163</v>
      </c>
      <c r="BH225" s="0" t="s">
        <v>2195</v>
      </c>
      <c r="BK225" s="0" t="s">
        <v>163</v>
      </c>
      <c r="BL225" s="0" t="s">
        <v>163</v>
      </c>
      <c r="BM225" s="0" t="s">
        <v>163</v>
      </c>
      <c r="BN225" s="0" t="s">
        <v>163</v>
      </c>
      <c r="BO225" s="0" t="s">
        <v>163</v>
      </c>
      <c r="BP225" s="0" t="s">
        <v>346</v>
      </c>
      <c r="BQ225" s="0" t="n">
        <v>40.74118</v>
      </c>
      <c r="BR225" s="0" t="n">
        <v>-73.99129</v>
      </c>
      <c r="BS225" s="0" t="s">
        <v>168</v>
      </c>
      <c r="BT225" s="0" t="n">
        <v>0</v>
      </c>
      <c r="BU225" s="0" t="s">
        <v>2057</v>
      </c>
      <c r="BV225" s="0" t="s">
        <v>2058</v>
      </c>
      <c r="BW225" s="0" t="s">
        <v>3490</v>
      </c>
      <c r="BX225" s="0" t="s">
        <v>3494</v>
      </c>
      <c r="BY225" s="0" t="s">
        <v>247</v>
      </c>
      <c r="CC225" s="0" t="s">
        <v>179</v>
      </c>
      <c r="CE225" s="0" t="s">
        <v>162</v>
      </c>
      <c r="CH225" s="0" t="s">
        <v>163</v>
      </c>
      <c r="CJ225" s="0" t="s">
        <v>163</v>
      </c>
      <c r="CK225" s="0" t="s">
        <v>162</v>
      </c>
      <c r="CL225" s="0" t="s">
        <v>163</v>
      </c>
      <c r="CO225" s="0" t="s">
        <v>163</v>
      </c>
      <c r="CQ225" s="0" t="s">
        <v>2196</v>
      </c>
      <c r="CR225" s="0" t="s">
        <v>206</v>
      </c>
      <c r="CS225" s="0" t="s">
        <v>163</v>
      </c>
      <c r="CT225" s="0" t="n">
        <v>26</v>
      </c>
      <c r="CU225" s="0" t="n">
        <v>7</v>
      </c>
      <c r="CV225" s="0" t="n">
        <v>8</v>
      </c>
      <c r="CW225" s="0" t="n">
        <v>6</v>
      </c>
      <c r="CX225" s="0" t="n">
        <v>5</v>
      </c>
      <c r="CY225" s="0" t="n">
        <f aca="false">IF(AH225="exact",10,IF(AH225="adjacent",5,0))</f>
        <v>0</v>
      </c>
      <c r="CZ225" s="0" t="n">
        <f aca="false">IF(R225="Y",15,0)</f>
        <v>0</v>
      </c>
      <c r="DF225" s="0" t="s">
        <v>158</v>
      </c>
      <c r="DG225" s="0" t="s">
        <v>211</v>
      </c>
      <c r="DJ225" s="0" t="s">
        <v>3495</v>
      </c>
      <c r="DK225" s="0" t="s">
        <v>3496</v>
      </c>
      <c r="DS225" s="0" t="s">
        <v>158</v>
      </c>
      <c r="DX225" s="0" t="s">
        <v>162</v>
      </c>
      <c r="ER225" s="0" t="str">
        <f aca="false">IF(ISNUMBER(MATCH(U225,{"queued","contacted","replied","call_booked","call_done","yes_in_principle","materials_sent"},0)),"Y","N")</f>
        <v>N</v>
      </c>
      <c r="ES225" s="0" t="str">
        <f aca="false">IF(COUNTIFS($AP$2:$AP$1000,AP225,$ER$2:$ER$1000,"Y")+COUNTIFS($AP$2:$AP$1000,AP225,$T$2:$T$1000,"Y")&gt;0,"Y","N")</f>
        <v>N</v>
      </c>
      <c r="ET225" s="0" t="str">
        <f aca="false">IF(AND(U225="new",T225="N",AT225="Y",AS225="",ES225="N"),"Y","N")</f>
        <v>N</v>
      </c>
      <c r="EU225" s="0" t="str">
        <f aca="false">IF(ET225&lt;&gt;"Y","N",IF(COUNTIFS($AP$2:$AP$1000,AP225,$ET$2:$ET$1000,"Y",$J$2:$J$1000,"&gt;"&amp;J225)+COUNTIFS($AP$2:$AP$1000,AP225,$ET$2:$ET$1000,"Y",$J$2:$J$1000,J225,$EW$2:$EW$1000,"&lt;"&amp;EW225)=0,"Y","N"))</f>
        <v>N</v>
      </c>
      <c r="EV225" s="0" t="str">
        <f aca="false">IF(Y225="","N",IF(Y225&lt;=10,"Y","N"))</f>
        <v>N</v>
      </c>
      <c r="EW225" s="0" t="n">
        <f aca="false">ROW()-1</f>
        <v>224</v>
      </c>
    </row>
    <row r="226" customFormat="false" ht="15" hidden="false" customHeight="false" outlineLevel="0" collapsed="false">
      <c r="A226" s="0" t="s">
        <v>3497</v>
      </c>
      <c r="B226" s="0" t="s">
        <v>3498</v>
      </c>
      <c r="H226" s="5" t="s">
        <v>158</v>
      </c>
      <c r="I226" s="5" t="s">
        <v>159</v>
      </c>
      <c r="J226" s="0" t="n">
        <f aca="false">IF(AX226="pass",ROUND(CU226+CV226+CW226+CX226+CY226+CZ226,1),0)</f>
        <v>25</v>
      </c>
      <c r="K226" s="0" t="s">
        <v>3499</v>
      </c>
      <c r="L226" s="0" t="s">
        <v>163</v>
      </c>
      <c r="O226" s="0" t="s">
        <v>3500</v>
      </c>
      <c r="P226" s="0" t="s">
        <v>3501</v>
      </c>
      <c r="Q226" s="0" t="s">
        <v>3502</v>
      </c>
      <c r="R226" s="5" t="s">
        <v>162</v>
      </c>
      <c r="S226" s="0" t="s">
        <v>163</v>
      </c>
      <c r="T226" s="5" t="s">
        <v>162</v>
      </c>
      <c r="U226" s="5" t="s">
        <v>561</v>
      </c>
      <c r="V226" s="0" t="s">
        <v>3501</v>
      </c>
      <c r="W226" s="0" t="s">
        <v>166</v>
      </c>
      <c r="X226" s="0" t="s">
        <v>167</v>
      </c>
      <c r="Y226" s="0" t="str">
        <f aca="false">IF(EU226&lt;&gt;"Y","",COUNTIFS($EU$2:$EU$1000,"Y",$J$2:$J$1000,"&gt;"&amp;J226)+COUNTIFS($EU$2:$EU$1000,"Y",$J$2:$J$1000,J226,$EW$2:$EW$1000,"&lt;"&amp;EW226)+1)</f>
        <v/>
      </c>
      <c r="Z226" s="0" t="n">
        <v>225</v>
      </c>
      <c r="AA226" s="0" t="s">
        <v>162</v>
      </c>
      <c r="AD226" s="0" t="s">
        <v>158</v>
      </c>
      <c r="AH226" s="5" t="s">
        <v>158</v>
      </c>
      <c r="AI226" s="0" t="s">
        <v>2335</v>
      </c>
      <c r="AJ226" s="0" t="s">
        <v>3126</v>
      </c>
      <c r="AK226" s="0" t="s">
        <v>434</v>
      </c>
      <c r="AL226" s="0" t="s">
        <v>163</v>
      </c>
      <c r="AM226" s="0" t="s">
        <v>163</v>
      </c>
      <c r="AN226" s="0" t="s">
        <v>158</v>
      </c>
      <c r="AO226" s="0" t="s">
        <v>163</v>
      </c>
      <c r="AP226" s="0" t="s">
        <v>3497</v>
      </c>
      <c r="AQ226" s="5" t="s">
        <v>162</v>
      </c>
      <c r="AT226" s="0" t="str">
        <f aca="false">IF(AND(AX226="pass",AQ226&lt;&gt;"Y",C226&lt;&gt;"",OR(AW226&lt;&gt;"Y",AV226="Y")),"Y","N")</f>
        <v>N</v>
      </c>
      <c r="AU226" s="0" t="str">
        <f aca="false">_xlfn.TEXTJOIN("; ",TRUE(),IF(AX226&lt;&gt;"pass","gated out",""),IF(AQ226="Y","on hold: "&amp;AR226,""),IF(C226="","no contact named on an opened page",""),IF(AND(AW226="Y",AV226&lt;&gt;"Y"),"Tuesday estimate band "&amp;L226&amp;": founder's call",""))</f>
        <v>no contact named on an opened page</v>
      </c>
      <c r="AW226" s="0" t="s">
        <v>162</v>
      </c>
      <c r="AX226" s="0" t="s">
        <v>181</v>
      </c>
      <c r="AY226" s="0" t="s">
        <v>182</v>
      </c>
      <c r="AZ226" s="0" t="s">
        <v>1</v>
      </c>
      <c r="BA226" s="0" t="s">
        <v>3503</v>
      </c>
      <c r="BB226" s="0" t="s">
        <v>3504</v>
      </c>
      <c r="BC226" s="0" t="s">
        <v>1193</v>
      </c>
      <c r="BD226" s="0" t="s">
        <v>163</v>
      </c>
      <c r="BF226" s="0" t="s">
        <v>163</v>
      </c>
      <c r="BG226" s="0" t="s">
        <v>163</v>
      </c>
      <c r="BH226" s="0" t="s">
        <v>2195</v>
      </c>
      <c r="BK226" s="0" t="s">
        <v>163</v>
      </c>
      <c r="BL226" s="0" t="s">
        <v>163</v>
      </c>
      <c r="BM226" s="0" t="s">
        <v>163</v>
      </c>
      <c r="BN226" s="0" t="s">
        <v>3505</v>
      </c>
      <c r="BO226" s="0" t="s">
        <v>163</v>
      </c>
      <c r="BP226" s="0" t="s">
        <v>243</v>
      </c>
      <c r="BQ226" s="0" t="n">
        <v>40.7425</v>
      </c>
      <c r="BR226" s="0" t="n">
        <v>-73.984446</v>
      </c>
      <c r="BS226" s="0" t="s">
        <v>168</v>
      </c>
      <c r="BT226" s="0" t="n">
        <v>0</v>
      </c>
      <c r="BU226" s="0" t="s">
        <v>2340</v>
      </c>
      <c r="BV226" s="0" t="s">
        <v>2341</v>
      </c>
      <c r="BW226" s="0" t="s">
        <v>3501</v>
      </c>
      <c r="BX226" s="0" t="s">
        <v>3502</v>
      </c>
      <c r="BY226" s="0" t="s">
        <v>247</v>
      </c>
      <c r="CC226" s="0" t="s">
        <v>738</v>
      </c>
      <c r="CE226" s="0" t="s">
        <v>162</v>
      </c>
      <c r="CH226" s="0" t="s">
        <v>163</v>
      </c>
      <c r="CJ226" s="0" t="s">
        <v>163</v>
      </c>
      <c r="CK226" s="0" t="s">
        <v>162</v>
      </c>
      <c r="CL226" s="0" t="s">
        <v>163</v>
      </c>
      <c r="CO226" s="0" t="s">
        <v>163</v>
      </c>
      <c r="CQ226" s="0" t="s">
        <v>2196</v>
      </c>
      <c r="CR226" s="0" t="s">
        <v>206</v>
      </c>
      <c r="CS226" s="0" t="s">
        <v>163</v>
      </c>
      <c r="CT226" s="0" t="n">
        <v>25</v>
      </c>
      <c r="CU226" s="0" t="n">
        <v>7</v>
      </c>
      <c r="CV226" s="0" t="n">
        <v>4</v>
      </c>
      <c r="CW226" s="0" t="n">
        <v>6</v>
      </c>
      <c r="CX226" s="0" t="n">
        <v>8</v>
      </c>
      <c r="CY226" s="0" t="n">
        <f aca="false">IF(AH226="exact",10,IF(AH226="adjacent",5,0))</f>
        <v>0</v>
      </c>
      <c r="CZ226" s="0" t="n">
        <f aca="false">IF(R226="Y",15,0)</f>
        <v>0</v>
      </c>
      <c r="DF226" s="0" t="s">
        <v>158</v>
      </c>
      <c r="DG226" s="0" t="s">
        <v>211</v>
      </c>
      <c r="DJ226" s="0" t="s">
        <v>3506</v>
      </c>
      <c r="DK226" s="0" t="s">
        <v>3507</v>
      </c>
      <c r="DS226" s="0" t="s">
        <v>158</v>
      </c>
      <c r="DX226" s="0" t="s">
        <v>162</v>
      </c>
      <c r="ER226" s="0" t="str">
        <f aca="false">IF(ISNUMBER(MATCH(U226,{"queued","contacted","replied","call_booked","call_done","yes_in_principle","materials_sent"},0)),"Y","N")</f>
        <v>N</v>
      </c>
      <c r="ES226" s="0" t="str">
        <f aca="false">IF(COUNTIFS($AP$2:$AP$1000,AP226,$ER$2:$ER$1000,"Y")+COUNTIFS($AP$2:$AP$1000,AP226,$T$2:$T$1000,"Y")&gt;0,"Y","N")</f>
        <v>N</v>
      </c>
      <c r="ET226" s="0" t="str">
        <f aca="false">IF(AND(U226="new",T226="N",AT226="Y",AS226="",ES226="N"),"Y","N")</f>
        <v>N</v>
      </c>
      <c r="EU226" s="0" t="str">
        <f aca="false">IF(ET226&lt;&gt;"Y","N",IF(COUNTIFS($AP$2:$AP$1000,AP226,$ET$2:$ET$1000,"Y",$J$2:$J$1000,"&gt;"&amp;J226)+COUNTIFS($AP$2:$AP$1000,AP226,$ET$2:$ET$1000,"Y",$J$2:$J$1000,J226,$EW$2:$EW$1000,"&lt;"&amp;EW226)=0,"Y","N"))</f>
        <v>N</v>
      </c>
      <c r="EV226" s="0" t="str">
        <f aca="false">IF(Y226="","N",IF(Y226&lt;=10,"Y","N"))</f>
        <v>N</v>
      </c>
      <c r="EW226" s="0" t="n">
        <f aca="false">ROW()-1</f>
        <v>225</v>
      </c>
    </row>
    <row r="227" customFormat="false" ht="15" hidden="false" customHeight="false" outlineLevel="0" collapsed="false">
      <c r="A227" s="0" t="s">
        <v>3508</v>
      </c>
      <c r="B227" s="0" t="s">
        <v>3509</v>
      </c>
      <c r="H227" s="5" t="s">
        <v>158</v>
      </c>
      <c r="I227" s="5" t="s">
        <v>159</v>
      </c>
      <c r="J227" s="0" t="n">
        <f aca="false">IF(AX227="pass",ROUND(CU227+CV227+CW227+CX227+CY227+CZ227,1),0)</f>
        <v>23</v>
      </c>
      <c r="K227" s="0" t="s">
        <v>3510</v>
      </c>
      <c r="L227" s="0" t="s">
        <v>163</v>
      </c>
      <c r="R227" s="5" t="s">
        <v>162</v>
      </c>
      <c r="S227" s="0" t="s">
        <v>163</v>
      </c>
      <c r="T227" s="5" t="s">
        <v>162</v>
      </c>
      <c r="U227" s="5" t="s">
        <v>561</v>
      </c>
      <c r="V227" s="0" t="s">
        <v>3511</v>
      </c>
      <c r="W227" s="0" t="s">
        <v>166</v>
      </c>
      <c r="X227" s="0" t="s">
        <v>167</v>
      </c>
      <c r="Y227" s="0" t="str">
        <f aca="false">IF(EU227&lt;&gt;"Y","",COUNTIFS($EU$2:$EU$1000,"Y",$J$2:$J$1000,"&gt;"&amp;J227)+COUNTIFS($EU$2:$EU$1000,"Y",$J$2:$J$1000,J227,$EW$2:$EW$1000,"&lt;"&amp;EW227)+1)</f>
        <v/>
      </c>
      <c r="Z227" s="0" t="n">
        <v>226</v>
      </c>
      <c r="AA227" s="0" t="s">
        <v>162</v>
      </c>
      <c r="AD227" s="0" t="s">
        <v>158</v>
      </c>
      <c r="AH227" s="5" t="s">
        <v>158</v>
      </c>
      <c r="AI227" s="0" t="s">
        <v>753</v>
      </c>
      <c r="AJ227" s="0" t="s">
        <v>310</v>
      </c>
      <c r="AK227" s="0" t="s">
        <v>889</v>
      </c>
      <c r="AL227" s="0" t="s">
        <v>163</v>
      </c>
      <c r="AM227" s="0" t="s">
        <v>163</v>
      </c>
      <c r="AN227" s="0" t="s">
        <v>158</v>
      </c>
      <c r="AO227" s="0" t="s">
        <v>163</v>
      </c>
      <c r="AP227" s="0" t="s">
        <v>3508</v>
      </c>
      <c r="AQ227" s="5" t="s">
        <v>168</v>
      </c>
      <c r="AR227" s="0" t="s">
        <v>890</v>
      </c>
      <c r="AT227" s="0" t="str">
        <f aca="false">IF(AND(AX227="pass",AQ227&lt;&gt;"Y",C227&lt;&gt;"",OR(AW227&lt;&gt;"Y",AV227="Y")),"Y","N")</f>
        <v>N</v>
      </c>
      <c r="AU227" s="0" t="str">
        <f aca="false">_xlfn.TEXTJOIN("; ",TRUE(),IF(AX227&lt;&gt;"pass","gated out",""),IF(AQ227="Y","on hold: "&amp;AR227,""),IF(C227="","no contact named on an opened page",""),IF(AND(AW227="Y",AV227&lt;&gt;"Y"),"Tuesday estimate band "&amp;L227&amp;": founder's call",""))</f>
        <v>on hold: lease signed, move not confirmed: check the lobby directory before outreach (B); no contact named on an opened page</v>
      </c>
      <c r="AW227" s="0" t="s">
        <v>162</v>
      </c>
      <c r="AX227" s="0" t="s">
        <v>181</v>
      </c>
      <c r="AY227" s="0" t="s">
        <v>182</v>
      </c>
      <c r="AZ227" s="0" t="s">
        <v>1</v>
      </c>
      <c r="BA227" s="0" t="s">
        <v>3512</v>
      </c>
      <c r="BB227" s="0" t="s">
        <v>3513</v>
      </c>
      <c r="BC227" s="0" t="s">
        <v>2127</v>
      </c>
      <c r="BD227" s="0" t="s">
        <v>163</v>
      </c>
      <c r="BF227" s="0" t="s">
        <v>163</v>
      </c>
      <c r="BG227" s="0" t="s">
        <v>163</v>
      </c>
      <c r="BH227" s="0" t="s">
        <v>2195</v>
      </c>
      <c r="BK227" s="0" t="s">
        <v>163</v>
      </c>
      <c r="BL227" s="0" t="s">
        <v>163</v>
      </c>
      <c r="BM227" s="0" t="s">
        <v>163</v>
      </c>
      <c r="BN227" s="0" t="s">
        <v>163</v>
      </c>
      <c r="BO227" s="0" t="s">
        <v>163</v>
      </c>
      <c r="BP227" s="0" t="s">
        <v>346</v>
      </c>
      <c r="BQ227" s="0" t="n">
        <v>40.743309</v>
      </c>
      <c r="BR227" s="0" t="n">
        <v>-73.987329</v>
      </c>
      <c r="BS227" s="0" t="s">
        <v>168</v>
      </c>
      <c r="BT227" s="0" t="n">
        <v>0</v>
      </c>
      <c r="BU227" s="0" t="s">
        <v>763</v>
      </c>
      <c r="BV227" s="0" t="s">
        <v>764</v>
      </c>
      <c r="BW227" s="0" t="s">
        <v>3511</v>
      </c>
      <c r="BX227" s="0" t="s">
        <v>3514</v>
      </c>
      <c r="BY227" s="0" t="s">
        <v>247</v>
      </c>
      <c r="CC227" s="0" t="s">
        <v>179</v>
      </c>
      <c r="CD227" s="0" t="s">
        <v>163</v>
      </c>
      <c r="CE227" s="0" t="s">
        <v>162</v>
      </c>
      <c r="CH227" s="0" t="s">
        <v>163</v>
      </c>
      <c r="CJ227" s="0" t="s">
        <v>163</v>
      </c>
      <c r="CK227" s="0" t="s">
        <v>162</v>
      </c>
      <c r="CL227" s="0" t="s">
        <v>163</v>
      </c>
      <c r="CO227" s="0" t="s">
        <v>163</v>
      </c>
      <c r="CQ227" s="0" t="s">
        <v>2196</v>
      </c>
      <c r="CR227" s="0" t="s">
        <v>206</v>
      </c>
      <c r="CS227" s="0" t="s">
        <v>163</v>
      </c>
      <c r="CT227" s="0" t="n">
        <v>23</v>
      </c>
      <c r="CU227" s="0" t="n">
        <v>7</v>
      </c>
      <c r="CV227" s="0" t="n">
        <v>8</v>
      </c>
      <c r="CW227" s="0" t="n">
        <v>6</v>
      </c>
      <c r="CX227" s="0" t="n">
        <v>2</v>
      </c>
      <c r="CY227" s="0" t="n">
        <f aca="false">IF(AH227="exact",10,IF(AH227="adjacent",5,0))</f>
        <v>0</v>
      </c>
      <c r="CZ227" s="0" t="n">
        <f aca="false">IF(R227="Y",15,0)</f>
        <v>0</v>
      </c>
      <c r="DF227" s="0" t="s">
        <v>158</v>
      </c>
      <c r="DG227" s="0" t="s">
        <v>211</v>
      </c>
      <c r="DJ227" s="0" t="s">
        <v>1103</v>
      </c>
      <c r="DK227" s="0" t="s">
        <v>3515</v>
      </c>
      <c r="DS227" s="0" t="s">
        <v>158</v>
      </c>
      <c r="DX227" s="0" t="s">
        <v>162</v>
      </c>
      <c r="ER227" s="0" t="str">
        <f aca="false">IF(ISNUMBER(MATCH(U227,{"queued","contacted","replied","call_booked","call_done","yes_in_principle","materials_sent"},0)),"Y","N")</f>
        <v>N</v>
      </c>
      <c r="ES227" s="0" t="str">
        <f aca="false">IF(COUNTIFS($AP$2:$AP$1000,AP227,$ER$2:$ER$1000,"Y")+COUNTIFS($AP$2:$AP$1000,AP227,$T$2:$T$1000,"Y")&gt;0,"Y","N")</f>
        <v>N</v>
      </c>
      <c r="ET227" s="0" t="str">
        <f aca="false">IF(AND(U227="new",T227="N",AT227="Y",AS227="",ES227="N"),"Y","N")</f>
        <v>N</v>
      </c>
      <c r="EU227" s="0" t="str">
        <f aca="false">IF(ET227&lt;&gt;"Y","N",IF(COUNTIFS($AP$2:$AP$1000,AP227,$ET$2:$ET$1000,"Y",$J$2:$J$1000,"&gt;"&amp;J227)+COUNTIFS($AP$2:$AP$1000,AP227,$ET$2:$ET$1000,"Y",$J$2:$J$1000,J227,$EW$2:$EW$1000,"&lt;"&amp;EW227)=0,"Y","N"))</f>
        <v>N</v>
      </c>
      <c r="EV227" s="0" t="str">
        <f aca="false">IF(Y227="","N",IF(Y227&lt;=10,"Y","N"))</f>
        <v>N</v>
      </c>
      <c r="EW227" s="0" t="n">
        <f aca="false">ROW()-1</f>
        <v>226</v>
      </c>
    </row>
    <row r="228" customFormat="false" ht="15" hidden="false" customHeight="false" outlineLevel="0" collapsed="false">
      <c r="A228" s="0" t="s">
        <v>3516</v>
      </c>
      <c r="B228" s="0" t="s">
        <v>3517</v>
      </c>
      <c r="H228" s="5" t="s">
        <v>158</v>
      </c>
      <c r="I228" s="5" t="s">
        <v>159</v>
      </c>
      <c r="J228" s="0" t="n">
        <f aca="false">IF(AX228="pass",ROUND(CU228+CV228+CW228+CX228+CY228+CZ228,1),0)</f>
        <v>23</v>
      </c>
      <c r="K228" s="0" t="s">
        <v>3510</v>
      </c>
      <c r="L228" s="0" t="s">
        <v>163</v>
      </c>
      <c r="O228" s="0" t="s">
        <v>3518</v>
      </c>
      <c r="P228" s="0" t="s">
        <v>2166</v>
      </c>
      <c r="Q228" s="0" t="s">
        <v>1291</v>
      </c>
      <c r="R228" s="5" t="s">
        <v>162</v>
      </c>
      <c r="S228" s="0" t="s">
        <v>163</v>
      </c>
      <c r="T228" s="5" t="s">
        <v>162</v>
      </c>
      <c r="U228" s="5" t="s">
        <v>561</v>
      </c>
      <c r="V228" s="0" t="s">
        <v>2166</v>
      </c>
      <c r="W228" s="0" t="s">
        <v>166</v>
      </c>
      <c r="X228" s="0" t="s">
        <v>167</v>
      </c>
      <c r="Y228" s="0" t="str">
        <f aca="false">IF(EU228&lt;&gt;"Y","",COUNTIFS($EU$2:$EU$1000,"Y",$J$2:$J$1000,"&gt;"&amp;J228)+COUNTIFS($EU$2:$EU$1000,"Y",$J$2:$J$1000,J228,$EW$2:$EW$1000,"&lt;"&amp;EW228)+1)</f>
        <v/>
      </c>
      <c r="Z228" s="0" t="n">
        <v>227</v>
      </c>
      <c r="AA228" s="0" t="s">
        <v>162</v>
      </c>
      <c r="AD228" s="0" t="s">
        <v>158</v>
      </c>
      <c r="AH228" s="5" t="s">
        <v>158</v>
      </c>
      <c r="AI228" s="0" t="s">
        <v>753</v>
      </c>
      <c r="AJ228" s="0" t="s">
        <v>650</v>
      </c>
      <c r="AK228" s="0" t="s">
        <v>889</v>
      </c>
      <c r="AL228" s="0" t="s">
        <v>163</v>
      </c>
      <c r="AM228" s="0" t="s">
        <v>163</v>
      </c>
      <c r="AN228" s="0" t="s">
        <v>158</v>
      </c>
      <c r="AO228" s="0" t="s">
        <v>163</v>
      </c>
      <c r="AP228" s="0" t="s">
        <v>3516</v>
      </c>
      <c r="AQ228" s="5" t="s">
        <v>168</v>
      </c>
      <c r="AR228" s="0" t="s">
        <v>890</v>
      </c>
      <c r="AT228" s="0" t="str">
        <f aca="false">IF(AND(AX228="pass",AQ228&lt;&gt;"Y",C228&lt;&gt;"",OR(AW228&lt;&gt;"Y",AV228="Y")),"Y","N")</f>
        <v>N</v>
      </c>
      <c r="AU228" s="0" t="str">
        <f aca="false">_xlfn.TEXTJOIN("; ",TRUE(),IF(AX228&lt;&gt;"pass","gated out",""),IF(AQ228="Y","on hold: "&amp;AR228,""),IF(C228="","no contact named on an opened page",""),IF(AND(AW228="Y",AV228&lt;&gt;"Y"),"Tuesday estimate band "&amp;L228&amp;": founder's call",""))</f>
        <v>on hold: lease signed, move not confirmed: check the lobby directory before outreach (B); no contact named on an opened page</v>
      </c>
      <c r="AW228" s="0" t="s">
        <v>162</v>
      </c>
      <c r="AX228" s="0" t="s">
        <v>181</v>
      </c>
      <c r="AY228" s="0" t="s">
        <v>182</v>
      </c>
      <c r="AZ228" s="0" t="s">
        <v>1</v>
      </c>
      <c r="BA228" s="0" t="s">
        <v>3519</v>
      </c>
      <c r="BB228" s="0" t="s">
        <v>163</v>
      </c>
      <c r="BC228" s="0" t="s">
        <v>2127</v>
      </c>
      <c r="BD228" s="0" t="s">
        <v>163</v>
      </c>
      <c r="BF228" s="0" t="s">
        <v>163</v>
      </c>
      <c r="BG228" s="0" t="s">
        <v>163</v>
      </c>
      <c r="BH228" s="0" t="s">
        <v>2195</v>
      </c>
      <c r="BK228" s="0" t="s">
        <v>163</v>
      </c>
      <c r="BL228" s="0" t="s">
        <v>163</v>
      </c>
      <c r="BM228" s="0" t="s">
        <v>163</v>
      </c>
      <c r="BN228" s="0" t="s">
        <v>163</v>
      </c>
      <c r="BO228" s="0" t="s">
        <v>163</v>
      </c>
      <c r="BP228" s="0" t="s">
        <v>346</v>
      </c>
      <c r="BQ228" s="0" t="n">
        <v>40.743309</v>
      </c>
      <c r="BR228" s="0" t="n">
        <v>-73.987329</v>
      </c>
      <c r="BS228" s="0" t="s">
        <v>168</v>
      </c>
      <c r="BT228" s="0" t="n">
        <v>0</v>
      </c>
      <c r="BU228" s="0" t="s">
        <v>763</v>
      </c>
      <c r="BV228" s="0" t="s">
        <v>764</v>
      </c>
      <c r="BW228" s="0" t="s">
        <v>2166</v>
      </c>
      <c r="BX228" s="0" t="s">
        <v>1291</v>
      </c>
      <c r="BY228" s="0" t="s">
        <v>247</v>
      </c>
      <c r="CC228" s="0" t="s">
        <v>179</v>
      </c>
      <c r="CD228" s="0" t="s">
        <v>163</v>
      </c>
      <c r="CE228" s="0" t="s">
        <v>162</v>
      </c>
      <c r="CH228" s="0" t="s">
        <v>163</v>
      </c>
      <c r="CJ228" s="0" t="s">
        <v>163</v>
      </c>
      <c r="CK228" s="0" t="s">
        <v>162</v>
      </c>
      <c r="CL228" s="0" t="s">
        <v>163</v>
      </c>
      <c r="CO228" s="0" t="s">
        <v>163</v>
      </c>
      <c r="CQ228" s="0" t="s">
        <v>2196</v>
      </c>
      <c r="CR228" s="0" t="s">
        <v>206</v>
      </c>
      <c r="CS228" s="0" t="s">
        <v>163</v>
      </c>
      <c r="CT228" s="0" t="n">
        <v>23</v>
      </c>
      <c r="CU228" s="0" t="n">
        <v>7</v>
      </c>
      <c r="CV228" s="0" t="n">
        <v>8</v>
      </c>
      <c r="CW228" s="0" t="n">
        <v>6</v>
      </c>
      <c r="CX228" s="0" t="n">
        <v>2</v>
      </c>
      <c r="CY228" s="0" t="n">
        <f aca="false">IF(AH228="exact",10,IF(AH228="adjacent",5,0))</f>
        <v>0</v>
      </c>
      <c r="CZ228" s="0" t="n">
        <f aca="false">IF(R228="Y",15,0)</f>
        <v>0</v>
      </c>
      <c r="DF228" s="0" t="s">
        <v>158</v>
      </c>
      <c r="DG228" s="0" t="s">
        <v>211</v>
      </c>
      <c r="DJ228" s="0" t="s">
        <v>3520</v>
      </c>
      <c r="DK228" s="0" t="s">
        <v>3521</v>
      </c>
      <c r="DS228" s="0" t="s">
        <v>158</v>
      </c>
      <c r="DX228" s="0" t="s">
        <v>162</v>
      </c>
      <c r="ER228" s="0" t="str">
        <f aca="false">IF(ISNUMBER(MATCH(U228,{"queued","contacted","replied","call_booked","call_done","yes_in_principle","materials_sent"},0)),"Y","N")</f>
        <v>N</v>
      </c>
      <c r="ES228" s="0" t="str">
        <f aca="false">IF(COUNTIFS($AP$2:$AP$1000,AP228,$ER$2:$ER$1000,"Y")+COUNTIFS($AP$2:$AP$1000,AP228,$T$2:$T$1000,"Y")&gt;0,"Y","N")</f>
        <v>N</v>
      </c>
      <c r="ET228" s="0" t="str">
        <f aca="false">IF(AND(U228="new",T228="N",AT228="Y",AS228="",ES228="N"),"Y","N")</f>
        <v>N</v>
      </c>
      <c r="EU228" s="0" t="str">
        <f aca="false">IF(ET228&lt;&gt;"Y","N",IF(COUNTIFS($AP$2:$AP$1000,AP228,$ET$2:$ET$1000,"Y",$J$2:$J$1000,"&gt;"&amp;J228)+COUNTIFS($AP$2:$AP$1000,AP228,$ET$2:$ET$1000,"Y",$J$2:$J$1000,J228,$EW$2:$EW$1000,"&lt;"&amp;EW228)=0,"Y","N"))</f>
        <v>N</v>
      </c>
      <c r="EV228" s="0" t="str">
        <f aca="false">IF(Y228="","N",IF(Y228&lt;=10,"Y","N"))</f>
        <v>N</v>
      </c>
      <c r="EW228" s="0" t="n">
        <f aca="false">ROW()-1</f>
        <v>227</v>
      </c>
    </row>
    <row r="229" customFormat="false" ht="15" hidden="false" customHeight="false" outlineLevel="0" collapsed="false">
      <c r="A229" s="0" t="s">
        <v>3522</v>
      </c>
      <c r="B229" s="0" t="s">
        <v>3523</v>
      </c>
      <c r="H229" s="5" t="s">
        <v>158</v>
      </c>
      <c r="I229" s="5" t="s">
        <v>159</v>
      </c>
      <c r="J229" s="0" t="n">
        <f aca="false">IF(AX229="pass",ROUND(CU229+CV229+CW229+CX229+CY229+CZ229,1),0)</f>
        <v>23</v>
      </c>
      <c r="K229" s="0" t="s">
        <v>3510</v>
      </c>
      <c r="L229" s="0" t="s">
        <v>163</v>
      </c>
      <c r="R229" s="5" t="s">
        <v>162</v>
      </c>
      <c r="S229" s="0" t="s">
        <v>163</v>
      </c>
      <c r="T229" s="5" t="s">
        <v>162</v>
      </c>
      <c r="U229" s="5" t="s">
        <v>561</v>
      </c>
      <c r="V229" s="0" t="s">
        <v>3524</v>
      </c>
      <c r="W229" s="0" t="s">
        <v>166</v>
      </c>
      <c r="X229" s="0" t="s">
        <v>167</v>
      </c>
      <c r="Y229" s="0" t="str">
        <f aca="false">IF(EU229&lt;&gt;"Y","",COUNTIFS($EU$2:$EU$1000,"Y",$J$2:$J$1000,"&gt;"&amp;J229)+COUNTIFS($EU$2:$EU$1000,"Y",$J$2:$J$1000,J229,$EW$2:$EW$1000,"&lt;"&amp;EW229)+1)</f>
        <v/>
      </c>
      <c r="Z229" s="0" t="n">
        <v>228</v>
      </c>
      <c r="AA229" s="0" t="s">
        <v>162</v>
      </c>
      <c r="AD229" s="0" t="s">
        <v>158</v>
      </c>
      <c r="AH229" s="5" t="s">
        <v>158</v>
      </c>
      <c r="AI229" s="0" t="s">
        <v>2407</v>
      </c>
      <c r="AJ229" s="0" t="s">
        <v>3525</v>
      </c>
      <c r="AK229" s="0" t="s">
        <v>889</v>
      </c>
      <c r="AL229" s="0" t="s">
        <v>163</v>
      </c>
      <c r="AM229" s="0" t="s">
        <v>163</v>
      </c>
      <c r="AN229" s="0" t="s">
        <v>158</v>
      </c>
      <c r="AO229" s="0" t="s">
        <v>163</v>
      </c>
      <c r="AP229" s="0" t="s">
        <v>3522</v>
      </c>
      <c r="AQ229" s="5" t="s">
        <v>168</v>
      </c>
      <c r="AR229" s="0" t="s">
        <v>890</v>
      </c>
      <c r="AT229" s="0" t="str">
        <f aca="false">IF(AND(AX229="pass",AQ229&lt;&gt;"Y",C229&lt;&gt;"",OR(AW229&lt;&gt;"Y",AV229="Y")),"Y","N")</f>
        <v>N</v>
      </c>
      <c r="AU229" s="0" t="str">
        <f aca="false">_xlfn.TEXTJOIN("; ",TRUE(),IF(AX229&lt;&gt;"pass","gated out",""),IF(AQ229="Y","on hold: "&amp;AR229,""),IF(C229="","no contact named on an opened page",""),IF(AND(AW229="Y",AV229&lt;&gt;"Y"),"Tuesday estimate band "&amp;L229&amp;": founder's call",""))</f>
        <v>on hold: lease signed, move not confirmed: check the lobby directory before outreach (B); no contact named on an opened page</v>
      </c>
      <c r="AW229" s="0" t="s">
        <v>162</v>
      </c>
      <c r="AX229" s="0" t="s">
        <v>181</v>
      </c>
      <c r="AY229" s="0" t="s">
        <v>182</v>
      </c>
      <c r="AZ229" s="0" t="s">
        <v>1</v>
      </c>
      <c r="BA229" s="0" t="s">
        <v>3526</v>
      </c>
      <c r="BB229" s="0" t="s">
        <v>163</v>
      </c>
      <c r="BC229" s="0" t="s">
        <v>3527</v>
      </c>
      <c r="BD229" s="0" t="s">
        <v>163</v>
      </c>
      <c r="BF229" s="0" t="s">
        <v>163</v>
      </c>
      <c r="BG229" s="0" t="s">
        <v>163</v>
      </c>
      <c r="BH229" s="0" t="s">
        <v>2195</v>
      </c>
      <c r="BK229" s="0" t="s">
        <v>163</v>
      </c>
      <c r="BL229" s="0" t="s">
        <v>163</v>
      </c>
      <c r="BM229" s="0" t="s">
        <v>163</v>
      </c>
      <c r="BN229" s="0" t="s">
        <v>163</v>
      </c>
      <c r="BO229" s="0" t="s">
        <v>163</v>
      </c>
      <c r="BP229" s="0" t="s">
        <v>346</v>
      </c>
      <c r="BQ229" s="0" t="n">
        <v>40.742477</v>
      </c>
      <c r="BR229" s="0" t="n">
        <v>-73.986608</v>
      </c>
      <c r="BS229" s="0" t="s">
        <v>168</v>
      </c>
      <c r="BT229" s="0" t="n">
        <v>0</v>
      </c>
      <c r="BU229" s="0" t="s">
        <v>2412</v>
      </c>
      <c r="BV229" s="0" t="s">
        <v>2413</v>
      </c>
      <c r="BW229" s="0" t="s">
        <v>3524</v>
      </c>
      <c r="BX229" s="0" t="s">
        <v>3528</v>
      </c>
      <c r="BY229" s="0" t="s">
        <v>247</v>
      </c>
      <c r="CC229" s="0" t="s">
        <v>179</v>
      </c>
      <c r="CD229" s="0" t="s">
        <v>3529</v>
      </c>
      <c r="CE229" s="0" t="s">
        <v>162</v>
      </c>
      <c r="CH229" s="0" t="s">
        <v>201</v>
      </c>
      <c r="CI229" s="0" t="s">
        <v>2415</v>
      </c>
      <c r="CJ229" s="0" t="s">
        <v>163</v>
      </c>
      <c r="CK229" s="0" t="s">
        <v>162</v>
      </c>
      <c r="CL229" s="0" t="s">
        <v>163</v>
      </c>
      <c r="CO229" s="0" t="s">
        <v>163</v>
      </c>
      <c r="CQ229" s="0" t="s">
        <v>2196</v>
      </c>
      <c r="CR229" s="0" t="s">
        <v>206</v>
      </c>
      <c r="CS229" s="0" t="s">
        <v>163</v>
      </c>
      <c r="CT229" s="0" t="n">
        <v>23</v>
      </c>
      <c r="CU229" s="0" t="n">
        <v>7</v>
      </c>
      <c r="CV229" s="0" t="n">
        <v>8</v>
      </c>
      <c r="CW229" s="0" t="n">
        <v>6</v>
      </c>
      <c r="CX229" s="0" t="n">
        <v>2</v>
      </c>
      <c r="CY229" s="0" t="n">
        <f aca="false">IF(AH229="exact",10,IF(AH229="adjacent",5,0))</f>
        <v>0</v>
      </c>
      <c r="CZ229" s="0" t="n">
        <f aca="false">IF(R229="Y",15,0)</f>
        <v>0</v>
      </c>
      <c r="DF229" s="0" t="s">
        <v>158</v>
      </c>
      <c r="DG229" s="0" t="s">
        <v>211</v>
      </c>
      <c r="DJ229" s="0" t="s">
        <v>3431</v>
      </c>
      <c r="DK229" s="0" t="s">
        <v>3530</v>
      </c>
      <c r="DS229" s="0" t="s">
        <v>158</v>
      </c>
      <c r="DX229" s="0" t="s">
        <v>162</v>
      </c>
      <c r="ER229" s="0" t="str">
        <f aca="false">IF(ISNUMBER(MATCH(U229,{"queued","contacted","replied","call_booked","call_done","yes_in_principle","materials_sent"},0)),"Y","N")</f>
        <v>N</v>
      </c>
      <c r="ES229" s="0" t="str">
        <f aca="false">IF(COUNTIFS($AP$2:$AP$1000,AP229,$ER$2:$ER$1000,"Y")+COUNTIFS($AP$2:$AP$1000,AP229,$T$2:$T$1000,"Y")&gt;0,"Y","N")</f>
        <v>N</v>
      </c>
      <c r="ET229" s="0" t="str">
        <f aca="false">IF(AND(U229="new",T229="N",AT229="Y",AS229="",ES229="N"),"Y","N")</f>
        <v>N</v>
      </c>
      <c r="EU229" s="0" t="str">
        <f aca="false">IF(ET229&lt;&gt;"Y","N",IF(COUNTIFS($AP$2:$AP$1000,AP229,$ET$2:$ET$1000,"Y",$J$2:$J$1000,"&gt;"&amp;J229)+COUNTIFS($AP$2:$AP$1000,AP229,$ET$2:$ET$1000,"Y",$J$2:$J$1000,J229,$EW$2:$EW$1000,"&lt;"&amp;EW229)=0,"Y","N"))</f>
        <v>N</v>
      </c>
      <c r="EV229" s="0" t="str">
        <f aca="false">IF(Y229="","N",IF(Y229&lt;=10,"Y","N"))</f>
        <v>N</v>
      </c>
      <c r="EW229" s="0" t="n">
        <f aca="false">ROW()-1</f>
        <v>228</v>
      </c>
    </row>
    <row r="230" customFormat="false" ht="15" hidden="false" customHeight="false" outlineLevel="0" collapsed="false">
      <c r="A230" s="0" t="s">
        <v>3531</v>
      </c>
      <c r="B230" s="0" t="s">
        <v>3532</v>
      </c>
      <c r="H230" s="5" t="s">
        <v>158</v>
      </c>
      <c r="I230" s="5" t="s">
        <v>159</v>
      </c>
      <c r="J230" s="0" t="n">
        <f aca="false">IF(AX230="pass",ROUND(CU230+CV230+CW230+CX230+CY230+CZ230,1),0)</f>
        <v>22.5</v>
      </c>
      <c r="K230" s="0" t="s">
        <v>3533</v>
      </c>
      <c r="L230" s="0" t="s">
        <v>239</v>
      </c>
      <c r="O230" s="0" t="s">
        <v>3534</v>
      </c>
      <c r="P230" s="0" t="s">
        <v>3535</v>
      </c>
      <c r="Q230" s="0" t="s">
        <v>1929</v>
      </c>
      <c r="R230" s="5" t="s">
        <v>162</v>
      </c>
      <c r="S230" s="0" t="s">
        <v>163</v>
      </c>
      <c r="T230" s="5" t="s">
        <v>162</v>
      </c>
      <c r="U230" s="5" t="s">
        <v>561</v>
      </c>
      <c r="V230" s="0" t="s">
        <v>3535</v>
      </c>
      <c r="W230" s="0" t="s">
        <v>166</v>
      </c>
      <c r="X230" s="0" t="s">
        <v>167</v>
      </c>
      <c r="Y230" s="0" t="str">
        <f aca="false">IF(EU230&lt;&gt;"Y","",COUNTIFS($EU$2:$EU$1000,"Y",$J$2:$J$1000,"&gt;"&amp;J230)+COUNTIFS($EU$2:$EU$1000,"Y",$J$2:$J$1000,J230,$EW$2:$EW$1000,"&lt;"&amp;EW230)+1)</f>
        <v/>
      </c>
      <c r="Z230" s="0" t="n">
        <v>229</v>
      </c>
      <c r="AA230" s="0" t="s">
        <v>162</v>
      </c>
      <c r="AB230" s="0" t="s">
        <v>1661</v>
      </c>
      <c r="AD230" s="0" t="s">
        <v>158</v>
      </c>
      <c r="AH230" s="5" t="s">
        <v>158</v>
      </c>
      <c r="AI230" s="0" t="s">
        <v>3536</v>
      </c>
      <c r="AJ230" s="0" t="s">
        <v>163</v>
      </c>
      <c r="AK230" s="0" t="s">
        <v>3188</v>
      </c>
      <c r="AL230" s="0" t="n">
        <v>63</v>
      </c>
      <c r="AM230" s="0" t="n">
        <v>1254</v>
      </c>
      <c r="AN230" s="0" t="s">
        <v>179</v>
      </c>
      <c r="AO230" s="0" t="s">
        <v>163</v>
      </c>
      <c r="AP230" s="0" t="s">
        <v>3531</v>
      </c>
      <c r="AQ230" s="5" t="s">
        <v>168</v>
      </c>
      <c r="AR230" s="0" t="s">
        <v>3189</v>
      </c>
      <c r="AT230" s="0" t="str">
        <f aca="false">IF(AND(AX230="pass",AQ230&lt;&gt;"Y",C230&lt;&gt;"",OR(AW230&lt;&gt;"Y",AV230="Y")),"Y","N")</f>
        <v>N</v>
      </c>
      <c r="AU230" s="0" t="str">
        <f aca="false">_xlfn.TEXTJOIN("; ",TRUE(),IF(AX230&lt;&gt;"pass","gated out",""),IF(AQ230="Y","on hold: "&amp;AR230,""),IF(C230="","no contact named on an opened page",""),IF(AND(AW230="Y",AV230&lt;&gt;"Y"),"Tuesday estimate band "&amp;L230&amp;": founder's call",""))</f>
        <v>on hold: moving out of this address: confirm where the office will be before outreach (B); no contact named on an opened page; Tuesday estimate band 251-500: founder's call</v>
      </c>
      <c r="AW230" s="0" t="s">
        <v>168</v>
      </c>
      <c r="AX230" s="0" t="s">
        <v>181</v>
      </c>
      <c r="AY230" s="0" t="s">
        <v>182</v>
      </c>
      <c r="AZ230" s="0" t="s">
        <v>1</v>
      </c>
      <c r="BA230" s="0" t="s">
        <v>3537</v>
      </c>
      <c r="BB230" s="0" t="s">
        <v>3538</v>
      </c>
      <c r="BC230" s="0" t="s">
        <v>3539</v>
      </c>
      <c r="BD230" s="0" t="s">
        <v>3540</v>
      </c>
      <c r="BF230" s="0" t="s">
        <v>1322</v>
      </c>
      <c r="BG230" s="0" t="s">
        <v>188</v>
      </c>
      <c r="BH230" s="0" t="s">
        <v>189</v>
      </c>
      <c r="BI230" s="0" t="s">
        <v>3541</v>
      </c>
      <c r="BK230" s="0" t="s">
        <v>1439</v>
      </c>
      <c r="BL230" s="0" t="s">
        <v>163</v>
      </c>
      <c r="BM230" s="0" t="s">
        <v>163</v>
      </c>
      <c r="BN230" s="0" t="s">
        <v>163</v>
      </c>
      <c r="BO230" s="0" t="s">
        <v>163</v>
      </c>
      <c r="BP230" s="0" t="s">
        <v>346</v>
      </c>
      <c r="BQ230" s="0" t="n">
        <v>40.743196</v>
      </c>
      <c r="BR230" s="0" t="n">
        <v>-73.99084</v>
      </c>
      <c r="BS230" s="0" t="s">
        <v>168</v>
      </c>
      <c r="BT230" s="0" t="n">
        <v>0</v>
      </c>
      <c r="BV230" s="0" t="s">
        <v>163</v>
      </c>
      <c r="BW230" s="0" t="s">
        <v>3535</v>
      </c>
      <c r="BX230" s="0" t="s">
        <v>1929</v>
      </c>
      <c r="BY230" s="0" t="s">
        <v>247</v>
      </c>
      <c r="CC230" s="0" t="s">
        <v>738</v>
      </c>
      <c r="CD230" s="0" t="s">
        <v>163</v>
      </c>
      <c r="CE230" s="0" t="s">
        <v>162</v>
      </c>
      <c r="CH230" s="0" t="s">
        <v>163</v>
      </c>
      <c r="CJ230" s="0" t="s">
        <v>163</v>
      </c>
      <c r="CK230" s="0" t="s">
        <v>162</v>
      </c>
      <c r="CL230" s="0" t="s">
        <v>163</v>
      </c>
      <c r="CO230" s="0" t="n">
        <v>281</v>
      </c>
      <c r="CP230" s="0" t="s">
        <v>250</v>
      </c>
      <c r="CQ230" s="0" t="s">
        <v>3542</v>
      </c>
      <c r="CR230" s="0" t="s">
        <v>206</v>
      </c>
      <c r="CS230" s="0" t="n">
        <v>0.46</v>
      </c>
      <c r="CT230" s="0" t="n">
        <v>22.5</v>
      </c>
      <c r="CU230" s="0" t="n">
        <v>11.5</v>
      </c>
      <c r="CV230" s="0" t="n">
        <v>2</v>
      </c>
      <c r="CW230" s="0" t="n">
        <v>6</v>
      </c>
      <c r="CX230" s="0" t="n">
        <v>3</v>
      </c>
      <c r="CY230" s="0" t="n">
        <f aca="false">IF(AH230="exact",10,IF(AH230="adjacent",5,0))</f>
        <v>0</v>
      </c>
      <c r="CZ230" s="0" t="n">
        <f aca="false">IF(R230="Y",15,0)</f>
        <v>0</v>
      </c>
      <c r="DF230" s="0" t="s">
        <v>158</v>
      </c>
      <c r="DG230" s="0" t="s">
        <v>1335</v>
      </c>
      <c r="DH230" s="0" t="s">
        <v>1446</v>
      </c>
      <c r="DI230" s="0" t="s">
        <v>162</v>
      </c>
      <c r="DK230" s="0" t="s">
        <v>3543</v>
      </c>
      <c r="DS230" s="0" t="s">
        <v>158</v>
      </c>
      <c r="DX230" s="0" t="s">
        <v>162</v>
      </c>
      <c r="ER230" s="0" t="str">
        <f aca="false">IF(ISNUMBER(MATCH(U230,{"queued","contacted","replied","call_booked","call_done","yes_in_principle","materials_sent"},0)),"Y","N")</f>
        <v>N</v>
      </c>
      <c r="ES230" s="0" t="str">
        <f aca="false">IF(COUNTIFS($AP$2:$AP$1000,AP230,$ER$2:$ER$1000,"Y")+COUNTIFS($AP$2:$AP$1000,AP230,$T$2:$T$1000,"Y")&gt;0,"Y","N")</f>
        <v>N</v>
      </c>
      <c r="ET230" s="0" t="str">
        <f aca="false">IF(AND(U230="new",T230="N",AT230="Y",AS230="",ES230="N"),"Y","N")</f>
        <v>N</v>
      </c>
      <c r="EU230" s="0" t="str">
        <f aca="false">IF(ET230&lt;&gt;"Y","N",IF(COUNTIFS($AP$2:$AP$1000,AP230,$ET$2:$ET$1000,"Y",$J$2:$J$1000,"&gt;"&amp;J230)+COUNTIFS($AP$2:$AP$1000,AP230,$ET$2:$ET$1000,"Y",$J$2:$J$1000,J230,$EW$2:$EW$1000,"&lt;"&amp;EW230)=0,"Y","N"))</f>
        <v>N</v>
      </c>
      <c r="EV230" s="0" t="str">
        <f aca="false">IF(Y230="","N",IF(Y230&lt;=10,"Y","N"))</f>
        <v>N</v>
      </c>
      <c r="EW230" s="0" t="n">
        <f aca="false">ROW()-1</f>
        <v>229</v>
      </c>
    </row>
    <row r="231" customFormat="false" ht="15" hidden="false" customHeight="false" outlineLevel="0" collapsed="false">
      <c r="A231" s="0" t="s">
        <v>3544</v>
      </c>
      <c r="B231" s="0" t="s">
        <v>3545</v>
      </c>
      <c r="H231" s="5" t="s">
        <v>158</v>
      </c>
      <c r="I231" s="5" t="s">
        <v>159</v>
      </c>
      <c r="J231" s="0" t="n">
        <f aca="false">IF(AX231="pass",ROUND(CU231+CV231+CW231+CX231+CY231+CZ231,1),0)</f>
        <v>22.5</v>
      </c>
      <c r="K231" s="0" t="s">
        <v>3546</v>
      </c>
      <c r="L231" s="0" t="s">
        <v>239</v>
      </c>
      <c r="R231" s="5" t="s">
        <v>162</v>
      </c>
      <c r="S231" s="0" t="s">
        <v>163</v>
      </c>
      <c r="T231" s="5" t="s">
        <v>162</v>
      </c>
      <c r="U231" s="5" t="s">
        <v>561</v>
      </c>
      <c r="V231" s="0" t="s">
        <v>3547</v>
      </c>
      <c r="W231" s="0" t="s">
        <v>166</v>
      </c>
      <c r="X231" s="0" t="s">
        <v>167</v>
      </c>
      <c r="Y231" s="0" t="str">
        <f aca="false">IF(EU231&lt;&gt;"Y","",COUNTIFS($EU$2:$EU$1000,"Y",$J$2:$J$1000,"&gt;"&amp;J231)+COUNTIFS($EU$2:$EU$1000,"Y",$J$2:$J$1000,J231,$EW$2:$EW$1000,"&lt;"&amp;EW231)+1)</f>
        <v/>
      </c>
      <c r="Z231" s="0" t="n">
        <v>230</v>
      </c>
      <c r="AA231" s="0" t="s">
        <v>162</v>
      </c>
      <c r="AB231" s="0" t="s">
        <v>1661</v>
      </c>
      <c r="AD231" s="0" t="s">
        <v>158</v>
      </c>
      <c r="AH231" s="5" t="s">
        <v>158</v>
      </c>
      <c r="AI231" s="0" t="s">
        <v>3026</v>
      </c>
      <c r="AJ231" s="0" t="s">
        <v>3548</v>
      </c>
      <c r="AK231" s="0" t="s">
        <v>889</v>
      </c>
      <c r="AL231" s="0" t="n">
        <v>80</v>
      </c>
      <c r="AM231" s="0" t="n">
        <v>1596</v>
      </c>
      <c r="AN231" s="0" t="s">
        <v>179</v>
      </c>
      <c r="AO231" s="0" t="s">
        <v>163</v>
      </c>
      <c r="AP231" s="0" t="s">
        <v>3544</v>
      </c>
      <c r="AQ231" s="5" t="s">
        <v>168</v>
      </c>
      <c r="AR231" s="0" t="s">
        <v>890</v>
      </c>
      <c r="AT231" s="0" t="str">
        <f aca="false">IF(AND(AX231="pass",AQ231&lt;&gt;"Y",C231&lt;&gt;"",OR(AW231&lt;&gt;"Y",AV231="Y")),"Y","N")</f>
        <v>N</v>
      </c>
      <c r="AU231" s="0" t="str">
        <f aca="false">_xlfn.TEXTJOIN("; ",TRUE(),IF(AX231&lt;&gt;"pass","gated out",""),IF(AQ231="Y","on hold: "&amp;AR231,""),IF(C231="","no contact named on an opened page",""),IF(AND(AW231="Y",AV231&lt;&gt;"Y"),"Tuesday estimate band "&amp;L231&amp;": founder's call",""))</f>
        <v>on hold: lease signed, move not confirmed: check the lobby directory before outreach (B); no contact named on an opened page; Tuesday estimate band 251-500: founder's call</v>
      </c>
      <c r="AW231" s="0" t="s">
        <v>168</v>
      </c>
      <c r="AX231" s="0" t="s">
        <v>181</v>
      </c>
      <c r="AY231" s="0" t="s">
        <v>182</v>
      </c>
      <c r="AZ231" s="0" t="s">
        <v>1</v>
      </c>
      <c r="BA231" s="0" t="s">
        <v>3549</v>
      </c>
      <c r="BB231" s="0" t="s">
        <v>3550</v>
      </c>
      <c r="BC231" s="0" t="s">
        <v>3551</v>
      </c>
      <c r="BD231" s="0" t="s">
        <v>3552</v>
      </c>
      <c r="BF231" s="0" t="s">
        <v>1322</v>
      </c>
      <c r="BG231" s="0" t="s">
        <v>188</v>
      </c>
      <c r="BH231" s="0" t="s">
        <v>189</v>
      </c>
      <c r="BI231" s="0" t="s">
        <v>3553</v>
      </c>
      <c r="BK231" s="0" t="s">
        <v>1439</v>
      </c>
      <c r="BL231" s="0" t="s">
        <v>163</v>
      </c>
      <c r="BM231" s="0" t="s">
        <v>163</v>
      </c>
      <c r="BN231" s="0" t="s">
        <v>163</v>
      </c>
      <c r="BO231" s="0" t="s">
        <v>163</v>
      </c>
      <c r="BP231" s="0" t="s">
        <v>346</v>
      </c>
      <c r="BQ231" s="0" t="n">
        <v>40.741986</v>
      </c>
      <c r="BR231" s="0" t="n">
        <v>-73.989477</v>
      </c>
      <c r="BS231" s="0" t="s">
        <v>168</v>
      </c>
      <c r="BT231" s="0" t="n">
        <v>0</v>
      </c>
      <c r="BV231" s="0" t="s">
        <v>163</v>
      </c>
      <c r="BW231" s="0" t="s">
        <v>3547</v>
      </c>
      <c r="BX231" s="0" t="s">
        <v>3554</v>
      </c>
      <c r="BY231" s="0" t="s">
        <v>247</v>
      </c>
      <c r="BZ231" s="0" t="s">
        <v>3555</v>
      </c>
      <c r="CA231" s="0" t="s">
        <v>3556</v>
      </c>
      <c r="CC231" s="0" t="s">
        <v>738</v>
      </c>
      <c r="CD231" s="0" t="s">
        <v>163</v>
      </c>
      <c r="CE231" s="0" t="s">
        <v>162</v>
      </c>
      <c r="CH231" s="0" t="s">
        <v>163</v>
      </c>
      <c r="CJ231" s="0" t="s">
        <v>163</v>
      </c>
      <c r="CK231" s="0" t="s">
        <v>162</v>
      </c>
      <c r="CL231" s="0" t="s">
        <v>163</v>
      </c>
      <c r="CO231" s="0" t="n">
        <v>357</v>
      </c>
      <c r="CP231" s="0" t="s">
        <v>250</v>
      </c>
      <c r="CQ231" s="0" t="s">
        <v>3557</v>
      </c>
      <c r="CR231" s="0" t="s">
        <v>206</v>
      </c>
      <c r="CS231" s="0" t="n">
        <v>0.38</v>
      </c>
      <c r="CT231" s="0" t="n">
        <v>22.5</v>
      </c>
      <c r="CU231" s="0" t="n">
        <v>9.5</v>
      </c>
      <c r="CV231" s="0" t="n">
        <v>2</v>
      </c>
      <c r="CW231" s="0" t="n">
        <v>6</v>
      </c>
      <c r="CX231" s="0" t="n">
        <v>5</v>
      </c>
      <c r="CY231" s="0" t="n">
        <f aca="false">IF(AH231="exact",10,IF(AH231="adjacent",5,0))</f>
        <v>0</v>
      </c>
      <c r="CZ231" s="0" t="n">
        <f aca="false">IF(R231="Y",15,0)</f>
        <v>0</v>
      </c>
      <c r="DF231" s="0" t="s">
        <v>158</v>
      </c>
      <c r="DG231" s="0" t="s">
        <v>1335</v>
      </c>
      <c r="DH231" s="0" t="s">
        <v>1446</v>
      </c>
      <c r="DI231" s="0" t="s">
        <v>162</v>
      </c>
      <c r="DJ231" s="0" t="s">
        <v>3558</v>
      </c>
      <c r="DK231" s="0" t="s">
        <v>3559</v>
      </c>
      <c r="DS231" s="0" t="s">
        <v>158</v>
      </c>
      <c r="DX231" s="0" t="s">
        <v>162</v>
      </c>
      <c r="ER231" s="0" t="str">
        <f aca="false">IF(ISNUMBER(MATCH(U231,{"queued","contacted","replied","call_booked","call_done","yes_in_principle","materials_sent"},0)),"Y","N")</f>
        <v>N</v>
      </c>
      <c r="ES231" s="0" t="str">
        <f aca="false">IF(COUNTIFS($AP$2:$AP$1000,AP231,$ER$2:$ER$1000,"Y")+COUNTIFS($AP$2:$AP$1000,AP231,$T$2:$T$1000,"Y")&gt;0,"Y","N")</f>
        <v>N</v>
      </c>
      <c r="ET231" s="0" t="str">
        <f aca="false">IF(AND(U231="new",T231="N",AT231="Y",AS231="",ES231="N"),"Y","N")</f>
        <v>N</v>
      </c>
      <c r="EU231" s="0" t="str">
        <f aca="false">IF(ET231&lt;&gt;"Y","N",IF(COUNTIFS($AP$2:$AP$1000,AP231,$ET$2:$ET$1000,"Y",$J$2:$J$1000,"&gt;"&amp;J231)+COUNTIFS($AP$2:$AP$1000,AP231,$ET$2:$ET$1000,"Y",$J$2:$J$1000,J231,$EW$2:$EW$1000,"&lt;"&amp;EW231)=0,"Y","N"))</f>
        <v>N</v>
      </c>
      <c r="EV231" s="0" t="str">
        <f aca="false">IF(Y231="","N",IF(Y231&lt;=10,"Y","N"))</f>
        <v>N</v>
      </c>
      <c r="EW231" s="0" t="n">
        <f aca="false">ROW()-1</f>
        <v>230</v>
      </c>
    </row>
    <row r="232" customFormat="false" ht="15" hidden="false" customHeight="false" outlineLevel="0" collapsed="false">
      <c r="A232" s="0" t="s">
        <v>3560</v>
      </c>
      <c r="B232" s="0" t="s">
        <v>3561</v>
      </c>
      <c r="H232" s="5" t="s">
        <v>158</v>
      </c>
      <c r="I232" s="5" t="s">
        <v>159</v>
      </c>
      <c r="J232" s="0" t="n">
        <f aca="false">IF(AX232="pass",ROUND(CU232+CV232+CW232+CX232+CY232+CZ232,1),0)</f>
        <v>22</v>
      </c>
      <c r="K232" s="0" t="s">
        <v>3562</v>
      </c>
      <c r="L232" s="0" t="s">
        <v>163</v>
      </c>
      <c r="R232" s="5" t="s">
        <v>162</v>
      </c>
      <c r="S232" s="0" t="s">
        <v>163</v>
      </c>
      <c r="T232" s="5" t="s">
        <v>162</v>
      </c>
      <c r="U232" s="5" t="s">
        <v>561</v>
      </c>
      <c r="V232" s="0" t="s">
        <v>3563</v>
      </c>
      <c r="W232" s="0" t="s">
        <v>166</v>
      </c>
      <c r="X232" s="0" t="s">
        <v>167</v>
      </c>
      <c r="Y232" s="0" t="str">
        <f aca="false">IF(EU232&lt;&gt;"Y","",COUNTIFS($EU$2:$EU$1000,"Y",$J$2:$J$1000,"&gt;"&amp;J232)+COUNTIFS($EU$2:$EU$1000,"Y",$J$2:$J$1000,J232,$EW$2:$EW$1000,"&lt;"&amp;EW232)+1)</f>
        <v/>
      </c>
      <c r="Z232" s="0" t="n">
        <v>231</v>
      </c>
      <c r="AA232" s="0" t="s">
        <v>162</v>
      </c>
      <c r="AD232" s="0" t="s">
        <v>158</v>
      </c>
      <c r="AH232" s="5" t="s">
        <v>158</v>
      </c>
      <c r="AI232" s="0" t="s">
        <v>2666</v>
      </c>
      <c r="AJ232" s="0" t="s">
        <v>3564</v>
      </c>
      <c r="AK232" s="0" t="s">
        <v>889</v>
      </c>
      <c r="AL232" s="0" t="s">
        <v>163</v>
      </c>
      <c r="AM232" s="0" t="s">
        <v>163</v>
      </c>
      <c r="AN232" s="0" t="s">
        <v>158</v>
      </c>
      <c r="AO232" s="0" t="s">
        <v>163</v>
      </c>
      <c r="AP232" s="0" t="s">
        <v>3560</v>
      </c>
      <c r="AQ232" s="5" t="s">
        <v>168</v>
      </c>
      <c r="AR232" s="0" t="s">
        <v>890</v>
      </c>
      <c r="AT232" s="0" t="str">
        <f aca="false">IF(AND(AX232="pass",AQ232&lt;&gt;"Y",C232&lt;&gt;"",OR(AW232&lt;&gt;"Y",AV232="Y")),"Y","N")</f>
        <v>N</v>
      </c>
      <c r="AU232" s="0" t="str">
        <f aca="false">_xlfn.TEXTJOIN("; ",TRUE(),IF(AX232&lt;&gt;"pass","gated out",""),IF(AQ232="Y","on hold: "&amp;AR232,""),IF(C232="","no contact named on an opened page",""),IF(AND(AW232="Y",AV232&lt;&gt;"Y"),"Tuesday estimate band "&amp;L232&amp;": founder's call",""))</f>
        <v>on hold: lease signed, move not confirmed: check the lobby directory before outreach (B); no contact named on an opened page</v>
      </c>
      <c r="AW232" s="0" t="s">
        <v>162</v>
      </c>
      <c r="AX232" s="0" t="s">
        <v>181</v>
      </c>
      <c r="AY232" s="0" t="s">
        <v>182</v>
      </c>
      <c r="AZ232" s="0" t="s">
        <v>1</v>
      </c>
      <c r="BA232" s="0" t="s">
        <v>3565</v>
      </c>
      <c r="BB232" s="0" t="s">
        <v>3566</v>
      </c>
      <c r="BC232" s="0" t="s">
        <v>3567</v>
      </c>
      <c r="BD232" s="0" t="s">
        <v>163</v>
      </c>
      <c r="BF232" s="0" t="s">
        <v>163</v>
      </c>
      <c r="BG232" s="0" t="s">
        <v>163</v>
      </c>
      <c r="BH232" s="0" t="s">
        <v>2195</v>
      </c>
      <c r="BK232" s="0" t="s">
        <v>163</v>
      </c>
      <c r="BL232" s="0" t="s">
        <v>163</v>
      </c>
      <c r="BM232" s="0" t="s">
        <v>163</v>
      </c>
      <c r="BN232" s="0" t="s">
        <v>3568</v>
      </c>
      <c r="BO232" s="0" t="s">
        <v>163</v>
      </c>
      <c r="BP232" s="0" t="s">
        <v>243</v>
      </c>
      <c r="BQ232" s="0" t="n">
        <v>40.74441</v>
      </c>
      <c r="BR232" s="0" t="n">
        <v>-73.987275</v>
      </c>
      <c r="BS232" s="0" t="s">
        <v>168</v>
      </c>
      <c r="BT232" s="0" t="n">
        <v>0</v>
      </c>
      <c r="BU232" s="0" t="s">
        <v>2669</v>
      </c>
      <c r="BV232" s="0" t="s">
        <v>2670</v>
      </c>
      <c r="BW232" s="0" t="s">
        <v>3563</v>
      </c>
      <c r="BX232" s="0" t="s">
        <v>3569</v>
      </c>
      <c r="BY232" s="0" t="s">
        <v>247</v>
      </c>
      <c r="CC232" s="0" t="s">
        <v>738</v>
      </c>
      <c r="CD232" s="0" t="s">
        <v>163</v>
      </c>
      <c r="CE232" s="0" t="s">
        <v>162</v>
      </c>
      <c r="CH232" s="0" t="s">
        <v>201</v>
      </c>
      <c r="CI232" s="0" t="s">
        <v>2672</v>
      </c>
      <c r="CJ232" s="0" t="s">
        <v>163</v>
      </c>
      <c r="CK232" s="0" t="s">
        <v>162</v>
      </c>
      <c r="CL232" s="0" t="s">
        <v>163</v>
      </c>
      <c r="CO232" s="0" t="s">
        <v>163</v>
      </c>
      <c r="CQ232" s="0" t="s">
        <v>2196</v>
      </c>
      <c r="CR232" s="0" t="s">
        <v>206</v>
      </c>
      <c r="CS232" s="0" t="s">
        <v>163</v>
      </c>
      <c r="CT232" s="0" t="n">
        <v>22</v>
      </c>
      <c r="CU232" s="0" t="n">
        <v>7</v>
      </c>
      <c r="CV232" s="0" t="n">
        <v>4</v>
      </c>
      <c r="CW232" s="0" t="n">
        <v>6</v>
      </c>
      <c r="CX232" s="0" t="n">
        <v>5</v>
      </c>
      <c r="CY232" s="0" t="n">
        <f aca="false">IF(AH232="exact",10,IF(AH232="adjacent",5,0))</f>
        <v>0</v>
      </c>
      <c r="CZ232" s="0" t="n">
        <f aca="false">IF(R232="Y",15,0)</f>
        <v>0</v>
      </c>
      <c r="DF232" s="0" t="s">
        <v>158</v>
      </c>
      <c r="DG232" s="0" t="s">
        <v>211</v>
      </c>
      <c r="DJ232" s="0" t="s">
        <v>3570</v>
      </c>
      <c r="DK232" s="0" t="s">
        <v>3571</v>
      </c>
      <c r="DS232" s="0" t="s">
        <v>158</v>
      </c>
      <c r="DX232" s="0" t="s">
        <v>162</v>
      </c>
      <c r="ER232" s="0" t="str">
        <f aca="false">IF(ISNUMBER(MATCH(U232,{"queued","contacted","replied","call_booked","call_done","yes_in_principle","materials_sent"},0)),"Y","N")</f>
        <v>N</v>
      </c>
      <c r="ES232" s="0" t="str">
        <f aca="false">IF(COUNTIFS($AP$2:$AP$1000,AP232,$ER$2:$ER$1000,"Y")+COUNTIFS($AP$2:$AP$1000,AP232,$T$2:$T$1000,"Y")&gt;0,"Y","N")</f>
        <v>N</v>
      </c>
      <c r="ET232" s="0" t="str">
        <f aca="false">IF(AND(U232="new",T232="N",AT232="Y",AS232="",ES232="N"),"Y","N")</f>
        <v>N</v>
      </c>
      <c r="EU232" s="0" t="str">
        <f aca="false">IF(ET232&lt;&gt;"Y","N",IF(COUNTIFS($AP$2:$AP$1000,AP232,$ET$2:$ET$1000,"Y",$J$2:$J$1000,"&gt;"&amp;J232)+COUNTIFS($AP$2:$AP$1000,AP232,$ET$2:$ET$1000,"Y",$J$2:$J$1000,J232,$EW$2:$EW$1000,"&lt;"&amp;EW232)=0,"Y","N"))</f>
        <v>N</v>
      </c>
      <c r="EV232" s="0" t="str">
        <f aca="false">IF(Y232="","N",IF(Y232&lt;=10,"Y","N"))</f>
        <v>N</v>
      </c>
      <c r="EW232" s="0" t="n">
        <f aca="false">ROW()-1</f>
        <v>231</v>
      </c>
    </row>
    <row r="233" customFormat="false" ht="15" hidden="false" customHeight="false" outlineLevel="0" collapsed="false">
      <c r="A233" s="0" t="s">
        <v>3572</v>
      </c>
      <c r="B233" s="0" t="s">
        <v>3573</v>
      </c>
      <c r="H233" s="5" t="s">
        <v>158</v>
      </c>
      <c r="I233" s="5" t="s">
        <v>159</v>
      </c>
      <c r="J233" s="0" t="n">
        <f aca="false">IF(AX233="pass",ROUND(CU233+CV233+CW233+CX233+CY233+CZ233,1),0)</f>
        <v>22</v>
      </c>
      <c r="K233" s="0" t="s">
        <v>3574</v>
      </c>
      <c r="L233" s="0" t="s">
        <v>163</v>
      </c>
      <c r="R233" s="5" t="s">
        <v>162</v>
      </c>
      <c r="S233" s="0" t="s">
        <v>163</v>
      </c>
      <c r="T233" s="5" t="s">
        <v>162</v>
      </c>
      <c r="U233" s="5" t="s">
        <v>561</v>
      </c>
      <c r="V233" s="0" t="s">
        <v>3575</v>
      </c>
      <c r="W233" s="0" t="s">
        <v>166</v>
      </c>
      <c r="X233" s="0" t="s">
        <v>167</v>
      </c>
      <c r="Y233" s="0" t="str">
        <f aca="false">IF(EU233&lt;&gt;"Y","",COUNTIFS($EU$2:$EU$1000,"Y",$J$2:$J$1000,"&gt;"&amp;J233)+COUNTIFS($EU$2:$EU$1000,"Y",$J$2:$J$1000,J233,$EW$2:$EW$1000,"&lt;"&amp;EW233)+1)</f>
        <v/>
      </c>
      <c r="Z233" s="0" t="n">
        <v>232</v>
      </c>
      <c r="AA233" s="0" t="s">
        <v>162</v>
      </c>
      <c r="AD233" s="0" t="s">
        <v>158</v>
      </c>
      <c r="AH233" s="5" t="s">
        <v>158</v>
      </c>
      <c r="AI233" s="0" t="s">
        <v>1453</v>
      </c>
      <c r="AJ233" s="0" t="s">
        <v>433</v>
      </c>
      <c r="AK233" s="0" t="s">
        <v>434</v>
      </c>
      <c r="AL233" s="0" t="s">
        <v>163</v>
      </c>
      <c r="AM233" s="0" t="s">
        <v>163</v>
      </c>
      <c r="AN233" s="0" t="s">
        <v>158</v>
      </c>
      <c r="AO233" s="0" t="s">
        <v>163</v>
      </c>
      <c r="AP233" s="0" t="s">
        <v>3572</v>
      </c>
      <c r="AQ233" s="5" t="s">
        <v>162</v>
      </c>
      <c r="AT233" s="0" t="str">
        <f aca="false">IF(AND(AX233="pass",AQ233&lt;&gt;"Y",C233&lt;&gt;"",OR(AW233&lt;&gt;"Y",AV233="Y")),"Y","N")</f>
        <v>N</v>
      </c>
      <c r="AU233" s="0" t="str">
        <f aca="false">_xlfn.TEXTJOIN("; ",TRUE(),IF(AX233&lt;&gt;"pass","gated out",""),IF(AQ233="Y","on hold: "&amp;AR233,""),IF(C233="","no contact named on an opened page",""),IF(AND(AW233="Y",AV233&lt;&gt;"Y"),"Tuesday estimate band "&amp;L233&amp;": founder's call",""))</f>
        <v>no contact named on an opened page</v>
      </c>
      <c r="AW233" s="0" t="s">
        <v>162</v>
      </c>
      <c r="AX233" s="0" t="s">
        <v>181</v>
      </c>
      <c r="AY233" s="0" t="s">
        <v>182</v>
      </c>
      <c r="AZ233" s="0" t="s">
        <v>1</v>
      </c>
      <c r="BA233" s="0" t="s">
        <v>3576</v>
      </c>
      <c r="BB233" s="0" t="s">
        <v>3577</v>
      </c>
      <c r="BC233" s="0" t="s">
        <v>3578</v>
      </c>
      <c r="BD233" s="0" t="s">
        <v>163</v>
      </c>
      <c r="BF233" s="0" t="s">
        <v>163</v>
      </c>
      <c r="BG233" s="0" t="s">
        <v>163</v>
      </c>
      <c r="BH233" s="0" t="s">
        <v>2195</v>
      </c>
      <c r="BK233" s="0" t="s">
        <v>163</v>
      </c>
      <c r="BL233" s="0" t="s">
        <v>163</v>
      </c>
      <c r="BM233" s="0" t="s">
        <v>163</v>
      </c>
      <c r="BN233" s="0" t="s">
        <v>3579</v>
      </c>
      <c r="BO233" s="0" t="s">
        <v>163</v>
      </c>
      <c r="BP233" s="0" t="s">
        <v>711</v>
      </c>
      <c r="BQ233" s="0" t="n">
        <v>40.744515</v>
      </c>
      <c r="BR233" s="0" t="n">
        <v>-73.988255</v>
      </c>
      <c r="BS233" s="0" t="s">
        <v>168</v>
      </c>
      <c r="BT233" s="0" t="n">
        <v>0</v>
      </c>
      <c r="BU233" s="0" t="s">
        <v>1462</v>
      </c>
      <c r="BV233" s="0" t="s">
        <v>1463</v>
      </c>
      <c r="BW233" s="0" t="s">
        <v>3575</v>
      </c>
      <c r="BX233" s="0" t="s">
        <v>3580</v>
      </c>
      <c r="BY233" s="0" t="s">
        <v>247</v>
      </c>
      <c r="CC233" s="0" t="s">
        <v>179</v>
      </c>
      <c r="CE233" s="0" t="s">
        <v>162</v>
      </c>
      <c r="CH233" s="0" t="s">
        <v>163</v>
      </c>
      <c r="CJ233" s="0" t="s">
        <v>163</v>
      </c>
      <c r="CK233" s="0" t="s">
        <v>162</v>
      </c>
      <c r="CL233" s="0" t="s">
        <v>163</v>
      </c>
      <c r="CO233" s="0" t="s">
        <v>163</v>
      </c>
      <c r="CQ233" s="0" t="s">
        <v>2196</v>
      </c>
      <c r="CR233" s="0" t="s">
        <v>206</v>
      </c>
      <c r="CS233" s="0" t="s">
        <v>163</v>
      </c>
      <c r="CT233" s="0" t="n">
        <v>22</v>
      </c>
      <c r="CU233" s="0" t="n">
        <v>7</v>
      </c>
      <c r="CV233" s="0" t="n">
        <v>4</v>
      </c>
      <c r="CW233" s="0" t="n">
        <v>6</v>
      </c>
      <c r="CX233" s="0" t="n">
        <v>5</v>
      </c>
      <c r="CY233" s="0" t="n">
        <f aca="false">IF(AH233="exact",10,IF(AH233="adjacent",5,0))</f>
        <v>0</v>
      </c>
      <c r="CZ233" s="0" t="n">
        <f aca="false">IF(R233="Y",15,0)</f>
        <v>0</v>
      </c>
      <c r="DF233" s="0" t="s">
        <v>158</v>
      </c>
      <c r="DG233" s="0" t="s">
        <v>211</v>
      </c>
      <c r="DJ233" s="0" t="s">
        <v>3581</v>
      </c>
      <c r="DK233" s="0" t="s">
        <v>3582</v>
      </c>
      <c r="DS233" s="0" t="s">
        <v>158</v>
      </c>
      <c r="DX233" s="0" t="s">
        <v>162</v>
      </c>
      <c r="ER233" s="0" t="str">
        <f aca="false">IF(ISNUMBER(MATCH(U233,{"queued","contacted","replied","call_booked","call_done","yes_in_principle","materials_sent"},0)),"Y","N")</f>
        <v>N</v>
      </c>
      <c r="ES233" s="0" t="str">
        <f aca="false">IF(COUNTIFS($AP$2:$AP$1000,AP233,$ER$2:$ER$1000,"Y")+COUNTIFS($AP$2:$AP$1000,AP233,$T$2:$T$1000,"Y")&gt;0,"Y","N")</f>
        <v>N</v>
      </c>
      <c r="ET233" s="0" t="str">
        <f aca="false">IF(AND(U233="new",T233="N",AT233="Y",AS233="",ES233="N"),"Y","N")</f>
        <v>N</v>
      </c>
      <c r="EU233" s="0" t="str">
        <f aca="false">IF(ET233&lt;&gt;"Y","N",IF(COUNTIFS($AP$2:$AP$1000,AP233,$ET$2:$ET$1000,"Y",$J$2:$J$1000,"&gt;"&amp;J233)+COUNTIFS($AP$2:$AP$1000,AP233,$ET$2:$ET$1000,"Y",$J$2:$J$1000,J233,$EW$2:$EW$1000,"&lt;"&amp;EW233)=0,"Y","N"))</f>
        <v>N</v>
      </c>
      <c r="EV233" s="0" t="str">
        <f aca="false">IF(Y233="","N",IF(Y233&lt;=10,"Y","N"))</f>
        <v>N</v>
      </c>
      <c r="EW233" s="0" t="n">
        <f aca="false">ROW()-1</f>
        <v>232</v>
      </c>
    </row>
    <row r="234" customFormat="false" ht="15" hidden="false" customHeight="false" outlineLevel="0" collapsed="false">
      <c r="A234" s="0" t="s">
        <v>3583</v>
      </c>
      <c r="B234" s="0" t="s">
        <v>3584</v>
      </c>
      <c r="H234" s="5" t="s">
        <v>158</v>
      </c>
      <c r="I234" s="5" t="s">
        <v>159</v>
      </c>
      <c r="J234" s="0" t="n">
        <f aca="false">IF(AX234="pass",ROUND(CU234+CV234+CW234+CX234+CY234+CZ234,1),0)</f>
        <v>22</v>
      </c>
      <c r="K234" s="0" t="s">
        <v>3585</v>
      </c>
      <c r="L234" s="0" t="s">
        <v>163</v>
      </c>
      <c r="R234" s="5" t="s">
        <v>162</v>
      </c>
      <c r="S234" s="0" t="s">
        <v>163</v>
      </c>
      <c r="T234" s="5" t="s">
        <v>162</v>
      </c>
      <c r="U234" s="5" t="s">
        <v>561</v>
      </c>
      <c r="V234" s="0" t="s">
        <v>3586</v>
      </c>
      <c r="W234" s="0" t="s">
        <v>166</v>
      </c>
      <c r="X234" s="0" t="s">
        <v>167</v>
      </c>
      <c r="Y234" s="0" t="str">
        <f aca="false">IF(EU234&lt;&gt;"Y","",COUNTIFS($EU$2:$EU$1000,"Y",$J$2:$J$1000,"&gt;"&amp;J234)+COUNTIFS($EU$2:$EU$1000,"Y",$J$2:$J$1000,J234,$EW$2:$EW$1000,"&lt;"&amp;EW234)+1)</f>
        <v/>
      </c>
      <c r="Z234" s="0" t="n">
        <v>233</v>
      </c>
      <c r="AA234" s="0" t="s">
        <v>162</v>
      </c>
      <c r="AD234" s="0" t="s">
        <v>158</v>
      </c>
      <c r="AH234" s="5" t="s">
        <v>158</v>
      </c>
      <c r="AI234" s="0" t="s">
        <v>1545</v>
      </c>
      <c r="AJ234" s="0" t="s">
        <v>3587</v>
      </c>
      <c r="AK234" s="0" t="s">
        <v>434</v>
      </c>
      <c r="AL234" s="0" t="s">
        <v>163</v>
      </c>
      <c r="AM234" s="0" t="s">
        <v>163</v>
      </c>
      <c r="AN234" s="0" t="s">
        <v>158</v>
      </c>
      <c r="AO234" s="0" t="s">
        <v>163</v>
      </c>
      <c r="AP234" s="0" t="s">
        <v>3583</v>
      </c>
      <c r="AQ234" s="5" t="s">
        <v>162</v>
      </c>
      <c r="AT234" s="0" t="str">
        <f aca="false">IF(AND(AX234="pass",AQ234&lt;&gt;"Y",C234&lt;&gt;"",OR(AW234&lt;&gt;"Y",AV234="Y")),"Y","N")</f>
        <v>N</v>
      </c>
      <c r="AU234" s="0" t="str">
        <f aca="false">_xlfn.TEXTJOIN("; ",TRUE(),IF(AX234&lt;&gt;"pass","gated out",""),IF(AQ234="Y","on hold: "&amp;AR234,""),IF(C234="","no contact named on an opened page",""),IF(AND(AW234="Y",AV234&lt;&gt;"Y"),"Tuesday estimate band "&amp;L234&amp;": founder's call",""))</f>
        <v>no contact named on an opened page</v>
      </c>
      <c r="AW234" s="0" t="s">
        <v>162</v>
      </c>
      <c r="AX234" s="0" t="s">
        <v>181</v>
      </c>
      <c r="AY234" s="0" t="s">
        <v>182</v>
      </c>
      <c r="AZ234" s="0" t="s">
        <v>1</v>
      </c>
      <c r="BA234" s="0" t="s">
        <v>3588</v>
      </c>
      <c r="BB234" s="0" t="s">
        <v>163</v>
      </c>
      <c r="BC234" s="0" t="s">
        <v>3589</v>
      </c>
      <c r="BD234" s="0" t="s">
        <v>163</v>
      </c>
      <c r="BF234" s="0" t="s">
        <v>163</v>
      </c>
      <c r="BG234" s="0" t="s">
        <v>163</v>
      </c>
      <c r="BH234" s="0" t="s">
        <v>2195</v>
      </c>
      <c r="BK234" s="0" t="s">
        <v>163</v>
      </c>
      <c r="BL234" s="0" t="s">
        <v>163</v>
      </c>
      <c r="BM234" s="0" t="s">
        <v>163</v>
      </c>
      <c r="BN234" s="0" t="s">
        <v>3590</v>
      </c>
      <c r="BO234" s="0" t="s">
        <v>163</v>
      </c>
      <c r="BP234" s="0" t="s">
        <v>346</v>
      </c>
      <c r="BQ234" s="0" t="n">
        <v>40.739695</v>
      </c>
      <c r="BR234" s="0" t="n">
        <v>-73.989816</v>
      </c>
      <c r="BS234" s="0" t="s">
        <v>168</v>
      </c>
      <c r="BT234" s="0" t="n">
        <v>0</v>
      </c>
      <c r="BU234" s="0" t="s">
        <v>1552</v>
      </c>
      <c r="BV234" s="0" t="s">
        <v>1553</v>
      </c>
      <c r="BW234" s="0" t="s">
        <v>3586</v>
      </c>
      <c r="BX234" s="0" t="s">
        <v>3591</v>
      </c>
      <c r="BY234" s="0" t="s">
        <v>247</v>
      </c>
      <c r="BZ234" s="0" t="s">
        <v>1554</v>
      </c>
      <c r="CA234" s="0" t="s">
        <v>3592</v>
      </c>
      <c r="CC234" s="0" t="s">
        <v>179</v>
      </c>
      <c r="CE234" s="0" t="s">
        <v>162</v>
      </c>
      <c r="CH234" s="0" t="s">
        <v>201</v>
      </c>
      <c r="CI234" s="0" t="s">
        <v>1554</v>
      </c>
      <c r="CJ234" s="0" t="s">
        <v>163</v>
      </c>
      <c r="CK234" s="0" t="s">
        <v>162</v>
      </c>
      <c r="CL234" s="0" t="s">
        <v>163</v>
      </c>
      <c r="CO234" s="0" t="s">
        <v>163</v>
      </c>
      <c r="CQ234" s="0" t="s">
        <v>2196</v>
      </c>
      <c r="CR234" s="0" t="s">
        <v>206</v>
      </c>
      <c r="CS234" s="0" t="s">
        <v>163</v>
      </c>
      <c r="CT234" s="0" t="n">
        <v>22</v>
      </c>
      <c r="CU234" s="0" t="n">
        <v>7</v>
      </c>
      <c r="CV234" s="0" t="n">
        <v>4</v>
      </c>
      <c r="CW234" s="0" t="n">
        <v>6</v>
      </c>
      <c r="CX234" s="0" t="n">
        <v>5</v>
      </c>
      <c r="CY234" s="0" t="n">
        <f aca="false">IF(AH234="exact",10,IF(AH234="adjacent",5,0))</f>
        <v>0</v>
      </c>
      <c r="CZ234" s="0" t="n">
        <f aca="false">IF(R234="Y",15,0)</f>
        <v>0</v>
      </c>
      <c r="DF234" s="0" t="s">
        <v>158</v>
      </c>
      <c r="DG234" s="0" t="s">
        <v>211</v>
      </c>
      <c r="DJ234" s="0" t="s">
        <v>3593</v>
      </c>
      <c r="DK234" s="0" t="s">
        <v>3594</v>
      </c>
      <c r="DS234" s="0" t="s">
        <v>158</v>
      </c>
      <c r="DX234" s="0" t="s">
        <v>162</v>
      </c>
      <c r="ER234" s="0" t="str">
        <f aca="false">IF(ISNUMBER(MATCH(U234,{"queued","contacted","replied","call_booked","call_done","yes_in_principle","materials_sent"},0)),"Y","N")</f>
        <v>N</v>
      </c>
      <c r="ES234" s="0" t="str">
        <f aca="false">IF(COUNTIFS($AP$2:$AP$1000,AP234,$ER$2:$ER$1000,"Y")+COUNTIFS($AP$2:$AP$1000,AP234,$T$2:$T$1000,"Y")&gt;0,"Y","N")</f>
        <v>N</v>
      </c>
      <c r="ET234" s="0" t="str">
        <f aca="false">IF(AND(U234="new",T234="N",AT234="Y",AS234="",ES234="N"),"Y","N")</f>
        <v>N</v>
      </c>
      <c r="EU234" s="0" t="str">
        <f aca="false">IF(ET234&lt;&gt;"Y","N",IF(COUNTIFS($AP$2:$AP$1000,AP234,$ET$2:$ET$1000,"Y",$J$2:$J$1000,"&gt;"&amp;J234)+COUNTIFS($AP$2:$AP$1000,AP234,$ET$2:$ET$1000,"Y",$J$2:$J$1000,J234,$EW$2:$EW$1000,"&lt;"&amp;EW234)=0,"Y","N"))</f>
        <v>N</v>
      </c>
      <c r="EV234" s="0" t="str">
        <f aca="false">IF(Y234="","N",IF(Y234&lt;=10,"Y","N"))</f>
        <v>N</v>
      </c>
      <c r="EW234" s="0" t="n">
        <f aca="false">ROW()-1</f>
        <v>233</v>
      </c>
    </row>
    <row r="235" customFormat="false" ht="15" hidden="false" customHeight="false" outlineLevel="0" collapsed="false">
      <c r="A235" s="0" t="s">
        <v>3595</v>
      </c>
      <c r="B235" s="0" t="s">
        <v>3596</v>
      </c>
      <c r="H235" s="5" t="s">
        <v>158</v>
      </c>
      <c r="I235" s="5" t="s">
        <v>159</v>
      </c>
      <c r="J235" s="0" t="n">
        <f aca="false">IF(AX235="pass",ROUND(CU235+CV235+CW235+CX235+CY235+CZ235,1),0)</f>
        <v>21.9</v>
      </c>
      <c r="K235" s="0" t="s">
        <v>3597</v>
      </c>
      <c r="L235" s="0" t="s">
        <v>1322</v>
      </c>
      <c r="R235" s="5" t="s">
        <v>162</v>
      </c>
      <c r="S235" s="0" t="s">
        <v>163</v>
      </c>
      <c r="T235" s="5" t="s">
        <v>162</v>
      </c>
      <c r="U235" s="5" t="s">
        <v>561</v>
      </c>
      <c r="V235" s="0" t="s">
        <v>3201</v>
      </c>
      <c r="W235" s="0" t="s">
        <v>166</v>
      </c>
      <c r="X235" s="0" t="s">
        <v>167</v>
      </c>
      <c r="Y235" s="0" t="str">
        <f aca="false">IF(EU235&lt;&gt;"Y","",COUNTIFS($EU$2:$EU$1000,"Y",$J$2:$J$1000,"&gt;"&amp;J235)+COUNTIFS($EU$2:$EU$1000,"Y",$J$2:$J$1000,J235,$EW$2:$EW$1000,"&lt;"&amp;EW235)+1)</f>
        <v/>
      </c>
      <c r="Z235" s="0" t="n">
        <v>234</v>
      </c>
      <c r="AA235" s="0" t="s">
        <v>162</v>
      </c>
      <c r="AB235" s="0" t="s">
        <v>2527</v>
      </c>
      <c r="AD235" s="0" t="s">
        <v>158</v>
      </c>
      <c r="AH235" s="5" t="s">
        <v>158</v>
      </c>
      <c r="AI235" s="0" t="s">
        <v>1991</v>
      </c>
      <c r="AJ235" s="0" t="s">
        <v>163</v>
      </c>
      <c r="AK235" s="0" t="s">
        <v>178</v>
      </c>
      <c r="AL235" s="0" t="n">
        <v>225</v>
      </c>
      <c r="AM235" s="0" t="n">
        <v>4508</v>
      </c>
      <c r="AN235" s="0" t="s">
        <v>179</v>
      </c>
      <c r="AO235" s="0" t="s">
        <v>163</v>
      </c>
      <c r="AP235" s="0" t="s">
        <v>3595</v>
      </c>
      <c r="AQ235" s="5" t="s">
        <v>162</v>
      </c>
      <c r="AT235" s="0" t="str">
        <f aca="false">IF(AND(AX235="pass",AQ235&lt;&gt;"Y",C235&lt;&gt;"",OR(AW235&lt;&gt;"Y",AV235="Y")),"Y","N")</f>
        <v>N</v>
      </c>
      <c r="AU235" s="0" t="str">
        <f aca="false">_xlfn.TEXTJOIN("; ",TRUE(),IF(AX235&lt;&gt;"pass","gated out",""),IF(AQ235="Y","on hold: "&amp;AR235,""),IF(C235="","no contact named on an opened page",""),IF(AND(AW235="Y",AV235&lt;&gt;"Y"),"Tuesday estimate band "&amp;L235&amp;": founder's call",""))</f>
        <v>no contact named on an opened page; Tuesday estimate band over-500: founder's call</v>
      </c>
      <c r="AW235" s="0" t="s">
        <v>168</v>
      </c>
      <c r="AX235" s="0" t="s">
        <v>181</v>
      </c>
      <c r="AY235" s="0" t="s">
        <v>182</v>
      </c>
      <c r="AZ235" s="0" t="s">
        <v>1</v>
      </c>
      <c r="BA235" s="0" t="s">
        <v>3598</v>
      </c>
      <c r="BB235" s="0" t="s">
        <v>3599</v>
      </c>
      <c r="BC235" s="0" t="s">
        <v>3600</v>
      </c>
      <c r="BD235" s="0" t="s">
        <v>3601</v>
      </c>
      <c r="BF235" s="0" t="s">
        <v>1322</v>
      </c>
      <c r="BG235" s="0" t="s">
        <v>188</v>
      </c>
      <c r="BH235" s="0" t="s">
        <v>189</v>
      </c>
      <c r="BI235" s="0" t="s">
        <v>3602</v>
      </c>
      <c r="BK235" s="0" t="s">
        <v>3287</v>
      </c>
      <c r="BL235" s="0" t="s">
        <v>163</v>
      </c>
      <c r="BM235" s="0" t="s">
        <v>163</v>
      </c>
      <c r="BN235" s="0" t="s">
        <v>163</v>
      </c>
      <c r="BO235" s="0" t="s">
        <v>163</v>
      </c>
      <c r="BP235" s="0" t="s">
        <v>346</v>
      </c>
      <c r="BQ235" s="0" t="n">
        <v>40.741141</v>
      </c>
      <c r="BR235" s="0" t="n">
        <v>-73.987489</v>
      </c>
      <c r="BS235" s="0" t="s">
        <v>168</v>
      </c>
      <c r="BT235" s="0" t="n">
        <v>0</v>
      </c>
      <c r="BV235" s="0" t="s">
        <v>163</v>
      </c>
      <c r="BW235" s="0" t="s">
        <v>3201</v>
      </c>
      <c r="BX235" s="0" t="s">
        <v>3207</v>
      </c>
      <c r="BY235" s="0" t="s">
        <v>3208</v>
      </c>
      <c r="BZ235" s="0" t="s">
        <v>3603</v>
      </c>
      <c r="CA235" s="0" t="s">
        <v>3604</v>
      </c>
      <c r="CC235" s="0" t="s">
        <v>200</v>
      </c>
      <c r="CE235" s="0" t="s">
        <v>162</v>
      </c>
      <c r="CH235" s="0" t="s">
        <v>163</v>
      </c>
      <c r="CJ235" s="0" t="s">
        <v>163</v>
      </c>
      <c r="CK235" s="0" t="s">
        <v>162</v>
      </c>
      <c r="CL235" s="0" t="s">
        <v>163</v>
      </c>
      <c r="CO235" s="0" t="n">
        <v>1007</v>
      </c>
      <c r="CP235" s="0" t="s">
        <v>250</v>
      </c>
      <c r="CQ235" s="0" t="s">
        <v>3605</v>
      </c>
      <c r="CR235" s="0" t="s">
        <v>206</v>
      </c>
      <c r="CS235" s="0" t="n">
        <v>0.04</v>
      </c>
      <c r="CT235" s="0" t="n">
        <v>21.9</v>
      </c>
      <c r="CU235" s="0" t="n">
        <v>0.9</v>
      </c>
      <c r="CV235" s="0" t="n">
        <v>0</v>
      </c>
      <c r="CW235" s="0" t="n">
        <v>6</v>
      </c>
      <c r="CX235" s="0" t="n">
        <v>15</v>
      </c>
      <c r="CY235" s="0" t="n">
        <f aca="false">IF(AH235="exact",10,IF(AH235="adjacent",5,0))</f>
        <v>0</v>
      </c>
      <c r="CZ235" s="0" t="n">
        <f aca="false">IF(R235="Y",15,0)</f>
        <v>0</v>
      </c>
      <c r="DF235" s="0" t="s">
        <v>158</v>
      </c>
      <c r="DG235" s="0" t="s">
        <v>1335</v>
      </c>
      <c r="DH235" s="0" t="s">
        <v>3290</v>
      </c>
      <c r="DI235" s="0" t="s">
        <v>162</v>
      </c>
      <c r="DJ235" s="0" t="s">
        <v>3606</v>
      </c>
      <c r="DK235" s="0" t="s">
        <v>3607</v>
      </c>
      <c r="DS235" s="0" t="s">
        <v>158</v>
      </c>
      <c r="DX235" s="0" t="s">
        <v>162</v>
      </c>
      <c r="ER235" s="0" t="str">
        <f aca="false">IF(ISNUMBER(MATCH(U235,{"queued","contacted","replied","call_booked","call_done","yes_in_principle","materials_sent"},0)),"Y","N")</f>
        <v>N</v>
      </c>
      <c r="ES235" s="0" t="str">
        <f aca="false">IF(COUNTIFS($AP$2:$AP$1000,AP235,$ER$2:$ER$1000,"Y")+COUNTIFS($AP$2:$AP$1000,AP235,$T$2:$T$1000,"Y")&gt;0,"Y","N")</f>
        <v>N</v>
      </c>
      <c r="ET235" s="0" t="str">
        <f aca="false">IF(AND(U235="new",T235="N",AT235="Y",AS235="",ES235="N"),"Y","N")</f>
        <v>N</v>
      </c>
      <c r="EU235" s="0" t="str">
        <f aca="false">IF(ET235&lt;&gt;"Y","N",IF(COUNTIFS($AP$2:$AP$1000,AP235,$ET$2:$ET$1000,"Y",$J$2:$J$1000,"&gt;"&amp;J235)+COUNTIFS($AP$2:$AP$1000,AP235,$ET$2:$ET$1000,"Y",$J$2:$J$1000,J235,$EW$2:$EW$1000,"&lt;"&amp;EW235)=0,"Y","N"))</f>
        <v>N</v>
      </c>
      <c r="EV235" s="0" t="str">
        <f aca="false">IF(Y235="","N",IF(Y235&lt;=10,"Y","N"))</f>
        <v>N</v>
      </c>
      <c r="EW235" s="0" t="n">
        <f aca="false">ROW()-1</f>
        <v>234</v>
      </c>
    </row>
    <row r="236" customFormat="false" ht="15" hidden="false" customHeight="false" outlineLevel="0" collapsed="false">
      <c r="A236" s="0" t="s">
        <v>3608</v>
      </c>
      <c r="B236" s="0" t="s">
        <v>3609</v>
      </c>
      <c r="H236" s="5" t="s">
        <v>158</v>
      </c>
      <c r="I236" s="5" t="s">
        <v>159</v>
      </c>
      <c r="J236" s="0" t="n">
        <f aca="false">IF(AX236="pass",ROUND(CU236+CV236+CW236+CX236+CY236+CZ236,1),0)</f>
        <v>21.7</v>
      </c>
      <c r="K236" s="0" t="s">
        <v>3610</v>
      </c>
      <c r="L236" s="0" t="s">
        <v>1322</v>
      </c>
      <c r="R236" s="5" t="s">
        <v>162</v>
      </c>
      <c r="S236" s="0" t="s">
        <v>163</v>
      </c>
      <c r="T236" s="5" t="s">
        <v>162</v>
      </c>
      <c r="U236" s="5" t="s">
        <v>561</v>
      </c>
      <c r="V236" s="0" t="s">
        <v>3281</v>
      </c>
      <c r="W236" s="0" t="s">
        <v>166</v>
      </c>
      <c r="X236" s="0" t="s">
        <v>167</v>
      </c>
      <c r="Y236" s="0" t="str">
        <f aca="false">IF(EU236&lt;&gt;"Y","",COUNTIFS($EU$2:$EU$1000,"Y",$J$2:$J$1000,"&gt;"&amp;J236)+COUNTIFS($EU$2:$EU$1000,"Y",$J$2:$J$1000,J236,$EW$2:$EW$1000,"&lt;"&amp;EW236)+1)</f>
        <v/>
      </c>
      <c r="Z236" s="0" t="n">
        <v>235</v>
      </c>
      <c r="AA236" s="0" t="s">
        <v>162</v>
      </c>
      <c r="AB236" s="0" t="s">
        <v>2527</v>
      </c>
      <c r="AD236" s="0" t="s">
        <v>158</v>
      </c>
      <c r="AH236" s="5" t="s">
        <v>158</v>
      </c>
      <c r="AI236" s="0" t="s">
        <v>1693</v>
      </c>
      <c r="AJ236" s="0" t="s">
        <v>163</v>
      </c>
      <c r="AK236" s="0" t="s">
        <v>178</v>
      </c>
      <c r="AL236" s="0" t="n">
        <v>230</v>
      </c>
      <c r="AM236" s="0" t="n">
        <v>4600</v>
      </c>
      <c r="AN236" s="0" t="s">
        <v>179</v>
      </c>
      <c r="AO236" s="0" t="s">
        <v>163</v>
      </c>
      <c r="AP236" s="0" t="s">
        <v>3608</v>
      </c>
      <c r="AQ236" s="5" t="s">
        <v>162</v>
      </c>
      <c r="AT236" s="0" t="str">
        <f aca="false">IF(AND(AX236="pass",AQ236&lt;&gt;"Y",C236&lt;&gt;"",OR(AW236&lt;&gt;"Y",AV236="Y")),"Y","N")</f>
        <v>N</v>
      </c>
      <c r="AU236" s="0" t="str">
        <f aca="false">_xlfn.TEXTJOIN("; ",TRUE(),IF(AX236&lt;&gt;"pass","gated out",""),IF(AQ236="Y","on hold: "&amp;AR236,""),IF(C236="","no contact named on an opened page",""),IF(AND(AW236="Y",AV236&lt;&gt;"Y"),"Tuesday estimate band "&amp;L236&amp;": founder's call",""))</f>
        <v>no contact named on an opened page; Tuesday estimate band over-500: founder's call</v>
      </c>
      <c r="AW236" s="0" t="s">
        <v>168</v>
      </c>
      <c r="AX236" s="0" t="s">
        <v>181</v>
      </c>
      <c r="AY236" s="0" t="s">
        <v>182</v>
      </c>
      <c r="AZ236" s="0" t="s">
        <v>1</v>
      </c>
      <c r="BA236" s="0" t="s">
        <v>3611</v>
      </c>
      <c r="BB236" s="0" t="s">
        <v>3612</v>
      </c>
      <c r="BC236" s="0" t="s">
        <v>3539</v>
      </c>
      <c r="BD236" s="0" t="s">
        <v>3613</v>
      </c>
      <c r="BF236" s="0" t="s">
        <v>1322</v>
      </c>
      <c r="BG236" s="0" t="s">
        <v>188</v>
      </c>
      <c r="BH236" s="0" t="s">
        <v>189</v>
      </c>
      <c r="BI236" s="0" t="s">
        <v>3614</v>
      </c>
      <c r="BK236" s="0" t="s">
        <v>3287</v>
      </c>
      <c r="BL236" s="0" t="s">
        <v>163</v>
      </c>
      <c r="BM236" s="0" t="s">
        <v>163</v>
      </c>
      <c r="BN236" s="0" t="s">
        <v>163</v>
      </c>
      <c r="BO236" s="0" t="s">
        <v>163</v>
      </c>
      <c r="BP236" s="0" t="s">
        <v>346</v>
      </c>
      <c r="BQ236" s="0" t="n">
        <v>40.741761</v>
      </c>
      <c r="BR236" s="0" t="n">
        <v>-73.987033</v>
      </c>
      <c r="BS236" s="0" t="s">
        <v>168</v>
      </c>
      <c r="BT236" s="0" t="n">
        <v>0</v>
      </c>
      <c r="BU236" s="0" t="s">
        <v>1702</v>
      </c>
      <c r="BV236" s="0" t="s">
        <v>1703</v>
      </c>
      <c r="BW236" s="0" t="s">
        <v>3281</v>
      </c>
      <c r="BX236" s="0" t="s">
        <v>3288</v>
      </c>
      <c r="BY236" s="0" t="s">
        <v>3208</v>
      </c>
      <c r="BZ236" s="0" t="s">
        <v>3227</v>
      </c>
      <c r="CA236" s="0" t="s">
        <v>3228</v>
      </c>
      <c r="CC236" s="0" t="s">
        <v>200</v>
      </c>
      <c r="CE236" s="0" t="s">
        <v>162</v>
      </c>
      <c r="CH236" s="0" t="s">
        <v>1706</v>
      </c>
      <c r="CI236" s="0" t="s">
        <v>1707</v>
      </c>
      <c r="CJ236" s="0" t="s">
        <v>163</v>
      </c>
      <c r="CK236" s="0" t="s">
        <v>162</v>
      </c>
      <c r="CL236" s="0" t="s">
        <v>163</v>
      </c>
      <c r="CO236" s="0" t="n">
        <v>1029</v>
      </c>
      <c r="CP236" s="0" t="s">
        <v>250</v>
      </c>
      <c r="CQ236" s="0" t="s">
        <v>3615</v>
      </c>
      <c r="CR236" s="0" t="s">
        <v>206</v>
      </c>
      <c r="CS236" s="0" t="n">
        <v>0.03</v>
      </c>
      <c r="CT236" s="0" t="n">
        <v>21.7</v>
      </c>
      <c r="CU236" s="0" t="n">
        <v>0.7</v>
      </c>
      <c r="CV236" s="0" t="n">
        <v>0</v>
      </c>
      <c r="CW236" s="0" t="n">
        <v>6</v>
      </c>
      <c r="CX236" s="0" t="n">
        <v>15</v>
      </c>
      <c r="CY236" s="0" t="n">
        <f aca="false">IF(AH236="exact",10,IF(AH236="adjacent",5,0))</f>
        <v>0</v>
      </c>
      <c r="CZ236" s="0" t="n">
        <f aca="false">IF(R236="Y",15,0)</f>
        <v>0</v>
      </c>
      <c r="DF236" s="0" t="s">
        <v>158</v>
      </c>
      <c r="DG236" s="0" t="s">
        <v>1335</v>
      </c>
      <c r="DH236" s="0" t="s">
        <v>3290</v>
      </c>
      <c r="DI236" s="0" t="s">
        <v>162</v>
      </c>
      <c r="DK236" s="0" t="s">
        <v>3616</v>
      </c>
      <c r="DS236" s="0" t="s">
        <v>158</v>
      </c>
      <c r="DX236" s="0" t="s">
        <v>162</v>
      </c>
      <c r="ER236" s="0" t="str">
        <f aca="false">IF(ISNUMBER(MATCH(U236,{"queued","contacted","replied","call_booked","call_done","yes_in_principle","materials_sent"},0)),"Y","N")</f>
        <v>N</v>
      </c>
      <c r="ES236" s="0" t="str">
        <f aca="false">IF(COUNTIFS($AP$2:$AP$1000,AP236,$ER$2:$ER$1000,"Y")+COUNTIFS($AP$2:$AP$1000,AP236,$T$2:$T$1000,"Y")&gt;0,"Y","N")</f>
        <v>N</v>
      </c>
      <c r="ET236" s="0" t="str">
        <f aca="false">IF(AND(U236="new",T236="N",AT236="Y",AS236="",ES236="N"),"Y","N")</f>
        <v>N</v>
      </c>
      <c r="EU236" s="0" t="str">
        <f aca="false">IF(ET236&lt;&gt;"Y","N",IF(COUNTIFS($AP$2:$AP$1000,AP236,$ET$2:$ET$1000,"Y",$J$2:$J$1000,"&gt;"&amp;J236)+COUNTIFS($AP$2:$AP$1000,AP236,$ET$2:$ET$1000,"Y",$J$2:$J$1000,J236,$EW$2:$EW$1000,"&lt;"&amp;EW236)=0,"Y","N"))</f>
        <v>N</v>
      </c>
      <c r="EV236" s="0" t="str">
        <f aca="false">IF(Y236="","N",IF(Y236&lt;=10,"Y","N"))</f>
        <v>N</v>
      </c>
      <c r="EW236" s="0" t="n">
        <f aca="false">ROW()-1</f>
        <v>235</v>
      </c>
    </row>
    <row r="237" customFormat="false" ht="15" hidden="false" customHeight="false" outlineLevel="0" collapsed="false">
      <c r="A237" s="0" t="s">
        <v>3617</v>
      </c>
      <c r="B237" s="0" t="s">
        <v>3618</v>
      </c>
      <c r="H237" s="5" t="s">
        <v>158</v>
      </c>
      <c r="I237" s="5" t="s">
        <v>159</v>
      </c>
      <c r="J237" s="0" t="n">
        <f aca="false">IF(AX237="pass",ROUND(CU237+CV237+CW237+CX237+CY237+CZ237,1),0)</f>
        <v>20.3</v>
      </c>
      <c r="K237" s="0" t="s">
        <v>3619</v>
      </c>
      <c r="L237" s="0" t="s">
        <v>1322</v>
      </c>
      <c r="R237" s="5" t="s">
        <v>162</v>
      </c>
      <c r="S237" s="0" t="s">
        <v>163</v>
      </c>
      <c r="T237" s="5" t="s">
        <v>162</v>
      </c>
      <c r="U237" s="5" t="s">
        <v>561</v>
      </c>
      <c r="V237" s="0" t="s">
        <v>3227</v>
      </c>
      <c r="W237" s="0" t="s">
        <v>166</v>
      </c>
      <c r="X237" s="0" t="s">
        <v>167</v>
      </c>
      <c r="Y237" s="0" t="str">
        <f aca="false">IF(EU237&lt;&gt;"Y","",COUNTIFS($EU$2:$EU$1000,"Y",$J$2:$J$1000,"&gt;"&amp;J237)+COUNTIFS($EU$2:$EU$1000,"Y",$J$2:$J$1000,J237,$EW$2:$EW$1000,"&lt;"&amp;EW237)+1)</f>
        <v/>
      </c>
      <c r="Z237" s="0" t="n">
        <v>236</v>
      </c>
      <c r="AA237" s="0" t="s">
        <v>162</v>
      </c>
      <c r="AB237" s="0" t="s">
        <v>2527</v>
      </c>
      <c r="AD237" s="0" t="s">
        <v>158</v>
      </c>
      <c r="AH237" s="5" t="s">
        <v>158</v>
      </c>
      <c r="AI237" s="0" t="s">
        <v>1693</v>
      </c>
      <c r="AJ237" s="0" t="s">
        <v>3402</v>
      </c>
      <c r="AK237" s="0" t="s">
        <v>889</v>
      </c>
      <c r="AL237" s="0" t="n">
        <v>133</v>
      </c>
      <c r="AM237" s="0" t="n">
        <v>2660</v>
      </c>
      <c r="AN237" s="0" t="s">
        <v>179</v>
      </c>
      <c r="AO237" s="0" t="s">
        <v>163</v>
      </c>
      <c r="AP237" s="0" t="s">
        <v>3617</v>
      </c>
      <c r="AQ237" s="5" t="s">
        <v>168</v>
      </c>
      <c r="AR237" s="0" t="s">
        <v>890</v>
      </c>
      <c r="AT237" s="0" t="str">
        <f aca="false">IF(AND(AX237="pass",AQ237&lt;&gt;"Y",C237&lt;&gt;"",OR(AW237&lt;&gt;"Y",AV237="Y")),"Y","N")</f>
        <v>N</v>
      </c>
      <c r="AU237" s="0" t="str">
        <f aca="false">_xlfn.TEXTJOIN("; ",TRUE(),IF(AX237&lt;&gt;"pass","gated out",""),IF(AQ237="Y","on hold: "&amp;AR237,""),IF(C237="","no contact named on an opened page",""),IF(AND(AW237="Y",AV237&lt;&gt;"Y"),"Tuesday estimate band "&amp;L237&amp;": founder's call",""))</f>
        <v>on hold: lease signed, move not confirmed: check the lobby directory before outreach (B); no contact named on an opened page; Tuesday estimate band over-500: founder's call</v>
      </c>
      <c r="AW237" s="0" t="s">
        <v>168</v>
      </c>
      <c r="AX237" s="0" t="s">
        <v>181</v>
      </c>
      <c r="AY237" s="0" t="s">
        <v>182</v>
      </c>
      <c r="AZ237" s="0" t="s">
        <v>1</v>
      </c>
      <c r="BA237" s="0" t="s">
        <v>3620</v>
      </c>
      <c r="BB237" s="0" t="s">
        <v>3621</v>
      </c>
      <c r="BC237" s="0" t="s">
        <v>3622</v>
      </c>
      <c r="BD237" s="0" t="s">
        <v>3623</v>
      </c>
      <c r="BF237" s="0" t="s">
        <v>1322</v>
      </c>
      <c r="BG237" s="0" t="s">
        <v>188</v>
      </c>
      <c r="BH237" s="0" t="s">
        <v>189</v>
      </c>
      <c r="BI237" s="0" t="s">
        <v>3624</v>
      </c>
      <c r="BK237" s="0" t="s">
        <v>1439</v>
      </c>
      <c r="BL237" s="0" t="s">
        <v>163</v>
      </c>
      <c r="BM237" s="0" t="s">
        <v>163</v>
      </c>
      <c r="BN237" s="0" t="s">
        <v>163</v>
      </c>
      <c r="BO237" s="0" t="s">
        <v>163</v>
      </c>
      <c r="BP237" s="0" t="s">
        <v>346</v>
      </c>
      <c r="BQ237" s="0" t="n">
        <v>40.741761</v>
      </c>
      <c r="BR237" s="0" t="n">
        <v>-73.987033</v>
      </c>
      <c r="BS237" s="0" t="s">
        <v>168</v>
      </c>
      <c r="BT237" s="0" t="n">
        <v>0</v>
      </c>
      <c r="BU237" s="0" t="s">
        <v>1702</v>
      </c>
      <c r="BV237" s="0" t="s">
        <v>1703</v>
      </c>
      <c r="BW237" s="0" t="s">
        <v>3227</v>
      </c>
      <c r="BX237" s="0" t="s">
        <v>3228</v>
      </c>
      <c r="BY237" s="0" t="s">
        <v>247</v>
      </c>
      <c r="BZ237" s="0" t="s">
        <v>3281</v>
      </c>
      <c r="CA237" s="0" t="s">
        <v>3288</v>
      </c>
      <c r="CC237" s="0" t="s">
        <v>200</v>
      </c>
      <c r="CD237" s="0" t="s">
        <v>163</v>
      </c>
      <c r="CE237" s="0" t="s">
        <v>162</v>
      </c>
      <c r="CH237" s="0" t="s">
        <v>1706</v>
      </c>
      <c r="CI237" s="0" t="s">
        <v>1707</v>
      </c>
      <c r="CJ237" s="0" t="s">
        <v>163</v>
      </c>
      <c r="CK237" s="0" t="s">
        <v>162</v>
      </c>
      <c r="CL237" s="0" t="s">
        <v>163</v>
      </c>
      <c r="CO237" s="0" t="n">
        <v>595</v>
      </c>
      <c r="CP237" s="0" t="s">
        <v>250</v>
      </c>
      <c r="CQ237" s="0" t="s">
        <v>3625</v>
      </c>
      <c r="CR237" s="0" t="s">
        <v>206</v>
      </c>
      <c r="CS237" s="0" t="n">
        <v>0.21</v>
      </c>
      <c r="CT237" s="0" t="n">
        <v>20.3</v>
      </c>
      <c r="CU237" s="0" t="n">
        <v>5.3</v>
      </c>
      <c r="CV237" s="0" t="n">
        <v>2</v>
      </c>
      <c r="CW237" s="0" t="n">
        <v>6</v>
      </c>
      <c r="CX237" s="0" t="n">
        <v>7</v>
      </c>
      <c r="CY237" s="0" t="n">
        <f aca="false">IF(AH237="exact",10,IF(AH237="adjacent",5,0))</f>
        <v>0</v>
      </c>
      <c r="CZ237" s="0" t="n">
        <f aca="false">IF(R237="Y",15,0)</f>
        <v>0</v>
      </c>
      <c r="DF237" s="0" t="s">
        <v>158</v>
      </c>
      <c r="DG237" s="0" t="s">
        <v>1335</v>
      </c>
      <c r="DH237" s="0" t="s">
        <v>1446</v>
      </c>
      <c r="DI237" s="0" t="s">
        <v>162</v>
      </c>
      <c r="DJ237" s="0" t="s">
        <v>3626</v>
      </c>
      <c r="DK237" s="0" t="s">
        <v>3627</v>
      </c>
      <c r="DS237" s="0" t="s">
        <v>158</v>
      </c>
      <c r="DX237" s="0" t="s">
        <v>162</v>
      </c>
      <c r="ER237" s="0" t="str">
        <f aca="false">IF(ISNUMBER(MATCH(U237,{"queued","contacted","replied","call_booked","call_done","yes_in_principle","materials_sent"},0)),"Y","N")</f>
        <v>N</v>
      </c>
      <c r="ES237" s="0" t="str">
        <f aca="false">IF(COUNTIFS($AP$2:$AP$1000,AP237,$ER$2:$ER$1000,"Y")+COUNTIFS($AP$2:$AP$1000,AP237,$T$2:$T$1000,"Y")&gt;0,"Y","N")</f>
        <v>N</v>
      </c>
      <c r="ET237" s="0" t="str">
        <f aca="false">IF(AND(U237="new",T237="N",AT237="Y",AS237="",ES237="N"),"Y","N")</f>
        <v>N</v>
      </c>
      <c r="EU237" s="0" t="str">
        <f aca="false">IF(ET237&lt;&gt;"Y","N",IF(COUNTIFS($AP$2:$AP$1000,AP237,$ET$2:$ET$1000,"Y",$J$2:$J$1000,"&gt;"&amp;J237)+COUNTIFS($AP$2:$AP$1000,AP237,$ET$2:$ET$1000,"Y",$J$2:$J$1000,J237,$EW$2:$EW$1000,"&lt;"&amp;EW237)=0,"Y","N"))</f>
        <v>N</v>
      </c>
      <c r="EV237" s="0" t="str">
        <f aca="false">IF(Y237="","N",IF(Y237&lt;=10,"Y","N"))</f>
        <v>N</v>
      </c>
      <c r="EW237" s="0" t="n">
        <f aca="false">ROW()-1</f>
        <v>236</v>
      </c>
    </row>
    <row r="238" customFormat="false" ht="15" hidden="false" customHeight="false" outlineLevel="0" collapsed="false">
      <c r="A238" s="0" t="s">
        <v>3628</v>
      </c>
      <c r="B238" s="0" t="s">
        <v>3629</v>
      </c>
      <c r="H238" s="5" t="s">
        <v>158</v>
      </c>
      <c r="I238" s="5" t="s">
        <v>159</v>
      </c>
      <c r="J238" s="0" t="n">
        <f aca="false">IF(AX238="pass",ROUND(CU238+CV238+CW238+CX238+CY238+CZ238,1),0)</f>
        <v>19.1</v>
      </c>
      <c r="K238" s="0" t="s">
        <v>3630</v>
      </c>
      <c r="L238" s="0" t="s">
        <v>1322</v>
      </c>
      <c r="R238" s="5" t="s">
        <v>162</v>
      </c>
      <c r="S238" s="0" t="s">
        <v>163</v>
      </c>
      <c r="T238" s="5" t="s">
        <v>162</v>
      </c>
      <c r="U238" s="5" t="s">
        <v>561</v>
      </c>
      <c r="V238" s="0" t="s">
        <v>3631</v>
      </c>
      <c r="W238" s="0" t="s">
        <v>166</v>
      </c>
      <c r="X238" s="0" t="s">
        <v>167</v>
      </c>
      <c r="Y238" s="0" t="str">
        <f aca="false">IF(EU238&lt;&gt;"Y","",COUNTIFS($EU$2:$EU$1000,"Y",$J$2:$J$1000,"&gt;"&amp;J238)+COUNTIFS($EU$2:$EU$1000,"Y",$J$2:$J$1000,J238,$EW$2:$EW$1000,"&lt;"&amp;EW238)+1)</f>
        <v/>
      </c>
      <c r="Z238" s="0" t="n">
        <v>237</v>
      </c>
      <c r="AA238" s="0" t="s">
        <v>162</v>
      </c>
      <c r="AB238" s="0" t="s">
        <v>2527</v>
      </c>
      <c r="AD238" s="0" t="s">
        <v>158</v>
      </c>
      <c r="AH238" s="5" t="s">
        <v>158</v>
      </c>
      <c r="AI238" s="0" t="s">
        <v>2099</v>
      </c>
      <c r="AJ238" s="0" t="s">
        <v>1751</v>
      </c>
      <c r="AK238" s="0" t="s">
        <v>3188</v>
      </c>
      <c r="AL238" s="0" t="n">
        <v>136</v>
      </c>
      <c r="AM238" s="0" t="n">
        <v>2719</v>
      </c>
      <c r="AN238" s="0" t="s">
        <v>179</v>
      </c>
      <c r="AO238" s="0" t="s">
        <v>369</v>
      </c>
      <c r="AP238" s="0" t="s">
        <v>3628</v>
      </c>
      <c r="AQ238" s="5" t="s">
        <v>168</v>
      </c>
      <c r="AR238" s="0" t="s">
        <v>3189</v>
      </c>
      <c r="AT238" s="0" t="str">
        <f aca="false">IF(AND(AX238="pass",AQ238&lt;&gt;"Y",C238&lt;&gt;"",OR(AW238&lt;&gt;"Y",AV238="Y")),"Y","N")</f>
        <v>N</v>
      </c>
      <c r="AU238" s="0" t="str">
        <f aca="false">_xlfn.TEXTJOIN("; ",TRUE(),IF(AX238&lt;&gt;"pass","gated out",""),IF(AQ238="Y","on hold: "&amp;AR238,""),IF(C238="","no contact named on an opened page",""),IF(AND(AW238="Y",AV238&lt;&gt;"Y"),"Tuesday estimate band "&amp;L238&amp;": founder's call",""))</f>
        <v>on hold: moving out of this address: confirm where the office will be before outreach (B); no contact named on an opened page; Tuesday estimate band over-500: founder's call</v>
      </c>
      <c r="AW238" s="0" t="s">
        <v>168</v>
      </c>
      <c r="AX238" s="0" t="s">
        <v>181</v>
      </c>
      <c r="AY238" s="0" t="s">
        <v>182</v>
      </c>
      <c r="AZ238" s="0" t="s">
        <v>1</v>
      </c>
      <c r="BA238" s="0" t="s">
        <v>3632</v>
      </c>
      <c r="BB238" s="0" t="s">
        <v>3633</v>
      </c>
      <c r="BC238" s="0" t="s">
        <v>3634</v>
      </c>
      <c r="BD238" s="0" t="s">
        <v>3635</v>
      </c>
      <c r="BF238" s="0" t="s">
        <v>1322</v>
      </c>
      <c r="BG238" s="0" t="s">
        <v>188</v>
      </c>
      <c r="BH238" s="0" t="s">
        <v>189</v>
      </c>
      <c r="BI238" s="0" t="s">
        <v>3636</v>
      </c>
      <c r="BK238" s="0" t="s">
        <v>1439</v>
      </c>
      <c r="BL238" s="0" t="s">
        <v>163</v>
      </c>
      <c r="BM238" s="0" t="s">
        <v>163</v>
      </c>
      <c r="BN238" s="0" t="s">
        <v>163</v>
      </c>
      <c r="BO238" s="0" t="s">
        <v>163</v>
      </c>
      <c r="BP238" s="0" t="s">
        <v>193</v>
      </c>
      <c r="BQ238" s="0" t="n">
        <v>40.736419</v>
      </c>
      <c r="BR238" s="0" t="n">
        <v>-73.993096</v>
      </c>
      <c r="BS238" s="0" t="s">
        <v>168</v>
      </c>
      <c r="BT238" s="0" t="n">
        <v>0</v>
      </c>
      <c r="BU238" s="0" t="s">
        <v>2104</v>
      </c>
      <c r="BV238" s="0" t="s">
        <v>2099</v>
      </c>
      <c r="BW238" s="0" t="s">
        <v>3631</v>
      </c>
      <c r="BX238" s="0" t="s">
        <v>166</v>
      </c>
      <c r="BY238" s="0" t="s">
        <v>196</v>
      </c>
      <c r="BZ238" s="0" t="s">
        <v>3637</v>
      </c>
      <c r="CA238" s="0" t="s">
        <v>3638</v>
      </c>
      <c r="CC238" s="0" t="s">
        <v>200</v>
      </c>
      <c r="CD238" s="0" t="s">
        <v>163</v>
      </c>
      <c r="CE238" s="0" t="s">
        <v>162</v>
      </c>
      <c r="CH238" s="0" t="s">
        <v>163</v>
      </c>
      <c r="CJ238" s="0" t="s">
        <v>163</v>
      </c>
      <c r="CK238" s="0" t="s">
        <v>162</v>
      </c>
      <c r="CL238" s="0" t="s">
        <v>715</v>
      </c>
      <c r="CM238" s="0" t="s">
        <v>3639</v>
      </c>
      <c r="CN238" s="0" t="s">
        <v>174</v>
      </c>
      <c r="CO238" s="0" t="n">
        <v>608</v>
      </c>
      <c r="CP238" s="0" t="s">
        <v>250</v>
      </c>
      <c r="CQ238" s="0" t="s">
        <v>3640</v>
      </c>
      <c r="CR238" s="0" t="s">
        <v>206</v>
      </c>
      <c r="CS238" s="0" t="n">
        <v>0.2</v>
      </c>
      <c r="CT238" s="0" t="n">
        <v>19.1</v>
      </c>
      <c r="CU238" s="0" t="n">
        <v>5.1</v>
      </c>
      <c r="CV238" s="0" t="n">
        <v>2</v>
      </c>
      <c r="CW238" s="0" t="n">
        <v>7</v>
      </c>
      <c r="CX238" s="0" t="n">
        <v>5</v>
      </c>
      <c r="CY238" s="0" t="n">
        <f aca="false">IF(AH238="exact",10,IF(AH238="adjacent",5,0))</f>
        <v>0</v>
      </c>
      <c r="CZ238" s="0" t="n">
        <f aca="false">IF(R238="Y",15,0)</f>
        <v>0</v>
      </c>
      <c r="DF238" s="0" t="s">
        <v>158</v>
      </c>
      <c r="DG238" s="0" t="s">
        <v>1335</v>
      </c>
      <c r="DH238" s="0" t="s">
        <v>1446</v>
      </c>
      <c r="DI238" s="0" t="s">
        <v>162</v>
      </c>
      <c r="DJ238" s="0" t="s">
        <v>3641</v>
      </c>
      <c r="DK238" s="0" t="s">
        <v>3642</v>
      </c>
      <c r="DS238" s="0" t="s">
        <v>158</v>
      </c>
      <c r="DX238" s="0" t="s">
        <v>162</v>
      </c>
      <c r="ER238" s="0" t="str">
        <f aca="false">IF(ISNUMBER(MATCH(U238,{"queued","contacted","replied","call_booked","call_done","yes_in_principle","materials_sent"},0)),"Y","N")</f>
        <v>N</v>
      </c>
      <c r="ES238" s="0" t="str">
        <f aca="false">IF(COUNTIFS($AP$2:$AP$1000,AP238,$ER$2:$ER$1000,"Y")+COUNTIFS($AP$2:$AP$1000,AP238,$T$2:$T$1000,"Y")&gt;0,"Y","N")</f>
        <v>N</v>
      </c>
      <c r="ET238" s="0" t="str">
        <f aca="false">IF(AND(U238="new",T238="N",AT238="Y",AS238="",ES238="N"),"Y","N")</f>
        <v>N</v>
      </c>
      <c r="EU238" s="0" t="str">
        <f aca="false">IF(ET238&lt;&gt;"Y","N",IF(COUNTIFS($AP$2:$AP$1000,AP238,$ET$2:$ET$1000,"Y",$J$2:$J$1000,"&gt;"&amp;J238)+COUNTIFS($AP$2:$AP$1000,AP238,$ET$2:$ET$1000,"Y",$J$2:$J$1000,J238,$EW$2:$EW$1000,"&lt;"&amp;EW238)=0,"Y","N"))</f>
        <v>N</v>
      </c>
      <c r="EV238" s="0" t="str">
        <f aca="false">IF(Y238="","N",IF(Y238&lt;=10,"Y","N"))</f>
        <v>N</v>
      </c>
      <c r="EW238" s="0" t="n">
        <f aca="false">ROW()-1</f>
        <v>237</v>
      </c>
    </row>
    <row r="239" customFormat="false" ht="15" hidden="false" customHeight="false" outlineLevel="0" collapsed="false">
      <c r="A239" s="0" t="s">
        <v>3643</v>
      </c>
      <c r="B239" s="0" t="s">
        <v>3644</v>
      </c>
      <c r="H239" s="5" t="s">
        <v>158</v>
      </c>
      <c r="I239" s="5" t="s">
        <v>159</v>
      </c>
      <c r="J239" s="0" t="n">
        <f aca="false">IF(AX239="pass",ROUND(CU239+CV239+CW239+CX239+CY239+CZ239,1),0)</f>
        <v>19</v>
      </c>
      <c r="K239" s="0" t="s">
        <v>3645</v>
      </c>
      <c r="L239" s="0" t="s">
        <v>239</v>
      </c>
      <c r="R239" s="5" t="s">
        <v>162</v>
      </c>
      <c r="S239" s="0" t="s">
        <v>163</v>
      </c>
      <c r="T239" s="5" t="s">
        <v>162</v>
      </c>
      <c r="U239" s="5" t="s">
        <v>561</v>
      </c>
      <c r="V239" s="0" t="s">
        <v>3646</v>
      </c>
      <c r="W239" s="0" t="s">
        <v>166</v>
      </c>
      <c r="X239" s="0" t="s">
        <v>167</v>
      </c>
      <c r="Y239" s="0" t="str">
        <f aca="false">IF(EU239&lt;&gt;"Y","",COUNTIFS($EU$2:$EU$1000,"Y",$J$2:$J$1000,"&gt;"&amp;J239)+COUNTIFS($EU$2:$EU$1000,"Y",$J$2:$J$1000,J239,$EW$2:$EW$1000,"&lt;"&amp;EW239)+1)</f>
        <v/>
      </c>
      <c r="Z239" s="0" t="n">
        <v>238</v>
      </c>
      <c r="AA239" s="0" t="s">
        <v>162</v>
      </c>
      <c r="AB239" s="0" t="s">
        <v>1661</v>
      </c>
      <c r="AD239" s="0" t="s">
        <v>158</v>
      </c>
      <c r="AH239" s="5" t="s">
        <v>158</v>
      </c>
      <c r="AI239" s="0" t="s">
        <v>1644</v>
      </c>
      <c r="AJ239" s="0" t="s">
        <v>888</v>
      </c>
      <c r="AK239" s="0" t="s">
        <v>889</v>
      </c>
      <c r="AL239" s="0" t="n">
        <v>230</v>
      </c>
      <c r="AM239" s="0" t="n">
        <v>461</v>
      </c>
      <c r="AN239" s="0" t="s">
        <v>179</v>
      </c>
      <c r="AO239" s="0" t="s">
        <v>861</v>
      </c>
      <c r="AP239" s="0" t="s">
        <v>3643</v>
      </c>
      <c r="AQ239" s="5" t="s">
        <v>168</v>
      </c>
      <c r="AR239" s="0" t="s">
        <v>890</v>
      </c>
      <c r="AT239" s="0" t="str">
        <f aca="false">IF(AND(AX239="pass",AQ239&lt;&gt;"Y",C239&lt;&gt;"",OR(AW239&lt;&gt;"Y",AV239="Y")),"Y","N")</f>
        <v>N</v>
      </c>
      <c r="AU239" s="0" t="str">
        <f aca="false">_xlfn.TEXTJOIN("; ",TRUE(),IF(AX239&lt;&gt;"pass","gated out",""),IF(AQ239="Y","on hold: "&amp;AR239,""),IF(C239="","no contact named on an opened page",""),IF(AND(AW239="Y",AV239&lt;&gt;"Y"),"Tuesday estimate band "&amp;L239&amp;": founder's call",""))</f>
        <v>on hold: lease signed, move not confirmed: check the lobby directory before outreach (B); no contact named on an opened page; Tuesday estimate band 251-500: founder's call</v>
      </c>
      <c r="AW239" s="0" t="s">
        <v>168</v>
      </c>
      <c r="AX239" s="0" t="s">
        <v>181</v>
      </c>
      <c r="AY239" s="0" t="s">
        <v>182</v>
      </c>
      <c r="AZ239" s="0" t="s">
        <v>1</v>
      </c>
      <c r="BA239" s="0" t="s">
        <v>3647</v>
      </c>
      <c r="BB239" s="0" t="s">
        <v>3648</v>
      </c>
      <c r="BC239" s="0" t="s">
        <v>3649</v>
      </c>
      <c r="BD239" s="0" t="s">
        <v>3650</v>
      </c>
      <c r="BF239" s="0" t="s">
        <v>1322</v>
      </c>
      <c r="BG239" s="0" t="s">
        <v>188</v>
      </c>
      <c r="BH239" s="0" t="s">
        <v>189</v>
      </c>
      <c r="BI239" s="0" t="s">
        <v>3651</v>
      </c>
      <c r="BK239" s="0" t="s">
        <v>1263</v>
      </c>
      <c r="BL239" s="0" t="s">
        <v>192</v>
      </c>
      <c r="BM239" s="0" t="s">
        <v>168</v>
      </c>
      <c r="BN239" s="0" t="s">
        <v>163</v>
      </c>
      <c r="BO239" s="0" t="s">
        <v>163</v>
      </c>
      <c r="BP239" s="0" t="s">
        <v>243</v>
      </c>
      <c r="BQ239" s="0" t="n">
        <v>40.746186</v>
      </c>
      <c r="BR239" s="0" t="n">
        <v>-73.985981</v>
      </c>
      <c r="BS239" s="0" t="s">
        <v>168</v>
      </c>
      <c r="BT239" s="0" t="n">
        <v>0</v>
      </c>
      <c r="BU239" s="0" t="s">
        <v>1652</v>
      </c>
      <c r="BV239" s="0" t="s">
        <v>1653</v>
      </c>
      <c r="BW239" s="0" t="s">
        <v>3646</v>
      </c>
      <c r="BX239" s="0" t="s">
        <v>3652</v>
      </c>
      <c r="BY239" s="0" t="s">
        <v>247</v>
      </c>
      <c r="CC239" s="0" t="s">
        <v>738</v>
      </c>
      <c r="CD239" s="0" t="s">
        <v>163</v>
      </c>
      <c r="CE239" s="0" t="s">
        <v>162</v>
      </c>
      <c r="CH239" s="0" t="s">
        <v>163</v>
      </c>
      <c r="CJ239" s="0" t="s">
        <v>163</v>
      </c>
      <c r="CK239" s="0" t="s">
        <v>162</v>
      </c>
      <c r="CL239" s="0" t="s">
        <v>1910</v>
      </c>
      <c r="CM239" s="0" t="s">
        <v>3651</v>
      </c>
      <c r="CN239" s="0" t="s">
        <v>174</v>
      </c>
      <c r="CO239" s="0" t="n">
        <v>326</v>
      </c>
      <c r="CP239" s="0" t="s">
        <v>250</v>
      </c>
      <c r="CQ239" s="0" t="s">
        <v>3653</v>
      </c>
      <c r="CR239" s="0" t="s">
        <v>206</v>
      </c>
      <c r="CS239" s="0" t="n">
        <v>0.12</v>
      </c>
      <c r="CT239" s="0" t="n">
        <v>19</v>
      </c>
      <c r="CU239" s="0" t="n">
        <v>3</v>
      </c>
      <c r="CV239" s="0" t="n">
        <v>6</v>
      </c>
      <c r="CW239" s="0" t="n">
        <v>5</v>
      </c>
      <c r="CX239" s="0" t="n">
        <v>5</v>
      </c>
      <c r="CY239" s="0" t="n">
        <f aca="false">IF(AH239="exact",10,IF(AH239="adjacent",5,0))</f>
        <v>0</v>
      </c>
      <c r="CZ239" s="0" t="n">
        <f aca="false">IF(R239="Y",15,0)</f>
        <v>0</v>
      </c>
      <c r="DF239" s="0" t="s">
        <v>158</v>
      </c>
      <c r="DG239" s="0" t="s">
        <v>1335</v>
      </c>
      <c r="DH239" s="0" t="s">
        <v>1336</v>
      </c>
      <c r="DI239" s="0" t="s">
        <v>162</v>
      </c>
      <c r="DJ239" s="0" t="s">
        <v>3654</v>
      </c>
      <c r="DK239" s="0" t="s">
        <v>3655</v>
      </c>
      <c r="DS239" s="0" t="s">
        <v>158</v>
      </c>
      <c r="DX239" s="0" t="s">
        <v>162</v>
      </c>
      <c r="ER239" s="0" t="str">
        <f aca="false">IF(ISNUMBER(MATCH(U239,{"queued","contacted","replied","call_booked","call_done","yes_in_principle","materials_sent"},0)),"Y","N")</f>
        <v>N</v>
      </c>
      <c r="ES239" s="0" t="str">
        <f aca="false">IF(COUNTIFS($AP$2:$AP$1000,AP239,$ER$2:$ER$1000,"Y")+COUNTIFS($AP$2:$AP$1000,AP239,$T$2:$T$1000,"Y")&gt;0,"Y","N")</f>
        <v>N</v>
      </c>
      <c r="ET239" s="0" t="str">
        <f aca="false">IF(AND(U239="new",T239="N",AT239="Y",AS239="",ES239="N"),"Y","N")</f>
        <v>N</v>
      </c>
      <c r="EU239" s="0" t="str">
        <f aca="false">IF(ET239&lt;&gt;"Y","N",IF(COUNTIFS($AP$2:$AP$1000,AP239,$ET$2:$ET$1000,"Y",$J$2:$J$1000,"&gt;"&amp;J239)+COUNTIFS($AP$2:$AP$1000,AP239,$ET$2:$ET$1000,"Y",$J$2:$J$1000,J239,$EW$2:$EW$1000,"&lt;"&amp;EW239)=0,"Y","N"))</f>
        <v>N</v>
      </c>
      <c r="EV239" s="0" t="str">
        <f aca="false">IF(Y239="","N",IF(Y239&lt;=10,"Y","N"))</f>
        <v>N</v>
      </c>
      <c r="EW239" s="0" t="n">
        <f aca="false">ROW()-1</f>
        <v>238</v>
      </c>
    </row>
    <row r="240" customFormat="false" ht="15" hidden="false" customHeight="false" outlineLevel="0" collapsed="false">
      <c r="A240" s="0" t="s">
        <v>3656</v>
      </c>
      <c r="B240" s="0" t="s">
        <v>3657</v>
      </c>
      <c r="H240" s="5" t="s">
        <v>158</v>
      </c>
      <c r="I240" s="5" t="s">
        <v>159</v>
      </c>
      <c r="J240" s="0" t="n">
        <f aca="false">IF(AX240="pass",ROUND(CU240+CV240+CW240+CX240+CY240+CZ240,1),0)</f>
        <v>18.7</v>
      </c>
      <c r="K240" s="0" t="s">
        <v>3658</v>
      </c>
      <c r="L240" s="0" t="s">
        <v>1322</v>
      </c>
      <c r="R240" s="5" t="s">
        <v>162</v>
      </c>
      <c r="S240" s="0" t="s">
        <v>163</v>
      </c>
      <c r="T240" s="5" t="s">
        <v>162</v>
      </c>
      <c r="U240" s="5" t="s">
        <v>561</v>
      </c>
      <c r="V240" s="0" t="s">
        <v>3659</v>
      </c>
      <c r="W240" s="0" t="s">
        <v>166</v>
      </c>
      <c r="X240" s="0" t="s">
        <v>167</v>
      </c>
      <c r="Y240" s="0" t="str">
        <f aca="false">IF(EU240&lt;&gt;"Y","",COUNTIFS($EU$2:$EU$1000,"Y",$J$2:$J$1000,"&gt;"&amp;J240)+COUNTIFS($EU$2:$EU$1000,"Y",$J$2:$J$1000,J240,$EW$2:$EW$1000,"&lt;"&amp;EW240)+1)</f>
        <v/>
      </c>
      <c r="Z240" s="0" t="n">
        <v>239</v>
      </c>
      <c r="AA240" s="0" t="s">
        <v>162</v>
      </c>
      <c r="AB240" s="0" t="s">
        <v>2527</v>
      </c>
      <c r="AD240" s="0" t="s">
        <v>158</v>
      </c>
      <c r="AH240" s="5" t="s">
        <v>158</v>
      </c>
      <c r="AI240" s="0" t="s">
        <v>2174</v>
      </c>
      <c r="AJ240" s="0" t="s">
        <v>163</v>
      </c>
      <c r="AK240" s="0" t="s">
        <v>434</v>
      </c>
      <c r="AL240" s="0" t="n">
        <v>126</v>
      </c>
      <c r="AM240" s="0" t="n">
        <v>2525</v>
      </c>
      <c r="AN240" s="0" t="s">
        <v>179</v>
      </c>
      <c r="AO240" s="0" t="s">
        <v>163</v>
      </c>
      <c r="AP240" s="0" t="s">
        <v>3656</v>
      </c>
      <c r="AQ240" s="5" t="s">
        <v>162</v>
      </c>
      <c r="AT240" s="0" t="str">
        <f aca="false">IF(AND(AX240="pass",AQ240&lt;&gt;"Y",C240&lt;&gt;"",OR(AW240&lt;&gt;"Y",AV240="Y")),"Y","N")</f>
        <v>N</v>
      </c>
      <c r="AU240" s="0" t="str">
        <f aca="false">_xlfn.TEXTJOIN("; ",TRUE(),IF(AX240&lt;&gt;"pass","gated out",""),IF(AQ240="Y","on hold: "&amp;AR240,""),IF(C240="","no contact named on an opened page",""),IF(AND(AW240="Y",AV240&lt;&gt;"Y"),"Tuesday estimate band "&amp;L240&amp;": founder's call",""))</f>
        <v>no contact named on an opened page; Tuesday estimate band over-500: founder's call</v>
      </c>
      <c r="AW240" s="0" t="s">
        <v>168</v>
      </c>
      <c r="AX240" s="0" t="s">
        <v>181</v>
      </c>
      <c r="AY240" s="0" t="s">
        <v>182</v>
      </c>
      <c r="AZ240" s="0" t="s">
        <v>1</v>
      </c>
      <c r="BA240" s="0" t="s">
        <v>3660</v>
      </c>
      <c r="BB240" s="0" t="s">
        <v>3661</v>
      </c>
      <c r="BC240" s="0" t="s">
        <v>3662</v>
      </c>
      <c r="BD240" s="0" t="s">
        <v>3663</v>
      </c>
      <c r="BF240" s="0" t="s">
        <v>1322</v>
      </c>
      <c r="BG240" s="0" t="s">
        <v>188</v>
      </c>
      <c r="BH240" s="0" t="s">
        <v>189</v>
      </c>
      <c r="BI240" s="0" t="s">
        <v>3664</v>
      </c>
      <c r="BK240" s="0" t="s">
        <v>1439</v>
      </c>
      <c r="BL240" s="0" t="s">
        <v>163</v>
      </c>
      <c r="BM240" s="0" t="s">
        <v>163</v>
      </c>
      <c r="BN240" s="0" t="s">
        <v>163</v>
      </c>
      <c r="BO240" s="0" t="s">
        <v>163</v>
      </c>
      <c r="BP240" s="0" t="s">
        <v>377</v>
      </c>
      <c r="BQ240" s="0" t="n">
        <v>40.740084</v>
      </c>
      <c r="BR240" s="0" t="n">
        <v>-73.994613</v>
      </c>
      <c r="BS240" s="0" t="s">
        <v>168</v>
      </c>
      <c r="BT240" s="0" t="n">
        <v>0</v>
      </c>
      <c r="BU240" s="0" t="s">
        <v>2181</v>
      </c>
      <c r="BV240" s="0" t="s">
        <v>2182</v>
      </c>
      <c r="BW240" s="0" t="s">
        <v>3659</v>
      </c>
      <c r="BX240" s="0" t="s">
        <v>3665</v>
      </c>
      <c r="BY240" s="0" t="s">
        <v>247</v>
      </c>
      <c r="CC240" s="0" t="s">
        <v>179</v>
      </c>
      <c r="CE240" s="0" t="s">
        <v>162</v>
      </c>
      <c r="CH240" s="0" t="s">
        <v>1706</v>
      </c>
      <c r="CI240" s="0" t="s">
        <v>2185</v>
      </c>
      <c r="CJ240" s="0" t="s">
        <v>163</v>
      </c>
      <c r="CK240" s="0" t="s">
        <v>162</v>
      </c>
      <c r="CL240" s="0" t="s">
        <v>163</v>
      </c>
      <c r="CO240" s="0" t="n">
        <v>564</v>
      </c>
      <c r="CP240" s="0" t="s">
        <v>250</v>
      </c>
      <c r="CQ240" s="0" t="s">
        <v>3666</v>
      </c>
      <c r="CR240" s="0" t="s">
        <v>206</v>
      </c>
      <c r="CS240" s="0" t="n">
        <v>0.23</v>
      </c>
      <c r="CT240" s="0" t="n">
        <v>18.7</v>
      </c>
      <c r="CU240" s="0" t="n">
        <v>5.7</v>
      </c>
      <c r="CV240" s="0" t="n">
        <v>2</v>
      </c>
      <c r="CW240" s="0" t="n">
        <v>6</v>
      </c>
      <c r="CX240" s="0" t="n">
        <v>5</v>
      </c>
      <c r="CY240" s="0" t="n">
        <f aca="false">IF(AH240="exact",10,IF(AH240="adjacent",5,0))</f>
        <v>0</v>
      </c>
      <c r="CZ240" s="0" t="n">
        <f aca="false">IF(R240="Y",15,0)</f>
        <v>0</v>
      </c>
      <c r="DF240" s="0" t="s">
        <v>158</v>
      </c>
      <c r="DG240" s="0" t="s">
        <v>1335</v>
      </c>
      <c r="DH240" s="0" t="s">
        <v>1446</v>
      </c>
      <c r="DI240" s="0" t="s">
        <v>162</v>
      </c>
      <c r="DJ240" s="0" t="s">
        <v>3667</v>
      </c>
      <c r="DK240" s="0" t="s">
        <v>3668</v>
      </c>
      <c r="DS240" s="0" t="s">
        <v>158</v>
      </c>
      <c r="DX240" s="0" t="s">
        <v>162</v>
      </c>
      <c r="ER240" s="0" t="str">
        <f aca="false">IF(ISNUMBER(MATCH(U240,{"queued","contacted","replied","call_booked","call_done","yes_in_principle","materials_sent"},0)),"Y","N")</f>
        <v>N</v>
      </c>
      <c r="ES240" s="0" t="str">
        <f aca="false">IF(COUNTIFS($AP$2:$AP$1000,AP240,$ER$2:$ER$1000,"Y")+COUNTIFS($AP$2:$AP$1000,AP240,$T$2:$T$1000,"Y")&gt;0,"Y","N")</f>
        <v>N</v>
      </c>
      <c r="ET240" s="0" t="str">
        <f aca="false">IF(AND(U240="new",T240="N",AT240="Y",AS240="",ES240="N"),"Y","N")</f>
        <v>N</v>
      </c>
      <c r="EU240" s="0" t="str">
        <f aca="false">IF(ET240&lt;&gt;"Y","N",IF(COUNTIFS($AP$2:$AP$1000,AP240,$ET$2:$ET$1000,"Y",$J$2:$J$1000,"&gt;"&amp;J240)+COUNTIFS($AP$2:$AP$1000,AP240,$ET$2:$ET$1000,"Y",$J$2:$J$1000,J240,$EW$2:$EW$1000,"&lt;"&amp;EW240)=0,"Y","N"))</f>
        <v>N</v>
      </c>
      <c r="EV240" s="0" t="str">
        <f aca="false">IF(Y240="","N",IF(Y240&lt;=10,"Y","N"))</f>
        <v>N</v>
      </c>
      <c r="EW240" s="0" t="n">
        <f aca="false">ROW()-1</f>
        <v>239</v>
      </c>
    </row>
    <row r="241" customFormat="false" ht="15" hidden="false" customHeight="false" outlineLevel="0" collapsed="false">
      <c r="A241" s="0" t="s">
        <v>3669</v>
      </c>
      <c r="B241" s="0" t="s">
        <v>3670</v>
      </c>
      <c r="H241" s="5" t="s">
        <v>158</v>
      </c>
      <c r="I241" s="5" t="s">
        <v>159</v>
      </c>
      <c r="J241" s="0" t="n">
        <f aca="false">IF(AX241="pass",ROUND(CU241+CV241+CW241+CX241+CY241+CZ241,1),0)</f>
        <v>18</v>
      </c>
      <c r="K241" s="0" t="s">
        <v>3671</v>
      </c>
      <c r="L241" s="0" t="s">
        <v>239</v>
      </c>
      <c r="R241" s="5" t="s">
        <v>162</v>
      </c>
      <c r="S241" s="0" t="s">
        <v>163</v>
      </c>
      <c r="T241" s="5" t="s">
        <v>162</v>
      </c>
      <c r="U241" s="5" t="s">
        <v>561</v>
      </c>
      <c r="V241" s="0" t="s">
        <v>1074</v>
      </c>
      <c r="W241" s="0" t="s">
        <v>166</v>
      </c>
      <c r="X241" s="0" t="s">
        <v>167</v>
      </c>
      <c r="Y241" s="0" t="str">
        <f aca="false">IF(EU241&lt;&gt;"Y","",COUNTIFS($EU$2:$EU$1000,"Y",$J$2:$J$1000,"&gt;"&amp;J241)+COUNTIFS($EU$2:$EU$1000,"Y",$J$2:$J$1000,J241,$EW$2:$EW$1000,"&lt;"&amp;EW241)+1)</f>
        <v/>
      </c>
      <c r="Z241" s="0" t="n">
        <v>240</v>
      </c>
      <c r="AA241" s="0" t="s">
        <v>162</v>
      </c>
      <c r="AB241" s="0" t="s">
        <v>1661</v>
      </c>
      <c r="AD241" s="0" t="s">
        <v>158</v>
      </c>
      <c r="AH241" s="5" t="s">
        <v>158</v>
      </c>
      <c r="AI241" s="0" t="s">
        <v>1064</v>
      </c>
      <c r="AJ241" s="0" t="s">
        <v>163</v>
      </c>
      <c r="AK241" s="0" t="s">
        <v>3188</v>
      </c>
      <c r="AL241" s="0" t="n">
        <v>85</v>
      </c>
      <c r="AM241" s="0" t="n">
        <v>1710</v>
      </c>
      <c r="AN241" s="0" t="s">
        <v>179</v>
      </c>
      <c r="AO241" s="0" t="s">
        <v>369</v>
      </c>
      <c r="AP241" s="0" t="s">
        <v>3669</v>
      </c>
      <c r="AQ241" s="5" t="s">
        <v>168</v>
      </c>
      <c r="AR241" s="0" t="s">
        <v>3189</v>
      </c>
      <c r="AT241" s="0" t="str">
        <f aca="false">IF(AND(AX241="pass",AQ241&lt;&gt;"Y",C241&lt;&gt;"",OR(AW241&lt;&gt;"Y",AV241="Y")),"Y","N")</f>
        <v>N</v>
      </c>
      <c r="AU241" s="0" t="str">
        <f aca="false">_xlfn.TEXTJOIN("; ",TRUE(),IF(AX241&lt;&gt;"pass","gated out",""),IF(AQ241="Y","on hold: "&amp;AR241,""),IF(C241="","no contact named on an opened page",""),IF(AND(AW241="Y",AV241&lt;&gt;"Y"),"Tuesday estimate band "&amp;L241&amp;": founder's call",""))</f>
        <v>on hold: moving out of this address: confirm where the office will be before outreach (B); no contact named on an opened page; Tuesday estimate band 251-500: founder's call</v>
      </c>
      <c r="AW241" s="0" t="s">
        <v>168</v>
      </c>
      <c r="AX241" s="0" t="s">
        <v>181</v>
      </c>
      <c r="AY241" s="0" t="s">
        <v>182</v>
      </c>
      <c r="AZ241" s="0" t="s">
        <v>1</v>
      </c>
      <c r="BA241" s="0" t="s">
        <v>3672</v>
      </c>
      <c r="BB241" s="0" t="s">
        <v>3673</v>
      </c>
      <c r="BC241" s="0" t="s">
        <v>3674</v>
      </c>
      <c r="BD241" s="0" t="s">
        <v>3269</v>
      </c>
      <c r="BF241" s="0" t="s">
        <v>1322</v>
      </c>
      <c r="BG241" s="0" t="s">
        <v>188</v>
      </c>
      <c r="BH241" s="0" t="s">
        <v>189</v>
      </c>
      <c r="BI241" s="0" t="s">
        <v>3675</v>
      </c>
      <c r="BK241" s="0" t="s">
        <v>1439</v>
      </c>
      <c r="BL241" s="0" t="s">
        <v>656</v>
      </c>
      <c r="BM241" s="0" t="s">
        <v>162</v>
      </c>
      <c r="BN241" s="0" t="s">
        <v>163</v>
      </c>
      <c r="BO241" s="0" t="s">
        <v>163</v>
      </c>
      <c r="BP241" s="0" t="s">
        <v>346</v>
      </c>
      <c r="BQ241" s="0" t="n">
        <v>40.742199</v>
      </c>
      <c r="BR241" s="0" t="n">
        <v>-73.99172</v>
      </c>
      <c r="BS241" s="0" t="s">
        <v>168</v>
      </c>
      <c r="BT241" s="0" t="n">
        <v>0</v>
      </c>
      <c r="BU241" s="0" t="s">
        <v>1072</v>
      </c>
      <c r="BV241" s="0" t="s">
        <v>1073</v>
      </c>
      <c r="BW241" s="0" t="s">
        <v>1074</v>
      </c>
      <c r="BX241" s="0" t="s">
        <v>1075</v>
      </c>
      <c r="BY241" s="0" t="s">
        <v>247</v>
      </c>
      <c r="BZ241" s="0" t="s">
        <v>3676</v>
      </c>
      <c r="CA241" s="0" t="s">
        <v>3677</v>
      </c>
      <c r="CC241" s="0" t="s">
        <v>179</v>
      </c>
      <c r="CD241" s="0" t="s">
        <v>163</v>
      </c>
      <c r="CE241" s="0" t="s">
        <v>162</v>
      </c>
      <c r="CH241" s="0" t="s">
        <v>201</v>
      </c>
      <c r="CI241" s="0" t="s">
        <v>1074</v>
      </c>
      <c r="CJ241" s="0" t="s">
        <v>163</v>
      </c>
      <c r="CK241" s="0" t="s">
        <v>162</v>
      </c>
      <c r="CL241" s="0" t="s">
        <v>715</v>
      </c>
      <c r="CM241" s="0" t="s">
        <v>3675</v>
      </c>
      <c r="CN241" s="0" t="s">
        <v>174</v>
      </c>
      <c r="CO241" s="0" t="n">
        <v>381</v>
      </c>
      <c r="CP241" s="0" t="s">
        <v>250</v>
      </c>
      <c r="CQ241" s="0" t="s">
        <v>3678</v>
      </c>
      <c r="CR241" s="0" t="s">
        <v>206</v>
      </c>
      <c r="CS241" s="0" t="n">
        <v>0.36</v>
      </c>
      <c r="CT241" s="0" t="n">
        <v>18</v>
      </c>
      <c r="CU241" s="0" t="n">
        <v>9</v>
      </c>
      <c r="CV241" s="0" t="n">
        <v>2</v>
      </c>
      <c r="CW241" s="0" t="n">
        <v>7</v>
      </c>
      <c r="CX241" s="0" t="n">
        <v>0</v>
      </c>
      <c r="CY241" s="0" t="n">
        <f aca="false">IF(AH241="exact",10,IF(AH241="adjacent",5,0))</f>
        <v>0</v>
      </c>
      <c r="CZ241" s="0" t="n">
        <f aca="false">IF(R241="Y",15,0)</f>
        <v>0</v>
      </c>
      <c r="DF241" s="0" t="s">
        <v>158</v>
      </c>
      <c r="DG241" s="0" t="s">
        <v>1335</v>
      </c>
      <c r="DH241" s="0" t="s">
        <v>1446</v>
      </c>
      <c r="DI241" s="0" t="s">
        <v>162</v>
      </c>
      <c r="DJ241" s="0" t="s">
        <v>3679</v>
      </c>
      <c r="DK241" s="0" t="s">
        <v>3680</v>
      </c>
      <c r="DS241" s="0" t="s">
        <v>158</v>
      </c>
      <c r="DX241" s="0" t="s">
        <v>162</v>
      </c>
      <c r="ER241" s="0" t="str">
        <f aca="false">IF(ISNUMBER(MATCH(U241,{"queued","contacted","replied","call_booked","call_done","yes_in_principle","materials_sent"},0)),"Y","N")</f>
        <v>N</v>
      </c>
      <c r="ES241" s="0" t="str">
        <f aca="false">IF(COUNTIFS($AP$2:$AP$1000,AP241,$ER$2:$ER$1000,"Y")+COUNTIFS($AP$2:$AP$1000,AP241,$T$2:$T$1000,"Y")&gt;0,"Y","N")</f>
        <v>N</v>
      </c>
      <c r="ET241" s="0" t="str">
        <f aca="false">IF(AND(U241="new",T241="N",AT241="Y",AS241="",ES241="N"),"Y","N")</f>
        <v>N</v>
      </c>
      <c r="EU241" s="0" t="str">
        <f aca="false">IF(ET241&lt;&gt;"Y","N",IF(COUNTIFS($AP$2:$AP$1000,AP241,$ET$2:$ET$1000,"Y",$J$2:$J$1000,"&gt;"&amp;J241)+COUNTIFS($AP$2:$AP$1000,AP241,$ET$2:$ET$1000,"Y",$J$2:$J$1000,J241,$EW$2:$EW$1000,"&lt;"&amp;EW241)=0,"Y","N"))</f>
        <v>N</v>
      </c>
      <c r="EV241" s="0" t="str">
        <f aca="false">IF(Y241="","N",IF(Y241&lt;=10,"Y","N"))</f>
        <v>N</v>
      </c>
      <c r="EW241" s="0" t="n">
        <f aca="false">ROW()-1</f>
        <v>240</v>
      </c>
    </row>
    <row r="242" customFormat="false" ht="15" hidden="false" customHeight="false" outlineLevel="0" collapsed="false">
      <c r="A242" s="0" t="s">
        <v>3681</v>
      </c>
      <c r="B242" s="0" t="s">
        <v>3682</v>
      </c>
      <c r="H242" s="5" t="s">
        <v>158</v>
      </c>
      <c r="I242" s="5" t="s">
        <v>159</v>
      </c>
      <c r="J242" s="0" t="n">
        <f aca="false">IF(AX242="pass",ROUND(CU242+CV242+CW242+CX242+CY242+CZ242,1),0)</f>
        <v>1.1</v>
      </c>
      <c r="K242" s="0" t="s">
        <v>3683</v>
      </c>
      <c r="L242" s="0" t="s">
        <v>1322</v>
      </c>
      <c r="R242" s="5" t="s">
        <v>162</v>
      </c>
      <c r="S242" s="0" t="s">
        <v>163</v>
      </c>
      <c r="T242" s="5" t="s">
        <v>162</v>
      </c>
      <c r="U242" s="5" t="s">
        <v>561</v>
      </c>
      <c r="V242" s="0" t="s">
        <v>3684</v>
      </c>
      <c r="W242" s="0" t="s">
        <v>166</v>
      </c>
      <c r="X242" s="0" t="s">
        <v>167</v>
      </c>
      <c r="Y242" s="0" t="str">
        <f aca="false">IF(EU242&lt;&gt;"Y","",COUNTIFS($EU$2:$EU$1000,"Y",$J$2:$J$1000,"&gt;"&amp;J242)+COUNTIFS($EU$2:$EU$1000,"Y",$J$2:$J$1000,J242,$EW$2:$EW$1000,"&lt;"&amp;EW242)+1)</f>
        <v/>
      </c>
      <c r="Z242" s="0" t="n">
        <v>241</v>
      </c>
      <c r="AA242" s="0" t="s">
        <v>162</v>
      </c>
      <c r="AB242" s="0" t="s">
        <v>2527</v>
      </c>
      <c r="AD242" s="0" t="s">
        <v>158</v>
      </c>
      <c r="AH242" s="5" t="s">
        <v>158</v>
      </c>
      <c r="AI242" s="0" t="s">
        <v>3685</v>
      </c>
      <c r="AJ242" s="0" t="s">
        <v>3686</v>
      </c>
      <c r="AK242" s="0" t="s">
        <v>434</v>
      </c>
      <c r="AL242" s="0" t="n">
        <v>219</v>
      </c>
      <c r="AM242" s="0" t="n">
        <v>4380</v>
      </c>
      <c r="AN242" s="0" t="s">
        <v>179</v>
      </c>
      <c r="AO242" s="0" t="s">
        <v>1032</v>
      </c>
      <c r="AP242" s="0" t="s">
        <v>3681</v>
      </c>
      <c r="AQ242" s="5" t="s">
        <v>162</v>
      </c>
      <c r="AT242" s="0" t="str">
        <f aca="false">IF(AND(AX242="pass",AQ242&lt;&gt;"Y",C242&lt;&gt;"",OR(AW242&lt;&gt;"Y",AV242="Y")),"Y","N")</f>
        <v>N</v>
      </c>
      <c r="AU242" s="0" t="str">
        <f aca="false">_xlfn.TEXTJOIN("; ",TRUE(),IF(AX242&lt;&gt;"pass","gated out",""),IF(AQ242="Y","on hold: "&amp;AR242,""),IF(C242="","no contact named on an opened page",""),IF(AND(AW242="Y",AV242&lt;&gt;"Y"),"Tuesday estimate band "&amp;L242&amp;": founder's call",""))</f>
        <v>no contact named on an opened page; Tuesday estimate band over-500: founder's call</v>
      </c>
      <c r="AW242" s="0" t="s">
        <v>168</v>
      </c>
      <c r="AX242" s="0" t="s">
        <v>181</v>
      </c>
      <c r="AY242" s="0" t="s">
        <v>182</v>
      </c>
      <c r="AZ242" s="0" t="s">
        <v>1</v>
      </c>
      <c r="BA242" s="0" t="s">
        <v>3687</v>
      </c>
      <c r="BB242" s="0" t="s">
        <v>3688</v>
      </c>
      <c r="BC242" s="0" t="s">
        <v>3689</v>
      </c>
      <c r="BD242" s="0" t="s">
        <v>3690</v>
      </c>
      <c r="BF242" s="0" t="s">
        <v>1322</v>
      </c>
      <c r="BG242" s="0" t="s">
        <v>188</v>
      </c>
      <c r="BH242" s="0" t="s">
        <v>189</v>
      </c>
      <c r="BI242" s="0" t="s">
        <v>3691</v>
      </c>
      <c r="BK242" s="0" t="s">
        <v>3287</v>
      </c>
      <c r="BL242" s="0" t="s">
        <v>3692</v>
      </c>
      <c r="BM242" s="0" t="s">
        <v>162</v>
      </c>
      <c r="BN242" s="0" t="s">
        <v>163</v>
      </c>
      <c r="BO242" s="0" t="s">
        <v>163</v>
      </c>
      <c r="BQ242" s="0" t="n">
        <v>40.738448</v>
      </c>
      <c r="BR242" s="0" t="n">
        <v>-73.987379</v>
      </c>
      <c r="BS242" s="0" t="s">
        <v>168</v>
      </c>
      <c r="BT242" s="0" t="n">
        <v>0</v>
      </c>
      <c r="BV242" s="0" t="s">
        <v>163</v>
      </c>
      <c r="BW242" s="0" t="s">
        <v>3684</v>
      </c>
      <c r="BX242" s="0" t="s">
        <v>3693</v>
      </c>
      <c r="BY242" s="0" t="s">
        <v>247</v>
      </c>
      <c r="CC242" s="0" t="s">
        <v>179</v>
      </c>
      <c r="CE242" s="0" t="s">
        <v>162</v>
      </c>
      <c r="CH242" s="0" t="s">
        <v>163</v>
      </c>
      <c r="CJ242" s="0" t="s">
        <v>163</v>
      </c>
      <c r="CK242" s="0" t="s">
        <v>162</v>
      </c>
      <c r="CL242" s="0" t="s">
        <v>3694</v>
      </c>
      <c r="CM242" s="0" t="s">
        <v>3695</v>
      </c>
      <c r="CN242" s="0" t="s">
        <v>174</v>
      </c>
      <c r="CO242" s="0" t="n">
        <v>979</v>
      </c>
      <c r="CP242" s="0" t="s">
        <v>250</v>
      </c>
      <c r="CQ242" s="0" t="s">
        <v>3696</v>
      </c>
      <c r="CR242" s="0" t="s">
        <v>206</v>
      </c>
      <c r="CS242" s="0" t="n">
        <v>0.04</v>
      </c>
      <c r="CT242" s="0" t="n">
        <v>1.1</v>
      </c>
      <c r="CU242" s="0" t="n">
        <v>1.1</v>
      </c>
      <c r="CV242" s="0" t="n">
        <v>0</v>
      </c>
      <c r="CW242" s="0" t="n">
        <v>-5</v>
      </c>
      <c r="CX242" s="0" t="n">
        <v>5</v>
      </c>
      <c r="CY242" s="0" t="n">
        <f aca="false">IF(AH242="exact",10,IF(AH242="adjacent",5,0))</f>
        <v>0</v>
      </c>
      <c r="CZ242" s="0" t="n">
        <f aca="false">IF(R242="Y",15,0)</f>
        <v>0</v>
      </c>
      <c r="DF242" s="0" t="s">
        <v>158</v>
      </c>
      <c r="DG242" s="0" t="s">
        <v>1335</v>
      </c>
      <c r="DH242" s="0" t="s">
        <v>3290</v>
      </c>
      <c r="DI242" s="0" t="s">
        <v>162</v>
      </c>
      <c r="DJ242" s="0" t="s">
        <v>2133</v>
      </c>
      <c r="DK242" s="0" t="s">
        <v>3697</v>
      </c>
      <c r="DS242" s="0" t="s">
        <v>158</v>
      </c>
      <c r="DX242" s="0" t="s">
        <v>162</v>
      </c>
      <c r="ER242" s="0" t="str">
        <f aca="false">IF(ISNUMBER(MATCH(U242,{"queued","contacted","replied","call_booked","call_done","yes_in_principle","materials_sent"},0)),"Y","N")</f>
        <v>N</v>
      </c>
      <c r="ES242" s="0" t="str">
        <f aca="false">IF(COUNTIFS($AP$2:$AP$1000,AP242,$ER$2:$ER$1000,"Y")+COUNTIFS($AP$2:$AP$1000,AP242,$T$2:$T$1000,"Y")&gt;0,"Y","N")</f>
        <v>N</v>
      </c>
      <c r="ET242" s="0" t="str">
        <f aca="false">IF(AND(U242="new",T242="N",AT242="Y",AS242="",ES242="N"),"Y","N")</f>
        <v>N</v>
      </c>
      <c r="EU242" s="0" t="str">
        <f aca="false">IF(ET242&lt;&gt;"Y","N",IF(COUNTIFS($AP$2:$AP$1000,AP242,$ET$2:$ET$1000,"Y",$J$2:$J$1000,"&gt;"&amp;J242)+COUNTIFS($AP$2:$AP$1000,AP242,$ET$2:$ET$1000,"Y",$J$2:$J$1000,J242,$EW$2:$EW$1000,"&lt;"&amp;EW242)=0,"Y","N"))</f>
        <v>N</v>
      </c>
      <c r="EV242" s="0" t="str">
        <f aca="false">IF(Y242="","N",IF(Y242&lt;=10,"Y","N"))</f>
        <v>N</v>
      </c>
      <c r="EW242" s="0" t="n">
        <f aca="false">ROW()-1</f>
        <v>241</v>
      </c>
    </row>
    <row r="243" customFormat="false" ht="15" hidden="false" customHeight="false" outlineLevel="0" collapsed="false">
      <c r="A243" s="0" t="s">
        <v>3698</v>
      </c>
      <c r="B243" s="0" t="s">
        <v>3699</v>
      </c>
      <c r="H243" s="5" t="s">
        <v>158</v>
      </c>
      <c r="I243" s="5" t="s">
        <v>159</v>
      </c>
      <c r="J243" s="0" t="n">
        <f aca="false">IF(AX243="pass",ROUND(CU243+CV243+CW243+CX243+CY243+CZ243,1),0)</f>
        <v>0</v>
      </c>
      <c r="K243" s="0" t="s">
        <v>3700</v>
      </c>
      <c r="L243" s="0" t="s">
        <v>394</v>
      </c>
      <c r="R243" s="5" t="s">
        <v>162</v>
      </c>
      <c r="S243" s="0" t="s">
        <v>163</v>
      </c>
      <c r="T243" s="5" t="s">
        <v>162</v>
      </c>
      <c r="U243" s="5" t="s">
        <v>561</v>
      </c>
      <c r="V243" s="0" t="s">
        <v>3701</v>
      </c>
      <c r="W243" s="0" t="s">
        <v>166</v>
      </c>
      <c r="X243" s="0" t="s">
        <v>167</v>
      </c>
      <c r="Y243" s="0" t="str">
        <f aca="false">IF(EU243&lt;&gt;"Y","",COUNTIFS($EU$2:$EU$1000,"Y",$J$2:$J$1000,"&gt;"&amp;J243)+COUNTIFS($EU$2:$EU$1000,"Y",$J$2:$J$1000,J243,$EW$2:$EW$1000,"&lt;"&amp;EW243)+1)</f>
        <v/>
      </c>
      <c r="AA243" s="0" t="s">
        <v>162</v>
      </c>
      <c r="AD243" s="0" t="s">
        <v>158</v>
      </c>
      <c r="AH243" s="5" t="s">
        <v>158</v>
      </c>
      <c r="AI243" s="0" t="s">
        <v>3702</v>
      </c>
      <c r="AJ243" s="0" t="s">
        <v>888</v>
      </c>
      <c r="AK243" s="0" t="s">
        <v>178</v>
      </c>
      <c r="AL243" s="0" t="n">
        <v>40</v>
      </c>
      <c r="AM243" s="0" t="n">
        <v>80</v>
      </c>
      <c r="AN243" s="0" t="s">
        <v>179</v>
      </c>
      <c r="AO243" s="0" t="s">
        <v>163</v>
      </c>
      <c r="AP243" s="0" t="s">
        <v>3698</v>
      </c>
      <c r="AQ243" s="5" t="s">
        <v>162</v>
      </c>
      <c r="AT243" s="0" t="str">
        <f aca="false">IF(AND(AX243="pass",AQ243&lt;&gt;"Y",C243&lt;&gt;"",OR(AW243&lt;&gt;"Y",AV243="Y")),"Y","N")</f>
        <v>N</v>
      </c>
      <c r="AU243" s="0" t="str">
        <f aca="false">_xlfn.TEXTJOIN("; ",TRUE(),IF(AX243&lt;&gt;"pass","gated out",""),IF(AQ243="Y","on hold: "&amp;AR243,""),IF(C243="","no contact named on an opened page",""),IF(AND(AW243="Y",AV243&lt;&gt;"Y"),"Tuesday estimate band "&amp;L243&amp;": founder's call",""))</f>
        <v>gated out; no contact named on an opened page</v>
      </c>
      <c r="AW243" s="0" t="s">
        <v>162</v>
      </c>
      <c r="AX243" s="0" t="s">
        <v>3703</v>
      </c>
      <c r="AY243" s="0" t="s">
        <v>3704</v>
      </c>
      <c r="AZ243" s="0" t="s">
        <v>1</v>
      </c>
      <c r="BA243" s="0" t="s">
        <v>3705</v>
      </c>
      <c r="BB243" s="0" t="s">
        <v>3706</v>
      </c>
      <c r="BC243" s="0" t="s">
        <v>3707</v>
      </c>
      <c r="BD243" s="0" t="s">
        <v>3708</v>
      </c>
      <c r="BF243" s="0" t="s">
        <v>161</v>
      </c>
      <c r="BG243" s="0" t="s">
        <v>188</v>
      </c>
      <c r="BH243" s="0" t="s">
        <v>189</v>
      </c>
      <c r="BI243" s="0" t="s">
        <v>3709</v>
      </c>
      <c r="BK243" s="0" t="s">
        <v>191</v>
      </c>
      <c r="BL243" s="0" t="s">
        <v>192</v>
      </c>
      <c r="BM243" s="0" t="s">
        <v>168</v>
      </c>
      <c r="BN243" s="0" t="s">
        <v>163</v>
      </c>
      <c r="BO243" s="0" t="s">
        <v>163</v>
      </c>
      <c r="BP243" s="0" t="s">
        <v>346</v>
      </c>
      <c r="BQ243" s="0" t="n">
        <v>40.740766</v>
      </c>
      <c r="BR243" s="0" t="n">
        <v>-73.983213</v>
      </c>
      <c r="BS243" s="0" t="s">
        <v>162</v>
      </c>
      <c r="BT243" s="0" t="n">
        <v>1.7</v>
      </c>
      <c r="BV243" s="0" t="s">
        <v>163</v>
      </c>
      <c r="BW243" s="0" t="s">
        <v>3701</v>
      </c>
      <c r="BX243" s="0" t="s">
        <v>174</v>
      </c>
      <c r="BY243" s="0" t="s">
        <v>196</v>
      </c>
      <c r="BZ243" s="0" t="s">
        <v>3710</v>
      </c>
      <c r="CA243" s="0" t="s">
        <v>765</v>
      </c>
      <c r="CC243" s="0" t="s">
        <v>200</v>
      </c>
      <c r="CE243" s="0" t="s">
        <v>162</v>
      </c>
      <c r="CH243" s="0" t="s">
        <v>163</v>
      </c>
      <c r="CJ243" s="0" t="s">
        <v>163</v>
      </c>
      <c r="CK243" s="0" t="s">
        <v>162</v>
      </c>
      <c r="CL243" s="0" t="s">
        <v>163</v>
      </c>
      <c r="CO243" s="0" t="n">
        <v>57</v>
      </c>
      <c r="CQ243" s="0" t="s">
        <v>3711</v>
      </c>
      <c r="CR243" s="0" t="s">
        <v>206</v>
      </c>
      <c r="CS243" s="0" t="n">
        <v>1</v>
      </c>
      <c r="CT243" s="0" t="n">
        <v>61</v>
      </c>
      <c r="CU243" s="0" t="n">
        <v>25</v>
      </c>
      <c r="CV243" s="0" t="n">
        <v>15</v>
      </c>
      <c r="CW243" s="0" t="n">
        <v>6</v>
      </c>
      <c r="CX243" s="0" t="n">
        <v>15</v>
      </c>
      <c r="CY243" s="0" t="n">
        <f aca="false">IF(AH243="exact",10,IF(AH243="adjacent",5,0))</f>
        <v>0</v>
      </c>
      <c r="CZ243" s="0" t="n">
        <f aca="false">IF(R243="Y",15,0)</f>
        <v>0</v>
      </c>
      <c r="DF243" s="0" t="s">
        <v>158</v>
      </c>
      <c r="DG243" s="0" t="s">
        <v>3712</v>
      </c>
      <c r="DH243" s="0" t="s">
        <v>3713</v>
      </c>
      <c r="DI243" s="0" t="s">
        <v>162</v>
      </c>
      <c r="DJ243" s="0" t="s">
        <v>3714</v>
      </c>
      <c r="DK243" s="0" t="s">
        <v>3715</v>
      </c>
      <c r="DS243" s="0" t="s">
        <v>158</v>
      </c>
      <c r="DX243" s="0" t="s">
        <v>162</v>
      </c>
      <c r="ER243" s="0" t="str">
        <f aca="false">IF(ISNUMBER(MATCH(U243,{"queued","contacted","replied","call_booked","call_done","yes_in_principle","materials_sent"},0)),"Y","N")</f>
        <v>N</v>
      </c>
      <c r="ES243" s="0" t="str">
        <f aca="false">IF(COUNTIFS($AP$2:$AP$1000,AP243,$ER$2:$ER$1000,"Y")+COUNTIFS($AP$2:$AP$1000,AP243,$T$2:$T$1000,"Y")&gt;0,"Y","N")</f>
        <v>N</v>
      </c>
      <c r="ET243" s="0" t="str">
        <f aca="false">IF(AND(U243="new",T243="N",AT243="Y",AS243="",ES243="N"),"Y","N")</f>
        <v>N</v>
      </c>
      <c r="EU243" s="0" t="str">
        <f aca="false">IF(ET243&lt;&gt;"Y","N",IF(COUNTIFS($AP$2:$AP$1000,AP243,$ET$2:$ET$1000,"Y",$J$2:$J$1000,"&gt;"&amp;J243)+COUNTIFS($AP$2:$AP$1000,AP243,$ET$2:$ET$1000,"Y",$J$2:$J$1000,J243,$EW$2:$EW$1000,"&lt;"&amp;EW243)=0,"Y","N"))</f>
        <v>N</v>
      </c>
      <c r="EV243" s="0" t="str">
        <f aca="false">IF(Y243="","N",IF(Y243&lt;=10,"Y","N"))</f>
        <v>N</v>
      </c>
      <c r="EW243" s="0" t="n">
        <f aca="false">ROW()-1</f>
        <v>242</v>
      </c>
    </row>
    <row r="244" customFormat="false" ht="15" hidden="false" customHeight="false" outlineLevel="0" collapsed="false">
      <c r="A244" s="0" t="s">
        <v>3716</v>
      </c>
      <c r="B244" s="0" t="s">
        <v>3717</v>
      </c>
      <c r="H244" s="5" t="s">
        <v>158</v>
      </c>
      <c r="I244" s="5" t="s">
        <v>159</v>
      </c>
      <c r="J244" s="0" t="n">
        <f aca="false">IF(AX244="pass",ROUND(CU244+CV244+CW244+CX244+CY244+CZ244,1),0)</f>
        <v>0</v>
      </c>
      <c r="K244" s="0" t="s">
        <v>3718</v>
      </c>
      <c r="L244" s="0" t="s">
        <v>161</v>
      </c>
      <c r="R244" s="5" t="s">
        <v>162</v>
      </c>
      <c r="S244" s="0" t="s">
        <v>163</v>
      </c>
      <c r="T244" s="5" t="s">
        <v>162</v>
      </c>
      <c r="U244" s="5" t="s">
        <v>561</v>
      </c>
      <c r="V244" s="0" t="s">
        <v>3719</v>
      </c>
      <c r="W244" s="0" t="s">
        <v>166</v>
      </c>
      <c r="X244" s="0" t="s">
        <v>167</v>
      </c>
      <c r="Y244" s="0" t="str">
        <f aca="false">IF(EU244&lt;&gt;"Y","",COUNTIFS($EU$2:$EU$1000,"Y",$J$2:$J$1000,"&gt;"&amp;J244)+COUNTIFS($EU$2:$EU$1000,"Y",$J$2:$J$1000,J244,$EW$2:$EW$1000,"&lt;"&amp;EW244)+1)</f>
        <v/>
      </c>
      <c r="AA244" s="0" t="s">
        <v>162</v>
      </c>
      <c r="AD244" s="0" t="s">
        <v>158</v>
      </c>
      <c r="AH244" s="5" t="s">
        <v>158</v>
      </c>
      <c r="AI244" s="0" t="s">
        <v>3720</v>
      </c>
      <c r="AJ244" s="0" t="s">
        <v>3721</v>
      </c>
      <c r="AK244" s="0" t="s">
        <v>434</v>
      </c>
      <c r="AL244" s="0" t="n">
        <v>68</v>
      </c>
      <c r="AM244" s="0" t="n">
        <v>136</v>
      </c>
      <c r="AN244" s="0" t="s">
        <v>179</v>
      </c>
      <c r="AO244" s="0" t="s">
        <v>1032</v>
      </c>
      <c r="AP244" s="0" t="s">
        <v>3716</v>
      </c>
      <c r="AQ244" s="5" t="s">
        <v>162</v>
      </c>
      <c r="AT244" s="0" t="str">
        <f aca="false">IF(AND(AX244="pass",AQ244&lt;&gt;"Y",C244&lt;&gt;"",OR(AW244&lt;&gt;"Y",AV244="Y")),"Y","N")</f>
        <v>N</v>
      </c>
      <c r="AU244" s="0" t="str">
        <f aca="false">_xlfn.TEXTJOIN("; ",TRUE(),IF(AX244&lt;&gt;"pass","gated out",""),IF(AQ244="Y","on hold: "&amp;AR244,""),IF(C244="","no contact named on an opened page",""),IF(AND(AW244="Y",AV244&lt;&gt;"Y"),"Tuesday estimate band "&amp;L244&amp;": founder's call",""))</f>
        <v>gated out; no contact named on an opened page</v>
      </c>
      <c r="AW244" s="0" t="s">
        <v>162</v>
      </c>
      <c r="AX244" s="0" t="s">
        <v>3703</v>
      </c>
      <c r="AY244" s="0" t="s">
        <v>3722</v>
      </c>
      <c r="AZ244" s="0" t="s">
        <v>1</v>
      </c>
      <c r="BA244" s="0" t="s">
        <v>3723</v>
      </c>
      <c r="BB244" s="0" t="s">
        <v>3724</v>
      </c>
      <c r="BC244" s="0" t="s">
        <v>3725</v>
      </c>
      <c r="BD244" s="0" t="s">
        <v>654</v>
      </c>
      <c r="BF244" s="0" t="s">
        <v>187</v>
      </c>
      <c r="BG244" s="0" t="s">
        <v>188</v>
      </c>
      <c r="BH244" s="0" t="s">
        <v>189</v>
      </c>
      <c r="BI244" s="0" t="s">
        <v>3719</v>
      </c>
      <c r="BK244" s="0" t="s">
        <v>191</v>
      </c>
      <c r="BL244" s="0" t="s">
        <v>192</v>
      </c>
      <c r="BM244" s="0" t="s">
        <v>168</v>
      </c>
      <c r="BN244" s="0" t="s">
        <v>163</v>
      </c>
      <c r="BO244" s="0" t="s">
        <v>163</v>
      </c>
      <c r="BP244" s="0" t="s">
        <v>711</v>
      </c>
      <c r="BQ244" s="0" t="n">
        <v>40.745352</v>
      </c>
      <c r="BR244" s="0" t="n">
        <v>-73.988555</v>
      </c>
      <c r="BS244" s="0" t="s">
        <v>168</v>
      </c>
      <c r="BT244" s="0" t="n">
        <v>0</v>
      </c>
      <c r="BV244" s="0" t="s">
        <v>163</v>
      </c>
      <c r="BW244" s="0" t="s">
        <v>3719</v>
      </c>
      <c r="BX244" s="0" t="s">
        <v>166</v>
      </c>
      <c r="BY244" s="0" t="s">
        <v>444</v>
      </c>
      <c r="CC244" s="0" t="s">
        <v>179</v>
      </c>
      <c r="CE244" s="0" t="s">
        <v>162</v>
      </c>
      <c r="CH244" s="0" t="s">
        <v>163</v>
      </c>
      <c r="CJ244" s="0" t="s">
        <v>163</v>
      </c>
      <c r="CK244" s="0" t="s">
        <v>162</v>
      </c>
      <c r="CL244" s="0" t="s">
        <v>3726</v>
      </c>
      <c r="CM244" s="0" t="s">
        <v>3719</v>
      </c>
      <c r="CN244" s="0" t="s">
        <v>166</v>
      </c>
      <c r="CO244" s="0" t="n">
        <v>96</v>
      </c>
      <c r="CQ244" s="0" t="s">
        <v>3727</v>
      </c>
      <c r="CR244" s="0" t="s">
        <v>206</v>
      </c>
      <c r="CS244" s="0" t="n">
        <v>1</v>
      </c>
      <c r="CT244" s="0" t="n">
        <v>40</v>
      </c>
      <c r="CU244" s="0" t="n">
        <v>25</v>
      </c>
      <c r="CV244" s="0" t="n">
        <v>15</v>
      </c>
      <c r="CW244" s="0" t="n">
        <v>-5</v>
      </c>
      <c r="CX244" s="0" t="n">
        <v>5</v>
      </c>
      <c r="CY244" s="0" t="n">
        <f aca="false">IF(AH244="exact",10,IF(AH244="adjacent",5,0))</f>
        <v>0</v>
      </c>
      <c r="CZ244" s="0" t="n">
        <f aca="false">IF(R244="Y",15,0)</f>
        <v>0</v>
      </c>
      <c r="DF244" s="0" t="s">
        <v>158</v>
      </c>
      <c r="DG244" s="0" t="s">
        <v>3728</v>
      </c>
      <c r="DK244" s="0" t="s">
        <v>3729</v>
      </c>
      <c r="DS244" s="0" t="s">
        <v>158</v>
      </c>
      <c r="DX244" s="0" t="s">
        <v>162</v>
      </c>
      <c r="ER244" s="0" t="str">
        <f aca="false">IF(ISNUMBER(MATCH(U244,{"queued","contacted","replied","call_booked","call_done","yes_in_principle","materials_sent"},0)),"Y","N")</f>
        <v>N</v>
      </c>
      <c r="ES244" s="0" t="str">
        <f aca="false">IF(COUNTIFS($AP$2:$AP$1000,AP244,$ER$2:$ER$1000,"Y")+COUNTIFS($AP$2:$AP$1000,AP244,$T$2:$T$1000,"Y")&gt;0,"Y","N")</f>
        <v>N</v>
      </c>
      <c r="ET244" s="0" t="str">
        <f aca="false">IF(AND(U244="new",T244="N",AT244="Y",AS244="",ES244="N"),"Y","N")</f>
        <v>N</v>
      </c>
      <c r="EU244" s="0" t="str">
        <f aca="false">IF(ET244&lt;&gt;"Y","N",IF(COUNTIFS($AP$2:$AP$1000,AP244,$ET$2:$ET$1000,"Y",$J$2:$J$1000,"&gt;"&amp;J244)+COUNTIFS($AP$2:$AP$1000,AP244,$ET$2:$ET$1000,"Y",$J$2:$J$1000,J244,$EW$2:$EW$1000,"&lt;"&amp;EW244)=0,"Y","N"))</f>
        <v>N</v>
      </c>
      <c r="EV244" s="0" t="str">
        <f aca="false">IF(Y244="","N",IF(Y244&lt;=10,"Y","N"))</f>
        <v>N</v>
      </c>
      <c r="EW244" s="0" t="n">
        <f aca="false">ROW()-1</f>
        <v>243</v>
      </c>
    </row>
    <row r="245" customFormat="false" ht="15" hidden="false" customHeight="false" outlineLevel="0" collapsed="false">
      <c r="A245" s="0" t="s">
        <v>3730</v>
      </c>
      <c r="B245" s="0" t="s">
        <v>3731</v>
      </c>
      <c r="H245" s="5" t="s">
        <v>158</v>
      </c>
      <c r="I245" s="5" t="s">
        <v>159</v>
      </c>
      <c r="J245" s="0" t="n">
        <f aca="false">IF(AX245="pass",ROUND(CU245+CV245+CW245+CX245+CY245+CZ245,1),0)</f>
        <v>0</v>
      </c>
      <c r="K245" s="0" t="s">
        <v>3732</v>
      </c>
      <c r="L245" s="0" t="s">
        <v>161</v>
      </c>
      <c r="R245" s="5" t="s">
        <v>162</v>
      </c>
      <c r="S245" s="0" t="s">
        <v>163</v>
      </c>
      <c r="T245" s="5" t="s">
        <v>162</v>
      </c>
      <c r="U245" s="5" t="s">
        <v>561</v>
      </c>
      <c r="V245" s="0" t="s">
        <v>3733</v>
      </c>
      <c r="W245" s="0" t="s">
        <v>166</v>
      </c>
      <c r="X245" s="0" t="s">
        <v>167</v>
      </c>
      <c r="Y245" s="0" t="str">
        <f aca="false">IF(EU245&lt;&gt;"Y","",COUNTIFS($EU$2:$EU$1000,"Y",$J$2:$J$1000,"&gt;"&amp;J245)+COUNTIFS($EU$2:$EU$1000,"Y",$J$2:$J$1000,J245,$EW$2:$EW$1000,"&lt;"&amp;EW245)+1)</f>
        <v/>
      </c>
      <c r="AA245" s="0" t="s">
        <v>162</v>
      </c>
      <c r="AD245" s="0" t="s">
        <v>158</v>
      </c>
      <c r="AH245" s="5" t="s">
        <v>158</v>
      </c>
      <c r="AI245" s="0" t="s">
        <v>3734</v>
      </c>
      <c r="AJ245" s="0" t="s">
        <v>163</v>
      </c>
      <c r="AK245" s="0" t="s">
        <v>434</v>
      </c>
      <c r="AL245" s="0" t="n">
        <v>67</v>
      </c>
      <c r="AM245" s="0" t="n">
        <v>133</v>
      </c>
      <c r="AN245" s="0" t="s">
        <v>179</v>
      </c>
      <c r="AO245" s="0" t="s">
        <v>273</v>
      </c>
      <c r="AP245" s="0" t="s">
        <v>3730</v>
      </c>
      <c r="AQ245" s="5" t="s">
        <v>162</v>
      </c>
      <c r="AT245" s="0" t="str">
        <f aca="false">IF(AND(AX245="pass",AQ245&lt;&gt;"Y",C245&lt;&gt;"",OR(AW245&lt;&gt;"Y",AV245="Y")),"Y","N")</f>
        <v>N</v>
      </c>
      <c r="AU245" s="0" t="str">
        <f aca="false">_xlfn.TEXTJOIN("; ",TRUE(),IF(AX245&lt;&gt;"pass","gated out",""),IF(AQ245="Y","on hold: "&amp;AR245,""),IF(C245="","no contact named on an opened page",""),IF(AND(AW245="Y",AV245&lt;&gt;"Y"),"Tuesday estimate band "&amp;L245&amp;": founder's call",""))</f>
        <v>gated out; no contact named on an opened page</v>
      </c>
      <c r="AW245" s="0" t="s">
        <v>162</v>
      </c>
      <c r="AX245" s="0" t="s">
        <v>3703</v>
      </c>
      <c r="AY245" s="0" t="s">
        <v>3735</v>
      </c>
      <c r="AZ245" s="0" t="s">
        <v>1</v>
      </c>
      <c r="BA245" s="0" t="s">
        <v>3736</v>
      </c>
      <c r="BB245" s="0" t="s">
        <v>3737</v>
      </c>
      <c r="BC245" s="0" t="s">
        <v>3738</v>
      </c>
      <c r="BD245" s="0" t="s">
        <v>3739</v>
      </c>
      <c r="BF245" s="0" t="s">
        <v>187</v>
      </c>
      <c r="BG245" s="0" t="s">
        <v>188</v>
      </c>
      <c r="BH245" s="0" t="s">
        <v>189</v>
      </c>
      <c r="BI245" s="0" t="s">
        <v>3733</v>
      </c>
      <c r="BK245" s="0" t="s">
        <v>191</v>
      </c>
      <c r="BL245" s="0" t="s">
        <v>192</v>
      </c>
      <c r="BM245" s="0" t="s">
        <v>168</v>
      </c>
      <c r="BN245" s="0" t="s">
        <v>163</v>
      </c>
      <c r="BO245" s="0" t="s">
        <v>163</v>
      </c>
      <c r="BP245" s="0" t="s">
        <v>711</v>
      </c>
      <c r="BQ245" s="0" t="n">
        <v>40.745488</v>
      </c>
      <c r="BR245" s="0" t="n">
        <v>-73.991668</v>
      </c>
      <c r="BS245" s="0" t="s">
        <v>162</v>
      </c>
      <c r="BT245" s="0" t="n">
        <v>0.1</v>
      </c>
      <c r="BV245" s="0" t="s">
        <v>163</v>
      </c>
      <c r="BW245" s="0" t="s">
        <v>3733</v>
      </c>
      <c r="BX245" s="0" t="s">
        <v>166</v>
      </c>
      <c r="BY245" s="0" t="s">
        <v>444</v>
      </c>
      <c r="CC245" s="0" t="s">
        <v>179</v>
      </c>
      <c r="CE245" s="0" t="s">
        <v>162</v>
      </c>
      <c r="CH245" s="0" t="s">
        <v>163</v>
      </c>
      <c r="CJ245" s="0" t="s">
        <v>163</v>
      </c>
      <c r="CK245" s="0" t="s">
        <v>162</v>
      </c>
      <c r="CL245" s="0" t="s">
        <v>3740</v>
      </c>
      <c r="CM245" s="0" t="s">
        <v>3733</v>
      </c>
      <c r="CN245" s="0" t="s">
        <v>166</v>
      </c>
      <c r="CO245" s="0" t="n">
        <v>94</v>
      </c>
      <c r="CQ245" s="0" t="s">
        <v>3741</v>
      </c>
      <c r="CR245" s="0" t="s">
        <v>206</v>
      </c>
      <c r="CS245" s="0" t="n">
        <v>1</v>
      </c>
      <c r="CT245" s="0" t="n">
        <v>55</v>
      </c>
      <c r="CU245" s="0" t="n">
        <v>25</v>
      </c>
      <c r="CV245" s="0" t="n">
        <v>15</v>
      </c>
      <c r="CW245" s="0" t="n">
        <v>10</v>
      </c>
      <c r="CX245" s="0" t="n">
        <v>5</v>
      </c>
      <c r="CY245" s="0" t="n">
        <f aca="false">IF(AH245="exact",10,IF(AH245="adjacent",5,0))</f>
        <v>0</v>
      </c>
      <c r="CZ245" s="0" t="n">
        <f aca="false">IF(R245="Y",15,0)</f>
        <v>0</v>
      </c>
      <c r="DF245" s="0" t="s">
        <v>158</v>
      </c>
      <c r="DG245" s="0" t="s">
        <v>3712</v>
      </c>
      <c r="DH245" s="0" t="s">
        <v>3713</v>
      </c>
      <c r="DI245" s="0" t="s">
        <v>162</v>
      </c>
      <c r="DK245" s="0" t="s">
        <v>3742</v>
      </c>
      <c r="DS245" s="0" t="s">
        <v>158</v>
      </c>
      <c r="DX245" s="0" t="s">
        <v>162</v>
      </c>
      <c r="ER245" s="0" t="str">
        <f aca="false">IF(ISNUMBER(MATCH(U245,{"queued","contacted","replied","call_booked","call_done","yes_in_principle","materials_sent"},0)),"Y","N")</f>
        <v>N</v>
      </c>
      <c r="ES245" s="0" t="str">
        <f aca="false">IF(COUNTIFS($AP$2:$AP$1000,AP245,$ER$2:$ER$1000,"Y")+COUNTIFS($AP$2:$AP$1000,AP245,$T$2:$T$1000,"Y")&gt;0,"Y","N")</f>
        <v>N</v>
      </c>
      <c r="ET245" s="0" t="str">
        <f aca="false">IF(AND(U245="new",T245="N",AT245="Y",AS245="",ES245="N"),"Y","N")</f>
        <v>N</v>
      </c>
      <c r="EU245" s="0" t="str">
        <f aca="false">IF(ET245&lt;&gt;"Y","N",IF(COUNTIFS($AP$2:$AP$1000,AP245,$ET$2:$ET$1000,"Y",$J$2:$J$1000,"&gt;"&amp;J245)+COUNTIFS($AP$2:$AP$1000,AP245,$ET$2:$ET$1000,"Y",$J$2:$J$1000,J245,$EW$2:$EW$1000,"&lt;"&amp;EW245)=0,"Y","N"))</f>
        <v>N</v>
      </c>
      <c r="EV245" s="0" t="str">
        <f aca="false">IF(Y245="","N",IF(Y245&lt;=10,"Y","N"))</f>
        <v>N</v>
      </c>
      <c r="EW245" s="0" t="n">
        <f aca="false">ROW()-1</f>
        <v>244</v>
      </c>
    </row>
    <row r="246" customFormat="false" ht="15" hidden="false" customHeight="false" outlineLevel="0" collapsed="false">
      <c r="A246" s="0" t="s">
        <v>3743</v>
      </c>
      <c r="B246" s="0" t="s">
        <v>3744</v>
      </c>
      <c r="H246" s="5" t="s">
        <v>158</v>
      </c>
      <c r="I246" s="5" t="s">
        <v>159</v>
      </c>
      <c r="J246" s="0" t="n">
        <f aca="false">IF(AX246="pass",ROUND(CU246+CV246+CW246+CX246+CY246+CZ246,1),0)</f>
        <v>0</v>
      </c>
      <c r="K246" s="0" t="s">
        <v>3732</v>
      </c>
      <c r="L246" s="0" t="s">
        <v>394</v>
      </c>
      <c r="R246" s="5" t="s">
        <v>162</v>
      </c>
      <c r="S246" s="0" t="s">
        <v>163</v>
      </c>
      <c r="T246" s="5" t="s">
        <v>162</v>
      </c>
      <c r="U246" s="5" t="s">
        <v>561</v>
      </c>
      <c r="V246" s="0" t="s">
        <v>3745</v>
      </c>
      <c r="W246" s="0" t="s">
        <v>166</v>
      </c>
      <c r="X246" s="0" t="s">
        <v>167</v>
      </c>
      <c r="Y246" s="0" t="str">
        <f aca="false">IF(EU246&lt;&gt;"Y","",COUNTIFS($EU$2:$EU$1000,"Y",$J$2:$J$1000,"&gt;"&amp;J246)+COUNTIFS($EU$2:$EU$1000,"Y",$J$2:$J$1000,J246,$EW$2:$EW$1000,"&lt;"&amp;EW246)+1)</f>
        <v/>
      </c>
      <c r="AA246" s="0" t="s">
        <v>162</v>
      </c>
      <c r="AD246" s="0" t="s">
        <v>158</v>
      </c>
      <c r="AH246" s="5" t="s">
        <v>158</v>
      </c>
      <c r="AI246" s="0" t="s">
        <v>3746</v>
      </c>
      <c r="AJ246" s="0" t="s">
        <v>3747</v>
      </c>
      <c r="AK246" s="0" t="s">
        <v>434</v>
      </c>
      <c r="AL246" s="0" t="n">
        <v>17</v>
      </c>
      <c r="AM246" s="0" t="n">
        <v>335</v>
      </c>
      <c r="AN246" s="0" t="s">
        <v>179</v>
      </c>
      <c r="AO246" s="0" t="s">
        <v>163</v>
      </c>
      <c r="AP246" s="0" t="s">
        <v>3743</v>
      </c>
      <c r="AQ246" s="5" t="s">
        <v>162</v>
      </c>
      <c r="AT246" s="0" t="str">
        <f aca="false">IF(AND(AX246="pass",AQ246&lt;&gt;"Y",C246&lt;&gt;"",OR(AW246&lt;&gt;"Y",AV246="Y")),"Y","N")</f>
        <v>N</v>
      </c>
      <c r="AU246" s="0" t="str">
        <f aca="false">_xlfn.TEXTJOIN("; ",TRUE(),IF(AX246&lt;&gt;"pass","gated out",""),IF(AQ246="Y","on hold: "&amp;AR246,""),IF(C246="","no contact named on an opened page",""),IF(AND(AW246="Y",AV246&lt;&gt;"Y"),"Tuesday estimate band "&amp;L246&amp;": founder's call",""))</f>
        <v>gated out; no contact named on an opened page</v>
      </c>
      <c r="AW246" s="0" t="s">
        <v>162</v>
      </c>
      <c r="AX246" s="0" t="s">
        <v>3703</v>
      </c>
      <c r="AY246" s="0" t="s">
        <v>3735</v>
      </c>
      <c r="AZ246" s="0" t="s">
        <v>1</v>
      </c>
      <c r="BA246" s="0" t="s">
        <v>3748</v>
      </c>
      <c r="BB246" s="0" t="s">
        <v>163</v>
      </c>
      <c r="BC246" s="0" t="s">
        <v>3749</v>
      </c>
      <c r="BD246" s="0" t="s">
        <v>1321</v>
      </c>
      <c r="BF246" s="0" t="s">
        <v>239</v>
      </c>
      <c r="BG246" s="0" t="s">
        <v>188</v>
      </c>
      <c r="BH246" s="0" t="s">
        <v>189</v>
      </c>
      <c r="BI246" s="0" t="s">
        <v>3750</v>
      </c>
      <c r="BK246" s="0" t="s">
        <v>191</v>
      </c>
      <c r="BL246" s="0" t="s">
        <v>2549</v>
      </c>
      <c r="BM246" s="0" t="s">
        <v>162</v>
      </c>
      <c r="BN246" s="0" t="s">
        <v>163</v>
      </c>
      <c r="BO246" s="0" t="s">
        <v>163</v>
      </c>
      <c r="BP246" s="0" t="s">
        <v>711</v>
      </c>
      <c r="BQ246" s="0" t="n">
        <v>40.747365</v>
      </c>
      <c r="BR246" s="0" t="n">
        <v>-73.988522</v>
      </c>
      <c r="BS246" s="0" t="s">
        <v>162</v>
      </c>
      <c r="BT246" s="0" t="n">
        <v>0.1</v>
      </c>
      <c r="BV246" s="0" t="s">
        <v>163</v>
      </c>
      <c r="BW246" s="0" t="s">
        <v>3745</v>
      </c>
      <c r="BX246" s="0" t="s">
        <v>3751</v>
      </c>
      <c r="BY246" s="0" t="s">
        <v>247</v>
      </c>
      <c r="CC246" s="0" t="s">
        <v>179</v>
      </c>
      <c r="CE246" s="0" t="s">
        <v>162</v>
      </c>
      <c r="CH246" s="0" t="s">
        <v>163</v>
      </c>
      <c r="CJ246" s="0" t="s">
        <v>163</v>
      </c>
      <c r="CK246" s="0" t="s">
        <v>162</v>
      </c>
      <c r="CL246" s="0" t="s">
        <v>163</v>
      </c>
      <c r="CO246" s="0" t="n">
        <v>75</v>
      </c>
      <c r="CP246" s="0" t="s">
        <v>767</v>
      </c>
      <c r="CQ246" s="0" t="s">
        <v>3752</v>
      </c>
      <c r="CR246" s="0" t="s">
        <v>206</v>
      </c>
      <c r="CS246" s="0" t="n">
        <v>0.61</v>
      </c>
      <c r="CT246" s="0" t="n">
        <v>41.4</v>
      </c>
      <c r="CU246" s="0" t="n">
        <v>15.4</v>
      </c>
      <c r="CV246" s="0" t="n">
        <v>15</v>
      </c>
      <c r="CW246" s="0" t="n">
        <v>6</v>
      </c>
      <c r="CX246" s="0" t="n">
        <v>5</v>
      </c>
      <c r="CY246" s="0" t="n">
        <f aca="false">IF(AH246="exact",10,IF(AH246="adjacent",5,0))</f>
        <v>0</v>
      </c>
      <c r="CZ246" s="0" t="n">
        <f aca="false">IF(R246="Y",15,0)</f>
        <v>0</v>
      </c>
      <c r="DF246" s="0" t="s">
        <v>158</v>
      </c>
      <c r="DG246" s="0" t="s">
        <v>3712</v>
      </c>
      <c r="DH246" s="0" t="s">
        <v>3713</v>
      </c>
      <c r="DI246" s="0" t="s">
        <v>162</v>
      </c>
      <c r="DJ246" s="0" t="s">
        <v>2957</v>
      </c>
      <c r="DK246" s="0" t="s">
        <v>3753</v>
      </c>
      <c r="DS246" s="0" t="s">
        <v>158</v>
      </c>
      <c r="DX246" s="0" t="s">
        <v>162</v>
      </c>
      <c r="ER246" s="0" t="str">
        <f aca="false">IF(ISNUMBER(MATCH(U246,{"queued","contacted","replied","call_booked","call_done","yes_in_principle","materials_sent"},0)),"Y","N")</f>
        <v>N</v>
      </c>
      <c r="ES246" s="0" t="str">
        <f aca="false">IF(COUNTIFS($AP$2:$AP$1000,AP246,$ER$2:$ER$1000,"Y")+COUNTIFS($AP$2:$AP$1000,AP246,$T$2:$T$1000,"Y")&gt;0,"Y","N")</f>
        <v>N</v>
      </c>
      <c r="ET246" s="0" t="str">
        <f aca="false">IF(AND(U246="new",T246="N",AT246="Y",AS246="",ES246="N"),"Y","N")</f>
        <v>N</v>
      </c>
      <c r="EU246" s="0" t="str">
        <f aca="false">IF(ET246&lt;&gt;"Y","N",IF(COUNTIFS($AP$2:$AP$1000,AP246,$ET$2:$ET$1000,"Y",$J$2:$J$1000,"&gt;"&amp;J246)+COUNTIFS($AP$2:$AP$1000,AP246,$ET$2:$ET$1000,"Y",$J$2:$J$1000,J246,$EW$2:$EW$1000,"&lt;"&amp;EW246)=0,"Y","N"))</f>
        <v>N</v>
      </c>
      <c r="EV246" s="0" t="str">
        <f aca="false">IF(Y246="","N",IF(Y246&lt;=10,"Y","N"))</f>
        <v>N</v>
      </c>
      <c r="EW246" s="0" t="n">
        <f aca="false">ROW()-1</f>
        <v>245</v>
      </c>
    </row>
    <row r="247" customFormat="false" ht="15" hidden="false" customHeight="false" outlineLevel="0" collapsed="false">
      <c r="A247" s="0" t="s">
        <v>3754</v>
      </c>
      <c r="B247" s="0" t="s">
        <v>3755</v>
      </c>
      <c r="H247" s="5" t="s">
        <v>158</v>
      </c>
      <c r="I247" s="5" t="s">
        <v>159</v>
      </c>
      <c r="J247" s="0" t="n">
        <f aca="false">IF(AX247="pass",ROUND(CU247+CV247+CW247+CX247+CY247+CZ247,1),0)</f>
        <v>0</v>
      </c>
      <c r="K247" s="0" t="s">
        <v>3732</v>
      </c>
      <c r="L247" s="0" t="s">
        <v>560</v>
      </c>
      <c r="O247" s="0" t="s">
        <v>3756</v>
      </c>
      <c r="P247" s="0" t="s">
        <v>3757</v>
      </c>
      <c r="Q247" s="0" t="s">
        <v>3758</v>
      </c>
      <c r="R247" s="5" t="s">
        <v>162</v>
      </c>
      <c r="S247" s="0" t="s">
        <v>163</v>
      </c>
      <c r="T247" s="5" t="s">
        <v>162</v>
      </c>
      <c r="U247" s="5" t="s">
        <v>561</v>
      </c>
      <c r="V247" s="0" t="s">
        <v>3757</v>
      </c>
      <c r="W247" s="0" t="s">
        <v>166</v>
      </c>
      <c r="X247" s="0" t="s">
        <v>167</v>
      </c>
      <c r="Y247" s="0" t="str">
        <f aca="false">IF(EU247&lt;&gt;"Y","",COUNTIFS($EU$2:$EU$1000,"Y",$J$2:$J$1000,"&gt;"&amp;J247)+COUNTIFS($EU$2:$EU$1000,"Y",$J$2:$J$1000,J247,$EW$2:$EW$1000,"&lt;"&amp;EW247)+1)</f>
        <v/>
      </c>
      <c r="AA247" s="0" t="s">
        <v>162</v>
      </c>
      <c r="AD247" s="0" t="s">
        <v>158</v>
      </c>
      <c r="AH247" s="5" t="s">
        <v>158</v>
      </c>
      <c r="AI247" s="0" t="s">
        <v>3746</v>
      </c>
      <c r="AJ247" s="0" t="s">
        <v>433</v>
      </c>
      <c r="AK247" s="0" t="s">
        <v>178</v>
      </c>
      <c r="AL247" s="0" t="n">
        <v>7</v>
      </c>
      <c r="AM247" s="0" t="n">
        <v>148</v>
      </c>
      <c r="AN247" s="0" t="s">
        <v>179</v>
      </c>
      <c r="AO247" s="0" t="s">
        <v>163</v>
      </c>
      <c r="AP247" s="0" t="s">
        <v>3754</v>
      </c>
      <c r="AQ247" s="5" t="s">
        <v>162</v>
      </c>
      <c r="AT247" s="0" t="str">
        <f aca="false">IF(AND(AX247="pass",AQ247&lt;&gt;"Y",C247&lt;&gt;"",OR(AW247&lt;&gt;"Y",AV247="Y")),"Y","N")</f>
        <v>N</v>
      </c>
      <c r="AU247" s="0" t="str">
        <f aca="false">_xlfn.TEXTJOIN("; ",TRUE(),IF(AX247&lt;&gt;"pass","gated out",""),IF(AQ247="Y","on hold: "&amp;AR247,""),IF(C247="","no contact named on an opened page",""),IF(AND(AW247="Y",AV247&lt;&gt;"Y"),"Tuesday estimate band "&amp;L247&amp;": founder's call",""))</f>
        <v>gated out; no contact named on an opened page; Tuesday estimate band under-40: founder's call</v>
      </c>
      <c r="AW247" s="0" t="s">
        <v>168</v>
      </c>
      <c r="AX247" s="0" t="s">
        <v>3703</v>
      </c>
      <c r="AY247" s="0" t="s">
        <v>3735</v>
      </c>
      <c r="AZ247" s="0" t="s">
        <v>1</v>
      </c>
      <c r="BA247" s="0" t="s">
        <v>3759</v>
      </c>
      <c r="BB247" s="0" t="s">
        <v>3760</v>
      </c>
      <c r="BC247" s="0" t="s">
        <v>3761</v>
      </c>
      <c r="BD247" s="0" t="s">
        <v>3762</v>
      </c>
      <c r="BF247" s="0" t="s">
        <v>187</v>
      </c>
      <c r="BG247" s="0" t="s">
        <v>188</v>
      </c>
      <c r="BH247" s="0" t="s">
        <v>189</v>
      </c>
      <c r="BI247" s="0" t="s">
        <v>3763</v>
      </c>
      <c r="BK247" s="0" t="s">
        <v>191</v>
      </c>
      <c r="BL247" s="0" t="s">
        <v>163</v>
      </c>
      <c r="BM247" s="0" t="s">
        <v>163</v>
      </c>
      <c r="BN247" s="0" t="s">
        <v>163</v>
      </c>
      <c r="BO247" s="0" t="s">
        <v>163</v>
      </c>
      <c r="BP247" s="0" t="s">
        <v>711</v>
      </c>
      <c r="BQ247" s="0" t="n">
        <v>40.747365</v>
      </c>
      <c r="BR247" s="0" t="n">
        <v>-73.988522</v>
      </c>
      <c r="BS247" s="0" t="s">
        <v>162</v>
      </c>
      <c r="BT247" s="0" t="n">
        <v>0.1</v>
      </c>
      <c r="BV247" s="0" t="s">
        <v>163</v>
      </c>
      <c r="BW247" s="0" t="s">
        <v>3757</v>
      </c>
      <c r="BX247" s="0" t="s">
        <v>3758</v>
      </c>
      <c r="BY247" s="0" t="s">
        <v>247</v>
      </c>
      <c r="BZ247" s="0" t="s">
        <v>3764</v>
      </c>
      <c r="CA247" s="0" t="s">
        <v>166</v>
      </c>
      <c r="CC247" s="0" t="s">
        <v>200</v>
      </c>
      <c r="CE247" s="0" t="s">
        <v>162</v>
      </c>
      <c r="CH247" s="0" t="s">
        <v>163</v>
      </c>
      <c r="CJ247" s="0" t="s">
        <v>163</v>
      </c>
      <c r="CK247" s="0" t="s">
        <v>162</v>
      </c>
      <c r="CL247" s="0" t="s">
        <v>163</v>
      </c>
      <c r="CO247" s="0" t="n">
        <v>32</v>
      </c>
      <c r="CP247" s="0" t="s">
        <v>578</v>
      </c>
      <c r="CQ247" s="0" t="s">
        <v>3765</v>
      </c>
      <c r="CR247" s="0" t="s">
        <v>206</v>
      </c>
      <c r="CS247" s="0" t="n">
        <v>0.43</v>
      </c>
      <c r="CT247" s="0" t="n">
        <v>46.7</v>
      </c>
      <c r="CU247" s="0" t="n">
        <v>10.7</v>
      </c>
      <c r="CV247" s="0" t="n">
        <v>15</v>
      </c>
      <c r="CW247" s="0" t="n">
        <v>6</v>
      </c>
      <c r="CX247" s="0" t="n">
        <v>15</v>
      </c>
      <c r="CY247" s="0" t="n">
        <f aca="false">IF(AH247="exact",10,IF(AH247="adjacent",5,0))</f>
        <v>0</v>
      </c>
      <c r="CZ247" s="0" t="n">
        <f aca="false">IF(R247="Y",15,0)</f>
        <v>0</v>
      </c>
      <c r="DF247" s="0" t="s">
        <v>158</v>
      </c>
      <c r="DG247" s="0" t="s">
        <v>3712</v>
      </c>
      <c r="DH247" s="0" t="s">
        <v>3713</v>
      </c>
      <c r="DI247" s="0" t="s">
        <v>162</v>
      </c>
      <c r="DJ247" s="0" t="s">
        <v>3766</v>
      </c>
      <c r="DK247" s="0" t="s">
        <v>3767</v>
      </c>
      <c r="DS247" s="0" t="s">
        <v>158</v>
      </c>
      <c r="DX247" s="0" t="s">
        <v>162</v>
      </c>
      <c r="ER247" s="0" t="str">
        <f aca="false">IF(ISNUMBER(MATCH(U247,{"queued","contacted","replied","call_booked","call_done","yes_in_principle","materials_sent"},0)),"Y","N")</f>
        <v>N</v>
      </c>
      <c r="ES247" s="0" t="str">
        <f aca="false">IF(COUNTIFS($AP$2:$AP$1000,AP247,$ER$2:$ER$1000,"Y")+COUNTIFS($AP$2:$AP$1000,AP247,$T$2:$T$1000,"Y")&gt;0,"Y","N")</f>
        <v>N</v>
      </c>
      <c r="ET247" s="0" t="str">
        <f aca="false">IF(AND(U247="new",T247="N",AT247="Y",AS247="",ES247="N"),"Y","N")</f>
        <v>N</v>
      </c>
      <c r="EU247" s="0" t="str">
        <f aca="false">IF(ET247&lt;&gt;"Y","N",IF(COUNTIFS($AP$2:$AP$1000,AP247,$ET$2:$ET$1000,"Y",$J$2:$J$1000,"&gt;"&amp;J247)+COUNTIFS($AP$2:$AP$1000,AP247,$ET$2:$ET$1000,"Y",$J$2:$J$1000,J247,$EW$2:$EW$1000,"&lt;"&amp;EW247)=0,"Y","N"))</f>
        <v>N</v>
      </c>
      <c r="EV247" s="0" t="str">
        <f aca="false">IF(Y247="","N",IF(Y247&lt;=10,"Y","N"))</f>
        <v>N</v>
      </c>
      <c r="EW247" s="0" t="n">
        <f aca="false">ROW()-1</f>
        <v>246</v>
      </c>
    </row>
    <row r="248" customFormat="false" ht="15" hidden="false" customHeight="false" outlineLevel="0" collapsed="false">
      <c r="A248" s="0" t="s">
        <v>3768</v>
      </c>
      <c r="B248" s="0" t="s">
        <v>3769</v>
      </c>
      <c r="H248" s="5" t="s">
        <v>158</v>
      </c>
      <c r="I248" s="5" t="s">
        <v>159</v>
      </c>
      <c r="J248" s="0" t="n">
        <f aca="false">IF(AX248="pass",ROUND(CU248+CV248+CW248+CX248+CY248+CZ248,1),0)</f>
        <v>0</v>
      </c>
      <c r="K248" s="0" t="s">
        <v>3770</v>
      </c>
      <c r="L248" s="0" t="s">
        <v>560</v>
      </c>
      <c r="R248" s="5" t="s">
        <v>162</v>
      </c>
      <c r="S248" s="0" t="s">
        <v>163</v>
      </c>
      <c r="T248" s="5" t="s">
        <v>162</v>
      </c>
      <c r="U248" s="5" t="s">
        <v>561</v>
      </c>
      <c r="V248" s="0" t="s">
        <v>3771</v>
      </c>
      <c r="W248" s="0" t="s">
        <v>166</v>
      </c>
      <c r="X248" s="0" t="s">
        <v>167</v>
      </c>
      <c r="Y248" s="0" t="str">
        <f aca="false">IF(EU248&lt;&gt;"Y","",COUNTIFS($EU$2:$EU$1000,"Y",$J$2:$J$1000,"&gt;"&amp;J248)+COUNTIFS($EU$2:$EU$1000,"Y",$J$2:$J$1000,J248,$EW$2:$EW$1000,"&lt;"&amp;EW248)+1)</f>
        <v/>
      </c>
      <c r="AA248" s="0" t="s">
        <v>162</v>
      </c>
      <c r="AD248" s="0" t="s">
        <v>158</v>
      </c>
      <c r="AH248" s="5" t="s">
        <v>158</v>
      </c>
      <c r="AI248" s="0" t="s">
        <v>3772</v>
      </c>
      <c r="AJ248" s="0" t="s">
        <v>163</v>
      </c>
      <c r="AK248" s="0" t="s">
        <v>178</v>
      </c>
      <c r="AL248" s="0" t="n">
        <v>6</v>
      </c>
      <c r="AM248" s="0" t="n">
        <v>117</v>
      </c>
      <c r="AN248" s="0" t="s">
        <v>179</v>
      </c>
      <c r="AO248" s="0" t="s">
        <v>163</v>
      </c>
      <c r="AP248" s="0" t="s">
        <v>3768</v>
      </c>
      <c r="AQ248" s="5" t="s">
        <v>162</v>
      </c>
      <c r="AT248" s="0" t="str">
        <f aca="false">IF(AND(AX248="pass",AQ248&lt;&gt;"Y",C248&lt;&gt;"",OR(AW248&lt;&gt;"Y",AV248="Y")),"Y","N")</f>
        <v>N</v>
      </c>
      <c r="AU248" s="0" t="str">
        <f aca="false">_xlfn.TEXTJOIN("; ",TRUE(),IF(AX248&lt;&gt;"pass","gated out",""),IF(AQ248="Y","on hold: "&amp;AR248,""),IF(C248="","no contact named on an opened page",""),IF(AND(AW248="Y",AV248&lt;&gt;"Y"),"Tuesday estimate band "&amp;L248&amp;": founder's call",""))</f>
        <v>gated out; no contact named on an opened page; Tuesday estimate band under-40: founder's call</v>
      </c>
      <c r="AW248" s="0" t="s">
        <v>168</v>
      </c>
      <c r="AX248" s="0" t="s">
        <v>3703</v>
      </c>
      <c r="AY248" s="0" t="s">
        <v>3773</v>
      </c>
      <c r="AZ248" s="0" t="s">
        <v>1</v>
      </c>
      <c r="BA248" s="0" t="s">
        <v>3774</v>
      </c>
      <c r="BB248" s="0" t="s">
        <v>3775</v>
      </c>
      <c r="BC248" s="0" t="s">
        <v>3776</v>
      </c>
      <c r="BD248" s="0" t="s">
        <v>1582</v>
      </c>
      <c r="BF248" s="0" t="s">
        <v>187</v>
      </c>
      <c r="BG248" s="0" t="s">
        <v>188</v>
      </c>
      <c r="BH248" s="0" t="s">
        <v>189</v>
      </c>
      <c r="BI248" s="0" t="s">
        <v>2237</v>
      </c>
      <c r="BK248" s="0" t="s">
        <v>191</v>
      </c>
      <c r="BL248" s="0" t="s">
        <v>163</v>
      </c>
      <c r="BM248" s="0" t="s">
        <v>163</v>
      </c>
      <c r="BN248" s="0" t="s">
        <v>163</v>
      </c>
      <c r="BO248" s="0" t="s">
        <v>163</v>
      </c>
      <c r="BP248" s="0" t="s">
        <v>346</v>
      </c>
      <c r="BQ248" s="0" t="n">
        <v>40.741737</v>
      </c>
      <c r="BR248" s="0" t="n">
        <v>-73.984856</v>
      </c>
      <c r="BS248" s="0" t="s">
        <v>168</v>
      </c>
      <c r="BT248" s="0" t="n">
        <v>0</v>
      </c>
      <c r="BU248" s="0" t="s">
        <v>2234</v>
      </c>
      <c r="BV248" s="0" t="s">
        <v>2235</v>
      </c>
      <c r="BW248" s="0" t="s">
        <v>3771</v>
      </c>
      <c r="BX248" s="0" t="s">
        <v>174</v>
      </c>
      <c r="BY248" s="0" t="s">
        <v>196</v>
      </c>
      <c r="BZ248" s="0" t="s">
        <v>2237</v>
      </c>
      <c r="CA248" s="0" t="s">
        <v>174</v>
      </c>
      <c r="CC248" s="0" t="s">
        <v>200</v>
      </c>
      <c r="CE248" s="0" t="s">
        <v>168</v>
      </c>
      <c r="CF248" s="0" t="s">
        <v>2229</v>
      </c>
      <c r="CH248" s="0" t="s">
        <v>163</v>
      </c>
      <c r="CJ248" s="0" t="s">
        <v>163</v>
      </c>
      <c r="CK248" s="0" t="s">
        <v>162</v>
      </c>
      <c r="CL248" s="0" t="s">
        <v>163</v>
      </c>
      <c r="CO248" s="0" t="n">
        <v>26</v>
      </c>
      <c r="CP248" s="0" t="s">
        <v>1726</v>
      </c>
      <c r="CQ248" s="0" t="s">
        <v>3777</v>
      </c>
      <c r="CR248" s="0" t="s">
        <v>206</v>
      </c>
      <c r="CS248" s="0" t="n">
        <v>0.36</v>
      </c>
      <c r="CT248" s="0" t="n">
        <v>45</v>
      </c>
      <c r="CU248" s="0" t="n">
        <v>9</v>
      </c>
      <c r="CV248" s="0" t="n">
        <v>15</v>
      </c>
      <c r="CW248" s="0" t="n">
        <v>6</v>
      </c>
      <c r="CX248" s="0" t="n">
        <v>15</v>
      </c>
      <c r="CY248" s="0" t="n">
        <f aca="false">IF(AH248="exact",10,IF(AH248="adjacent",5,0))</f>
        <v>0</v>
      </c>
      <c r="CZ248" s="0" t="n">
        <f aca="false">IF(R248="Y",15,0)</f>
        <v>0</v>
      </c>
      <c r="DF248" s="0" t="s">
        <v>158</v>
      </c>
      <c r="DG248" s="0" t="s">
        <v>3778</v>
      </c>
      <c r="DK248" s="0" t="s">
        <v>3779</v>
      </c>
      <c r="DS248" s="0" t="s">
        <v>158</v>
      </c>
      <c r="DX248" s="0" t="s">
        <v>162</v>
      </c>
      <c r="ER248" s="0" t="str">
        <f aca="false">IF(ISNUMBER(MATCH(U248,{"queued","contacted","replied","call_booked","call_done","yes_in_principle","materials_sent"},0)),"Y","N")</f>
        <v>N</v>
      </c>
      <c r="ES248" s="0" t="str">
        <f aca="false">IF(COUNTIFS($AP$2:$AP$1000,AP248,$ER$2:$ER$1000,"Y")+COUNTIFS($AP$2:$AP$1000,AP248,$T$2:$T$1000,"Y")&gt;0,"Y","N")</f>
        <v>N</v>
      </c>
      <c r="ET248" s="0" t="str">
        <f aca="false">IF(AND(U248="new",T248="N",AT248="Y",AS248="",ES248="N"),"Y","N")</f>
        <v>N</v>
      </c>
      <c r="EU248" s="0" t="str">
        <f aca="false">IF(ET248&lt;&gt;"Y","N",IF(COUNTIFS($AP$2:$AP$1000,AP248,$ET$2:$ET$1000,"Y",$J$2:$J$1000,"&gt;"&amp;J248)+COUNTIFS($AP$2:$AP$1000,AP248,$ET$2:$ET$1000,"Y",$J$2:$J$1000,J248,$EW$2:$EW$1000,"&lt;"&amp;EW248)=0,"Y","N"))</f>
        <v>N</v>
      </c>
      <c r="EV248" s="0" t="str">
        <f aca="false">IF(Y248="","N",IF(Y248&lt;=10,"Y","N"))</f>
        <v>N</v>
      </c>
      <c r="EW248" s="0" t="n">
        <f aca="false">ROW()-1</f>
        <v>247</v>
      </c>
    </row>
    <row r="249" customFormat="false" ht="15" hidden="false" customHeight="false" outlineLevel="0" collapsed="false">
      <c r="A249" s="0" t="s">
        <v>3780</v>
      </c>
      <c r="B249" s="0" t="s">
        <v>3781</v>
      </c>
      <c r="H249" s="5" t="s">
        <v>158</v>
      </c>
      <c r="I249" s="5" t="s">
        <v>159</v>
      </c>
      <c r="J249" s="0" t="n">
        <f aca="false">IF(AX249="pass",ROUND(CU249+CV249+CW249+CX249+CY249+CZ249,1),0)</f>
        <v>0</v>
      </c>
      <c r="K249" s="0" t="s">
        <v>3782</v>
      </c>
      <c r="L249" s="0" t="s">
        <v>560</v>
      </c>
      <c r="R249" s="5" t="s">
        <v>162</v>
      </c>
      <c r="S249" s="0" t="s">
        <v>163</v>
      </c>
      <c r="T249" s="5" t="s">
        <v>162</v>
      </c>
      <c r="U249" s="5" t="s">
        <v>561</v>
      </c>
      <c r="V249" s="0" t="s">
        <v>3783</v>
      </c>
      <c r="W249" s="0" t="s">
        <v>166</v>
      </c>
      <c r="X249" s="0" t="s">
        <v>167</v>
      </c>
      <c r="Y249" s="0" t="str">
        <f aca="false">IF(EU249&lt;&gt;"Y","",COUNTIFS($EU$2:$EU$1000,"Y",$J$2:$J$1000,"&gt;"&amp;J249)+COUNTIFS($EU$2:$EU$1000,"Y",$J$2:$J$1000,J249,$EW$2:$EW$1000,"&lt;"&amp;EW249)+1)</f>
        <v/>
      </c>
      <c r="AA249" s="0" t="s">
        <v>162</v>
      </c>
      <c r="AD249" s="0" t="s">
        <v>158</v>
      </c>
      <c r="AH249" s="5" t="s">
        <v>158</v>
      </c>
      <c r="AI249" s="0" t="s">
        <v>3784</v>
      </c>
      <c r="AJ249" s="0" t="s">
        <v>3785</v>
      </c>
      <c r="AK249" s="0" t="s">
        <v>434</v>
      </c>
      <c r="AL249" s="0" t="n">
        <v>5</v>
      </c>
      <c r="AM249" s="0" t="n">
        <v>90</v>
      </c>
      <c r="AN249" s="0" t="s">
        <v>179</v>
      </c>
      <c r="AO249" s="0" t="s">
        <v>1032</v>
      </c>
      <c r="AP249" s="0" t="s">
        <v>3780</v>
      </c>
      <c r="AQ249" s="5" t="s">
        <v>162</v>
      </c>
      <c r="AT249" s="0" t="str">
        <f aca="false">IF(AND(AX249="pass",AQ249&lt;&gt;"Y",C249&lt;&gt;"",OR(AW249&lt;&gt;"Y",AV249="Y")),"Y","N")</f>
        <v>N</v>
      </c>
      <c r="AU249" s="0" t="str">
        <f aca="false">_xlfn.TEXTJOIN("; ",TRUE(),IF(AX249&lt;&gt;"pass","gated out",""),IF(AQ249="Y","on hold: "&amp;AR249,""),IF(C249="","no contact named on an opened page",""),IF(AND(AW249="Y",AV249&lt;&gt;"Y"),"Tuesday estimate band "&amp;L249&amp;": founder's call",""))</f>
        <v>gated out; no contact named on an opened page; Tuesday estimate band under-40: founder's call</v>
      </c>
      <c r="AW249" s="0" t="s">
        <v>168</v>
      </c>
      <c r="AX249" s="0" t="s">
        <v>3703</v>
      </c>
      <c r="AY249" s="0" t="s">
        <v>3786</v>
      </c>
      <c r="AZ249" s="0" t="s">
        <v>1</v>
      </c>
      <c r="BA249" s="0" t="s">
        <v>3787</v>
      </c>
      <c r="BB249" s="0" t="s">
        <v>3788</v>
      </c>
      <c r="BC249" s="0" t="s">
        <v>3789</v>
      </c>
      <c r="BD249" s="0" t="s">
        <v>1145</v>
      </c>
      <c r="BF249" s="0" t="s">
        <v>161</v>
      </c>
      <c r="BG249" s="0" t="s">
        <v>188</v>
      </c>
      <c r="BH249" s="0" t="s">
        <v>189</v>
      </c>
      <c r="BI249" s="0" t="s">
        <v>3783</v>
      </c>
      <c r="BK249" s="0" t="s">
        <v>191</v>
      </c>
      <c r="BL249" s="0" t="s">
        <v>656</v>
      </c>
      <c r="BM249" s="0" t="s">
        <v>162</v>
      </c>
      <c r="BN249" s="0" t="s">
        <v>163</v>
      </c>
      <c r="BO249" s="0" t="s">
        <v>163</v>
      </c>
      <c r="BP249" s="0" t="s">
        <v>243</v>
      </c>
      <c r="BQ249" s="0" t="n">
        <v>40.744057</v>
      </c>
      <c r="BR249" s="0" t="n">
        <v>-73.985252</v>
      </c>
      <c r="BS249" s="0" t="s">
        <v>168</v>
      </c>
      <c r="BT249" s="0" t="n">
        <v>0</v>
      </c>
      <c r="BU249" s="0" t="s">
        <v>3790</v>
      </c>
      <c r="BV249" s="0" t="s">
        <v>3791</v>
      </c>
      <c r="BW249" s="0" t="s">
        <v>3783</v>
      </c>
      <c r="BX249" s="0" t="s">
        <v>166</v>
      </c>
      <c r="BY249" s="0" t="s">
        <v>444</v>
      </c>
      <c r="BZ249" s="0" t="s">
        <v>3792</v>
      </c>
      <c r="CA249" s="0" t="s">
        <v>166</v>
      </c>
      <c r="CC249" s="0" t="s">
        <v>179</v>
      </c>
      <c r="CE249" s="0" t="s">
        <v>168</v>
      </c>
      <c r="CF249" s="0" t="s">
        <v>3793</v>
      </c>
      <c r="CH249" s="0" t="s">
        <v>163</v>
      </c>
      <c r="CJ249" s="0" t="s">
        <v>163</v>
      </c>
      <c r="CK249" s="0" t="s">
        <v>162</v>
      </c>
      <c r="CL249" s="0" t="s">
        <v>3794</v>
      </c>
      <c r="CM249" s="0" t="s">
        <v>3783</v>
      </c>
      <c r="CN249" s="0" t="s">
        <v>166</v>
      </c>
      <c r="CO249" s="0" t="n">
        <v>21</v>
      </c>
      <c r="CP249" s="0" t="s">
        <v>1726</v>
      </c>
      <c r="CQ249" s="0" t="s">
        <v>3795</v>
      </c>
      <c r="CR249" s="0" t="s">
        <v>206</v>
      </c>
      <c r="CS249" s="0" t="n">
        <v>0.28</v>
      </c>
      <c r="CT249" s="0" t="n">
        <v>22</v>
      </c>
      <c r="CU249" s="0" t="n">
        <v>7</v>
      </c>
      <c r="CV249" s="0" t="n">
        <v>15</v>
      </c>
      <c r="CW249" s="0" t="n">
        <v>-5</v>
      </c>
      <c r="CX249" s="0" t="n">
        <v>5</v>
      </c>
      <c r="CY249" s="0" t="n">
        <f aca="false">IF(AH249="exact",10,IF(AH249="adjacent",5,0))</f>
        <v>0</v>
      </c>
      <c r="CZ249" s="0" t="n">
        <f aca="false">IF(R249="Y",15,0)</f>
        <v>0</v>
      </c>
      <c r="DF249" s="0" t="s">
        <v>158</v>
      </c>
      <c r="DG249" s="0" t="s">
        <v>3778</v>
      </c>
      <c r="DK249" s="0" t="s">
        <v>3796</v>
      </c>
      <c r="DS249" s="0" t="s">
        <v>158</v>
      </c>
      <c r="DX249" s="0" t="s">
        <v>162</v>
      </c>
      <c r="ER249" s="0" t="str">
        <f aca="false">IF(ISNUMBER(MATCH(U249,{"queued","contacted","replied","call_booked","call_done","yes_in_principle","materials_sent"},0)),"Y","N")</f>
        <v>N</v>
      </c>
      <c r="ES249" s="0" t="str">
        <f aca="false">IF(COUNTIFS($AP$2:$AP$1000,AP249,$ER$2:$ER$1000,"Y")+COUNTIFS($AP$2:$AP$1000,AP249,$T$2:$T$1000,"Y")&gt;0,"Y","N")</f>
        <v>N</v>
      </c>
      <c r="ET249" s="0" t="str">
        <f aca="false">IF(AND(U249="new",T249="N",AT249="Y",AS249="",ES249="N"),"Y","N")</f>
        <v>N</v>
      </c>
      <c r="EU249" s="0" t="str">
        <f aca="false">IF(ET249&lt;&gt;"Y","N",IF(COUNTIFS($AP$2:$AP$1000,AP249,$ET$2:$ET$1000,"Y",$J$2:$J$1000,"&gt;"&amp;J249)+COUNTIFS($AP$2:$AP$1000,AP249,$ET$2:$ET$1000,"Y",$J$2:$J$1000,J249,$EW$2:$EW$1000,"&lt;"&amp;EW249)=0,"Y","N"))</f>
        <v>N</v>
      </c>
      <c r="EV249" s="0" t="str">
        <f aca="false">IF(Y249="","N",IF(Y249&lt;=10,"Y","N"))</f>
        <v>N</v>
      </c>
      <c r="EW249" s="0" t="n">
        <f aca="false">ROW()-1</f>
        <v>248</v>
      </c>
    </row>
    <row r="250" customFormat="false" ht="15" hidden="false" customHeight="false" outlineLevel="0" collapsed="false">
      <c r="A250" s="0" t="s">
        <v>3797</v>
      </c>
      <c r="B250" s="0" t="s">
        <v>3798</v>
      </c>
      <c r="H250" s="5" t="s">
        <v>158</v>
      </c>
      <c r="I250" s="5" t="s">
        <v>159</v>
      </c>
      <c r="J250" s="0" t="n">
        <f aca="false">IF(AX250="pass",ROUND(CU250+CV250+CW250+CX250+CY250+CZ250,1),0)</f>
        <v>0</v>
      </c>
      <c r="K250" s="0" t="s">
        <v>3770</v>
      </c>
      <c r="L250" s="0" t="s">
        <v>560</v>
      </c>
      <c r="R250" s="5" t="s">
        <v>162</v>
      </c>
      <c r="S250" s="0" t="s">
        <v>163</v>
      </c>
      <c r="T250" s="5" t="s">
        <v>162</v>
      </c>
      <c r="U250" s="5" t="s">
        <v>561</v>
      </c>
      <c r="V250" s="0" t="s">
        <v>2225</v>
      </c>
      <c r="W250" s="0" t="s">
        <v>166</v>
      </c>
      <c r="X250" s="0" t="s">
        <v>167</v>
      </c>
      <c r="Y250" s="0" t="str">
        <f aca="false">IF(EU250&lt;&gt;"Y","",COUNTIFS($EU$2:$EU$1000,"Y",$J$2:$J$1000,"&gt;"&amp;J250)+COUNTIFS($EU$2:$EU$1000,"Y",$J$2:$J$1000,J250,$EW$2:$EW$1000,"&lt;"&amp;EW250)+1)</f>
        <v/>
      </c>
      <c r="AA250" s="0" t="s">
        <v>162</v>
      </c>
      <c r="AD250" s="0" t="s">
        <v>158</v>
      </c>
      <c r="AH250" s="5" t="s">
        <v>158</v>
      </c>
      <c r="AI250" s="0" t="s">
        <v>3772</v>
      </c>
      <c r="AJ250" s="0" t="s">
        <v>163</v>
      </c>
      <c r="AK250" s="0" t="s">
        <v>178</v>
      </c>
      <c r="AL250" s="0" t="n">
        <v>4</v>
      </c>
      <c r="AM250" s="0" t="n">
        <v>77</v>
      </c>
      <c r="AN250" s="0" t="s">
        <v>179</v>
      </c>
      <c r="AO250" s="0" t="s">
        <v>163</v>
      </c>
      <c r="AP250" s="0" t="s">
        <v>3797</v>
      </c>
      <c r="AQ250" s="5" t="s">
        <v>162</v>
      </c>
      <c r="AT250" s="0" t="str">
        <f aca="false">IF(AND(AX250="pass",AQ250&lt;&gt;"Y",C250&lt;&gt;"",OR(AW250&lt;&gt;"Y",AV250="Y")),"Y","N")</f>
        <v>N</v>
      </c>
      <c r="AU250" s="0" t="str">
        <f aca="false">_xlfn.TEXTJOIN("; ",TRUE(),IF(AX250&lt;&gt;"pass","gated out",""),IF(AQ250="Y","on hold: "&amp;AR250,""),IF(C250="","no contact named on an opened page",""),IF(AND(AW250="Y",AV250&lt;&gt;"Y"),"Tuesday estimate band "&amp;L250&amp;": founder's call",""))</f>
        <v>gated out; no contact named on an opened page; Tuesday estimate band under-40: founder's call</v>
      </c>
      <c r="AW250" s="0" t="s">
        <v>168</v>
      </c>
      <c r="AX250" s="0" t="s">
        <v>3703</v>
      </c>
      <c r="AY250" s="0" t="s">
        <v>3773</v>
      </c>
      <c r="AZ250" s="0" t="s">
        <v>1</v>
      </c>
      <c r="BA250" s="0" t="s">
        <v>3799</v>
      </c>
      <c r="BB250" s="0" t="s">
        <v>3800</v>
      </c>
      <c r="BC250" s="0" t="s">
        <v>3801</v>
      </c>
      <c r="BD250" s="0" t="s">
        <v>3802</v>
      </c>
      <c r="BF250" s="0" t="s">
        <v>161</v>
      </c>
      <c r="BG250" s="0" t="s">
        <v>188</v>
      </c>
      <c r="BH250" s="0" t="s">
        <v>189</v>
      </c>
      <c r="BI250" s="0" t="s">
        <v>3803</v>
      </c>
      <c r="BK250" s="0" t="s">
        <v>191</v>
      </c>
      <c r="BL250" s="0" t="s">
        <v>163</v>
      </c>
      <c r="BM250" s="0" t="s">
        <v>163</v>
      </c>
      <c r="BN250" s="0" t="s">
        <v>163</v>
      </c>
      <c r="BO250" s="0" t="s">
        <v>163</v>
      </c>
      <c r="BP250" s="0" t="s">
        <v>346</v>
      </c>
      <c r="BQ250" s="0" t="n">
        <v>40.741737</v>
      </c>
      <c r="BR250" s="0" t="n">
        <v>-73.984856</v>
      </c>
      <c r="BS250" s="0" t="s">
        <v>168</v>
      </c>
      <c r="BT250" s="0" t="n">
        <v>0</v>
      </c>
      <c r="BU250" s="0" t="s">
        <v>2234</v>
      </c>
      <c r="BV250" s="0" t="s">
        <v>2235</v>
      </c>
      <c r="BW250" s="0" t="s">
        <v>2225</v>
      </c>
      <c r="BX250" s="0" t="s">
        <v>174</v>
      </c>
      <c r="BY250" s="0" t="s">
        <v>3804</v>
      </c>
      <c r="CC250" s="0" t="s">
        <v>738</v>
      </c>
      <c r="CE250" s="0" t="s">
        <v>168</v>
      </c>
      <c r="CF250" s="0" t="s">
        <v>2229</v>
      </c>
      <c r="CH250" s="0" t="s">
        <v>163</v>
      </c>
      <c r="CJ250" s="0" t="s">
        <v>163</v>
      </c>
      <c r="CK250" s="0" t="s">
        <v>162</v>
      </c>
      <c r="CL250" s="0" t="s">
        <v>163</v>
      </c>
      <c r="CO250" s="0" t="n">
        <v>18</v>
      </c>
      <c r="CP250" s="0" t="s">
        <v>1726</v>
      </c>
      <c r="CQ250" s="0" t="s">
        <v>3805</v>
      </c>
      <c r="CR250" s="0" t="s">
        <v>206</v>
      </c>
      <c r="CS250" s="0" t="n">
        <v>0.22</v>
      </c>
      <c r="CT250" s="0" t="n">
        <v>39.5</v>
      </c>
      <c r="CU250" s="0" t="n">
        <v>5.5</v>
      </c>
      <c r="CV250" s="0" t="n">
        <v>15</v>
      </c>
      <c r="CW250" s="0" t="n">
        <v>6</v>
      </c>
      <c r="CX250" s="0" t="n">
        <v>13</v>
      </c>
      <c r="CY250" s="0" t="n">
        <f aca="false">IF(AH250="exact",10,IF(AH250="adjacent",5,0))</f>
        <v>0</v>
      </c>
      <c r="CZ250" s="0" t="n">
        <f aca="false">IF(R250="Y",15,0)</f>
        <v>0</v>
      </c>
      <c r="DF250" s="0" t="s">
        <v>158</v>
      </c>
      <c r="DG250" s="0" t="s">
        <v>3778</v>
      </c>
      <c r="DK250" s="0" t="s">
        <v>3806</v>
      </c>
      <c r="DS250" s="0" t="s">
        <v>158</v>
      </c>
      <c r="DX250" s="0" t="s">
        <v>162</v>
      </c>
      <c r="ER250" s="0" t="str">
        <f aca="false">IF(ISNUMBER(MATCH(U250,{"queued","contacted","replied","call_booked","call_done","yes_in_principle","materials_sent"},0)),"Y","N")</f>
        <v>N</v>
      </c>
      <c r="ES250" s="0" t="str">
        <f aca="false">IF(COUNTIFS($AP$2:$AP$1000,AP250,$ER$2:$ER$1000,"Y")+COUNTIFS($AP$2:$AP$1000,AP250,$T$2:$T$1000,"Y")&gt;0,"Y","N")</f>
        <v>N</v>
      </c>
      <c r="ET250" s="0" t="str">
        <f aca="false">IF(AND(U250="new",T250="N",AT250="Y",AS250="",ES250="N"),"Y","N")</f>
        <v>N</v>
      </c>
      <c r="EU250" s="0" t="str">
        <f aca="false">IF(ET250&lt;&gt;"Y","N",IF(COUNTIFS($AP$2:$AP$1000,AP250,$ET$2:$ET$1000,"Y",$J$2:$J$1000,"&gt;"&amp;J250)+COUNTIFS($AP$2:$AP$1000,AP250,$ET$2:$ET$1000,"Y",$J$2:$J$1000,J250,$EW$2:$EW$1000,"&lt;"&amp;EW250)=0,"Y","N"))</f>
        <v>N</v>
      </c>
      <c r="EV250" s="0" t="str">
        <f aca="false">IF(Y250="","N",IF(Y250&lt;=10,"Y","N"))</f>
        <v>N</v>
      </c>
      <c r="EW250" s="0" t="n">
        <f aca="false">ROW()-1</f>
        <v>249</v>
      </c>
    </row>
    <row r="251" customFormat="false" ht="15" hidden="false" customHeight="false" outlineLevel="0" collapsed="false">
      <c r="A251" s="0" t="s">
        <v>3807</v>
      </c>
      <c r="B251" s="0" t="s">
        <v>3808</v>
      </c>
      <c r="H251" s="5" t="s">
        <v>158</v>
      </c>
      <c r="I251" s="5" t="s">
        <v>159</v>
      </c>
      <c r="J251" s="0" t="n">
        <f aca="false">IF(AX251="pass",ROUND(CU251+CV251+CW251+CX251+CY251+CZ251,1),0)</f>
        <v>0</v>
      </c>
      <c r="K251" s="0" t="s">
        <v>3809</v>
      </c>
      <c r="L251" s="0" t="s">
        <v>1322</v>
      </c>
      <c r="R251" s="5" t="s">
        <v>162</v>
      </c>
      <c r="S251" s="0" t="s">
        <v>163</v>
      </c>
      <c r="T251" s="5" t="s">
        <v>162</v>
      </c>
      <c r="U251" s="5" t="s">
        <v>561</v>
      </c>
      <c r="V251" s="0" t="s">
        <v>483</v>
      </c>
      <c r="W251" s="0" t="s">
        <v>166</v>
      </c>
      <c r="X251" s="0" t="s">
        <v>167</v>
      </c>
      <c r="Y251" s="0" t="str">
        <f aca="false">IF(EU251&lt;&gt;"Y","",COUNTIFS($EU$2:$EU$1000,"Y",$J$2:$J$1000,"&gt;"&amp;J251)+COUNTIFS($EU$2:$EU$1000,"Y",$J$2:$J$1000,J251,$EW$2:$EW$1000,"&lt;"&amp;EW251)+1)</f>
        <v/>
      </c>
      <c r="AA251" s="0" t="s">
        <v>162</v>
      </c>
      <c r="AD251" s="0" t="s">
        <v>158</v>
      </c>
      <c r="AH251" s="5" t="s">
        <v>158</v>
      </c>
      <c r="AI251" s="0" t="s">
        <v>470</v>
      </c>
      <c r="AJ251" s="0" t="s">
        <v>163</v>
      </c>
      <c r="AK251" s="0" t="s">
        <v>178</v>
      </c>
      <c r="AL251" s="0" t="n">
        <v>1053</v>
      </c>
      <c r="AM251" s="0" t="n">
        <v>2105</v>
      </c>
      <c r="AN251" s="0" t="s">
        <v>179</v>
      </c>
      <c r="AO251" s="0" t="s">
        <v>163</v>
      </c>
      <c r="AP251" s="0" t="s">
        <v>3807</v>
      </c>
      <c r="AQ251" s="5" t="s">
        <v>162</v>
      </c>
      <c r="AT251" s="0" t="str">
        <f aca="false">IF(AND(AX251="pass",AQ251&lt;&gt;"Y",C251&lt;&gt;"",OR(AW251&lt;&gt;"Y",AV251="Y")),"Y","N")</f>
        <v>N</v>
      </c>
      <c r="AU251" s="0" t="str">
        <f aca="false">_xlfn.TEXTJOIN("; ",TRUE(),IF(AX251&lt;&gt;"pass","gated out",""),IF(AQ251="Y","on hold: "&amp;AR251,""),IF(C251="","no contact named on an opened page",""),IF(AND(AW251="Y",AV251&lt;&gt;"Y"),"Tuesday estimate band "&amp;L251&amp;": founder's call",""))</f>
        <v>gated out; no contact named on an opened page; Tuesday estimate band over-500: founder's call</v>
      </c>
      <c r="AW251" s="0" t="s">
        <v>168</v>
      </c>
      <c r="AX251" s="0" t="s">
        <v>3703</v>
      </c>
      <c r="AY251" s="0" t="s">
        <v>3810</v>
      </c>
      <c r="AZ251" s="0" t="s">
        <v>1</v>
      </c>
      <c r="BA251" s="0" t="s">
        <v>3811</v>
      </c>
      <c r="BB251" s="0" t="s">
        <v>3812</v>
      </c>
      <c r="BC251" s="0" t="s">
        <v>3813</v>
      </c>
      <c r="BD251" s="0" t="s">
        <v>3814</v>
      </c>
      <c r="BF251" s="0" t="s">
        <v>1322</v>
      </c>
      <c r="BG251" s="0" t="s">
        <v>188</v>
      </c>
      <c r="BH251" s="0" t="s">
        <v>189</v>
      </c>
      <c r="BI251" s="0" t="s">
        <v>3815</v>
      </c>
      <c r="BK251" s="0" t="s">
        <v>1439</v>
      </c>
      <c r="BL251" s="0" t="s">
        <v>192</v>
      </c>
      <c r="BM251" s="0" t="s">
        <v>168</v>
      </c>
      <c r="BN251" s="0" t="s">
        <v>163</v>
      </c>
      <c r="BO251" s="0" t="s">
        <v>163</v>
      </c>
      <c r="BP251" s="0" t="s">
        <v>346</v>
      </c>
      <c r="BQ251" s="0" t="n">
        <v>40.739819</v>
      </c>
      <c r="BR251" s="0" t="n">
        <v>-73.986885</v>
      </c>
      <c r="BS251" s="0" t="s">
        <v>168</v>
      </c>
      <c r="BT251" s="0" t="n">
        <v>0</v>
      </c>
      <c r="BU251" s="0" t="s">
        <v>479</v>
      </c>
      <c r="BV251" s="0" t="s">
        <v>480</v>
      </c>
      <c r="BW251" s="0" t="s">
        <v>483</v>
      </c>
      <c r="BX251" s="0" t="s">
        <v>166</v>
      </c>
      <c r="BY251" s="0" t="s">
        <v>3804</v>
      </c>
      <c r="BZ251" s="0" t="s">
        <v>3815</v>
      </c>
      <c r="CA251" s="0" t="s">
        <v>166</v>
      </c>
      <c r="CC251" s="0" t="s">
        <v>200</v>
      </c>
      <c r="CE251" s="0" t="s">
        <v>162</v>
      </c>
      <c r="CH251" s="0" t="s">
        <v>201</v>
      </c>
      <c r="CI251" s="0" t="s">
        <v>483</v>
      </c>
      <c r="CJ251" s="0" t="s">
        <v>163</v>
      </c>
      <c r="CK251" s="0" t="s">
        <v>162</v>
      </c>
      <c r="CL251" s="0" t="s">
        <v>163</v>
      </c>
      <c r="CO251" s="0" t="n">
        <v>1489</v>
      </c>
      <c r="CP251" s="0" t="s">
        <v>3816</v>
      </c>
      <c r="CQ251" s="0" t="s">
        <v>3817</v>
      </c>
      <c r="CR251" s="0" t="s">
        <v>206</v>
      </c>
      <c r="CS251" s="0" t="n">
        <v>0</v>
      </c>
      <c r="CT251" s="0" t="n">
        <v>23</v>
      </c>
      <c r="CU251" s="0" t="n">
        <v>0</v>
      </c>
      <c r="CV251" s="0" t="n">
        <v>2</v>
      </c>
      <c r="CW251" s="0" t="n">
        <v>6</v>
      </c>
      <c r="CX251" s="0" t="n">
        <v>15</v>
      </c>
      <c r="CY251" s="0" t="n">
        <f aca="false">IF(AH251="exact",10,IF(AH251="adjacent",5,0))</f>
        <v>0</v>
      </c>
      <c r="CZ251" s="0" t="n">
        <f aca="false">IF(R251="Y",15,0)</f>
        <v>0</v>
      </c>
      <c r="DF251" s="0" t="s">
        <v>158</v>
      </c>
      <c r="DG251" s="0" t="s">
        <v>1335</v>
      </c>
      <c r="DH251" s="0" t="s">
        <v>1446</v>
      </c>
      <c r="DI251" s="0" t="s">
        <v>162</v>
      </c>
      <c r="DK251" s="0" t="s">
        <v>3818</v>
      </c>
      <c r="DS251" s="0" t="s">
        <v>158</v>
      </c>
      <c r="DX251" s="0" t="s">
        <v>162</v>
      </c>
      <c r="ER251" s="0" t="str">
        <f aca="false">IF(ISNUMBER(MATCH(U251,{"queued","contacted","replied","call_booked","call_done","yes_in_principle","materials_sent"},0)),"Y","N")</f>
        <v>N</v>
      </c>
      <c r="ES251" s="0" t="str">
        <f aca="false">IF(COUNTIFS($AP$2:$AP$1000,AP251,$ER$2:$ER$1000,"Y")+COUNTIFS($AP$2:$AP$1000,AP251,$T$2:$T$1000,"Y")&gt;0,"Y","N")</f>
        <v>N</v>
      </c>
      <c r="ET251" s="0" t="str">
        <f aca="false">IF(AND(U251="new",T251="N",AT251="Y",AS251="",ES251="N"),"Y","N")</f>
        <v>N</v>
      </c>
      <c r="EU251" s="0" t="str">
        <f aca="false">IF(ET251&lt;&gt;"Y","N",IF(COUNTIFS($AP$2:$AP$1000,AP251,$ET$2:$ET$1000,"Y",$J$2:$J$1000,"&gt;"&amp;J251)+COUNTIFS($AP$2:$AP$1000,AP251,$ET$2:$ET$1000,"Y",$J$2:$J$1000,J251,$EW$2:$EW$1000,"&lt;"&amp;EW251)=0,"Y","N"))</f>
        <v>N</v>
      </c>
      <c r="EV251" s="0" t="str">
        <f aca="false">IF(Y251="","N",IF(Y251&lt;=10,"Y","N"))</f>
        <v>N</v>
      </c>
      <c r="EW251" s="0" t="n">
        <f aca="false">ROW()-1</f>
        <v>250</v>
      </c>
    </row>
    <row r="252" customFormat="false" ht="15" hidden="false" customHeight="false" outlineLevel="0" collapsed="false">
      <c r="A252" s="0" t="s">
        <v>3819</v>
      </c>
      <c r="B252" s="0" t="s">
        <v>3820</v>
      </c>
      <c r="H252" s="5" t="s">
        <v>158</v>
      </c>
      <c r="I252" s="5" t="s">
        <v>159</v>
      </c>
      <c r="J252" s="0" t="n">
        <f aca="false">IF(AX252="pass",ROUND(CU252+CV252+CW252+CX252+CY252+CZ252,1),0)</f>
        <v>0</v>
      </c>
      <c r="K252" s="0" t="s">
        <v>3821</v>
      </c>
      <c r="L252" s="0" t="s">
        <v>1322</v>
      </c>
      <c r="R252" s="5" t="s">
        <v>162</v>
      </c>
      <c r="S252" s="0" t="s">
        <v>163</v>
      </c>
      <c r="T252" s="5" t="s">
        <v>162</v>
      </c>
      <c r="U252" s="5" t="s">
        <v>561</v>
      </c>
      <c r="V252" s="0" t="s">
        <v>1990</v>
      </c>
      <c r="W252" s="0" t="s">
        <v>166</v>
      </c>
      <c r="X252" s="0" t="s">
        <v>167</v>
      </c>
      <c r="Y252" s="0" t="str">
        <f aca="false">IF(EU252&lt;&gt;"Y","",COUNTIFS($EU$2:$EU$1000,"Y",$J$2:$J$1000,"&gt;"&amp;J252)+COUNTIFS($EU$2:$EU$1000,"Y",$J$2:$J$1000,J252,$EW$2:$EW$1000,"&lt;"&amp;EW252)+1)</f>
        <v/>
      </c>
      <c r="AA252" s="0" t="s">
        <v>162</v>
      </c>
      <c r="AD252" s="0" t="s">
        <v>158</v>
      </c>
      <c r="AH252" s="5" t="s">
        <v>158</v>
      </c>
      <c r="AI252" s="0" t="s">
        <v>1991</v>
      </c>
      <c r="AJ252" s="0" t="s">
        <v>3822</v>
      </c>
      <c r="AK252" s="0" t="s">
        <v>178</v>
      </c>
      <c r="AL252" s="0" t="n">
        <v>6079</v>
      </c>
      <c r="AM252" s="0" t="n">
        <v>121578</v>
      </c>
      <c r="AN252" s="0" t="s">
        <v>179</v>
      </c>
      <c r="AO252" s="0" t="s">
        <v>163</v>
      </c>
      <c r="AP252" s="0" t="s">
        <v>3819</v>
      </c>
      <c r="AQ252" s="5" t="s">
        <v>162</v>
      </c>
      <c r="AT252" s="0" t="str">
        <f aca="false">IF(AND(AX252="pass",AQ252&lt;&gt;"Y",C252&lt;&gt;"",OR(AW252&lt;&gt;"Y",AV252="Y")),"Y","N")</f>
        <v>N</v>
      </c>
      <c r="AU252" s="0" t="str">
        <f aca="false">_xlfn.TEXTJOIN("; ",TRUE(),IF(AX252&lt;&gt;"pass","gated out",""),IF(AQ252="Y","on hold: "&amp;AR252,""),IF(C252="","no contact named on an opened page",""),IF(AND(AW252="Y",AV252&lt;&gt;"Y"),"Tuesday estimate band "&amp;L252&amp;": founder's call",""))</f>
        <v>gated out; no contact named on an opened page; Tuesday estimate band over-500: founder's call</v>
      </c>
      <c r="AW252" s="0" t="s">
        <v>168</v>
      </c>
      <c r="AX252" s="0" t="s">
        <v>3703</v>
      </c>
      <c r="AY252" s="0" t="s">
        <v>3823</v>
      </c>
      <c r="AZ252" s="0" t="s">
        <v>1</v>
      </c>
      <c r="BA252" s="0" t="s">
        <v>3824</v>
      </c>
      <c r="BB252" s="0" t="s">
        <v>3825</v>
      </c>
      <c r="BC252" s="0" t="s">
        <v>3826</v>
      </c>
      <c r="BD252" s="0" t="s">
        <v>3827</v>
      </c>
      <c r="BF252" s="0" t="s">
        <v>1322</v>
      </c>
      <c r="BG252" s="0" t="s">
        <v>188</v>
      </c>
      <c r="BH252" s="0" t="s">
        <v>189</v>
      </c>
      <c r="BI252" s="0" t="s">
        <v>3828</v>
      </c>
      <c r="BK252" s="0" t="s">
        <v>3287</v>
      </c>
      <c r="BL252" s="0" t="s">
        <v>163</v>
      </c>
      <c r="BM252" s="0" t="s">
        <v>163</v>
      </c>
      <c r="BN252" s="0" t="s">
        <v>163</v>
      </c>
      <c r="BO252" s="0" t="s">
        <v>163</v>
      </c>
      <c r="BP252" s="0" t="s">
        <v>346</v>
      </c>
      <c r="BQ252" s="0" t="n">
        <v>40.741141</v>
      </c>
      <c r="BR252" s="0" t="n">
        <v>-73.987489</v>
      </c>
      <c r="BS252" s="0" t="s">
        <v>168</v>
      </c>
      <c r="BT252" s="0" t="n">
        <v>0</v>
      </c>
      <c r="BV252" s="0" t="s">
        <v>163</v>
      </c>
      <c r="BW252" s="0" t="s">
        <v>1990</v>
      </c>
      <c r="BX252" s="0" t="s">
        <v>522</v>
      </c>
      <c r="BY252" s="0" t="s">
        <v>247</v>
      </c>
      <c r="BZ252" s="0" t="s">
        <v>3201</v>
      </c>
      <c r="CA252" s="0" t="s">
        <v>3207</v>
      </c>
      <c r="CC252" s="0" t="s">
        <v>200</v>
      </c>
      <c r="CE252" s="0" t="s">
        <v>162</v>
      </c>
      <c r="CH252" s="0" t="s">
        <v>163</v>
      </c>
      <c r="CJ252" s="0" t="s">
        <v>163</v>
      </c>
      <c r="CK252" s="0" t="s">
        <v>162</v>
      </c>
      <c r="CL252" s="0" t="s">
        <v>163</v>
      </c>
      <c r="CO252" s="0" t="n">
        <v>27186</v>
      </c>
      <c r="CP252" s="0" t="s">
        <v>3816</v>
      </c>
      <c r="CQ252" s="0" t="s">
        <v>3829</v>
      </c>
      <c r="CR252" s="0" t="s">
        <v>206</v>
      </c>
      <c r="CS252" s="0" t="n">
        <v>0</v>
      </c>
      <c r="CT252" s="0" t="n">
        <v>21</v>
      </c>
      <c r="CU252" s="0" t="n">
        <v>0</v>
      </c>
      <c r="CV252" s="0" t="n">
        <v>0</v>
      </c>
      <c r="CW252" s="0" t="n">
        <v>6</v>
      </c>
      <c r="CX252" s="0" t="n">
        <v>15</v>
      </c>
      <c r="CY252" s="0" t="n">
        <f aca="false">IF(AH252="exact",10,IF(AH252="adjacent",5,0))</f>
        <v>0</v>
      </c>
      <c r="CZ252" s="0" t="n">
        <f aca="false">IF(R252="Y",15,0)</f>
        <v>0</v>
      </c>
      <c r="DF252" s="0" t="s">
        <v>158</v>
      </c>
      <c r="DG252" s="0" t="s">
        <v>1335</v>
      </c>
      <c r="DH252" s="0" t="s">
        <v>3290</v>
      </c>
      <c r="DI252" s="0" t="s">
        <v>162</v>
      </c>
      <c r="DJ252" s="0" t="s">
        <v>3830</v>
      </c>
      <c r="DK252" s="0" t="s">
        <v>3831</v>
      </c>
      <c r="DS252" s="0" t="s">
        <v>158</v>
      </c>
      <c r="DX252" s="0" t="s">
        <v>162</v>
      </c>
      <c r="ER252" s="0" t="str">
        <f aca="false">IF(ISNUMBER(MATCH(U252,{"queued","contacted","replied","call_booked","call_done","yes_in_principle","materials_sent"},0)),"Y","N")</f>
        <v>N</v>
      </c>
      <c r="ES252" s="0" t="str">
        <f aca="false">IF(COUNTIFS($AP$2:$AP$1000,AP252,$ER$2:$ER$1000,"Y")+COUNTIFS($AP$2:$AP$1000,AP252,$T$2:$T$1000,"Y")&gt;0,"Y","N")</f>
        <v>N</v>
      </c>
      <c r="ET252" s="0" t="str">
        <f aca="false">IF(AND(U252="new",T252="N",AT252="Y",AS252="",ES252="N"),"Y","N")</f>
        <v>N</v>
      </c>
      <c r="EU252" s="0" t="str">
        <f aca="false">IF(ET252&lt;&gt;"Y","N",IF(COUNTIFS($AP$2:$AP$1000,AP252,$ET$2:$ET$1000,"Y",$J$2:$J$1000,"&gt;"&amp;J252)+COUNTIFS($AP$2:$AP$1000,AP252,$ET$2:$ET$1000,"Y",$J$2:$J$1000,J252,$EW$2:$EW$1000,"&lt;"&amp;EW252)=0,"Y","N"))</f>
        <v>N</v>
      </c>
      <c r="EV252" s="0" t="str">
        <f aca="false">IF(Y252="","N",IF(Y252&lt;=10,"Y","N"))</f>
        <v>N</v>
      </c>
      <c r="EW252" s="0" t="n">
        <f aca="false">ROW()-1</f>
        <v>251</v>
      </c>
    </row>
    <row r="253" customFormat="false" ht="15" hidden="false" customHeight="false" outlineLevel="0" collapsed="false">
      <c r="A253" s="0" t="s">
        <v>3832</v>
      </c>
      <c r="B253" s="0" t="s">
        <v>3833</v>
      </c>
      <c r="H253" s="5" t="s">
        <v>158</v>
      </c>
      <c r="I253" s="5" t="s">
        <v>159</v>
      </c>
      <c r="J253" s="0" t="n">
        <f aca="false">IF(AX253="pass",ROUND(CU253+CV253+CW253+CX253+CY253+CZ253,1),0)</f>
        <v>0</v>
      </c>
      <c r="K253" s="0" t="s">
        <v>3770</v>
      </c>
      <c r="L253" s="0" t="s">
        <v>560</v>
      </c>
      <c r="R253" s="5" t="s">
        <v>162</v>
      </c>
      <c r="S253" s="0" t="s">
        <v>163</v>
      </c>
      <c r="T253" s="5" t="s">
        <v>162</v>
      </c>
      <c r="U253" s="5" t="s">
        <v>561</v>
      </c>
      <c r="V253" s="0" t="s">
        <v>2225</v>
      </c>
      <c r="W253" s="0" t="s">
        <v>166</v>
      </c>
      <c r="X253" s="0" t="s">
        <v>167</v>
      </c>
      <c r="Y253" s="0" t="str">
        <f aca="false">IF(EU253&lt;&gt;"Y","",COUNTIFS($EU$2:$EU$1000,"Y",$J$2:$J$1000,"&gt;"&amp;J253)+COUNTIFS($EU$2:$EU$1000,"Y",$J$2:$J$1000,J253,$EW$2:$EW$1000,"&lt;"&amp;EW253)+1)</f>
        <v/>
      </c>
      <c r="AA253" s="0" t="s">
        <v>162</v>
      </c>
      <c r="AD253" s="0" t="s">
        <v>158</v>
      </c>
      <c r="AH253" s="5" t="s">
        <v>158</v>
      </c>
      <c r="AI253" s="0" t="s">
        <v>3772</v>
      </c>
      <c r="AJ253" s="0" t="s">
        <v>888</v>
      </c>
      <c r="AK253" s="0" t="s">
        <v>178</v>
      </c>
      <c r="AL253" s="0" t="n">
        <v>17</v>
      </c>
      <c r="AM253" s="0" t="n">
        <v>35</v>
      </c>
      <c r="AN253" s="0" t="s">
        <v>179</v>
      </c>
      <c r="AO253" s="0" t="s">
        <v>163</v>
      </c>
      <c r="AP253" s="0" t="s">
        <v>3832</v>
      </c>
      <c r="AQ253" s="5" t="s">
        <v>162</v>
      </c>
      <c r="AT253" s="0" t="str">
        <f aca="false">IF(AND(AX253="pass",AQ253&lt;&gt;"Y",C253&lt;&gt;"",OR(AW253&lt;&gt;"Y",AV253="Y")),"Y","N")</f>
        <v>N</v>
      </c>
      <c r="AU253" s="0" t="str">
        <f aca="false">_xlfn.TEXTJOIN("; ",TRUE(),IF(AX253&lt;&gt;"pass","gated out",""),IF(AQ253="Y","on hold: "&amp;AR253,""),IF(C253="","no contact named on an opened page",""),IF(AND(AW253="Y",AV253&lt;&gt;"Y"),"Tuesday estimate band "&amp;L253&amp;": founder's call",""))</f>
        <v>gated out; no contact named on an opened page; Tuesday estimate band under-40: founder's call</v>
      </c>
      <c r="AW253" s="0" t="s">
        <v>168</v>
      </c>
      <c r="AX253" s="0" t="s">
        <v>3703</v>
      </c>
      <c r="AY253" s="0" t="s">
        <v>3773</v>
      </c>
      <c r="AZ253" s="0" t="s">
        <v>1</v>
      </c>
      <c r="BA253" s="0" t="s">
        <v>3834</v>
      </c>
      <c r="BB253" s="0" t="s">
        <v>3835</v>
      </c>
      <c r="BC253" s="0" t="s">
        <v>3836</v>
      </c>
      <c r="BD253" s="0" t="s">
        <v>3837</v>
      </c>
      <c r="BF253" s="0" t="s">
        <v>394</v>
      </c>
      <c r="BG253" s="0" t="s">
        <v>188</v>
      </c>
      <c r="BH253" s="0" t="s">
        <v>189</v>
      </c>
      <c r="BI253" s="0" t="s">
        <v>3838</v>
      </c>
      <c r="BK253" s="0" t="s">
        <v>191</v>
      </c>
      <c r="BL253" s="0" t="s">
        <v>192</v>
      </c>
      <c r="BM253" s="0" t="s">
        <v>168</v>
      </c>
      <c r="BN253" s="0" t="s">
        <v>163</v>
      </c>
      <c r="BO253" s="0" t="s">
        <v>163</v>
      </c>
      <c r="BP253" s="0" t="s">
        <v>346</v>
      </c>
      <c r="BQ253" s="0" t="n">
        <v>40.741737</v>
      </c>
      <c r="BR253" s="0" t="n">
        <v>-73.984856</v>
      </c>
      <c r="BS253" s="0" t="s">
        <v>168</v>
      </c>
      <c r="BT253" s="0" t="n">
        <v>0</v>
      </c>
      <c r="BU253" s="0" t="s">
        <v>2234</v>
      </c>
      <c r="BV253" s="0" t="s">
        <v>2235</v>
      </c>
      <c r="BW253" s="0" t="s">
        <v>2225</v>
      </c>
      <c r="BX253" s="0" t="s">
        <v>174</v>
      </c>
      <c r="BY253" s="0" t="s">
        <v>3804</v>
      </c>
      <c r="BZ253" s="0" t="s">
        <v>3838</v>
      </c>
      <c r="CA253" s="0" t="s">
        <v>174</v>
      </c>
      <c r="CC253" s="0" t="s">
        <v>200</v>
      </c>
      <c r="CE253" s="0" t="s">
        <v>168</v>
      </c>
      <c r="CF253" s="0" t="s">
        <v>2229</v>
      </c>
      <c r="CH253" s="0" t="s">
        <v>163</v>
      </c>
      <c r="CJ253" s="0" t="s">
        <v>163</v>
      </c>
      <c r="CK253" s="0" t="s">
        <v>162</v>
      </c>
      <c r="CL253" s="0" t="s">
        <v>163</v>
      </c>
      <c r="CO253" s="0" t="n">
        <v>24</v>
      </c>
      <c r="CP253" s="0" t="s">
        <v>1726</v>
      </c>
      <c r="CQ253" s="0" t="s">
        <v>3839</v>
      </c>
      <c r="CR253" s="0" t="s">
        <v>206</v>
      </c>
      <c r="CS253" s="0" t="n">
        <v>0</v>
      </c>
      <c r="CT253" s="0" t="n">
        <v>36</v>
      </c>
      <c r="CU253" s="0" t="n">
        <v>0</v>
      </c>
      <c r="CV253" s="0" t="n">
        <v>15</v>
      </c>
      <c r="CW253" s="0" t="n">
        <v>6</v>
      </c>
      <c r="CX253" s="0" t="n">
        <v>15</v>
      </c>
      <c r="CY253" s="0" t="n">
        <f aca="false">IF(AH253="exact",10,IF(AH253="adjacent",5,0))</f>
        <v>0</v>
      </c>
      <c r="CZ253" s="0" t="n">
        <f aca="false">IF(R253="Y",15,0)</f>
        <v>0</v>
      </c>
      <c r="DF253" s="0" t="s">
        <v>158</v>
      </c>
      <c r="DG253" s="0" t="s">
        <v>3778</v>
      </c>
      <c r="DK253" s="0" t="s">
        <v>3840</v>
      </c>
      <c r="DS253" s="0" t="s">
        <v>158</v>
      </c>
      <c r="DX253" s="0" t="s">
        <v>162</v>
      </c>
      <c r="ER253" s="0" t="str">
        <f aca="false">IF(ISNUMBER(MATCH(U253,{"queued","contacted","replied","call_booked","call_done","yes_in_principle","materials_sent"},0)),"Y","N")</f>
        <v>N</v>
      </c>
      <c r="ES253" s="0" t="str">
        <f aca="false">IF(COUNTIFS($AP$2:$AP$1000,AP253,$ER$2:$ER$1000,"Y")+COUNTIFS($AP$2:$AP$1000,AP253,$T$2:$T$1000,"Y")&gt;0,"Y","N")</f>
        <v>N</v>
      </c>
      <c r="ET253" s="0" t="str">
        <f aca="false">IF(AND(U253="new",T253="N",AT253="Y",AS253="",ES253="N"),"Y","N")</f>
        <v>N</v>
      </c>
      <c r="EU253" s="0" t="str">
        <f aca="false">IF(ET253&lt;&gt;"Y","N",IF(COUNTIFS($AP$2:$AP$1000,AP253,$ET$2:$ET$1000,"Y",$J$2:$J$1000,"&gt;"&amp;J253)+COUNTIFS($AP$2:$AP$1000,AP253,$ET$2:$ET$1000,"Y",$J$2:$J$1000,J253,$EW$2:$EW$1000,"&lt;"&amp;EW253)=0,"Y","N"))</f>
        <v>N</v>
      </c>
      <c r="EV253" s="0" t="str">
        <f aca="false">IF(Y253="","N",IF(Y253&lt;=10,"Y","N"))</f>
        <v>N</v>
      </c>
      <c r="EW253" s="0" t="n">
        <f aca="false">ROW()-1</f>
        <v>252</v>
      </c>
    </row>
    <row r="254" customFormat="false" ht="15" hidden="false" customHeight="false" outlineLevel="0" collapsed="false">
      <c r="A254" s="0" t="s">
        <v>3841</v>
      </c>
      <c r="B254" s="0" t="s">
        <v>3842</v>
      </c>
      <c r="H254" s="5" t="s">
        <v>158</v>
      </c>
      <c r="I254" s="5" t="s">
        <v>159</v>
      </c>
      <c r="J254" s="0" t="n">
        <f aca="false">IF(AX254="pass",ROUND(CU254+CV254+CW254+CX254+CY254+CZ254,1),0)</f>
        <v>0</v>
      </c>
      <c r="K254" s="0" t="s">
        <v>3843</v>
      </c>
      <c r="L254" s="0" t="s">
        <v>1322</v>
      </c>
      <c r="R254" s="5" t="s">
        <v>162</v>
      </c>
      <c r="S254" s="0" t="s">
        <v>163</v>
      </c>
      <c r="T254" s="5" t="s">
        <v>162</v>
      </c>
      <c r="U254" s="5" t="s">
        <v>561</v>
      </c>
      <c r="V254" s="0" t="s">
        <v>2008</v>
      </c>
      <c r="W254" s="0" t="s">
        <v>166</v>
      </c>
      <c r="X254" s="0" t="s">
        <v>167</v>
      </c>
      <c r="Y254" s="0" t="str">
        <f aca="false">IF(EU254&lt;&gt;"Y","",COUNTIFS($EU$2:$EU$1000,"Y",$J$2:$J$1000,"&gt;"&amp;J254)+COUNTIFS($EU$2:$EU$1000,"Y",$J$2:$J$1000,J254,$EW$2:$EW$1000,"&lt;"&amp;EW254)+1)</f>
        <v/>
      </c>
      <c r="AA254" s="0" t="s">
        <v>162</v>
      </c>
      <c r="AD254" s="0" t="s">
        <v>158</v>
      </c>
      <c r="AH254" s="5" t="s">
        <v>158</v>
      </c>
      <c r="AI254" s="0" t="s">
        <v>1473</v>
      </c>
      <c r="AJ254" s="0" t="s">
        <v>566</v>
      </c>
      <c r="AK254" s="0" t="s">
        <v>434</v>
      </c>
      <c r="AL254" s="0" t="n">
        <v>9614</v>
      </c>
      <c r="AM254" s="0" t="n">
        <v>192280</v>
      </c>
      <c r="AN254" s="0" t="s">
        <v>179</v>
      </c>
      <c r="AO254" s="0" t="s">
        <v>163</v>
      </c>
      <c r="AP254" s="0" t="s">
        <v>3841</v>
      </c>
      <c r="AQ254" s="5" t="s">
        <v>162</v>
      </c>
      <c r="AT254" s="0" t="str">
        <f aca="false">IF(AND(AX254="pass",AQ254&lt;&gt;"Y",C254&lt;&gt;"",OR(AW254&lt;&gt;"Y",AV254="Y")),"Y","N")</f>
        <v>N</v>
      </c>
      <c r="AU254" s="0" t="str">
        <f aca="false">_xlfn.TEXTJOIN("; ",TRUE(),IF(AX254&lt;&gt;"pass","gated out",""),IF(AQ254="Y","on hold: "&amp;AR254,""),IF(C254="","no contact named on an opened page",""),IF(AND(AW254="Y",AV254&lt;&gt;"Y"),"Tuesday estimate band "&amp;L254&amp;": founder's call",""))</f>
        <v>gated out; no contact named on an opened page; Tuesday estimate band over-500: founder's call</v>
      </c>
      <c r="AW254" s="0" t="s">
        <v>168</v>
      </c>
      <c r="AX254" s="0" t="s">
        <v>3703</v>
      </c>
      <c r="AY254" s="0" t="s">
        <v>3844</v>
      </c>
      <c r="AZ254" s="0" t="s">
        <v>1</v>
      </c>
      <c r="BA254" s="0" t="s">
        <v>3845</v>
      </c>
      <c r="BB254" s="0" t="s">
        <v>3846</v>
      </c>
      <c r="BC254" s="0" t="s">
        <v>3847</v>
      </c>
      <c r="BD254" s="0" t="s">
        <v>3848</v>
      </c>
      <c r="BF254" s="0" t="s">
        <v>1322</v>
      </c>
      <c r="BG254" s="0" t="s">
        <v>188</v>
      </c>
      <c r="BH254" s="0" t="s">
        <v>189</v>
      </c>
      <c r="BI254" s="0" t="s">
        <v>3849</v>
      </c>
      <c r="BK254" s="0" t="s">
        <v>3287</v>
      </c>
      <c r="BL254" s="0" t="s">
        <v>163</v>
      </c>
      <c r="BM254" s="0" t="s">
        <v>163</v>
      </c>
      <c r="BN254" s="0" t="s">
        <v>163</v>
      </c>
      <c r="BO254" s="0" t="s">
        <v>163</v>
      </c>
      <c r="BP254" s="0" t="s">
        <v>346</v>
      </c>
      <c r="BQ254" s="0" t="n">
        <v>40.741968</v>
      </c>
      <c r="BR254" s="0" t="n">
        <v>-73.985327</v>
      </c>
      <c r="BS254" s="0" t="s">
        <v>168</v>
      </c>
      <c r="BT254" s="0" t="n">
        <v>0</v>
      </c>
      <c r="BU254" s="0" t="s">
        <v>1480</v>
      </c>
      <c r="BV254" s="0" t="s">
        <v>1481</v>
      </c>
      <c r="BW254" s="0" t="s">
        <v>2008</v>
      </c>
      <c r="BX254" s="0" t="s">
        <v>2016</v>
      </c>
      <c r="BY254" s="0" t="s">
        <v>247</v>
      </c>
      <c r="BZ254" s="0" t="s">
        <v>2031</v>
      </c>
      <c r="CA254" s="0" t="s">
        <v>2032</v>
      </c>
      <c r="CC254" s="0" t="s">
        <v>200</v>
      </c>
      <c r="CE254" s="0" t="s">
        <v>162</v>
      </c>
      <c r="CH254" s="0" t="s">
        <v>163</v>
      </c>
      <c r="CJ254" s="0" t="s">
        <v>163</v>
      </c>
      <c r="CK254" s="0" t="s">
        <v>162</v>
      </c>
      <c r="CL254" s="0" t="s">
        <v>163</v>
      </c>
      <c r="CO254" s="0" t="n">
        <v>42995</v>
      </c>
      <c r="CP254" s="0" t="s">
        <v>3816</v>
      </c>
      <c r="CQ254" s="0" t="s">
        <v>3850</v>
      </c>
      <c r="CR254" s="0" t="s">
        <v>206</v>
      </c>
      <c r="CS254" s="0" t="n">
        <v>0</v>
      </c>
      <c r="CT254" s="0" t="n">
        <v>16</v>
      </c>
      <c r="CU254" s="0" t="n">
        <v>0</v>
      </c>
      <c r="CV254" s="0" t="n">
        <v>0</v>
      </c>
      <c r="CW254" s="0" t="n">
        <v>6</v>
      </c>
      <c r="CX254" s="0" t="n">
        <v>10</v>
      </c>
      <c r="CY254" s="0" t="n">
        <f aca="false">IF(AH254="exact",10,IF(AH254="adjacent",5,0))</f>
        <v>0</v>
      </c>
      <c r="CZ254" s="0" t="n">
        <f aca="false">IF(R254="Y",15,0)</f>
        <v>0</v>
      </c>
      <c r="DF254" s="0" t="s">
        <v>158</v>
      </c>
      <c r="DG254" s="0" t="s">
        <v>1335</v>
      </c>
      <c r="DH254" s="0" t="s">
        <v>3290</v>
      </c>
      <c r="DI254" s="0" t="s">
        <v>168</v>
      </c>
      <c r="DJ254" s="0" t="s">
        <v>2020</v>
      </c>
      <c r="DK254" s="0" t="s">
        <v>3851</v>
      </c>
      <c r="DS254" s="0" t="s">
        <v>158</v>
      </c>
      <c r="DX254" s="0" t="s">
        <v>162</v>
      </c>
      <c r="ER254" s="0" t="str">
        <f aca="false">IF(ISNUMBER(MATCH(U254,{"queued","contacted","replied","call_booked","call_done","yes_in_principle","materials_sent"},0)),"Y","N")</f>
        <v>N</v>
      </c>
      <c r="ES254" s="0" t="str">
        <f aca="false">IF(COUNTIFS($AP$2:$AP$1000,AP254,$ER$2:$ER$1000,"Y")+COUNTIFS($AP$2:$AP$1000,AP254,$T$2:$T$1000,"Y")&gt;0,"Y","N")</f>
        <v>N</v>
      </c>
      <c r="ET254" s="0" t="str">
        <f aca="false">IF(AND(U254="new",T254="N",AT254="Y",AS254="",ES254="N"),"Y","N")</f>
        <v>N</v>
      </c>
      <c r="EU254" s="0" t="str">
        <f aca="false">IF(ET254&lt;&gt;"Y","N",IF(COUNTIFS($AP$2:$AP$1000,AP254,$ET$2:$ET$1000,"Y",$J$2:$J$1000,"&gt;"&amp;J254)+COUNTIFS($AP$2:$AP$1000,AP254,$ET$2:$ET$1000,"Y",$J$2:$J$1000,J254,$EW$2:$EW$1000,"&lt;"&amp;EW254)=0,"Y","N"))</f>
        <v>N</v>
      </c>
      <c r="EV254" s="0" t="str">
        <f aca="false">IF(Y254="","N",IF(Y254&lt;=10,"Y","N"))</f>
        <v>N</v>
      </c>
      <c r="EW254" s="0" t="n">
        <f aca="false">ROW()-1</f>
        <v>253</v>
      </c>
    </row>
    <row r="255" customFormat="false" ht="15" hidden="false" customHeight="false" outlineLevel="0" collapsed="false">
      <c r="A255" s="0" t="s">
        <v>3852</v>
      </c>
      <c r="B255" s="0" t="s">
        <v>3853</v>
      </c>
      <c r="H255" s="5" t="s">
        <v>158</v>
      </c>
      <c r="I255" s="5" t="s">
        <v>159</v>
      </c>
      <c r="J255" s="0" t="n">
        <f aca="false">IF(AX255="pass",ROUND(CU255+CV255+CW255+CX255+CY255+CZ255,1),0)</f>
        <v>0</v>
      </c>
      <c r="K255" s="0" t="s">
        <v>3854</v>
      </c>
      <c r="L255" s="0" t="s">
        <v>1322</v>
      </c>
      <c r="R255" s="5" t="s">
        <v>162</v>
      </c>
      <c r="S255" s="0" t="s">
        <v>163</v>
      </c>
      <c r="T255" s="5" t="s">
        <v>162</v>
      </c>
      <c r="U255" s="5" t="s">
        <v>561</v>
      </c>
      <c r="V255" s="0" t="s">
        <v>3855</v>
      </c>
      <c r="W255" s="0" t="s">
        <v>166</v>
      </c>
      <c r="X255" s="0" t="s">
        <v>167</v>
      </c>
      <c r="Y255" s="0" t="str">
        <f aca="false">IF(EU255&lt;&gt;"Y","",COUNTIFS($EU$2:$EU$1000,"Y",$J$2:$J$1000,"&gt;"&amp;J255)+COUNTIFS($EU$2:$EU$1000,"Y",$J$2:$J$1000,J255,$EW$2:$EW$1000,"&lt;"&amp;EW255)+1)</f>
        <v/>
      </c>
      <c r="AA255" s="0" t="s">
        <v>162</v>
      </c>
      <c r="AD255" s="0" t="s">
        <v>158</v>
      </c>
      <c r="AH255" s="5" t="s">
        <v>158</v>
      </c>
      <c r="AI255" s="0" t="s">
        <v>3856</v>
      </c>
      <c r="AJ255" s="0" t="s">
        <v>163</v>
      </c>
      <c r="AK255" s="0" t="s">
        <v>178</v>
      </c>
      <c r="AL255" s="0" t="n">
        <v>304</v>
      </c>
      <c r="AM255" s="0" t="n">
        <v>6078</v>
      </c>
      <c r="AN255" s="0" t="s">
        <v>179</v>
      </c>
      <c r="AO255" s="0" t="s">
        <v>163</v>
      </c>
      <c r="AP255" s="0" t="s">
        <v>3852</v>
      </c>
      <c r="AQ255" s="5" t="s">
        <v>162</v>
      </c>
      <c r="AT255" s="0" t="str">
        <f aca="false">IF(AND(AX255="pass",AQ255&lt;&gt;"Y",C255&lt;&gt;"",OR(AW255&lt;&gt;"Y",AV255="Y")),"Y","N")</f>
        <v>N</v>
      </c>
      <c r="AU255" s="0" t="str">
        <f aca="false">_xlfn.TEXTJOIN("; ",TRUE(),IF(AX255&lt;&gt;"pass","gated out",""),IF(AQ255="Y","on hold: "&amp;AR255,""),IF(C255="","no contact named on an opened page",""),IF(AND(AW255="Y",AV255&lt;&gt;"Y"),"Tuesday estimate band "&amp;L255&amp;": founder's call",""))</f>
        <v>gated out; no contact named on an opened page; Tuesday estimate band over-500: founder's call</v>
      </c>
      <c r="AW255" s="0" t="s">
        <v>168</v>
      </c>
      <c r="AX255" s="0" t="s">
        <v>3703</v>
      </c>
      <c r="AY255" s="0" t="s">
        <v>3857</v>
      </c>
      <c r="AZ255" s="0" t="s">
        <v>1</v>
      </c>
      <c r="BA255" s="0" t="s">
        <v>3858</v>
      </c>
      <c r="BB255" s="0" t="s">
        <v>3859</v>
      </c>
      <c r="BC255" s="0" t="s">
        <v>2546</v>
      </c>
      <c r="BD255" s="0" t="s">
        <v>3860</v>
      </c>
      <c r="BF255" s="0" t="s">
        <v>1322</v>
      </c>
      <c r="BG255" s="0" t="s">
        <v>188</v>
      </c>
      <c r="BH255" s="0" t="s">
        <v>189</v>
      </c>
      <c r="BI255" s="0" t="s">
        <v>3861</v>
      </c>
      <c r="BK255" s="0" t="s">
        <v>3287</v>
      </c>
      <c r="BL255" s="0" t="s">
        <v>3862</v>
      </c>
      <c r="BM255" s="0" t="s">
        <v>162</v>
      </c>
      <c r="BN255" s="0" t="s">
        <v>163</v>
      </c>
      <c r="BO255" s="0" t="s">
        <v>163</v>
      </c>
      <c r="BQ255" s="0" t="n">
        <v>40.738167</v>
      </c>
      <c r="BR255" s="0" t="n">
        <v>-73.989851</v>
      </c>
      <c r="BS255" s="0" t="s">
        <v>168</v>
      </c>
      <c r="BT255" s="0" t="n">
        <v>0</v>
      </c>
      <c r="BV255" s="0" t="s">
        <v>163</v>
      </c>
      <c r="BW255" s="0" t="s">
        <v>3855</v>
      </c>
      <c r="BX255" s="0" t="s">
        <v>3863</v>
      </c>
      <c r="BY255" s="0" t="s">
        <v>247</v>
      </c>
      <c r="BZ255" s="0" t="s">
        <v>3864</v>
      </c>
      <c r="CA255" s="0" t="s">
        <v>3865</v>
      </c>
      <c r="CC255" s="0" t="s">
        <v>200</v>
      </c>
      <c r="CE255" s="0" t="s">
        <v>162</v>
      </c>
      <c r="CH255" s="0" t="s">
        <v>163</v>
      </c>
      <c r="CJ255" s="0" t="s">
        <v>163</v>
      </c>
      <c r="CK255" s="0" t="s">
        <v>162</v>
      </c>
      <c r="CL255" s="0" t="s">
        <v>163</v>
      </c>
      <c r="CO255" s="0" t="n">
        <v>1359</v>
      </c>
      <c r="CP255" s="0" t="s">
        <v>3816</v>
      </c>
      <c r="CQ255" s="0" t="s">
        <v>3866</v>
      </c>
      <c r="CR255" s="0" t="s">
        <v>206</v>
      </c>
      <c r="CS255" s="0" t="n">
        <v>0</v>
      </c>
      <c r="CT255" s="0" t="n">
        <v>21</v>
      </c>
      <c r="CU255" s="0" t="n">
        <v>0</v>
      </c>
      <c r="CV255" s="0" t="n">
        <v>0</v>
      </c>
      <c r="CW255" s="0" t="n">
        <v>6</v>
      </c>
      <c r="CX255" s="0" t="n">
        <v>15</v>
      </c>
      <c r="CY255" s="0" t="n">
        <f aca="false">IF(AH255="exact",10,IF(AH255="adjacent",5,0))</f>
        <v>0</v>
      </c>
      <c r="CZ255" s="0" t="n">
        <f aca="false">IF(R255="Y",15,0)</f>
        <v>0</v>
      </c>
      <c r="DF255" s="0" t="s">
        <v>158</v>
      </c>
      <c r="DG255" s="0" t="s">
        <v>1335</v>
      </c>
      <c r="DH255" s="0" t="s">
        <v>3290</v>
      </c>
      <c r="DI255" s="0" t="s">
        <v>162</v>
      </c>
      <c r="DK255" s="0" t="s">
        <v>3867</v>
      </c>
      <c r="DS255" s="0" t="s">
        <v>158</v>
      </c>
      <c r="DX255" s="0" t="s">
        <v>162</v>
      </c>
      <c r="ER255" s="0" t="str">
        <f aca="false">IF(ISNUMBER(MATCH(U255,{"queued","contacted","replied","call_booked","call_done","yes_in_principle","materials_sent"},0)),"Y","N")</f>
        <v>N</v>
      </c>
      <c r="ES255" s="0" t="str">
        <f aca="false">IF(COUNTIFS($AP$2:$AP$1000,AP255,$ER$2:$ER$1000,"Y")+COUNTIFS($AP$2:$AP$1000,AP255,$T$2:$T$1000,"Y")&gt;0,"Y","N")</f>
        <v>N</v>
      </c>
      <c r="ET255" s="0" t="str">
        <f aca="false">IF(AND(U255="new",T255="N",AT255="Y",AS255="",ES255="N"),"Y","N")</f>
        <v>N</v>
      </c>
      <c r="EU255" s="0" t="str">
        <f aca="false">IF(ET255&lt;&gt;"Y","N",IF(COUNTIFS($AP$2:$AP$1000,AP255,$ET$2:$ET$1000,"Y",$J$2:$J$1000,"&gt;"&amp;J255)+COUNTIFS($AP$2:$AP$1000,AP255,$ET$2:$ET$1000,"Y",$J$2:$J$1000,J255,$EW$2:$EW$1000,"&lt;"&amp;EW255)=0,"Y","N"))</f>
        <v>N</v>
      </c>
      <c r="EV255" s="0" t="str">
        <f aca="false">IF(Y255="","N",IF(Y255&lt;=10,"Y","N"))</f>
        <v>N</v>
      </c>
      <c r="EW255" s="0" t="n">
        <f aca="false">ROW()-1</f>
        <v>254</v>
      </c>
    </row>
    <row r="256" customFormat="false" ht="15" hidden="false" customHeight="false" outlineLevel="0" collapsed="false">
      <c r="A256" s="0" t="s">
        <v>3868</v>
      </c>
      <c r="B256" s="0" t="s">
        <v>3869</v>
      </c>
      <c r="H256" s="5" t="s">
        <v>158</v>
      </c>
      <c r="I256" s="5" t="s">
        <v>159</v>
      </c>
      <c r="J256" s="0" t="n">
        <f aca="false">IF(AX256="pass",ROUND(CU256+CV256+CW256+CX256+CY256+CZ256,1),0)</f>
        <v>0</v>
      </c>
      <c r="K256" s="0" t="s">
        <v>3870</v>
      </c>
      <c r="L256" s="0" t="s">
        <v>1322</v>
      </c>
      <c r="R256" s="5" t="s">
        <v>162</v>
      </c>
      <c r="S256" s="0" t="s">
        <v>163</v>
      </c>
      <c r="T256" s="5" t="s">
        <v>162</v>
      </c>
      <c r="U256" s="5" t="s">
        <v>561</v>
      </c>
      <c r="V256" s="0" t="s">
        <v>3281</v>
      </c>
      <c r="W256" s="0" t="s">
        <v>166</v>
      </c>
      <c r="X256" s="0" t="s">
        <v>167</v>
      </c>
      <c r="Y256" s="0" t="str">
        <f aca="false">IF(EU256&lt;&gt;"Y","",COUNTIFS($EU$2:$EU$1000,"Y",$J$2:$J$1000,"&gt;"&amp;J256)+COUNTIFS($EU$2:$EU$1000,"Y",$J$2:$J$1000,J256,$EW$2:$EW$1000,"&lt;"&amp;EW256)+1)</f>
        <v/>
      </c>
      <c r="AA256" s="0" t="s">
        <v>162</v>
      </c>
      <c r="AD256" s="0" t="s">
        <v>158</v>
      </c>
      <c r="AH256" s="5" t="s">
        <v>158</v>
      </c>
      <c r="AI256" s="0" t="s">
        <v>1693</v>
      </c>
      <c r="AJ256" s="0" t="s">
        <v>163</v>
      </c>
      <c r="AK256" s="0" t="s">
        <v>178</v>
      </c>
      <c r="AL256" s="0" t="n">
        <v>255</v>
      </c>
      <c r="AM256" s="0" t="n">
        <v>5106</v>
      </c>
      <c r="AN256" s="0" t="s">
        <v>179</v>
      </c>
      <c r="AO256" s="0" t="s">
        <v>163</v>
      </c>
      <c r="AP256" s="0" t="s">
        <v>3868</v>
      </c>
      <c r="AQ256" s="5" t="s">
        <v>162</v>
      </c>
      <c r="AT256" s="0" t="str">
        <f aca="false">IF(AND(AX256="pass",AQ256&lt;&gt;"Y",C256&lt;&gt;"",OR(AW256&lt;&gt;"Y",AV256="Y")),"Y","N")</f>
        <v>N</v>
      </c>
      <c r="AU256" s="0" t="str">
        <f aca="false">_xlfn.TEXTJOIN("; ",TRUE(),IF(AX256&lt;&gt;"pass","gated out",""),IF(AQ256="Y","on hold: "&amp;AR256,""),IF(C256="","no contact named on an opened page",""),IF(AND(AW256="Y",AV256&lt;&gt;"Y"),"Tuesday estimate band "&amp;L256&amp;": founder's call",""))</f>
        <v>gated out; no contact named on an opened page; Tuesday estimate band over-500: founder's call</v>
      </c>
      <c r="AW256" s="0" t="s">
        <v>168</v>
      </c>
      <c r="AX256" s="0" t="s">
        <v>3703</v>
      </c>
      <c r="AY256" s="0" t="s">
        <v>3871</v>
      </c>
      <c r="AZ256" s="0" t="s">
        <v>1</v>
      </c>
      <c r="BA256" s="0" t="s">
        <v>3872</v>
      </c>
      <c r="BB256" s="0" t="s">
        <v>3873</v>
      </c>
      <c r="BC256" s="0" t="s">
        <v>3874</v>
      </c>
      <c r="BD256" s="0" t="s">
        <v>3875</v>
      </c>
      <c r="BF256" s="0" t="s">
        <v>1322</v>
      </c>
      <c r="BG256" s="0" t="s">
        <v>188</v>
      </c>
      <c r="BH256" s="0" t="s">
        <v>189</v>
      </c>
      <c r="BI256" s="0" t="s">
        <v>3876</v>
      </c>
      <c r="BK256" s="0" t="s">
        <v>3287</v>
      </c>
      <c r="BL256" s="0" t="s">
        <v>163</v>
      </c>
      <c r="BM256" s="0" t="s">
        <v>163</v>
      </c>
      <c r="BN256" s="0" t="s">
        <v>163</v>
      </c>
      <c r="BO256" s="0" t="s">
        <v>163</v>
      </c>
      <c r="BP256" s="0" t="s">
        <v>346</v>
      </c>
      <c r="BQ256" s="0" t="n">
        <v>40.741761</v>
      </c>
      <c r="BR256" s="0" t="n">
        <v>-73.987033</v>
      </c>
      <c r="BS256" s="0" t="s">
        <v>168</v>
      </c>
      <c r="BT256" s="0" t="n">
        <v>0</v>
      </c>
      <c r="BU256" s="0" t="s">
        <v>1702</v>
      </c>
      <c r="BV256" s="0" t="s">
        <v>1703</v>
      </c>
      <c r="BW256" s="0" t="s">
        <v>3281</v>
      </c>
      <c r="BX256" s="0" t="s">
        <v>3288</v>
      </c>
      <c r="BY256" s="0" t="s">
        <v>3208</v>
      </c>
      <c r="BZ256" s="0" t="s">
        <v>3876</v>
      </c>
      <c r="CA256" s="0" t="s">
        <v>166</v>
      </c>
      <c r="CC256" s="0" t="s">
        <v>200</v>
      </c>
      <c r="CE256" s="0" t="s">
        <v>162</v>
      </c>
      <c r="CH256" s="0" t="s">
        <v>1706</v>
      </c>
      <c r="CI256" s="0" t="s">
        <v>1707</v>
      </c>
      <c r="CJ256" s="0" t="s">
        <v>163</v>
      </c>
      <c r="CK256" s="0" t="s">
        <v>162</v>
      </c>
      <c r="CL256" s="0" t="s">
        <v>163</v>
      </c>
      <c r="CO256" s="0" t="n">
        <v>1141</v>
      </c>
      <c r="CP256" s="0" t="s">
        <v>3816</v>
      </c>
      <c r="CQ256" s="0" t="s">
        <v>3877</v>
      </c>
      <c r="CR256" s="0" t="s">
        <v>206</v>
      </c>
      <c r="CS256" s="0" t="n">
        <v>0</v>
      </c>
      <c r="CT256" s="0" t="n">
        <v>21</v>
      </c>
      <c r="CU256" s="0" t="n">
        <v>0</v>
      </c>
      <c r="CV256" s="0" t="n">
        <v>0</v>
      </c>
      <c r="CW256" s="0" t="n">
        <v>6</v>
      </c>
      <c r="CX256" s="0" t="n">
        <v>15</v>
      </c>
      <c r="CY256" s="0" t="n">
        <f aca="false">IF(AH256="exact",10,IF(AH256="adjacent",5,0))</f>
        <v>0</v>
      </c>
      <c r="CZ256" s="0" t="n">
        <f aca="false">IF(R256="Y",15,0)</f>
        <v>0</v>
      </c>
      <c r="DF256" s="0" t="s">
        <v>158</v>
      </c>
      <c r="DG256" s="0" t="s">
        <v>1335</v>
      </c>
      <c r="DH256" s="0" t="s">
        <v>3290</v>
      </c>
      <c r="DI256" s="0" t="s">
        <v>162</v>
      </c>
      <c r="DK256" s="0" t="s">
        <v>3878</v>
      </c>
      <c r="DS256" s="0" t="s">
        <v>158</v>
      </c>
      <c r="DX256" s="0" t="s">
        <v>162</v>
      </c>
      <c r="ER256" s="0" t="str">
        <f aca="false">IF(ISNUMBER(MATCH(U256,{"queued","contacted","replied","call_booked","call_done","yes_in_principle","materials_sent"},0)),"Y","N")</f>
        <v>N</v>
      </c>
      <c r="ES256" s="0" t="str">
        <f aca="false">IF(COUNTIFS($AP$2:$AP$1000,AP256,$ER$2:$ER$1000,"Y")+COUNTIFS($AP$2:$AP$1000,AP256,$T$2:$T$1000,"Y")&gt;0,"Y","N")</f>
        <v>N</v>
      </c>
      <c r="ET256" s="0" t="str">
        <f aca="false">IF(AND(U256="new",T256="N",AT256="Y",AS256="",ES256="N"),"Y","N")</f>
        <v>N</v>
      </c>
      <c r="EU256" s="0" t="str">
        <f aca="false">IF(ET256&lt;&gt;"Y","N",IF(COUNTIFS($AP$2:$AP$1000,AP256,$ET$2:$ET$1000,"Y",$J$2:$J$1000,"&gt;"&amp;J256)+COUNTIFS($AP$2:$AP$1000,AP256,$ET$2:$ET$1000,"Y",$J$2:$J$1000,J256,$EW$2:$EW$1000,"&lt;"&amp;EW256)=0,"Y","N"))</f>
        <v>N</v>
      </c>
      <c r="EV256" s="0" t="str">
        <f aca="false">IF(Y256="","N",IF(Y256&lt;=10,"Y","N"))</f>
        <v>N</v>
      </c>
      <c r="EW256" s="0" t="n">
        <f aca="false">ROW()-1</f>
        <v>255</v>
      </c>
    </row>
    <row r="257" customFormat="false" ht="15" hidden="false" customHeight="false" outlineLevel="0" collapsed="false">
      <c r="A257" s="0" t="s">
        <v>3879</v>
      </c>
      <c r="B257" s="0" t="s">
        <v>3880</v>
      </c>
      <c r="H257" s="5" t="s">
        <v>158</v>
      </c>
      <c r="I257" s="5" t="s">
        <v>159</v>
      </c>
      <c r="J257" s="0" t="n">
        <f aca="false">IF(AX257="pass",ROUND(CU257+CV257+CW257+CX257+CY257+CZ257,1),0)</f>
        <v>0</v>
      </c>
      <c r="K257" s="0" t="s">
        <v>3881</v>
      </c>
      <c r="L257" s="0" t="s">
        <v>1322</v>
      </c>
      <c r="R257" s="5" t="s">
        <v>162</v>
      </c>
      <c r="S257" s="0" t="s">
        <v>163</v>
      </c>
      <c r="T257" s="5" t="s">
        <v>162</v>
      </c>
      <c r="U257" s="5" t="s">
        <v>561</v>
      </c>
      <c r="V257" s="0" t="s">
        <v>3547</v>
      </c>
      <c r="W257" s="0" t="s">
        <v>166</v>
      </c>
      <c r="X257" s="0" t="s">
        <v>167</v>
      </c>
      <c r="Y257" s="0" t="str">
        <f aca="false">IF(EU257&lt;&gt;"Y","",COUNTIFS($EU$2:$EU$1000,"Y",$J$2:$J$1000,"&gt;"&amp;J257)+COUNTIFS($EU$2:$EU$1000,"Y",$J$2:$J$1000,J257,$EW$2:$EW$1000,"&lt;"&amp;EW257)+1)</f>
        <v/>
      </c>
      <c r="AA257" s="0" t="s">
        <v>162</v>
      </c>
      <c r="AD257" s="0" t="s">
        <v>158</v>
      </c>
      <c r="AH257" s="5" t="s">
        <v>158</v>
      </c>
      <c r="AI257" s="0" t="s">
        <v>3026</v>
      </c>
      <c r="AJ257" s="0" t="s">
        <v>163</v>
      </c>
      <c r="AK257" s="0" t="s">
        <v>178</v>
      </c>
      <c r="AL257" s="0" t="n">
        <v>2140</v>
      </c>
      <c r="AM257" s="0" t="n">
        <v>4280</v>
      </c>
      <c r="AN257" s="0" t="s">
        <v>179</v>
      </c>
      <c r="AO257" s="0" t="s">
        <v>163</v>
      </c>
      <c r="AP257" s="0" t="s">
        <v>3879</v>
      </c>
      <c r="AQ257" s="5" t="s">
        <v>162</v>
      </c>
      <c r="AT257" s="0" t="str">
        <f aca="false">IF(AND(AX257="pass",AQ257&lt;&gt;"Y",C257&lt;&gt;"",OR(AW257&lt;&gt;"Y",AV257="Y")),"Y","N")</f>
        <v>N</v>
      </c>
      <c r="AU257" s="0" t="str">
        <f aca="false">_xlfn.TEXTJOIN("; ",TRUE(),IF(AX257&lt;&gt;"pass","gated out",""),IF(AQ257="Y","on hold: "&amp;AR257,""),IF(C257="","no contact named on an opened page",""),IF(AND(AW257="Y",AV257&lt;&gt;"Y"),"Tuesday estimate band "&amp;L257&amp;": founder's call",""))</f>
        <v>gated out; no contact named on an opened page; Tuesday estimate band over-500: founder's call</v>
      </c>
      <c r="AW257" s="0" t="s">
        <v>168</v>
      </c>
      <c r="AX257" s="0" t="s">
        <v>3703</v>
      </c>
      <c r="AY257" s="0" t="s">
        <v>3882</v>
      </c>
      <c r="AZ257" s="0" t="s">
        <v>1</v>
      </c>
      <c r="BA257" s="0" t="s">
        <v>3883</v>
      </c>
      <c r="BB257" s="0" t="s">
        <v>3884</v>
      </c>
      <c r="BC257" s="0" t="s">
        <v>3885</v>
      </c>
      <c r="BD257" s="0" t="s">
        <v>3886</v>
      </c>
      <c r="BF257" s="0" t="s">
        <v>1322</v>
      </c>
      <c r="BG257" s="0" t="s">
        <v>188</v>
      </c>
      <c r="BH257" s="0" t="s">
        <v>189</v>
      </c>
      <c r="BI257" s="0" t="s">
        <v>3887</v>
      </c>
      <c r="BK257" s="0" t="s">
        <v>3287</v>
      </c>
      <c r="BL257" s="0" t="s">
        <v>192</v>
      </c>
      <c r="BM257" s="0" t="s">
        <v>168</v>
      </c>
      <c r="BN257" s="0" t="s">
        <v>163</v>
      </c>
      <c r="BO257" s="0" t="s">
        <v>163</v>
      </c>
      <c r="BP257" s="0" t="s">
        <v>346</v>
      </c>
      <c r="BQ257" s="0" t="n">
        <v>40.741986</v>
      </c>
      <c r="BR257" s="0" t="n">
        <v>-73.989477</v>
      </c>
      <c r="BS257" s="0" t="s">
        <v>168</v>
      </c>
      <c r="BT257" s="0" t="n">
        <v>0</v>
      </c>
      <c r="BV257" s="0" t="s">
        <v>163</v>
      </c>
      <c r="BW257" s="0" t="s">
        <v>3547</v>
      </c>
      <c r="BX257" s="0" t="s">
        <v>3554</v>
      </c>
      <c r="BY257" s="0" t="s">
        <v>247</v>
      </c>
      <c r="BZ257" s="0" t="s">
        <v>3887</v>
      </c>
      <c r="CA257" s="0" t="s">
        <v>166</v>
      </c>
      <c r="CC257" s="0" t="s">
        <v>200</v>
      </c>
      <c r="CE257" s="0" t="s">
        <v>162</v>
      </c>
      <c r="CH257" s="0" t="s">
        <v>163</v>
      </c>
      <c r="CJ257" s="0" t="s">
        <v>163</v>
      </c>
      <c r="CK257" s="0" t="s">
        <v>162</v>
      </c>
      <c r="CL257" s="0" t="s">
        <v>163</v>
      </c>
      <c r="CO257" s="0" t="n">
        <v>3026</v>
      </c>
      <c r="CP257" s="0" t="s">
        <v>3816</v>
      </c>
      <c r="CQ257" s="0" t="s">
        <v>3888</v>
      </c>
      <c r="CR257" s="0" t="s">
        <v>206</v>
      </c>
      <c r="CS257" s="0" t="n">
        <v>0</v>
      </c>
      <c r="CT257" s="0" t="n">
        <v>21</v>
      </c>
      <c r="CU257" s="0" t="n">
        <v>0</v>
      </c>
      <c r="CV257" s="0" t="n">
        <v>0</v>
      </c>
      <c r="CW257" s="0" t="n">
        <v>6</v>
      </c>
      <c r="CX257" s="0" t="n">
        <v>15</v>
      </c>
      <c r="CY257" s="0" t="n">
        <f aca="false">IF(AH257="exact",10,IF(AH257="adjacent",5,0))</f>
        <v>0</v>
      </c>
      <c r="CZ257" s="0" t="n">
        <f aca="false">IF(R257="Y",15,0)</f>
        <v>0</v>
      </c>
      <c r="DF257" s="0" t="s">
        <v>158</v>
      </c>
      <c r="DG257" s="0" t="s">
        <v>1335</v>
      </c>
      <c r="DH257" s="0" t="s">
        <v>3290</v>
      </c>
      <c r="DI257" s="0" t="s">
        <v>162</v>
      </c>
      <c r="DK257" s="0" t="s">
        <v>3889</v>
      </c>
      <c r="DS257" s="0" t="s">
        <v>158</v>
      </c>
      <c r="DX257" s="0" t="s">
        <v>162</v>
      </c>
      <c r="ER257" s="0" t="str">
        <f aca="false">IF(ISNUMBER(MATCH(U257,{"queued","contacted","replied","call_booked","call_done","yes_in_principle","materials_sent"},0)),"Y","N")</f>
        <v>N</v>
      </c>
      <c r="ES257" s="0" t="str">
        <f aca="false">IF(COUNTIFS($AP$2:$AP$1000,AP257,$ER$2:$ER$1000,"Y")+COUNTIFS($AP$2:$AP$1000,AP257,$T$2:$T$1000,"Y")&gt;0,"Y","N")</f>
        <v>N</v>
      </c>
      <c r="ET257" s="0" t="str">
        <f aca="false">IF(AND(U257="new",T257="N",AT257="Y",AS257="",ES257="N"),"Y","N")</f>
        <v>N</v>
      </c>
      <c r="EU257" s="0" t="str">
        <f aca="false">IF(ET257&lt;&gt;"Y","N",IF(COUNTIFS($AP$2:$AP$1000,AP257,$ET$2:$ET$1000,"Y",$J$2:$J$1000,"&gt;"&amp;J257)+COUNTIFS($AP$2:$AP$1000,AP257,$ET$2:$ET$1000,"Y",$J$2:$J$1000,J257,$EW$2:$EW$1000,"&lt;"&amp;EW257)=0,"Y","N"))</f>
        <v>N</v>
      </c>
      <c r="EV257" s="0" t="str">
        <f aca="false">IF(Y257="","N",IF(Y257&lt;=10,"Y","N"))</f>
        <v>N</v>
      </c>
      <c r="EW257" s="0" t="n">
        <f aca="false">ROW()-1</f>
        <v>256</v>
      </c>
    </row>
    <row r="258" customFormat="false" ht="15" hidden="false" customHeight="false" outlineLevel="0" collapsed="false">
      <c r="A258" s="0" t="s">
        <v>3890</v>
      </c>
      <c r="B258" s="0" t="s">
        <v>3891</v>
      </c>
      <c r="H258" s="5" t="s">
        <v>158</v>
      </c>
      <c r="I258" s="5" t="s">
        <v>159</v>
      </c>
      <c r="J258" s="0" t="n">
        <f aca="false">IF(AX258="pass",ROUND(CU258+CV258+CW258+CX258+CY258+CZ258,1),0)</f>
        <v>0</v>
      </c>
      <c r="K258" s="0" t="s">
        <v>3892</v>
      </c>
      <c r="L258" s="0" t="s">
        <v>1322</v>
      </c>
      <c r="R258" s="5" t="s">
        <v>162</v>
      </c>
      <c r="S258" s="0" t="s">
        <v>163</v>
      </c>
      <c r="T258" s="5" t="s">
        <v>162</v>
      </c>
      <c r="U258" s="5" t="s">
        <v>561</v>
      </c>
      <c r="V258" s="0" t="s">
        <v>3281</v>
      </c>
      <c r="W258" s="0" t="s">
        <v>166</v>
      </c>
      <c r="X258" s="0" t="s">
        <v>167</v>
      </c>
      <c r="Y258" s="0" t="str">
        <f aca="false">IF(EU258&lt;&gt;"Y","",COUNTIFS($EU$2:$EU$1000,"Y",$J$2:$J$1000,"&gt;"&amp;J258)+COUNTIFS($EU$2:$EU$1000,"Y",$J$2:$J$1000,J258,$EW$2:$EW$1000,"&lt;"&amp;EW258)+1)</f>
        <v/>
      </c>
      <c r="AA258" s="0" t="s">
        <v>162</v>
      </c>
      <c r="AD258" s="0" t="s">
        <v>158</v>
      </c>
      <c r="AH258" s="5" t="s">
        <v>158</v>
      </c>
      <c r="AI258" s="0" t="s">
        <v>1693</v>
      </c>
      <c r="AJ258" s="0" t="s">
        <v>163</v>
      </c>
      <c r="AK258" s="0" t="s">
        <v>178</v>
      </c>
      <c r="AL258" s="0" t="n">
        <v>2420</v>
      </c>
      <c r="AM258" s="0" t="n">
        <v>48409</v>
      </c>
      <c r="AN258" s="0" t="s">
        <v>179</v>
      </c>
      <c r="AO258" s="0" t="s">
        <v>163</v>
      </c>
      <c r="AP258" s="0" t="s">
        <v>3890</v>
      </c>
      <c r="AQ258" s="5" t="s">
        <v>162</v>
      </c>
      <c r="AT258" s="0" t="str">
        <f aca="false">IF(AND(AX258="pass",AQ258&lt;&gt;"Y",C258&lt;&gt;"",OR(AW258&lt;&gt;"Y",AV258="Y")),"Y","N")</f>
        <v>N</v>
      </c>
      <c r="AU258" s="0" t="str">
        <f aca="false">_xlfn.TEXTJOIN("; ",TRUE(),IF(AX258&lt;&gt;"pass","gated out",""),IF(AQ258="Y","on hold: "&amp;AR258,""),IF(C258="","no contact named on an opened page",""),IF(AND(AW258="Y",AV258&lt;&gt;"Y"),"Tuesday estimate band "&amp;L258&amp;": founder's call",""))</f>
        <v>gated out; no contact named on an opened page; Tuesday estimate band over-500: founder's call</v>
      </c>
      <c r="AW258" s="0" t="s">
        <v>168</v>
      </c>
      <c r="AX258" s="0" t="s">
        <v>3703</v>
      </c>
      <c r="AY258" s="0" t="s">
        <v>3893</v>
      </c>
      <c r="AZ258" s="0" t="s">
        <v>1</v>
      </c>
      <c r="BA258" s="0" t="s">
        <v>3894</v>
      </c>
      <c r="BB258" s="0" t="s">
        <v>3895</v>
      </c>
      <c r="BC258" s="0" t="s">
        <v>3896</v>
      </c>
      <c r="BD258" s="0" t="s">
        <v>3897</v>
      </c>
      <c r="BF258" s="0" t="s">
        <v>1322</v>
      </c>
      <c r="BG258" s="0" t="s">
        <v>188</v>
      </c>
      <c r="BH258" s="0" t="s">
        <v>189</v>
      </c>
      <c r="BI258" s="0" t="s">
        <v>3898</v>
      </c>
      <c r="BK258" s="0" t="s">
        <v>3287</v>
      </c>
      <c r="BL258" s="0" t="s">
        <v>163</v>
      </c>
      <c r="BM258" s="0" t="s">
        <v>163</v>
      </c>
      <c r="BN258" s="0" t="s">
        <v>163</v>
      </c>
      <c r="BO258" s="0" t="s">
        <v>163</v>
      </c>
      <c r="BP258" s="0" t="s">
        <v>346</v>
      </c>
      <c r="BQ258" s="0" t="n">
        <v>40.741761</v>
      </c>
      <c r="BR258" s="0" t="n">
        <v>-73.987033</v>
      </c>
      <c r="BS258" s="0" t="s">
        <v>168</v>
      </c>
      <c r="BT258" s="0" t="n">
        <v>0</v>
      </c>
      <c r="BU258" s="0" t="s">
        <v>1702</v>
      </c>
      <c r="BV258" s="0" t="s">
        <v>1703</v>
      </c>
      <c r="BW258" s="0" t="s">
        <v>3281</v>
      </c>
      <c r="BX258" s="0" t="s">
        <v>3288</v>
      </c>
      <c r="BY258" s="0" t="s">
        <v>3208</v>
      </c>
      <c r="BZ258" s="0" t="s">
        <v>3227</v>
      </c>
      <c r="CA258" s="0" t="s">
        <v>3228</v>
      </c>
      <c r="CC258" s="0" t="s">
        <v>200</v>
      </c>
      <c r="CE258" s="0" t="s">
        <v>162</v>
      </c>
      <c r="CH258" s="0" t="s">
        <v>1706</v>
      </c>
      <c r="CI258" s="0" t="s">
        <v>1707</v>
      </c>
      <c r="CJ258" s="0" t="s">
        <v>163</v>
      </c>
      <c r="CK258" s="0" t="s">
        <v>162</v>
      </c>
      <c r="CL258" s="0" t="s">
        <v>163</v>
      </c>
      <c r="CO258" s="0" t="n">
        <v>10824</v>
      </c>
      <c r="CP258" s="0" t="s">
        <v>3816</v>
      </c>
      <c r="CQ258" s="0" t="s">
        <v>3899</v>
      </c>
      <c r="CR258" s="0" t="s">
        <v>206</v>
      </c>
      <c r="CS258" s="0" t="n">
        <v>0</v>
      </c>
      <c r="CT258" s="0" t="n">
        <v>21</v>
      </c>
      <c r="CU258" s="0" t="n">
        <v>0</v>
      </c>
      <c r="CV258" s="0" t="n">
        <v>0</v>
      </c>
      <c r="CW258" s="0" t="n">
        <v>6</v>
      </c>
      <c r="CX258" s="0" t="n">
        <v>15</v>
      </c>
      <c r="CY258" s="0" t="n">
        <f aca="false">IF(AH258="exact",10,IF(AH258="adjacent",5,0))</f>
        <v>0</v>
      </c>
      <c r="CZ258" s="0" t="n">
        <f aca="false">IF(R258="Y",15,0)</f>
        <v>0</v>
      </c>
      <c r="DF258" s="0" t="s">
        <v>158</v>
      </c>
      <c r="DG258" s="0" t="s">
        <v>1335</v>
      </c>
      <c r="DH258" s="0" t="s">
        <v>3290</v>
      </c>
      <c r="DI258" s="0" t="s">
        <v>162</v>
      </c>
      <c r="DK258" s="0" t="s">
        <v>3900</v>
      </c>
      <c r="DS258" s="0" t="s">
        <v>158</v>
      </c>
      <c r="DX258" s="0" t="s">
        <v>162</v>
      </c>
      <c r="ER258" s="0" t="str">
        <f aca="false">IF(ISNUMBER(MATCH(U258,{"queued","contacted","replied","call_booked","call_done","yes_in_principle","materials_sent"},0)),"Y","N")</f>
        <v>N</v>
      </c>
      <c r="ES258" s="0" t="str">
        <f aca="false">IF(COUNTIFS($AP$2:$AP$1000,AP258,$ER$2:$ER$1000,"Y")+COUNTIFS($AP$2:$AP$1000,AP258,$T$2:$T$1000,"Y")&gt;0,"Y","N")</f>
        <v>N</v>
      </c>
      <c r="ET258" s="0" t="str">
        <f aca="false">IF(AND(U258="new",T258="N",AT258="Y",AS258="",ES258="N"),"Y","N")</f>
        <v>N</v>
      </c>
      <c r="EU258" s="0" t="str">
        <f aca="false">IF(ET258&lt;&gt;"Y","N",IF(COUNTIFS($AP$2:$AP$1000,AP258,$ET$2:$ET$1000,"Y",$J$2:$J$1000,"&gt;"&amp;J258)+COUNTIFS($AP$2:$AP$1000,AP258,$ET$2:$ET$1000,"Y",$J$2:$J$1000,J258,$EW$2:$EW$1000,"&lt;"&amp;EW258)=0,"Y","N"))</f>
        <v>N</v>
      </c>
      <c r="EV258" s="0" t="str">
        <f aca="false">IF(Y258="","N",IF(Y258&lt;=10,"Y","N"))</f>
        <v>N</v>
      </c>
      <c r="EW258" s="0" t="n">
        <f aca="false">ROW()-1</f>
        <v>257</v>
      </c>
    </row>
    <row r="259" customFormat="false" ht="15" hidden="false" customHeight="false" outlineLevel="0" collapsed="false">
      <c r="A259" s="0" t="s">
        <v>3901</v>
      </c>
      <c r="B259" s="0" t="s">
        <v>3902</v>
      </c>
      <c r="H259" s="5" t="s">
        <v>158</v>
      </c>
      <c r="I259" s="5" t="s">
        <v>159</v>
      </c>
      <c r="J259" s="0" t="n">
        <f aca="false">IF(AX259="pass",ROUND(CU259+CV259+CW259+CX259+CY259+CZ259,1),0)</f>
        <v>0</v>
      </c>
      <c r="K259" s="0" t="s">
        <v>3903</v>
      </c>
      <c r="L259" s="0" t="s">
        <v>1322</v>
      </c>
      <c r="R259" s="5" t="s">
        <v>162</v>
      </c>
      <c r="S259" s="0" t="s">
        <v>163</v>
      </c>
      <c r="T259" s="5" t="s">
        <v>162</v>
      </c>
      <c r="U259" s="5" t="s">
        <v>561</v>
      </c>
      <c r="V259" s="0" t="s">
        <v>3904</v>
      </c>
      <c r="W259" s="0" t="s">
        <v>166</v>
      </c>
      <c r="X259" s="0" t="s">
        <v>167</v>
      </c>
      <c r="Y259" s="0" t="str">
        <f aca="false">IF(EU259&lt;&gt;"Y","",COUNTIFS($EU$2:$EU$1000,"Y",$J$2:$J$1000,"&gt;"&amp;J259)+COUNTIFS($EU$2:$EU$1000,"Y",$J$2:$J$1000,J259,$EW$2:$EW$1000,"&lt;"&amp;EW259)+1)</f>
        <v/>
      </c>
      <c r="AA259" s="0" t="s">
        <v>162</v>
      </c>
      <c r="AD259" s="0" t="s">
        <v>158</v>
      </c>
      <c r="AH259" s="5" t="s">
        <v>158</v>
      </c>
      <c r="AI259" s="0" t="s">
        <v>3905</v>
      </c>
      <c r="AJ259" s="0" t="s">
        <v>3906</v>
      </c>
      <c r="AK259" s="0" t="s">
        <v>178</v>
      </c>
      <c r="AL259" s="0" t="n">
        <v>9200</v>
      </c>
      <c r="AM259" s="0" t="n">
        <v>18400</v>
      </c>
      <c r="AN259" s="0" t="s">
        <v>179</v>
      </c>
      <c r="AO259" s="0" t="s">
        <v>163</v>
      </c>
      <c r="AP259" s="0" t="s">
        <v>3901</v>
      </c>
      <c r="AQ259" s="5" t="s">
        <v>162</v>
      </c>
      <c r="AT259" s="0" t="str">
        <f aca="false">IF(AND(AX259="pass",AQ259&lt;&gt;"Y",C259&lt;&gt;"",OR(AW259&lt;&gt;"Y",AV259="Y")),"Y","N")</f>
        <v>N</v>
      </c>
      <c r="AU259" s="0" t="str">
        <f aca="false">_xlfn.TEXTJOIN("; ",TRUE(),IF(AX259&lt;&gt;"pass","gated out",""),IF(AQ259="Y","on hold: "&amp;AR259,""),IF(C259="","no contact named on an opened page",""),IF(AND(AW259="Y",AV259&lt;&gt;"Y"),"Tuesday estimate band "&amp;L259&amp;": founder's call",""))</f>
        <v>gated out; no contact named on an opened page; Tuesday estimate band over-500: founder's call</v>
      </c>
      <c r="AW259" s="0" t="s">
        <v>168</v>
      </c>
      <c r="AX259" s="0" t="s">
        <v>3703</v>
      </c>
      <c r="AY259" s="0" t="s">
        <v>3907</v>
      </c>
      <c r="AZ259" s="0" t="s">
        <v>1</v>
      </c>
      <c r="BA259" s="0" t="s">
        <v>3908</v>
      </c>
      <c r="BB259" s="0" t="s">
        <v>3909</v>
      </c>
      <c r="BC259" s="0" t="s">
        <v>3910</v>
      </c>
      <c r="BD259" s="0" t="s">
        <v>3911</v>
      </c>
      <c r="BF259" s="0" t="s">
        <v>1322</v>
      </c>
      <c r="BG259" s="0" t="s">
        <v>188</v>
      </c>
      <c r="BH259" s="0" t="s">
        <v>189</v>
      </c>
      <c r="BI259" s="0" t="s">
        <v>3912</v>
      </c>
      <c r="BK259" s="0" t="s">
        <v>3287</v>
      </c>
      <c r="BL259" s="0" t="s">
        <v>192</v>
      </c>
      <c r="BM259" s="0" t="s">
        <v>168</v>
      </c>
      <c r="BN259" s="0" t="s">
        <v>163</v>
      </c>
      <c r="BO259" s="0" t="s">
        <v>163</v>
      </c>
      <c r="BP259" s="0" t="s">
        <v>193</v>
      </c>
      <c r="BQ259" s="0" t="n">
        <v>40.737622</v>
      </c>
      <c r="BR259" s="0" t="n">
        <v>-73.988544</v>
      </c>
      <c r="BS259" s="0" t="s">
        <v>168</v>
      </c>
      <c r="BT259" s="0" t="n">
        <v>0</v>
      </c>
      <c r="BV259" s="0" t="s">
        <v>163</v>
      </c>
      <c r="BW259" s="0" t="s">
        <v>3904</v>
      </c>
      <c r="BX259" s="0" t="s">
        <v>166</v>
      </c>
      <c r="BY259" s="0" t="s">
        <v>282</v>
      </c>
      <c r="BZ259" s="0" t="s">
        <v>3913</v>
      </c>
      <c r="CA259" s="0" t="s">
        <v>3914</v>
      </c>
      <c r="CB259" s="0" t="s">
        <v>199</v>
      </c>
      <c r="CC259" s="0" t="s">
        <v>200</v>
      </c>
      <c r="CE259" s="0" t="s">
        <v>162</v>
      </c>
      <c r="CH259" s="0" t="s">
        <v>201</v>
      </c>
      <c r="CJ259" s="0" t="s">
        <v>163</v>
      </c>
      <c r="CK259" s="0" t="s">
        <v>162</v>
      </c>
      <c r="CL259" s="0" t="s">
        <v>163</v>
      </c>
      <c r="CO259" s="0" t="n">
        <v>13011</v>
      </c>
      <c r="CP259" s="0" t="s">
        <v>3816</v>
      </c>
      <c r="CQ259" s="0" t="s">
        <v>3915</v>
      </c>
      <c r="CR259" s="0" t="s">
        <v>206</v>
      </c>
      <c r="CS259" s="0" t="n">
        <v>0</v>
      </c>
      <c r="CT259" s="0" t="n">
        <v>21</v>
      </c>
      <c r="CU259" s="0" t="n">
        <v>0</v>
      </c>
      <c r="CV259" s="0" t="n">
        <v>0</v>
      </c>
      <c r="CW259" s="0" t="n">
        <v>6</v>
      </c>
      <c r="CX259" s="0" t="n">
        <v>15</v>
      </c>
      <c r="CY259" s="0" t="n">
        <f aca="false">IF(AH259="exact",10,IF(AH259="adjacent",5,0))</f>
        <v>0</v>
      </c>
      <c r="CZ259" s="0" t="n">
        <f aca="false">IF(R259="Y",15,0)</f>
        <v>0</v>
      </c>
      <c r="DF259" s="0" t="s">
        <v>158</v>
      </c>
      <c r="DG259" s="0" t="s">
        <v>1335</v>
      </c>
      <c r="DH259" s="0" t="s">
        <v>3290</v>
      </c>
      <c r="DI259" s="0" t="s">
        <v>162</v>
      </c>
      <c r="DJ259" s="0" t="s">
        <v>3916</v>
      </c>
      <c r="DK259" s="0" t="s">
        <v>3917</v>
      </c>
      <c r="DS259" s="0" t="s">
        <v>158</v>
      </c>
      <c r="DX259" s="0" t="s">
        <v>162</v>
      </c>
      <c r="ER259" s="0" t="str">
        <f aca="false">IF(ISNUMBER(MATCH(U259,{"queued","contacted","replied","call_booked","call_done","yes_in_principle","materials_sent"},0)),"Y","N")</f>
        <v>N</v>
      </c>
      <c r="ES259" s="0" t="str">
        <f aca="false">IF(COUNTIFS($AP$2:$AP$1000,AP259,$ER$2:$ER$1000,"Y")+COUNTIFS($AP$2:$AP$1000,AP259,$T$2:$T$1000,"Y")&gt;0,"Y","N")</f>
        <v>N</v>
      </c>
      <c r="ET259" s="0" t="str">
        <f aca="false">IF(AND(U259="new",T259="N",AT259="Y",AS259="",ES259="N"),"Y","N")</f>
        <v>N</v>
      </c>
      <c r="EU259" s="0" t="str">
        <f aca="false">IF(ET259&lt;&gt;"Y","N",IF(COUNTIFS($AP$2:$AP$1000,AP259,$ET$2:$ET$1000,"Y",$J$2:$J$1000,"&gt;"&amp;J259)+COUNTIFS($AP$2:$AP$1000,AP259,$ET$2:$ET$1000,"Y",$J$2:$J$1000,J259,$EW$2:$EW$1000,"&lt;"&amp;EW259)=0,"Y","N"))</f>
        <v>N</v>
      </c>
      <c r="EV259" s="0" t="str">
        <f aca="false">IF(Y259="","N",IF(Y259&lt;=10,"Y","N"))</f>
        <v>N</v>
      </c>
      <c r="EW259" s="0" t="n">
        <f aca="false">ROW()-1</f>
        <v>258</v>
      </c>
    </row>
    <row r="260" customFormat="false" ht="15" hidden="false" customHeight="false" outlineLevel="0" collapsed="false">
      <c r="A260" s="0" t="s">
        <v>3918</v>
      </c>
      <c r="B260" s="0" t="s">
        <v>3919</v>
      </c>
      <c r="H260" s="5" t="s">
        <v>158</v>
      </c>
      <c r="I260" s="5" t="s">
        <v>159</v>
      </c>
      <c r="J260" s="0" t="n">
        <f aca="false">IF(AX260="pass",ROUND(CU260+CV260+CW260+CX260+CY260+CZ260,1),0)</f>
        <v>0</v>
      </c>
      <c r="K260" s="0" t="s">
        <v>3920</v>
      </c>
      <c r="L260" s="0" t="s">
        <v>1322</v>
      </c>
      <c r="R260" s="5" t="s">
        <v>162</v>
      </c>
      <c r="S260" s="0" t="s">
        <v>163</v>
      </c>
      <c r="T260" s="5" t="s">
        <v>162</v>
      </c>
      <c r="U260" s="5" t="s">
        <v>561</v>
      </c>
      <c r="V260" s="0" t="s">
        <v>1472</v>
      </c>
      <c r="W260" s="0" t="s">
        <v>166</v>
      </c>
      <c r="X260" s="0" t="s">
        <v>167</v>
      </c>
      <c r="Y260" s="0" t="str">
        <f aca="false">IF(EU260&lt;&gt;"Y","",COUNTIFS($EU$2:$EU$1000,"Y",$J$2:$J$1000,"&gt;"&amp;J260)+COUNTIFS($EU$2:$EU$1000,"Y",$J$2:$J$1000,J260,$EW$2:$EW$1000,"&lt;"&amp;EW260)+1)</f>
        <v/>
      </c>
      <c r="AA260" s="0" t="s">
        <v>162</v>
      </c>
      <c r="AD260" s="0" t="s">
        <v>158</v>
      </c>
      <c r="AH260" s="5" t="s">
        <v>158</v>
      </c>
      <c r="AI260" s="0" t="s">
        <v>1473</v>
      </c>
      <c r="AJ260" s="0" t="s">
        <v>163</v>
      </c>
      <c r="AK260" s="0" t="s">
        <v>178</v>
      </c>
      <c r="AL260" s="0" t="n">
        <v>609</v>
      </c>
      <c r="AM260" s="0" t="n">
        <v>1219</v>
      </c>
      <c r="AN260" s="0" t="s">
        <v>179</v>
      </c>
      <c r="AO260" s="0" t="s">
        <v>163</v>
      </c>
      <c r="AP260" s="0" t="s">
        <v>3918</v>
      </c>
      <c r="AQ260" s="5" t="s">
        <v>162</v>
      </c>
      <c r="AT260" s="0" t="str">
        <f aca="false">IF(AND(AX260="pass",AQ260&lt;&gt;"Y",C260&lt;&gt;"",OR(AW260&lt;&gt;"Y",AV260="Y")),"Y","N")</f>
        <v>N</v>
      </c>
      <c r="AU260" s="0" t="str">
        <f aca="false">_xlfn.TEXTJOIN("; ",TRUE(),IF(AX260&lt;&gt;"pass","gated out",""),IF(AQ260="Y","on hold: "&amp;AR260,""),IF(C260="","no contact named on an opened page",""),IF(AND(AW260="Y",AV260&lt;&gt;"Y"),"Tuesday estimate band "&amp;L260&amp;": founder's call",""))</f>
        <v>gated out; no contact named on an opened page; Tuesday estimate band over-500: founder's call</v>
      </c>
      <c r="AW260" s="0" t="s">
        <v>168</v>
      </c>
      <c r="AX260" s="0" t="s">
        <v>3703</v>
      </c>
      <c r="AY260" s="0" t="s">
        <v>3921</v>
      </c>
      <c r="AZ260" s="0" t="s">
        <v>1</v>
      </c>
      <c r="BA260" s="0" t="s">
        <v>3922</v>
      </c>
      <c r="BB260" s="0" t="s">
        <v>3923</v>
      </c>
      <c r="BC260" s="0" t="s">
        <v>3924</v>
      </c>
      <c r="BD260" s="0" t="s">
        <v>3925</v>
      </c>
      <c r="BF260" s="0" t="s">
        <v>1322</v>
      </c>
      <c r="BG260" s="0" t="s">
        <v>188</v>
      </c>
      <c r="BH260" s="0" t="s">
        <v>189</v>
      </c>
      <c r="BI260" s="0" t="s">
        <v>3926</v>
      </c>
      <c r="BK260" s="0" t="s">
        <v>1439</v>
      </c>
      <c r="BL260" s="0" t="s">
        <v>192</v>
      </c>
      <c r="BM260" s="0" t="s">
        <v>168</v>
      </c>
      <c r="BN260" s="0" t="s">
        <v>163</v>
      </c>
      <c r="BO260" s="0" t="s">
        <v>163</v>
      </c>
      <c r="BP260" s="0" t="s">
        <v>346</v>
      </c>
      <c r="BQ260" s="0" t="n">
        <v>40.741968</v>
      </c>
      <c r="BR260" s="0" t="n">
        <v>-73.985327</v>
      </c>
      <c r="BS260" s="0" t="s">
        <v>168</v>
      </c>
      <c r="BT260" s="0" t="n">
        <v>0</v>
      </c>
      <c r="BU260" s="0" t="s">
        <v>1480</v>
      </c>
      <c r="BV260" s="0" t="s">
        <v>1481</v>
      </c>
      <c r="BW260" s="0" t="s">
        <v>1472</v>
      </c>
      <c r="BX260" s="0" t="s">
        <v>1482</v>
      </c>
      <c r="BY260" s="0" t="s">
        <v>247</v>
      </c>
      <c r="BZ260" s="0" t="s">
        <v>3927</v>
      </c>
      <c r="CA260" s="0" t="s">
        <v>174</v>
      </c>
      <c r="CC260" s="0" t="s">
        <v>200</v>
      </c>
      <c r="CE260" s="0" t="s">
        <v>162</v>
      </c>
      <c r="CH260" s="0" t="s">
        <v>163</v>
      </c>
      <c r="CJ260" s="0" t="s">
        <v>163</v>
      </c>
      <c r="CK260" s="0" t="s">
        <v>162</v>
      </c>
      <c r="CL260" s="0" t="s">
        <v>163</v>
      </c>
      <c r="CO260" s="0" t="n">
        <v>862</v>
      </c>
      <c r="CP260" s="0" t="s">
        <v>3816</v>
      </c>
      <c r="CQ260" s="0" t="s">
        <v>3928</v>
      </c>
      <c r="CR260" s="0" t="s">
        <v>206</v>
      </c>
      <c r="CS260" s="0" t="n">
        <v>0</v>
      </c>
      <c r="CT260" s="0" t="n">
        <v>23</v>
      </c>
      <c r="CU260" s="0" t="n">
        <v>0</v>
      </c>
      <c r="CV260" s="0" t="n">
        <v>2</v>
      </c>
      <c r="CW260" s="0" t="n">
        <v>6</v>
      </c>
      <c r="CX260" s="0" t="n">
        <v>15</v>
      </c>
      <c r="CY260" s="0" t="n">
        <f aca="false">IF(AH260="exact",10,IF(AH260="adjacent",5,0))</f>
        <v>0</v>
      </c>
      <c r="CZ260" s="0" t="n">
        <f aca="false">IF(R260="Y",15,0)</f>
        <v>0</v>
      </c>
      <c r="DF260" s="0" t="s">
        <v>158</v>
      </c>
      <c r="DG260" s="0" t="s">
        <v>1335</v>
      </c>
      <c r="DH260" s="0" t="s">
        <v>1446</v>
      </c>
      <c r="DI260" s="0" t="s">
        <v>162</v>
      </c>
      <c r="DK260" s="0" t="s">
        <v>3929</v>
      </c>
      <c r="DS260" s="0" t="s">
        <v>158</v>
      </c>
      <c r="DX260" s="0" t="s">
        <v>162</v>
      </c>
      <c r="ER260" s="0" t="str">
        <f aca="false">IF(ISNUMBER(MATCH(U260,{"queued","contacted","replied","call_booked","call_done","yes_in_principle","materials_sent"},0)),"Y","N")</f>
        <v>N</v>
      </c>
      <c r="ES260" s="0" t="str">
        <f aca="false">IF(COUNTIFS($AP$2:$AP$1000,AP260,$ER$2:$ER$1000,"Y")+COUNTIFS($AP$2:$AP$1000,AP260,$T$2:$T$1000,"Y")&gt;0,"Y","N")</f>
        <v>N</v>
      </c>
      <c r="ET260" s="0" t="str">
        <f aca="false">IF(AND(U260="new",T260="N",AT260="Y",AS260="",ES260="N"),"Y","N")</f>
        <v>N</v>
      </c>
      <c r="EU260" s="0" t="str">
        <f aca="false">IF(ET260&lt;&gt;"Y","N",IF(COUNTIFS($AP$2:$AP$1000,AP260,$ET$2:$ET$1000,"Y",$J$2:$J$1000,"&gt;"&amp;J260)+COUNTIFS($AP$2:$AP$1000,AP260,$ET$2:$ET$1000,"Y",$J$2:$J$1000,J260,$EW$2:$EW$1000,"&lt;"&amp;EW260)=0,"Y","N"))</f>
        <v>N</v>
      </c>
      <c r="EV260" s="0" t="str">
        <f aca="false">IF(Y260="","N",IF(Y260&lt;=10,"Y","N"))</f>
        <v>N</v>
      </c>
      <c r="EW260" s="0" t="n">
        <f aca="false">ROW()-1</f>
        <v>259</v>
      </c>
    </row>
    <row r="261" customFormat="false" ht="15" hidden="false" customHeight="false" outlineLevel="0" collapsed="false">
      <c r="A261" s="0" t="s">
        <v>3930</v>
      </c>
      <c r="B261" s="0" t="s">
        <v>3931</v>
      </c>
      <c r="H261" s="5" t="s">
        <v>158</v>
      </c>
      <c r="I261" s="5" t="s">
        <v>159</v>
      </c>
      <c r="J261" s="0" t="n">
        <f aca="false">IF(AX261="pass",ROUND(CU261+CV261+CW261+CX261+CY261+CZ261,1),0)</f>
        <v>0</v>
      </c>
      <c r="K261" s="0" t="s">
        <v>3932</v>
      </c>
      <c r="L261" s="0" t="s">
        <v>1322</v>
      </c>
      <c r="R261" s="5" t="s">
        <v>162</v>
      </c>
      <c r="S261" s="0" t="s">
        <v>163</v>
      </c>
      <c r="T261" s="5" t="s">
        <v>162</v>
      </c>
      <c r="U261" s="5" t="s">
        <v>561</v>
      </c>
      <c r="V261" s="0" t="s">
        <v>1869</v>
      </c>
      <c r="W261" s="0" t="s">
        <v>166</v>
      </c>
      <c r="X261" s="0" t="s">
        <v>167</v>
      </c>
      <c r="Y261" s="0" t="str">
        <f aca="false">IF(EU261&lt;&gt;"Y","",COUNTIFS($EU$2:$EU$1000,"Y",$J$2:$J$1000,"&gt;"&amp;J261)+COUNTIFS($EU$2:$EU$1000,"Y",$J$2:$J$1000,J261,$EW$2:$EW$1000,"&lt;"&amp;EW261)+1)</f>
        <v/>
      </c>
      <c r="AA261" s="0" t="s">
        <v>162</v>
      </c>
      <c r="AD261" s="0" t="s">
        <v>158</v>
      </c>
      <c r="AH261" s="5" t="s">
        <v>158</v>
      </c>
      <c r="AI261" s="0" t="s">
        <v>1870</v>
      </c>
      <c r="AJ261" s="0" t="s">
        <v>624</v>
      </c>
      <c r="AK261" s="0" t="s">
        <v>178</v>
      </c>
      <c r="AL261" s="0" t="n">
        <v>336</v>
      </c>
      <c r="AM261" s="0" t="n">
        <v>6726</v>
      </c>
      <c r="AN261" s="0" t="s">
        <v>179</v>
      </c>
      <c r="AO261" s="0" t="s">
        <v>163</v>
      </c>
      <c r="AP261" s="0" t="s">
        <v>3930</v>
      </c>
      <c r="AQ261" s="5" t="s">
        <v>162</v>
      </c>
      <c r="AT261" s="0" t="str">
        <f aca="false">IF(AND(AX261="pass",AQ261&lt;&gt;"Y",C261&lt;&gt;"",OR(AW261&lt;&gt;"Y",AV261="Y")),"Y","N")</f>
        <v>N</v>
      </c>
      <c r="AU261" s="0" t="str">
        <f aca="false">_xlfn.TEXTJOIN("; ",TRUE(),IF(AX261&lt;&gt;"pass","gated out",""),IF(AQ261="Y","on hold: "&amp;AR261,""),IF(C261="","no contact named on an opened page",""),IF(AND(AW261="Y",AV261&lt;&gt;"Y"),"Tuesday estimate band "&amp;L261&amp;": founder's call",""))</f>
        <v>gated out; no contact named on an opened page; Tuesday estimate band over-500: founder's call</v>
      </c>
      <c r="AW261" s="0" t="s">
        <v>168</v>
      </c>
      <c r="AX261" s="0" t="s">
        <v>3703</v>
      </c>
      <c r="AY261" s="0" t="s">
        <v>3933</v>
      </c>
      <c r="AZ261" s="0" t="s">
        <v>1</v>
      </c>
      <c r="BA261" s="0" t="s">
        <v>3934</v>
      </c>
      <c r="BB261" s="0" t="s">
        <v>3935</v>
      </c>
      <c r="BC261" s="0" t="s">
        <v>3936</v>
      </c>
      <c r="BD261" s="0" t="s">
        <v>3937</v>
      </c>
      <c r="BF261" s="0" t="s">
        <v>1322</v>
      </c>
      <c r="BG261" s="0" t="s">
        <v>188</v>
      </c>
      <c r="BH261" s="0" t="s">
        <v>189</v>
      </c>
      <c r="BI261" s="0" t="s">
        <v>3938</v>
      </c>
      <c r="BK261" s="0" t="s">
        <v>3287</v>
      </c>
      <c r="BL261" s="0" t="s">
        <v>656</v>
      </c>
      <c r="BM261" s="0" t="s">
        <v>162</v>
      </c>
      <c r="BN261" s="0" t="s">
        <v>163</v>
      </c>
      <c r="BO261" s="0" t="s">
        <v>163</v>
      </c>
      <c r="BP261" s="0" t="s">
        <v>377</v>
      </c>
      <c r="BQ261" s="0" t="n">
        <v>40.738793</v>
      </c>
      <c r="BR261" s="0" t="n">
        <v>-73.991823</v>
      </c>
      <c r="BS261" s="0" t="s">
        <v>168</v>
      </c>
      <c r="BT261" s="0" t="n">
        <v>0</v>
      </c>
      <c r="BU261" s="0" t="s">
        <v>1878</v>
      </c>
      <c r="BV261" s="0" t="s">
        <v>1879</v>
      </c>
      <c r="BW261" s="0" t="s">
        <v>1869</v>
      </c>
      <c r="BX261" s="0" t="s">
        <v>1880</v>
      </c>
      <c r="BY261" s="0" t="s">
        <v>247</v>
      </c>
      <c r="BZ261" s="0" t="s">
        <v>3939</v>
      </c>
      <c r="CA261" s="0" t="s">
        <v>3940</v>
      </c>
      <c r="CC261" s="0" t="s">
        <v>738</v>
      </c>
      <c r="CE261" s="0" t="s">
        <v>162</v>
      </c>
      <c r="CH261" s="0" t="s">
        <v>163</v>
      </c>
      <c r="CJ261" s="0" t="s">
        <v>163</v>
      </c>
      <c r="CK261" s="0" t="s">
        <v>162</v>
      </c>
      <c r="CL261" s="0" t="s">
        <v>163</v>
      </c>
      <c r="CO261" s="0" t="n">
        <v>1503</v>
      </c>
      <c r="CP261" s="0" t="s">
        <v>3816</v>
      </c>
      <c r="CQ261" s="0" t="s">
        <v>3941</v>
      </c>
      <c r="CR261" s="0" t="s">
        <v>206</v>
      </c>
      <c r="CS261" s="0" t="n">
        <v>0</v>
      </c>
      <c r="CT261" s="0" t="n">
        <v>19</v>
      </c>
      <c r="CU261" s="0" t="n">
        <v>0</v>
      </c>
      <c r="CV261" s="0" t="n">
        <v>0</v>
      </c>
      <c r="CW261" s="0" t="n">
        <v>6</v>
      </c>
      <c r="CX261" s="0" t="n">
        <v>13</v>
      </c>
      <c r="CY261" s="0" t="n">
        <f aca="false">IF(AH261="exact",10,IF(AH261="adjacent",5,0))</f>
        <v>0</v>
      </c>
      <c r="CZ261" s="0" t="n">
        <f aca="false">IF(R261="Y",15,0)</f>
        <v>0</v>
      </c>
      <c r="DF261" s="0" t="s">
        <v>158</v>
      </c>
      <c r="DG261" s="0" t="s">
        <v>1335</v>
      </c>
      <c r="DH261" s="0" t="s">
        <v>3290</v>
      </c>
      <c r="DI261" s="0" t="s">
        <v>162</v>
      </c>
      <c r="DJ261" s="0" t="s">
        <v>3942</v>
      </c>
      <c r="DK261" s="0" t="s">
        <v>3943</v>
      </c>
      <c r="DS261" s="0" t="s">
        <v>158</v>
      </c>
      <c r="DX261" s="0" t="s">
        <v>162</v>
      </c>
      <c r="ER261" s="0" t="str">
        <f aca="false">IF(ISNUMBER(MATCH(U261,{"queued","contacted","replied","call_booked","call_done","yes_in_principle","materials_sent"},0)),"Y","N")</f>
        <v>N</v>
      </c>
      <c r="ES261" s="0" t="str">
        <f aca="false">IF(COUNTIFS($AP$2:$AP$1000,AP261,$ER$2:$ER$1000,"Y")+COUNTIFS($AP$2:$AP$1000,AP261,$T$2:$T$1000,"Y")&gt;0,"Y","N")</f>
        <v>N</v>
      </c>
      <c r="ET261" s="0" t="str">
        <f aca="false">IF(AND(U261="new",T261="N",AT261="Y",AS261="",ES261="N"),"Y","N")</f>
        <v>N</v>
      </c>
      <c r="EU261" s="0" t="str">
        <f aca="false">IF(ET261&lt;&gt;"Y","N",IF(COUNTIFS($AP$2:$AP$1000,AP261,$ET$2:$ET$1000,"Y",$J$2:$J$1000,"&gt;"&amp;J261)+COUNTIFS($AP$2:$AP$1000,AP261,$ET$2:$ET$1000,"Y",$J$2:$J$1000,J261,$EW$2:$EW$1000,"&lt;"&amp;EW261)=0,"Y","N"))</f>
        <v>N</v>
      </c>
      <c r="EV261" s="0" t="str">
        <f aca="false">IF(Y261="","N",IF(Y261&lt;=10,"Y","N"))</f>
        <v>N</v>
      </c>
      <c r="EW261" s="0" t="n">
        <f aca="false">ROW()-1</f>
        <v>260</v>
      </c>
    </row>
    <row r="262" customFormat="false" ht="15" hidden="false" customHeight="false" outlineLevel="0" collapsed="false">
      <c r="A262" s="0" t="s">
        <v>3944</v>
      </c>
      <c r="B262" s="0" t="s">
        <v>3945</v>
      </c>
      <c r="H262" s="5" t="s">
        <v>158</v>
      </c>
      <c r="I262" s="5" t="s">
        <v>159</v>
      </c>
      <c r="J262" s="0" t="n">
        <f aca="false">IF(AX262="pass",ROUND(CU262+CV262+CW262+CX262+CY262+CZ262,1),0)</f>
        <v>0</v>
      </c>
      <c r="K262" s="0" t="s">
        <v>3946</v>
      </c>
      <c r="L262" s="0" t="s">
        <v>1322</v>
      </c>
      <c r="R262" s="5" t="s">
        <v>162</v>
      </c>
      <c r="S262" s="0" t="s">
        <v>163</v>
      </c>
      <c r="T262" s="5" t="s">
        <v>162</v>
      </c>
      <c r="U262" s="5" t="s">
        <v>561</v>
      </c>
      <c r="V262" s="0" t="s">
        <v>1660</v>
      </c>
      <c r="W262" s="0" t="s">
        <v>166</v>
      </c>
      <c r="X262" s="0" t="s">
        <v>167</v>
      </c>
      <c r="Y262" s="0" t="str">
        <f aca="false">IF(EU262&lt;&gt;"Y","",COUNTIFS($EU$2:$EU$1000,"Y",$J$2:$J$1000,"&gt;"&amp;J262)+COUNTIFS($EU$2:$EU$1000,"Y",$J$2:$J$1000,J262,$EW$2:$EW$1000,"&lt;"&amp;EW262)+1)</f>
        <v/>
      </c>
      <c r="AA262" s="0" t="s">
        <v>162</v>
      </c>
      <c r="AD262" s="0" t="s">
        <v>158</v>
      </c>
      <c r="AH262" s="5" t="s">
        <v>158</v>
      </c>
      <c r="AI262" s="0" t="s">
        <v>1662</v>
      </c>
      <c r="AJ262" s="0" t="s">
        <v>163</v>
      </c>
      <c r="AK262" s="0" t="s">
        <v>434</v>
      </c>
      <c r="AL262" s="0" t="n">
        <v>36248</v>
      </c>
      <c r="AM262" s="0" t="n">
        <v>724960</v>
      </c>
      <c r="AN262" s="0" t="s">
        <v>179</v>
      </c>
      <c r="AO262" s="0" t="s">
        <v>163</v>
      </c>
      <c r="AP262" s="0" t="s">
        <v>3944</v>
      </c>
      <c r="AQ262" s="5" t="s">
        <v>162</v>
      </c>
      <c r="AT262" s="0" t="str">
        <f aca="false">IF(AND(AX262="pass",AQ262&lt;&gt;"Y",C262&lt;&gt;"",OR(AW262&lt;&gt;"Y",AV262="Y")),"Y","N")</f>
        <v>N</v>
      </c>
      <c r="AU262" s="0" t="str">
        <f aca="false">_xlfn.TEXTJOIN("; ",TRUE(),IF(AX262&lt;&gt;"pass","gated out",""),IF(AQ262="Y","on hold: "&amp;AR262,""),IF(C262="","no contact named on an opened page",""),IF(AND(AW262="Y",AV262&lt;&gt;"Y"),"Tuesday estimate band "&amp;L262&amp;": founder's call",""))</f>
        <v>gated out; no contact named on an opened page; Tuesday estimate band over-500: founder's call</v>
      </c>
      <c r="AW262" s="0" t="s">
        <v>168</v>
      </c>
      <c r="AX262" s="0" t="s">
        <v>3703</v>
      </c>
      <c r="AY262" s="0" t="s">
        <v>3947</v>
      </c>
      <c r="AZ262" s="0" t="s">
        <v>1</v>
      </c>
      <c r="BA262" s="0" t="s">
        <v>3948</v>
      </c>
      <c r="BB262" s="0" t="s">
        <v>3949</v>
      </c>
      <c r="BC262" s="0" t="s">
        <v>3950</v>
      </c>
      <c r="BD262" s="0" t="s">
        <v>3951</v>
      </c>
      <c r="BF262" s="0" t="s">
        <v>1322</v>
      </c>
      <c r="BG262" s="0" t="s">
        <v>188</v>
      </c>
      <c r="BH262" s="0" t="s">
        <v>189</v>
      </c>
      <c r="BI262" s="0" t="s">
        <v>3952</v>
      </c>
      <c r="BK262" s="0" t="s">
        <v>3287</v>
      </c>
      <c r="BL262" s="0" t="s">
        <v>163</v>
      </c>
      <c r="BM262" s="0" t="s">
        <v>163</v>
      </c>
      <c r="BN262" s="0" t="s">
        <v>163</v>
      </c>
      <c r="BO262" s="0" t="s">
        <v>163</v>
      </c>
      <c r="BP262" s="0" t="s">
        <v>346</v>
      </c>
      <c r="BQ262" s="0" t="n">
        <v>40.740567</v>
      </c>
      <c r="BR262" s="0" t="n">
        <v>-73.985832</v>
      </c>
      <c r="BS262" s="0" t="s">
        <v>168</v>
      </c>
      <c r="BT262" s="0" t="n">
        <v>0</v>
      </c>
      <c r="BV262" s="0" t="s">
        <v>163</v>
      </c>
      <c r="BW262" s="0" t="s">
        <v>1660</v>
      </c>
      <c r="BX262" s="0" t="s">
        <v>198</v>
      </c>
      <c r="BY262" s="0" t="s">
        <v>247</v>
      </c>
      <c r="CC262" s="0" t="s">
        <v>738</v>
      </c>
      <c r="CE262" s="0" t="s">
        <v>162</v>
      </c>
      <c r="CH262" s="0" t="s">
        <v>201</v>
      </c>
      <c r="CJ262" s="0" t="s">
        <v>163</v>
      </c>
      <c r="CK262" s="0" t="s">
        <v>162</v>
      </c>
      <c r="CL262" s="0" t="s">
        <v>163</v>
      </c>
      <c r="CO262" s="0" t="n">
        <v>162106</v>
      </c>
      <c r="CP262" s="0" t="s">
        <v>3816</v>
      </c>
      <c r="CQ262" s="0" t="s">
        <v>3953</v>
      </c>
      <c r="CR262" s="0" t="s">
        <v>206</v>
      </c>
      <c r="CS262" s="0" t="n">
        <v>0</v>
      </c>
      <c r="CT262" s="0" t="n">
        <v>14</v>
      </c>
      <c r="CU262" s="0" t="n">
        <v>0</v>
      </c>
      <c r="CV262" s="0" t="n">
        <v>0</v>
      </c>
      <c r="CW262" s="0" t="n">
        <v>6</v>
      </c>
      <c r="CX262" s="0" t="n">
        <v>8</v>
      </c>
      <c r="CY262" s="0" t="n">
        <f aca="false">IF(AH262="exact",10,IF(AH262="adjacent",5,0))</f>
        <v>0</v>
      </c>
      <c r="CZ262" s="0" t="n">
        <f aca="false">IF(R262="Y",15,0)</f>
        <v>0</v>
      </c>
      <c r="DF262" s="0" t="s">
        <v>158</v>
      </c>
      <c r="DG262" s="0" t="s">
        <v>1335</v>
      </c>
      <c r="DH262" s="0" t="s">
        <v>3290</v>
      </c>
      <c r="DI262" s="0" t="s">
        <v>162</v>
      </c>
      <c r="DK262" s="0" t="s">
        <v>3954</v>
      </c>
      <c r="DS262" s="0" t="s">
        <v>158</v>
      </c>
      <c r="DX262" s="0" t="s">
        <v>162</v>
      </c>
      <c r="ER262" s="0" t="str">
        <f aca="false">IF(ISNUMBER(MATCH(U262,{"queued","contacted","replied","call_booked","call_done","yes_in_principle","materials_sent"},0)),"Y","N")</f>
        <v>N</v>
      </c>
      <c r="ES262" s="0" t="str">
        <f aca="false">IF(COUNTIFS($AP$2:$AP$1000,AP262,$ER$2:$ER$1000,"Y")+COUNTIFS($AP$2:$AP$1000,AP262,$T$2:$T$1000,"Y")&gt;0,"Y","N")</f>
        <v>N</v>
      </c>
      <c r="ET262" s="0" t="str">
        <f aca="false">IF(AND(U262="new",T262="N",AT262="Y",AS262="",ES262="N"),"Y","N")</f>
        <v>N</v>
      </c>
      <c r="EU262" s="0" t="str">
        <f aca="false">IF(ET262&lt;&gt;"Y","N",IF(COUNTIFS($AP$2:$AP$1000,AP262,$ET$2:$ET$1000,"Y",$J$2:$J$1000,"&gt;"&amp;J262)+COUNTIFS($AP$2:$AP$1000,AP262,$ET$2:$ET$1000,"Y",$J$2:$J$1000,J262,$EW$2:$EW$1000,"&lt;"&amp;EW262)=0,"Y","N"))</f>
        <v>N</v>
      </c>
      <c r="EV262" s="0" t="str">
        <f aca="false">IF(Y262="","N",IF(Y262&lt;=10,"Y","N"))</f>
        <v>N</v>
      </c>
      <c r="EW262" s="0" t="n">
        <f aca="false">ROW()-1</f>
        <v>261</v>
      </c>
    </row>
    <row r="263" customFormat="false" ht="15" hidden="false" customHeight="false" outlineLevel="0" collapsed="false">
      <c r="A263" s="0" t="s">
        <v>3955</v>
      </c>
      <c r="B263" s="0" t="s">
        <v>3956</v>
      </c>
      <c r="H263" s="5" t="s">
        <v>158</v>
      </c>
      <c r="I263" s="5" t="s">
        <v>159</v>
      </c>
      <c r="J263" s="0" t="n">
        <f aca="false">IF(AX263="pass",ROUND(CU263+CV263+CW263+CX263+CY263+CZ263,1),0)</f>
        <v>0</v>
      </c>
      <c r="K263" s="0" t="s">
        <v>3957</v>
      </c>
      <c r="L263" s="0" t="s">
        <v>1322</v>
      </c>
      <c r="R263" s="5" t="s">
        <v>162</v>
      </c>
      <c r="S263" s="0" t="s">
        <v>163</v>
      </c>
      <c r="T263" s="5" t="s">
        <v>162</v>
      </c>
      <c r="U263" s="5" t="s">
        <v>561</v>
      </c>
      <c r="V263" s="0" t="s">
        <v>3958</v>
      </c>
      <c r="W263" s="0" t="s">
        <v>166</v>
      </c>
      <c r="X263" s="0" t="s">
        <v>167</v>
      </c>
      <c r="Y263" s="0" t="str">
        <f aca="false">IF(EU263&lt;&gt;"Y","",COUNTIFS($EU$2:$EU$1000,"Y",$J$2:$J$1000,"&gt;"&amp;J263)+COUNTIFS($EU$2:$EU$1000,"Y",$J$2:$J$1000,J263,$EW$2:$EW$1000,"&lt;"&amp;EW263)+1)</f>
        <v/>
      </c>
      <c r="AA263" s="0" t="s">
        <v>162</v>
      </c>
      <c r="AD263" s="0" t="s">
        <v>158</v>
      </c>
      <c r="AH263" s="5" t="s">
        <v>158</v>
      </c>
      <c r="AI263" s="0" t="s">
        <v>3959</v>
      </c>
      <c r="AJ263" s="0" t="s">
        <v>3960</v>
      </c>
      <c r="AK263" s="0" t="s">
        <v>178</v>
      </c>
      <c r="AL263" s="0" t="n">
        <v>391</v>
      </c>
      <c r="AM263" s="0" t="n">
        <v>7820</v>
      </c>
      <c r="AN263" s="0" t="s">
        <v>179</v>
      </c>
      <c r="AO263" s="0" t="s">
        <v>163</v>
      </c>
      <c r="AP263" s="0" t="s">
        <v>3955</v>
      </c>
      <c r="AQ263" s="5" t="s">
        <v>162</v>
      </c>
      <c r="AT263" s="0" t="str">
        <f aca="false">IF(AND(AX263="pass",AQ263&lt;&gt;"Y",C263&lt;&gt;"",OR(AW263&lt;&gt;"Y",AV263="Y")),"Y","N")</f>
        <v>N</v>
      </c>
      <c r="AU263" s="0" t="str">
        <f aca="false">_xlfn.TEXTJOIN("; ",TRUE(),IF(AX263&lt;&gt;"pass","gated out",""),IF(AQ263="Y","on hold: "&amp;AR263,""),IF(C263="","no contact named on an opened page",""),IF(AND(AW263="Y",AV263&lt;&gt;"Y"),"Tuesday estimate band "&amp;L263&amp;": founder's call",""))</f>
        <v>gated out; no contact named on an opened page; Tuesday estimate band over-500: founder's call</v>
      </c>
      <c r="AW263" s="0" t="s">
        <v>168</v>
      </c>
      <c r="AX263" s="0" t="s">
        <v>3703</v>
      </c>
      <c r="AY263" s="0" t="s">
        <v>3961</v>
      </c>
      <c r="AZ263" s="0" t="s">
        <v>1</v>
      </c>
      <c r="BA263" s="0" t="s">
        <v>3962</v>
      </c>
      <c r="BB263" s="0" t="s">
        <v>3963</v>
      </c>
      <c r="BC263" s="0" t="s">
        <v>3964</v>
      </c>
      <c r="BD263" s="0" t="s">
        <v>3965</v>
      </c>
      <c r="BF263" s="0" t="s">
        <v>1322</v>
      </c>
      <c r="BG263" s="0" t="s">
        <v>188</v>
      </c>
      <c r="BH263" s="0" t="s">
        <v>189</v>
      </c>
      <c r="BI263" s="0" t="s">
        <v>3966</v>
      </c>
      <c r="BK263" s="0" t="s">
        <v>3287</v>
      </c>
      <c r="BL263" s="0" t="s">
        <v>3967</v>
      </c>
      <c r="BM263" s="0" t="s">
        <v>162</v>
      </c>
      <c r="BN263" s="0" t="s">
        <v>163</v>
      </c>
      <c r="BO263" s="0" t="s">
        <v>163</v>
      </c>
      <c r="BP263" s="0" t="s">
        <v>243</v>
      </c>
      <c r="BQ263" s="0" t="n">
        <v>40.743639</v>
      </c>
      <c r="BR263" s="0" t="n">
        <v>-73.98576</v>
      </c>
      <c r="BS263" s="0" t="s">
        <v>168</v>
      </c>
      <c r="BT263" s="0" t="n">
        <v>0</v>
      </c>
      <c r="BV263" s="0" t="s">
        <v>163</v>
      </c>
      <c r="BW263" s="0" t="s">
        <v>3958</v>
      </c>
      <c r="BX263" s="0" t="s">
        <v>1724</v>
      </c>
      <c r="BY263" s="0" t="s">
        <v>247</v>
      </c>
      <c r="CC263" s="0" t="s">
        <v>738</v>
      </c>
      <c r="CE263" s="0" t="s">
        <v>162</v>
      </c>
      <c r="CH263" s="0" t="s">
        <v>201</v>
      </c>
      <c r="CJ263" s="0" t="s">
        <v>163</v>
      </c>
      <c r="CK263" s="0" t="s">
        <v>162</v>
      </c>
      <c r="CL263" s="0" t="s">
        <v>163</v>
      </c>
      <c r="CO263" s="0" t="n">
        <v>1749</v>
      </c>
      <c r="CP263" s="0" t="s">
        <v>3816</v>
      </c>
      <c r="CQ263" s="0" t="s">
        <v>3968</v>
      </c>
      <c r="CR263" s="0" t="s">
        <v>206</v>
      </c>
      <c r="CS263" s="0" t="n">
        <v>0</v>
      </c>
      <c r="CT263" s="0" t="n">
        <v>19</v>
      </c>
      <c r="CU263" s="0" t="n">
        <v>0</v>
      </c>
      <c r="CV263" s="0" t="n">
        <v>0</v>
      </c>
      <c r="CW263" s="0" t="n">
        <v>6</v>
      </c>
      <c r="CX263" s="0" t="n">
        <v>13</v>
      </c>
      <c r="CY263" s="0" t="n">
        <f aca="false">IF(AH263="exact",10,IF(AH263="adjacent",5,0))</f>
        <v>0</v>
      </c>
      <c r="CZ263" s="0" t="n">
        <f aca="false">IF(R263="Y",15,0)</f>
        <v>0</v>
      </c>
      <c r="DF263" s="0" t="s">
        <v>158</v>
      </c>
      <c r="DG263" s="0" t="s">
        <v>1335</v>
      </c>
      <c r="DH263" s="0" t="s">
        <v>3290</v>
      </c>
      <c r="DI263" s="0" t="s">
        <v>162</v>
      </c>
      <c r="DJ263" s="0" t="s">
        <v>3969</v>
      </c>
      <c r="DK263" s="0" t="s">
        <v>3970</v>
      </c>
      <c r="DS263" s="0" t="s">
        <v>158</v>
      </c>
      <c r="DX263" s="0" t="s">
        <v>162</v>
      </c>
      <c r="ER263" s="0" t="str">
        <f aca="false">IF(ISNUMBER(MATCH(U263,{"queued","contacted","replied","call_booked","call_done","yes_in_principle","materials_sent"},0)),"Y","N")</f>
        <v>N</v>
      </c>
      <c r="ES263" s="0" t="str">
        <f aca="false">IF(COUNTIFS($AP$2:$AP$1000,AP263,$ER$2:$ER$1000,"Y")+COUNTIFS($AP$2:$AP$1000,AP263,$T$2:$T$1000,"Y")&gt;0,"Y","N")</f>
        <v>N</v>
      </c>
      <c r="ET263" s="0" t="str">
        <f aca="false">IF(AND(U263="new",T263="N",AT263="Y",AS263="",ES263="N"),"Y","N")</f>
        <v>N</v>
      </c>
      <c r="EU263" s="0" t="str">
        <f aca="false">IF(ET263&lt;&gt;"Y","N",IF(COUNTIFS($AP$2:$AP$1000,AP263,$ET$2:$ET$1000,"Y",$J$2:$J$1000,"&gt;"&amp;J263)+COUNTIFS($AP$2:$AP$1000,AP263,$ET$2:$ET$1000,"Y",$J$2:$J$1000,J263,$EW$2:$EW$1000,"&lt;"&amp;EW263)=0,"Y","N"))</f>
        <v>N</v>
      </c>
      <c r="EV263" s="0" t="str">
        <f aca="false">IF(Y263="","N",IF(Y263&lt;=10,"Y","N"))</f>
        <v>N</v>
      </c>
      <c r="EW263" s="0" t="n">
        <f aca="false">ROW()-1</f>
        <v>262</v>
      </c>
    </row>
    <row r="264" customFormat="false" ht="15" hidden="false" customHeight="false" outlineLevel="0" collapsed="false">
      <c r="A264" s="0" t="s">
        <v>3971</v>
      </c>
      <c r="B264" s="0" t="s">
        <v>3972</v>
      </c>
      <c r="H264" s="5" t="s">
        <v>158</v>
      </c>
      <c r="I264" s="5" t="s">
        <v>159</v>
      </c>
      <c r="J264" s="0" t="n">
        <f aca="false">IF(AX264="pass",ROUND(CU264+CV264+CW264+CX264+CY264+CZ264,1),0)</f>
        <v>0</v>
      </c>
      <c r="K264" s="0" t="s">
        <v>3973</v>
      </c>
      <c r="L264" s="0" t="s">
        <v>1322</v>
      </c>
      <c r="R264" s="5" t="s">
        <v>162</v>
      </c>
      <c r="S264" s="0" t="s">
        <v>163</v>
      </c>
      <c r="T264" s="5" t="s">
        <v>162</v>
      </c>
      <c r="U264" s="5" t="s">
        <v>561</v>
      </c>
      <c r="V264" s="0" t="s">
        <v>3974</v>
      </c>
      <c r="W264" s="0" t="s">
        <v>166</v>
      </c>
      <c r="X264" s="0" t="s">
        <v>167</v>
      </c>
      <c r="Y264" s="0" t="str">
        <f aca="false">IF(EU264&lt;&gt;"Y","",COUNTIFS($EU$2:$EU$1000,"Y",$J$2:$J$1000,"&gt;"&amp;J264)+COUNTIFS($EU$2:$EU$1000,"Y",$J$2:$J$1000,J264,$EW$2:$EW$1000,"&lt;"&amp;EW264)+1)</f>
        <v/>
      </c>
      <c r="AA264" s="0" t="s">
        <v>162</v>
      </c>
      <c r="AD264" s="0" t="s">
        <v>158</v>
      </c>
      <c r="AH264" s="5" t="s">
        <v>158</v>
      </c>
      <c r="AI264" s="0" t="s">
        <v>1064</v>
      </c>
      <c r="AJ264" s="0" t="s">
        <v>3975</v>
      </c>
      <c r="AK264" s="0" t="s">
        <v>178</v>
      </c>
      <c r="AL264" s="0" t="n">
        <v>510</v>
      </c>
      <c r="AM264" s="0" t="n">
        <v>1020</v>
      </c>
      <c r="AN264" s="0" t="s">
        <v>179</v>
      </c>
      <c r="AO264" s="0" t="s">
        <v>163</v>
      </c>
      <c r="AP264" s="0" t="s">
        <v>3971</v>
      </c>
      <c r="AQ264" s="5" t="s">
        <v>162</v>
      </c>
      <c r="AT264" s="0" t="str">
        <f aca="false">IF(AND(AX264="pass",AQ264&lt;&gt;"Y",C264&lt;&gt;"",OR(AW264&lt;&gt;"Y",AV264="Y")),"Y","N")</f>
        <v>N</v>
      </c>
      <c r="AU264" s="0" t="str">
        <f aca="false">_xlfn.TEXTJOIN("; ",TRUE(),IF(AX264&lt;&gt;"pass","gated out",""),IF(AQ264="Y","on hold: "&amp;AR264,""),IF(C264="","no contact named on an opened page",""),IF(AND(AW264="Y",AV264&lt;&gt;"Y"),"Tuesday estimate band "&amp;L264&amp;": founder's call",""))</f>
        <v>gated out; no contact named on an opened page; Tuesday estimate band over-500: founder's call</v>
      </c>
      <c r="AW264" s="0" t="s">
        <v>168</v>
      </c>
      <c r="AX264" s="0" t="s">
        <v>3703</v>
      </c>
      <c r="AY264" s="0" t="s">
        <v>3976</v>
      </c>
      <c r="AZ264" s="0" t="s">
        <v>1</v>
      </c>
      <c r="BA264" s="0" t="s">
        <v>3977</v>
      </c>
      <c r="BB264" s="0" t="s">
        <v>3978</v>
      </c>
      <c r="BC264" s="0" t="s">
        <v>3979</v>
      </c>
      <c r="BD264" s="0" t="s">
        <v>3980</v>
      </c>
      <c r="BF264" s="0" t="s">
        <v>1322</v>
      </c>
      <c r="BG264" s="0" t="s">
        <v>188</v>
      </c>
      <c r="BH264" s="0" t="s">
        <v>189</v>
      </c>
      <c r="BI264" s="0" t="s">
        <v>3981</v>
      </c>
      <c r="BK264" s="0" t="s">
        <v>1439</v>
      </c>
      <c r="BL264" s="0" t="s">
        <v>192</v>
      </c>
      <c r="BM264" s="0" t="s">
        <v>168</v>
      </c>
      <c r="BN264" s="0" t="s">
        <v>163</v>
      </c>
      <c r="BO264" s="0" t="s">
        <v>163</v>
      </c>
      <c r="BP264" s="0" t="s">
        <v>346</v>
      </c>
      <c r="BQ264" s="0" t="n">
        <v>40.742199</v>
      </c>
      <c r="BR264" s="0" t="n">
        <v>-73.99172</v>
      </c>
      <c r="BS264" s="0" t="s">
        <v>168</v>
      </c>
      <c r="BT264" s="0" t="n">
        <v>0</v>
      </c>
      <c r="BU264" s="0" t="s">
        <v>1072</v>
      </c>
      <c r="BV264" s="0" t="s">
        <v>1073</v>
      </c>
      <c r="BW264" s="0" t="s">
        <v>3974</v>
      </c>
      <c r="BX264" s="0" t="s">
        <v>3982</v>
      </c>
      <c r="BY264" s="0" t="s">
        <v>247</v>
      </c>
      <c r="BZ264" s="0" t="s">
        <v>1962</v>
      </c>
      <c r="CA264" s="0" t="s">
        <v>1968</v>
      </c>
      <c r="CC264" s="0" t="s">
        <v>738</v>
      </c>
      <c r="CE264" s="0" t="s">
        <v>162</v>
      </c>
      <c r="CH264" s="0" t="s">
        <v>201</v>
      </c>
      <c r="CI264" s="0" t="s">
        <v>1074</v>
      </c>
      <c r="CJ264" s="0" t="s">
        <v>163</v>
      </c>
      <c r="CK264" s="0" t="s">
        <v>162</v>
      </c>
      <c r="CL264" s="0" t="s">
        <v>163</v>
      </c>
      <c r="CO264" s="0" t="n">
        <v>721</v>
      </c>
      <c r="CP264" s="0" t="s">
        <v>3816</v>
      </c>
      <c r="CQ264" s="0" t="s">
        <v>3983</v>
      </c>
      <c r="CR264" s="0" t="s">
        <v>206</v>
      </c>
      <c r="CS264" s="0" t="n">
        <v>0</v>
      </c>
      <c r="CT264" s="0" t="n">
        <v>21</v>
      </c>
      <c r="CU264" s="0" t="n">
        <v>0</v>
      </c>
      <c r="CV264" s="0" t="n">
        <v>2</v>
      </c>
      <c r="CW264" s="0" t="n">
        <v>6</v>
      </c>
      <c r="CX264" s="0" t="n">
        <v>13</v>
      </c>
      <c r="CY264" s="0" t="n">
        <f aca="false">IF(AH264="exact",10,IF(AH264="adjacent",5,0))</f>
        <v>0</v>
      </c>
      <c r="CZ264" s="0" t="n">
        <f aca="false">IF(R264="Y",15,0)</f>
        <v>0</v>
      </c>
      <c r="DF264" s="0" t="s">
        <v>158</v>
      </c>
      <c r="DG264" s="0" t="s">
        <v>1335</v>
      </c>
      <c r="DH264" s="0" t="s">
        <v>1446</v>
      </c>
      <c r="DI264" s="0" t="s">
        <v>162</v>
      </c>
      <c r="DJ264" s="0" t="s">
        <v>3984</v>
      </c>
      <c r="DK264" s="0" t="s">
        <v>3985</v>
      </c>
      <c r="DS264" s="0" t="s">
        <v>158</v>
      </c>
      <c r="DX264" s="0" t="s">
        <v>162</v>
      </c>
      <c r="ER264" s="0" t="str">
        <f aca="false">IF(ISNUMBER(MATCH(U264,{"queued","contacted","replied","call_booked","call_done","yes_in_principle","materials_sent"},0)),"Y","N")</f>
        <v>N</v>
      </c>
      <c r="ES264" s="0" t="str">
        <f aca="false">IF(COUNTIFS($AP$2:$AP$1000,AP264,$ER$2:$ER$1000,"Y")+COUNTIFS($AP$2:$AP$1000,AP264,$T$2:$T$1000,"Y")&gt;0,"Y","N")</f>
        <v>N</v>
      </c>
      <c r="ET264" s="0" t="str">
        <f aca="false">IF(AND(U264="new",T264="N",AT264="Y",AS264="",ES264="N"),"Y","N")</f>
        <v>N</v>
      </c>
      <c r="EU264" s="0" t="str">
        <f aca="false">IF(ET264&lt;&gt;"Y","N",IF(COUNTIFS($AP$2:$AP$1000,AP264,$ET$2:$ET$1000,"Y",$J$2:$J$1000,"&gt;"&amp;J264)+COUNTIFS($AP$2:$AP$1000,AP264,$ET$2:$ET$1000,"Y",$J$2:$J$1000,J264,$EW$2:$EW$1000,"&lt;"&amp;EW264)=0,"Y","N"))</f>
        <v>N</v>
      </c>
      <c r="EV264" s="0" t="str">
        <f aca="false">IF(Y264="","N",IF(Y264&lt;=10,"Y","N"))</f>
        <v>N</v>
      </c>
      <c r="EW264" s="0" t="n">
        <f aca="false">ROW()-1</f>
        <v>263</v>
      </c>
    </row>
    <row r="265" customFormat="false" ht="15" hidden="false" customHeight="false" outlineLevel="0" collapsed="false">
      <c r="A265" s="0" t="s">
        <v>3986</v>
      </c>
      <c r="B265" s="0" t="s">
        <v>3987</v>
      </c>
      <c r="H265" s="5" t="s">
        <v>158</v>
      </c>
      <c r="I265" s="5" t="s">
        <v>159</v>
      </c>
      <c r="J265" s="0" t="n">
        <f aca="false">IF(AX265="pass",ROUND(CU265+CV265+CW265+CX265+CY265+CZ265,1),0)</f>
        <v>0</v>
      </c>
      <c r="K265" s="0" t="s">
        <v>3988</v>
      </c>
      <c r="L265" s="0" t="s">
        <v>1322</v>
      </c>
      <c r="R265" s="5" t="s">
        <v>162</v>
      </c>
      <c r="S265" s="0" t="s">
        <v>163</v>
      </c>
      <c r="T265" s="5" t="s">
        <v>162</v>
      </c>
      <c r="U265" s="5" t="s">
        <v>561</v>
      </c>
      <c r="V265" s="0" t="s">
        <v>2526</v>
      </c>
      <c r="W265" s="0" t="s">
        <v>166</v>
      </c>
      <c r="X265" s="0" t="s">
        <v>167</v>
      </c>
      <c r="Y265" s="0" t="str">
        <f aca="false">IF(EU265&lt;&gt;"Y","",COUNTIFS($EU$2:$EU$1000,"Y",$J$2:$J$1000,"&gt;"&amp;J265)+COUNTIFS($EU$2:$EU$1000,"Y",$J$2:$J$1000,J265,$EW$2:$EW$1000,"&lt;"&amp;EW265)+1)</f>
        <v/>
      </c>
      <c r="AA265" s="0" t="s">
        <v>162</v>
      </c>
      <c r="AD265" s="0" t="s">
        <v>158</v>
      </c>
      <c r="AH265" s="5" t="s">
        <v>158</v>
      </c>
      <c r="AI265" s="0" t="s">
        <v>2528</v>
      </c>
      <c r="AJ265" s="0" t="s">
        <v>163</v>
      </c>
      <c r="AK265" s="0" t="s">
        <v>178</v>
      </c>
      <c r="AL265" s="0" t="n">
        <v>1265</v>
      </c>
      <c r="AM265" s="0" t="n">
        <v>25300</v>
      </c>
      <c r="AN265" s="0" t="s">
        <v>179</v>
      </c>
      <c r="AO265" s="0" t="s">
        <v>163</v>
      </c>
      <c r="AP265" s="0" t="s">
        <v>3986</v>
      </c>
      <c r="AQ265" s="5" t="s">
        <v>162</v>
      </c>
      <c r="AT265" s="0" t="str">
        <f aca="false">IF(AND(AX265="pass",AQ265&lt;&gt;"Y",C265&lt;&gt;"",OR(AW265&lt;&gt;"Y",AV265="Y")),"Y","N")</f>
        <v>N</v>
      </c>
      <c r="AU265" s="0" t="str">
        <f aca="false">_xlfn.TEXTJOIN("; ",TRUE(),IF(AX265&lt;&gt;"pass","gated out",""),IF(AQ265="Y","on hold: "&amp;AR265,""),IF(C265="","no contact named on an opened page",""),IF(AND(AW265="Y",AV265&lt;&gt;"Y"),"Tuesday estimate band "&amp;L265&amp;": founder's call",""))</f>
        <v>gated out; no contact named on an opened page; Tuesday estimate band over-500: founder's call</v>
      </c>
      <c r="AW265" s="0" t="s">
        <v>168</v>
      </c>
      <c r="AX265" s="0" t="s">
        <v>3703</v>
      </c>
      <c r="AY265" s="0" t="s">
        <v>3989</v>
      </c>
      <c r="AZ265" s="0" t="s">
        <v>1</v>
      </c>
      <c r="BA265" s="0" t="s">
        <v>3990</v>
      </c>
      <c r="BB265" s="0" t="s">
        <v>3991</v>
      </c>
      <c r="BC265" s="0" t="s">
        <v>3992</v>
      </c>
      <c r="BD265" s="0" t="s">
        <v>3993</v>
      </c>
      <c r="BF265" s="0" t="s">
        <v>1322</v>
      </c>
      <c r="BG265" s="0" t="s">
        <v>188</v>
      </c>
      <c r="BH265" s="0" t="s">
        <v>189</v>
      </c>
      <c r="BI265" s="0" t="s">
        <v>3994</v>
      </c>
      <c r="BK265" s="0" t="s">
        <v>3287</v>
      </c>
      <c r="BL265" s="0" t="s">
        <v>3995</v>
      </c>
      <c r="BM265" s="0" t="s">
        <v>162</v>
      </c>
      <c r="BN265" s="0" t="s">
        <v>163</v>
      </c>
      <c r="BO265" s="0" t="s">
        <v>163</v>
      </c>
      <c r="BP265" s="0" t="s">
        <v>377</v>
      </c>
      <c r="BQ265" s="0" t="n">
        <v>40.737788</v>
      </c>
      <c r="BR265" s="0" t="n">
        <v>-73.992555</v>
      </c>
      <c r="BS265" s="0" t="s">
        <v>168</v>
      </c>
      <c r="BT265" s="0" t="n">
        <v>0</v>
      </c>
      <c r="BU265" s="0" t="s">
        <v>2535</v>
      </c>
      <c r="BV265" s="0" t="s">
        <v>2528</v>
      </c>
      <c r="BW265" s="0" t="s">
        <v>2526</v>
      </c>
      <c r="BX265" s="0" t="s">
        <v>2536</v>
      </c>
      <c r="BY265" s="0" t="s">
        <v>247</v>
      </c>
      <c r="CC265" s="0" t="s">
        <v>738</v>
      </c>
      <c r="CE265" s="0" t="s">
        <v>162</v>
      </c>
      <c r="CH265" s="0" t="s">
        <v>163</v>
      </c>
      <c r="CJ265" s="0" t="s">
        <v>163</v>
      </c>
      <c r="CK265" s="0" t="s">
        <v>162</v>
      </c>
      <c r="CL265" s="0" t="s">
        <v>163</v>
      </c>
      <c r="CO265" s="0" t="n">
        <v>5657</v>
      </c>
      <c r="CP265" s="0" t="s">
        <v>3816</v>
      </c>
      <c r="CQ265" s="0" t="s">
        <v>3996</v>
      </c>
      <c r="CR265" s="0" t="s">
        <v>206</v>
      </c>
      <c r="CS265" s="0" t="n">
        <v>0</v>
      </c>
      <c r="CT265" s="0" t="n">
        <v>19</v>
      </c>
      <c r="CU265" s="0" t="n">
        <v>0</v>
      </c>
      <c r="CV265" s="0" t="n">
        <v>0</v>
      </c>
      <c r="CW265" s="0" t="n">
        <v>6</v>
      </c>
      <c r="CX265" s="0" t="n">
        <v>13</v>
      </c>
      <c r="CY265" s="0" t="n">
        <f aca="false">IF(AH265="exact",10,IF(AH265="adjacent",5,0))</f>
        <v>0</v>
      </c>
      <c r="CZ265" s="0" t="n">
        <f aca="false">IF(R265="Y",15,0)</f>
        <v>0</v>
      </c>
      <c r="DF265" s="0" t="s">
        <v>158</v>
      </c>
      <c r="DG265" s="0" t="s">
        <v>1335</v>
      </c>
      <c r="DH265" s="0" t="s">
        <v>3290</v>
      </c>
      <c r="DI265" s="0" t="s">
        <v>162</v>
      </c>
      <c r="DJ265" s="0" t="s">
        <v>3997</v>
      </c>
      <c r="DK265" s="0" t="s">
        <v>3998</v>
      </c>
      <c r="DS265" s="0" t="s">
        <v>158</v>
      </c>
      <c r="DX265" s="0" t="s">
        <v>162</v>
      </c>
      <c r="ER265" s="0" t="str">
        <f aca="false">IF(ISNUMBER(MATCH(U265,{"queued","contacted","replied","call_booked","call_done","yes_in_principle","materials_sent"},0)),"Y","N")</f>
        <v>N</v>
      </c>
      <c r="ES265" s="0" t="str">
        <f aca="false">IF(COUNTIFS($AP$2:$AP$1000,AP265,$ER$2:$ER$1000,"Y")+COUNTIFS($AP$2:$AP$1000,AP265,$T$2:$T$1000,"Y")&gt;0,"Y","N")</f>
        <v>N</v>
      </c>
      <c r="ET265" s="0" t="str">
        <f aca="false">IF(AND(U265="new",T265="N",AT265="Y",AS265="",ES265="N"),"Y","N")</f>
        <v>N</v>
      </c>
      <c r="EU265" s="0" t="str">
        <f aca="false">IF(ET265&lt;&gt;"Y","N",IF(COUNTIFS($AP$2:$AP$1000,AP265,$ET$2:$ET$1000,"Y",$J$2:$J$1000,"&gt;"&amp;J265)+COUNTIFS($AP$2:$AP$1000,AP265,$ET$2:$ET$1000,"Y",$J$2:$J$1000,J265,$EW$2:$EW$1000,"&lt;"&amp;EW265)=0,"Y","N"))</f>
        <v>N</v>
      </c>
      <c r="EV265" s="0" t="str">
        <f aca="false">IF(Y265="","N",IF(Y265&lt;=10,"Y","N"))</f>
        <v>N</v>
      </c>
      <c r="EW265" s="0" t="n">
        <f aca="false">ROW()-1</f>
        <v>264</v>
      </c>
    </row>
    <row r="266" customFormat="false" ht="15" hidden="false" customHeight="false" outlineLevel="0" collapsed="false">
      <c r="A266" s="0" t="s">
        <v>3999</v>
      </c>
      <c r="B266" s="0" t="s">
        <v>4000</v>
      </c>
      <c r="H266" s="5" t="s">
        <v>158</v>
      </c>
      <c r="I266" s="5" t="s">
        <v>159</v>
      </c>
      <c r="J266" s="0" t="n">
        <f aca="false">IF(AX266="pass",ROUND(CU266+CV266+CW266+CX266+CY266+CZ266,1),0)</f>
        <v>0</v>
      </c>
      <c r="K266" s="0" t="s">
        <v>4001</v>
      </c>
      <c r="L266" s="0" t="s">
        <v>1322</v>
      </c>
      <c r="R266" s="5" t="s">
        <v>162</v>
      </c>
      <c r="S266" s="0" t="s">
        <v>163</v>
      </c>
      <c r="T266" s="5" t="s">
        <v>162</v>
      </c>
      <c r="U266" s="5" t="s">
        <v>561</v>
      </c>
      <c r="V266" s="0" t="s">
        <v>197</v>
      </c>
      <c r="W266" s="0" t="s">
        <v>166</v>
      </c>
      <c r="X266" s="0" t="s">
        <v>167</v>
      </c>
      <c r="Y266" s="0" t="str">
        <f aca="false">IF(EU266&lt;&gt;"Y","",COUNTIFS($EU$2:$EU$1000,"Y",$J$2:$J$1000,"&gt;"&amp;J266)+COUNTIFS($EU$2:$EU$1000,"Y",$J$2:$J$1000,J266,$EW$2:$EW$1000,"&lt;"&amp;EW266)+1)</f>
        <v/>
      </c>
      <c r="AA266" s="0" t="s">
        <v>162</v>
      </c>
      <c r="AD266" s="0" t="s">
        <v>158</v>
      </c>
      <c r="AH266" s="5" t="s">
        <v>158</v>
      </c>
      <c r="AI266" s="0" t="s">
        <v>176</v>
      </c>
      <c r="AJ266" s="0" t="s">
        <v>163</v>
      </c>
      <c r="AK266" s="0" t="s">
        <v>178</v>
      </c>
      <c r="AL266" s="0" t="n">
        <v>855</v>
      </c>
      <c r="AM266" s="0" t="n">
        <v>1710</v>
      </c>
      <c r="AN266" s="0" t="s">
        <v>179</v>
      </c>
      <c r="AO266" s="0" t="s">
        <v>163</v>
      </c>
      <c r="AP266" s="0" t="s">
        <v>3999</v>
      </c>
      <c r="AQ266" s="5" t="s">
        <v>162</v>
      </c>
      <c r="AT266" s="0" t="str">
        <f aca="false">IF(AND(AX266="pass",AQ266&lt;&gt;"Y",C266&lt;&gt;"",OR(AW266&lt;&gt;"Y",AV266="Y")),"Y","N")</f>
        <v>N</v>
      </c>
      <c r="AU266" s="0" t="str">
        <f aca="false">_xlfn.TEXTJOIN("; ",TRUE(),IF(AX266&lt;&gt;"pass","gated out",""),IF(AQ266="Y","on hold: "&amp;AR266,""),IF(C266="","no contact named on an opened page",""),IF(AND(AW266="Y",AV266&lt;&gt;"Y"),"Tuesday estimate band "&amp;L266&amp;": founder's call",""))</f>
        <v>gated out; no contact named on an opened page; Tuesday estimate band over-500: founder's call</v>
      </c>
      <c r="AW266" s="0" t="s">
        <v>168</v>
      </c>
      <c r="AX266" s="0" t="s">
        <v>3703</v>
      </c>
      <c r="AY266" s="0" t="s">
        <v>4002</v>
      </c>
      <c r="AZ266" s="0" t="s">
        <v>1</v>
      </c>
      <c r="BA266" s="0" t="s">
        <v>4003</v>
      </c>
      <c r="BB266" s="0" t="s">
        <v>4004</v>
      </c>
      <c r="BC266" s="0" t="s">
        <v>4005</v>
      </c>
      <c r="BD266" s="0" t="s">
        <v>3269</v>
      </c>
      <c r="BF266" s="0" t="s">
        <v>1322</v>
      </c>
      <c r="BG266" s="0" t="s">
        <v>188</v>
      </c>
      <c r="BH266" s="0" t="s">
        <v>189</v>
      </c>
      <c r="BI266" s="0" t="s">
        <v>4006</v>
      </c>
      <c r="BK266" s="0" t="s">
        <v>1439</v>
      </c>
      <c r="BL266" s="0" t="s">
        <v>192</v>
      </c>
      <c r="BM266" s="0" t="s">
        <v>168</v>
      </c>
      <c r="BN266" s="0" t="s">
        <v>163</v>
      </c>
      <c r="BO266" s="0" t="s">
        <v>163</v>
      </c>
      <c r="BP266" s="0" t="s">
        <v>193</v>
      </c>
      <c r="BQ266" s="0" t="n">
        <v>40.73686</v>
      </c>
      <c r="BR266" s="0" t="n">
        <v>-73.988546</v>
      </c>
      <c r="BS266" s="0" t="s">
        <v>168</v>
      </c>
      <c r="BT266" s="0" t="n">
        <v>0</v>
      </c>
      <c r="BU266" s="0" t="s">
        <v>194</v>
      </c>
      <c r="BV266" s="0" t="s">
        <v>195</v>
      </c>
      <c r="BW266" s="0" t="s">
        <v>197</v>
      </c>
      <c r="BX266" s="0" t="s">
        <v>198</v>
      </c>
      <c r="BY266" s="0" t="s">
        <v>282</v>
      </c>
      <c r="CB266" s="0" t="s">
        <v>199</v>
      </c>
      <c r="CC266" s="0" t="s">
        <v>738</v>
      </c>
      <c r="CE266" s="0" t="s">
        <v>162</v>
      </c>
      <c r="CH266" s="0" t="s">
        <v>201</v>
      </c>
      <c r="CI266" s="0" t="s">
        <v>202</v>
      </c>
      <c r="CJ266" s="0" t="s">
        <v>163</v>
      </c>
      <c r="CK266" s="0" t="s">
        <v>162</v>
      </c>
      <c r="CL266" s="0" t="s">
        <v>163</v>
      </c>
      <c r="CO266" s="0" t="n">
        <v>1209</v>
      </c>
      <c r="CP266" s="0" t="s">
        <v>3816</v>
      </c>
      <c r="CQ266" s="0" t="s">
        <v>4007</v>
      </c>
      <c r="CR266" s="0" t="s">
        <v>206</v>
      </c>
      <c r="CS266" s="0" t="n">
        <v>0</v>
      </c>
      <c r="CT266" s="0" t="n">
        <v>21</v>
      </c>
      <c r="CU266" s="0" t="n">
        <v>0</v>
      </c>
      <c r="CV266" s="0" t="n">
        <v>2</v>
      </c>
      <c r="CW266" s="0" t="n">
        <v>6</v>
      </c>
      <c r="CX266" s="0" t="n">
        <v>13</v>
      </c>
      <c r="CY266" s="0" t="n">
        <f aca="false">IF(AH266="exact",10,IF(AH266="adjacent",5,0))</f>
        <v>0</v>
      </c>
      <c r="CZ266" s="0" t="n">
        <f aca="false">IF(R266="Y",15,0)</f>
        <v>0</v>
      </c>
      <c r="DF266" s="0" t="s">
        <v>158</v>
      </c>
      <c r="DG266" s="0" t="s">
        <v>1335</v>
      </c>
      <c r="DH266" s="0" t="s">
        <v>1446</v>
      </c>
      <c r="DI266" s="0" t="s">
        <v>162</v>
      </c>
      <c r="DJ266" s="0" t="s">
        <v>3020</v>
      </c>
      <c r="DK266" s="0" t="s">
        <v>4008</v>
      </c>
      <c r="DS266" s="0" t="s">
        <v>158</v>
      </c>
      <c r="DX266" s="0" t="s">
        <v>162</v>
      </c>
      <c r="ER266" s="0" t="str">
        <f aca="false">IF(ISNUMBER(MATCH(U266,{"queued","contacted","replied","call_booked","call_done","yes_in_principle","materials_sent"},0)),"Y","N")</f>
        <v>N</v>
      </c>
      <c r="ES266" s="0" t="str">
        <f aca="false">IF(COUNTIFS($AP$2:$AP$1000,AP266,$ER$2:$ER$1000,"Y")+COUNTIFS($AP$2:$AP$1000,AP266,$T$2:$T$1000,"Y")&gt;0,"Y","N")</f>
        <v>N</v>
      </c>
      <c r="ET266" s="0" t="str">
        <f aca="false">IF(AND(U266="new",T266="N",AT266="Y",AS266="",ES266="N"),"Y","N")</f>
        <v>N</v>
      </c>
      <c r="EU266" s="0" t="str">
        <f aca="false">IF(ET266&lt;&gt;"Y","N",IF(COUNTIFS($AP$2:$AP$1000,AP266,$ET$2:$ET$1000,"Y",$J$2:$J$1000,"&gt;"&amp;J266)+COUNTIFS($AP$2:$AP$1000,AP266,$ET$2:$ET$1000,"Y",$J$2:$J$1000,J266,$EW$2:$EW$1000,"&lt;"&amp;EW266)=0,"Y","N"))</f>
        <v>N</v>
      </c>
      <c r="EV266" s="0" t="str">
        <f aca="false">IF(Y266="","N",IF(Y266&lt;=10,"Y","N"))</f>
        <v>N</v>
      </c>
      <c r="EW266" s="0" t="n">
        <f aca="false">ROW()-1</f>
        <v>265</v>
      </c>
    </row>
    <row r="267" customFormat="false" ht="15" hidden="false" customHeight="false" outlineLevel="0" collapsed="false">
      <c r="A267" s="0" t="s">
        <v>4009</v>
      </c>
      <c r="B267" s="0" t="s">
        <v>4010</v>
      </c>
      <c r="H267" s="5" t="s">
        <v>158</v>
      </c>
      <c r="I267" s="5" t="s">
        <v>159</v>
      </c>
      <c r="J267" s="0" t="n">
        <f aca="false">IF(AX267="pass",ROUND(CU267+CV267+CW267+CX267+CY267+CZ267,1),0)</f>
        <v>0</v>
      </c>
      <c r="K267" s="0" t="s">
        <v>4011</v>
      </c>
      <c r="L267" s="0" t="s">
        <v>1322</v>
      </c>
      <c r="R267" s="5" t="s">
        <v>162</v>
      </c>
      <c r="S267" s="0" t="s">
        <v>163</v>
      </c>
      <c r="T267" s="5" t="s">
        <v>162</v>
      </c>
      <c r="U267" s="5" t="s">
        <v>561</v>
      </c>
      <c r="V267" s="0" t="s">
        <v>4012</v>
      </c>
      <c r="W267" s="0" t="s">
        <v>166</v>
      </c>
      <c r="X267" s="0" t="s">
        <v>167</v>
      </c>
      <c r="Y267" s="0" t="str">
        <f aca="false">IF(EU267&lt;&gt;"Y","",COUNTIFS($EU$2:$EU$1000,"Y",$J$2:$J$1000,"&gt;"&amp;J267)+COUNTIFS($EU$2:$EU$1000,"Y",$J$2:$J$1000,J267,$EW$2:$EW$1000,"&lt;"&amp;EW267)+1)</f>
        <v/>
      </c>
      <c r="AA267" s="0" t="s">
        <v>162</v>
      </c>
      <c r="AD267" s="0" t="s">
        <v>158</v>
      </c>
      <c r="AH267" s="5" t="s">
        <v>158</v>
      </c>
      <c r="AI267" s="0" t="s">
        <v>4013</v>
      </c>
      <c r="AJ267" s="0" t="s">
        <v>163</v>
      </c>
      <c r="AK267" s="0" t="s">
        <v>178</v>
      </c>
      <c r="AL267" s="0" t="n">
        <v>347</v>
      </c>
      <c r="AM267" s="0" t="n">
        <v>6945</v>
      </c>
      <c r="AN267" s="0" t="s">
        <v>179</v>
      </c>
      <c r="AO267" s="0" t="s">
        <v>163</v>
      </c>
      <c r="AP267" s="0" t="s">
        <v>4009</v>
      </c>
      <c r="AQ267" s="5" t="s">
        <v>162</v>
      </c>
      <c r="AT267" s="0" t="str">
        <f aca="false">IF(AND(AX267="pass",AQ267&lt;&gt;"Y",C267&lt;&gt;"",OR(AW267&lt;&gt;"Y",AV267="Y")),"Y","N")</f>
        <v>N</v>
      </c>
      <c r="AU267" s="0" t="str">
        <f aca="false">_xlfn.TEXTJOIN("; ",TRUE(),IF(AX267&lt;&gt;"pass","gated out",""),IF(AQ267="Y","on hold: "&amp;AR267,""),IF(C267="","no contact named on an opened page",""),IF(AND(AW267="Y",AV267&lt;&gt;"Y"),"Tuesday estimate band "&amp;L267&amp;": founder's call",""))</f>
        <v>gated out; no contact named on an opened page; Tuesday estimate band over-500: founder's call</v>
      </c>
      <c r="AW267" s="0" t="s">
        <v>168</v>
      </c>
      <c r="AX267" s="0" t="s">
        <v>3703</v>
      </c>
      <c r="AY267" s="0" t="s">
        <v>4014</v>
      </c>
      <c r="AZ267" s="0" t="s">
        <v>1</v>
      </c>
      <c r="BA267" s="0" t="s">
        <v>4015</v>
      </c>
      <c r="BB267" s="0" t="s">
        <v>4016</v>
      </c>
      <c r="BC267" s="0" t="s">
        <v>4017</v>
      </c>
      <c r="BD267" s="0" t="s">
        <v>4018</v>
      </c>
      <c r="BF267" s="0" t="s">
        <v>1322</v>
      </c>
      <c r="BG267" s="0" t="s">
        <v>188</v>
      </c>
      <c r="BH267" s="0" t="s">
        <v>189</v>
      </c>
      <c r="BI267" s="0" t="s">
        <v>4019</v>
      </c>
      <c r="BK267" s="0" t="s">
        <v>3287</v>
      </c>
      <c r="BL267" s="0" t="s">
        <v>163</v>
      </c>
      <c r="BM267" s="0" t="s">
        <v>163</v>
      </c>
      <c r="BN267" s="0" t="s">
        <v>163</v>
      </c>
      <c r="BO267" s="0" t="s">
        <v>163</v>
      </c>
      <c r="BP267" s="0" t="s">
        <v>193</v>
      </c>
      <c r="BQ267" s="0" t="n">
        <v>40.734278</v>
      </c>
      <c r="BR267" s="0" t="n">
        <v>-73.988375</v>
      </c>
      <c r="BS267" s="0" t="s">
        <v>168</v>
      </c>
      <c r="BT267" s="0" t="n">
        <v>0</v>
      </c>
      <c r="BV267" s="0" t="s">
        <v>163</v>
      </c>
      <c r="BW267" s="0" t="s">
        <v>4012</v>
      </c>
      <c r="BX267" s="0" t="s">
        <v>166</v>
      </c>
      <c r="BY267" s="0" t="s">
        <v>4020</v>
      </c>
      <c r="CC267" s="0" t="s">
        <v>738</v>
      </c>
      <c r="CE267" s="0" t="s">
        <v>162</v>
      </c>
      <c r="CH267" s="0" t="s">
        <v>163</v>
      </c>
      <c r="CJ267" s="0" t="s">
        <v>163</v>
      </c>
      <c r="CK267" s="0" t="s">
        <v>162</v>
      </c>
      <c r="CL267" s="0" t="s">
        <v>163</v>
      </c>
      <c r="CO267" s="0" t="n">
        <v>1552</v>
      </c>
      <c r="CP267" s="0" t="s">
        <v>3816</v>
      </c>
      <c r="CQ267" s="0" t="s">
        <v>4021</v>
      </c>
      <c r="CR267" s="0" t="s">
        <v>206</v>
      </c>
      <c r="CS267" s="0" t="n">
        <v>0</v>
      </c>
      <c r="CT267" s="0" t="n">
        <v>19</v>
      </c>
      <c r="CU267" s="0" t="n">
        <v>0</v>
      </c>
      <c r="CV267" s="0" t="n">
        <v>0</v>
      </c>
      <c r="CW267" s="0" t="n">
        <v>6</v>
      </c>
      <c r="CX267" s="0" t="n">
        <v>13</v>
      </c>
      <c r="CY267" s="0" t="n">
        <f aca="false">IF(AH267="exact",10,IF(AH267="adjacent",5,0))</f>
        <v>0</v>
      </c>
      <c r="CZ267" s="0" t="n">
        <f aca="false">IF(R267="Y",15,0)</f>
        <v>0</v>
      </c>
      <c r="DF267" s="0" t="s">
        <v>158</v>
      </c>
      <c r="DG267" s="0" t="s">
        <v>1335</v>
      </c>
      <c r="DH267" s="0" t="s">
        <v>3290</v>
      </c>
      <c r="DI267" s="0" t="s">
        <v>162</v>
      </c>
      <c r="DK267" s="0" t="s">
        <v>4022</v>
      </c>
      <c r="DS267" s="0" t="s">
        <v>158</v>
      </c>
      <c r="DX267" s="0" t="s">
        <v>162</v>
      </c>
      <c r="ER267" s="0" t="str">
        <f aca="false">IF(ISNUMBER(MATCH(U267,{"queued","contacted","replied","call_booked","call_done","yes_in_principle","materials_sent"},0)),"Y","N")</f>
        <v>N</v>
      </c>
      <c r="ES267" s="0" t="str">
        <f aca="false">IF(COUNTIFS($AP$2:$AP$1000,AP267,$ER$2:$ER$1000,"Y")+COUNTIFS($AP$2:$AP$1000,AP267,$T$2:$T$1000,"Y")&gt;0,"Y","N")</f>
        <v>N</v>
      </c>
      <c r="ET267" s="0" t="str">
        <f aca="false">IF(AND(U267="new",T267="N",AT267="Y",AS267="",ES267="N"),"Y","N")</f>
        <v>N</v>
      </c>
      <c r="EU267" s="0" t="str">
        <f aca="false">IF(ET267&lt;&gt;"Y","N",IF(COUNTIFS($AP$2:$AP$1000,AP267,$ET$2:$ET$1000,"Y",$J$2:$J$1000,"&gt;"&amp;J267)+COUNTIFS($AP$2:$AP$1000,AP267,$ET$2:$ET$1000,"Y",$J$2:$J$1000,J267,$EW$2:$EW$1000,"&lt;"&amp;EW267)=0,"Y","N"))</f>
        <v>N</v>
      </c>
      <c r="EV267" s="0" t="str">
        <f aca="false">IF(Y267="","N",IF(Y267&lt;=10,"Y","N"))</f>
        <v>N</v>
      </c>
      <c r="EW267" s="0" t="n">
        <f aca="false">ROW()-1</f>
        <v>266</v>
      </c>
    </row>
    <row r="268" customFormat="false" ht="15" hidden="false" customHeight="false" outlineLevel="0" collapsed="false">
      <c r="A268" s="0" t="s">
        <v>4023</v>
      </c>
      <c r="B268" s="0" t="s">
        <v>4024</v>
      </c>
      <c r="H268" s="5" t="s">
        <v>158</v>
      </c>
      <c r="I268" s="5" t="s">
        <v>159</v>
      </c>
      <c r="J268" s="0" t="n">
        <f aca="false">IF(AX268="pass",ROUND(CU268+CV268+CW268+CX268+CY268+CZ268,1),0)</f>
        <v>0</v>
      </c>
      <c r="K268" s="0" t="s">
        <v>4025</v>
      </c>
      <c r="L268" s="0" t="s">
        <v>1322</v>
      </c>
      <c r="R268" s="5" t="s">
        <v>162</v>
      </c>
      <c r="S268" s="0" t="s">
        <v>163</v>
      </c>
      <c r="T268" s="5" t="s">
        <v>162</v>
      </c>
      <c r="U268" s="5" t="s">
        <v>561</v>
      </c>
      <c r="V268" s="0" t="s">
        <v>3547</v>
      </c>
      <c r="W268" s="0" t="s">
        <v>166</v>
      </c>
      <c r="X268" s="0" t="s">
        <v>167</v>
      </c>
      <c r="Y268" s="0" t="str">
        <f aca="false">IF(EU268&lt;&gt;"Y","",COUNTIFS($EU$2:$EU$1000,"Y",$J$2:$J$1000,"&gt;"&amp;J268)+COUNTIFS($EU$2:$EU$1000,"Y",$J$2:$J$1000,J268,$EW$2:$EW$1000,"&lt;"&amp;EW268)+1)</f>
        <v/>
      </c>
      <c r="AA268" s="0" t="s">
        <v>162</v>
      </c>
      <c r="AD268" s="0" t="s">
        <v>158</v>
      </c>
      <c r="AH268" s="5" t="s">
        <v>158</v>
      </c>
      <c r="AI268" s="0" t="s">
        <v>3026</v>
      </c>
      <c r="AJ268" s="0" t="s">
        <v>163</v>
      </c>
      <c r="AK268" s="0" t="s">
        <v>178</v>
      </c>
      <c r="AL268" s="0" t="n">
        <v>722</v>
      </c>
      <c r="AM268" s="0" t="n">
        <v>14444</v>
      </c>
      <c r="AN268" s="0" t="s">
        <v>179</v>
      </c>
      <c r="AO268" s="0" t="s">
        <v>163</v>
      </c>
      <c r="AP268" s="0" t="s">
        <v>4023</v>
      </c>
      <c r="AQ268" s="5" t="s">
        <v>162</v>
      </c>
      <c r="AT268" s="0" t="str">
        <f aca="false">IF(AND(AX268="pass",AQ268&lt;&gt;"Y",C268&lt;&gt;"",OR(AW268&lt;&gt;"Y",AV268="Y")),"Y","N")</f>
        <v>N</v>
      </c>
      <c r="AU268" s="0" t="str">
        <f aca="false">_xlfn.TEXTJOIN("; ",TRUE(),IF(AX268&lt;&gt;"pass","gated out",""),IF(AQ268="Y","on hold: "&amp;AR268,""),IF(C268="","no contact named on an opened page",""),IF(AND(AW268="Y",AV268&lt;&gt;"Y"),"Tuesday estimate band "&amp;L268&amp;": founder's call",""))</f>
        <v>gated out; no contact named on an opened page; Tuesday estimate band over-500: founder's call</v>
      </c>
      <c r="AW268" s="0" t="s">
        <v>168</v>
      </c>
      <c r="AX268" s="0" t="s">
        <v>3703</v>
      </c>
      <c r="AY268" s="0" t="s">
        <v>4026</v>
      </c>
      <c r="AZ268" s="0" t="s">
        <v>1</v>
      </c>
      <c r="BA268" s="0" t="s">
        <v>4027</v>
      </c>
      <c r="BB268" s="0" t="s">
        <v>4028</v>
      </c>
      <c r="BC268" s="0" t="s">
        <v>4029</v>
      </c>
      <c r="BD268" s="0" t="s">
        <v>4030</v>
      </c>
      <c r="BF268" s="0" t="s">
        <v>1322</v>
      </c>
      <c r="BG268" s="0" t="s">
        <v>188</v>
      </c>
      <c r="BH268" s="0" t="s">
        <v>189</v>
      </c>
      <c r="BI268" s="0" t="s">
        <v>4031</v>
      </c>
      <c r="BK268" s="0" t="s">
        <v>3287</v>
      </c>
      <c r="BL268" s="0" t="s">
        <v>163</v>
      </c>
      <c r="BM268" s="0" t="s">
        <v>163</v>
      </c>
      <c r="BN268" s="0" t="s">
        <v>163</v>
      </c>
      <c r="BO268" s="0" t="s">
        <v>163</v>
      </c>
      <c r="BP268" s="0" t="s">
        <v>346</v>
      </c>
      <c r="BQ268" s="0" t="n">
        <v>40.741986</v>
      </c>
      <c r="BR268" s="0" t="n">
        <v>-73.989477</v>
      </c>
      <c r="BS268" s="0" t="s">
        <v>168</v>
      </c>
      <c r="BT268" s="0" t="n">
        <v>0</v>
      </c>
      <c r="BV268" s="0" t="s">
        <v>163</v>
      </c>
      <c r="BW268" s="0" t="s">
        <v>3547</v>
      </c>
      <c r="BX268" s="0" t="s">
        <v>3554</v>
      </c>
      <c r="BY268" s="0" t="s">
        <v>247</v>
      </c>
      <c r="CC268" s="0" t="s">
        <v>738</v>
      </c>
      <c r="CE268" s="0" t="s">
        <v>162</v>
      </c>
      <c r="CH268" s="0" t="s">
        <v>163</v>
      </c>
      <c r="CJ268" s="0" t="s">
        <v>163</v>
      </c>
      <c r="CK268" s="0" t="s">
        <v>162</v>
      </c>
      <c r="CL268" s="0" t="s">
        <v>163</v>
      </c>
      <c r="CO268" s="0" t="n">
        <v>3229</v>
      </c>
      <c r="CP268" s="0" t="s">
        <v>3816</v>
      </c>
      <c r="CQ268" s="0" t="s">
        <v>4032</v>
      </c>
      <c r="CR268" s="0" t="s">
        <v>206</v>
      </c>
      <c r="CS268" s="0" t="n">
        <v>0</v>
      </c>
      <c r="CT268" s="0" t="n">
        <v>19</v>
      </c>
      <c r="CU268" s="0" t="n">
        <v>0</v>
      </c>
      <c r="CV268" s="0" t="n">
        <v>0</v>
      </c>
      <c r="CW268" s="0" t="n">
        <v>6</v>
      </c>
      <c r="CX268" s="0" t="n">
        <v>13</v>
      </c>
      <c r="CY268" s="0" t="n">
        <f aca="false">IF(AH268="exact",10,IF(AH268="adjacent",5,0))</f>
        <v>0</v>
      </c>
      <c r="CZ268" s="0" t="n">
        <f aca="false">IF(R268="Y",15,0)</f>
        <v>0</v>
      </c>
      <c r="DF268" s="0" t="s">
        <v>158</v>
      </c>
      <c r="DG268" s="0" t="s">
        <v>1335</v>
      </c>
      <c r="DH268" s="0" t="s">
        <v>3290</v>
      </c>
      <c r="DI268" s="0" t="s">
        <v>162</v>
      </c>
      <c r="DJ268" s="0" t="s">
        <v>4033</v>
      </c>
      <c r="DK268" s="0" t="s">
        <v>4034</v>
      </c>
      <c r="DS268" s="0" t="s">
        <v>158</v>
      </c>
      <c r="DX268" s="0" t="s">
        <v>162</v>
      </c>
      <c r="ER268" s="0" t="str">
        <f aca="false">IF(ISNUMBER(MATCH(U268,{"queued","contacted","replied","call_booked","call_done","yes_in_principle","materials_sent"},0)),"Y","N")</f>
        <v>N</v>
      </c>
      <c r="ES268" s="0" t="str">
        <f aca="false">IF(COUNTIFS($AP$2:$AP$1000,AP268,$ER$2:$ER$1000,"Y")+COUNTIFS($AP$2:$AP$1000,AP268,$T$2:$T$1000,"Y")&gt;0,"Y","N")</f>
        <v>N</v>
      </c>
      <c r="ET268" s="0" t="str">
        <f aca="false">IF(AND(U268="new",T268="N",AT268="Y",AS268="",ES268="N"),"Y","N")</f>
        <v>N</v>
      </c>
      <c r="EU268" s="0" t="str">
        <f aca="false">IF(ET268&lt;&gt;"Y","N",IF(COUNTIFS($AP$2:$AP$1000,AP268,$ET$2:$ET$1000,"Y",$J$2:$J$1000,"&gt;"&amp;J268)+COUNTIFS($AP$2:$AP$1000,AP268,$ET$2:$ET$1000,"Y",$J$2:$J$1000,J268,$EW$2:$EW$1000,"&lt;"&amp;EW268)=0,"Y","N"))</f>
        <v>N</v>
      </c>
      <c r="EV268" s="0" t="str">
        <f aca="false">IF(Y268="","N",IF(Y268&lt;=10,"Y","N"))</f>
        <v>N</v>
      </c>
      <c r="EW268" s="0" t="n">
        <f aca="false">ROW()-1</f>
        <v>267</v>
      </c>
    </row>
    <row r="269" customFormat="false" ht="15" hidden="false" customHeight="false" outlineLevel="0" collapsed="false">
      <c r="A269" s="0" t="s">
        <v>4035</v>
      </c>
      <c r="B269" s="0" t="s">
        <v>4036</v>
      </c>
      <c r="H269" s="5" t="s">
        <v>158</v>
      </c>
      <c r="I269" s="5" t="s">
        <v>159</v>
      </c>
      <c r="J269" s="0" t="n">
        <f aca="false">IF(AX269="pass",ROUND(CU269+CV269+CW269+CX269+CY269+CZ269,1),0)</f>
        <v>0</v>
      </c>
      <c r="K269" s="0" t="s">
        <v>4037</v>
      </c>
      <c r="L269" s="0" t="s">
        <v>1322</v>
      </c>
      <c r="R269" s="5" t="s">
        <v>162</v>
      </c>
      <c r="S269" s="0" t="s">
        <v>163</v>
      </c>
      <c r="T269" s="5" t="s">
        <v>162</v>
      </c>
      <c r="U269" s="5" t="s">
        <v>561</v>
      </c>
      <c r="V269" s="0" t="s">
        <v>3201</v>
      </c>
      <c r="W269" s="0" t="s">
        <v>166</v>
      </c>
      <c r="X269" s="0" t="s">
        <v>167</v>
      </c>
      <c r="Y269" s="0" t="str">
        <f aca="false">IF(EU269&lt;&gt;"Y","",COUNTIFS($EU$2:$EU$1000,"Y",$J$2:$J$1000,"&gt;"&amp;J269)+COUNTIFS($EU$2:$EU$1000,"Y",$J$2:$J$1000,J269,$EW$2:$EW$1000,"&lt;"&amp;EW269)+1)</f>
        <v/>
      </c>
      <c r="AA269" s="0" t="s">
        <v>162</v>
      </c>
      <c r="AD269" s="0" t="s">
        <v>158</v>
      </c>
      <c r="AH269" s="5" t="s">
        <v>158</v>
      </c>
      <c r="AI269" s="0" t="s">
        <v>1991</v>
      </c>
      <c r="AJ269" s="0" t="s">
        <v>163</v>
      </c>
      <c r="AK269" s="0" t="s">
        <v>178</v>
      </c>
      <c r="AL269" s="0" t="n">
        <v>629</v>
      </c>
      <c r="AM269" s="0" t="n">
        <v>12579</v>
      </c>
      <c r="AN269" s="0" t="s">
        <v>179</v>
      </c>
      <c r="AO269" s="0" t="s">
        <v>163</v>
      </c>
      <c r="AP269" s="0" t="s">
        <v>4035</v>
      </c>
      <c r="AQ269" s="5" t="s">
        <v>162</v>
      </c>
      <c r="AT269" s="0" t="str">
        <f aca="false">IF(AND(AX269="pass",AQ269&lt;&gt;"Y",C269&lt;&gt;"",OR(AW269&lt;&gt;"Y",AV269="Y")),"Y","N")</f>
        <v>N</v>
      </c>
      <c r="AU269" s="0" t="str">
        <f aca="false">_xlfn.TEXTJOIN("; ",TRUE(),IF(AX269&lt;&gt;"pass","gated out",""),IF(AQ269="Y","on hold: "&amp;AR269,""),IF(C269="","no contact named on an opened page",""),IF(AND(AW269="Y",AV269&lt;&gt;"Y"),"Tuesday estimate band "&amp;L269&amp;": founder's call",""))</f>
        <v>gated out; no contact named on an opened page; Tuesday estimate band over-500: founder's call</v>
      </c>
      <c r="AW269" s="0" t="s">
        <v>168</v>
      </c>
      <c r="AX269" s="0" t="s">
        <v>3703</v>
      </c>
      <c r="AY269" s="0" t="s">
        <v>4038</v>
      </c>
      <c r="AZ269" s="0" t="s">
        <v>1</v>
      </c>
      <c r="BA269" s="0" t="s">
        <v>4039</v>
      </c>
      <c r="BB269" s="0" t="s">
        <v>4040</v>
      </c>
      <c r="BC269" s="0" t="s">
        <v>4041</v>
      </c>
      <c r="BD269" s="0" t="s">
        <v>4042</v>
      </c>
      <c r="BF269" s="0" t="s">
        <v>1322</v>
      </c>
      <c r="BG269" s="0" t="s">
        <v>188</v>
      </c>
      <c r="BH269" s="0" t="s">
        <v>189</v>
      </c>
      <c r="BI269" s="0" t="s">
        <v>4043</v>
      </c>
      <c r="BK269" s="0" t="s">
        <v>3287</v>
      </c>
      <c r="BL269" s="0" t="s">
        <v>163</v>
      </c>
      <c r="BM269" s="0" t="s">
        <v>163</v>
      </c>
      <c r="BN269" s="0" t="s">
        <v>163</v>
      </c>
      <c r="BO269" s="0" t="s">
        <v>163</v>
      </c>
      <c r="BP269" s="0" t="s">
        <v>346</v>
      </c>
      <c r="BQ269" s="0" t="n">
        <v>40.741141</v>
      </c>
      <c r="BR269" s="0" t="n">
        <v>-73.987489</v>
      </c>
      <c r="BS269" s="0" t="s">
        <v>168</v>
      </c>
      <c r="BT269" s="0" t="n">
        <v>0</v>
      </c>
      <c r="BV269" s="0" t="s">
        <v>163</v>
      </c>
      <c r="BW269" s="0" t="s">
        <v>3201</v>
      </c>
      <c r="BX269" s="0" t="s">
        <v>3207</v>
      </c>
      <c r="BY269" s="0" t="s">
        <v>3208</v>
      </c>
      <c r="CC269" s="0" t="s">
        <v>738</v>
      </c>
      <c r="CE269" s="0" t="s">
        <v>162</v>
      </c>
      <c r="CH269" s="0" t="s">
        <v>163</v>
      </c>
      <c r="CJ269" s="0" t="s">
        <v>163</v>
      </c>
      <c r="CK269" s="0" t="s">
        <v>162</v>
      </c>
      <c r="CL269" s="0" t="s">
        <v>163</v>
      </c>
      <c r="CO269" s="0" t="n">
        <v>2813</v>
      </c>
      <c r="CP269" s="0" t="s">
        <v>3816</v>
      </c>
      <c r="CQ269" s="0" t="s">
        <v>4044</v>
      </c>
      <c r="CR269" s="0" t="s">
        <v>206</v>
      </c>
      <c r="CS269" s="0" t="n">
        <v>0</v>
      </c>
      <c r="CT269" s="0" t="n">
        <v>19</v>
      </c>
      <c r="CU269" s="0" t="n">
        <v>0</v>
      </c>
      <c r="CV269" s="0" t="n">
        <v>0</v>
      </c>
      <c r="CW269" s="0" t="n">
        <v>6</v>
      </c>
      <c r="CX269" s="0" t="n">
        <v>13</v>
      </c>
      <c r="CY269" s="0" t="n">
        <f aca="false">IF(AH269="exact",10,IF(AH269="adjacent",5,0))</f>
        <v>0</v>
      </c>
      <c r="CZ269" s="0" t="n">
        <f aca="false">IF(R269="Y",15,0)</f>
        <v>0</v>
      </c>
      <c r="DF269" s="0" t="s">
        <v>158</v>
      </c>
      <c r="DG269" s="0" t="s">
        <v>1335</v>
      </c>
      <c r="DH269" s="0" t="s">
        <v>3290</v>
      </c>
      <c r="DI269" s="0" t="s">
        <v>162</v>
      </c>
      <c r="DK269" s="0" t="s">
        <v>4045</v>
      </c>
      <c r="DS269" s="0" t="s">
        <v>158</v>
      </c>
      <c r="DX269" s="0" t="s">
        <v>162</v>
      </c>
      <c r="ER269" s="0" t="str">
        <f aca="false">IF(ISNUMBER(MATCH(U269,{"queued","contacted","replied","call_booked","call_done","yes_in_principle","materials_sent"},0)),"Y","N")</f>
        <v>N</v>
      </c>
      <c r="ES269" s="0" t="str">
        <f aca="false">IF(COUNTIFS($AP$2:$AP$1000,AP269,$ER$2:$ER$1000,"Y")+COUNTIFS($AP$2:$AP$1000,AP269,$T$2:$T$1000,"Y")&gt;0,"Y","N")</f>
        <v>N</v>
      </c>
      <c r="ET269" s="0" t="str">
        <f aca="false">IF(AND(U269="new",T269="N",AT269="Y",AS269="",ES269="N"),"Y","N")</f>
        <v>N</v>
      </c>
      <c r="EU269" s="0" t="str">
        <f aca="false">IF(ET269&lt;&gt;"Y","N",IF(COUNTIFS($AP$2:$AP$1000,AP269,$ET$2:$ET$1000,"Y",$J$2:$J$1000,"&gt;"&amp;J269)+COUNTIFS($AP$2:$AP$1000,AP269,$ET$2:$ET$1000,"Y",$J$2:$J$1000,J269,$EW$2:$EW$1000,"&lt;"&amp;EW269)=0,"Y","N"))</f>
        <v>N</v>
      </c>
      <c r="EV269" s="0" t="str">
        <f aca="false">IF(Y269="","N",IF(Y269&lt;=10,"Y","N"))</f>
        <v>N</v>
      </c>
      <c r="EW269" s="0" t="n">
        <f aca="false">ROW()-1</f>
        <v>268</v>
      </c>
    </row>
    <row r="270" customFormat="false" ht="15" hidden="false" customHeight="false" outlineLevel="0" collapsed="false">
      <c r="A270" s="0" t="s">
        <v>4046</v>
      </c>
      <c r="B270" s="0" t="s">
        <v>4047</v>
      </c>
      <c r="H270" s="5" t="s">
        <v>158</v>
      </c>
      <c r="I270" s="5" t="s">
        <v>159</v>
      </c>
      <c r="J270" s="0" t="n">
        <f aca="false">IF(AX270="pass",ROUND(CU270+CV270+CW270+CX270+CY270+CZ270,1),0)</f>
        <v>0</v>
      </c>
      <c r="K270" s="0" t="s">
        <v>4048</v>
      </c>
      <c r="L270" s="0" t="s">
        <v>1322</v>
      </c>
      <c r="R270" s="5" t="s">
        <v>162</v>
      </c>
      <c r="S270" s="0" t="s">
        <v>163</v>
      </c>
      <c r="T270" s="5" t="s">
        <v>162</v>
      </c>
      <c r="U270" s="5" t="s">
        <v>561</v>
      </c>
      <c r="V270" s="0" t="s">
        <v>3547</v>
      </c>
      <c r="W270" s="0" t="s">
        <v>166</v>
      </c>
      <c r="X270" s="0" t="s">
        <v>167</v>
      </c>
      <c r="Y270" s="0" t="str">
        <f aca="false">IF(EU270&lt;&gt;"Y","",COUNTIFS($EU$2:$EU$1000,"Y",$J$2:$J$1000,"&gt;"&amp;J270)+COUNTIFS($EU$2:$EU$1000,"Y",$J$2:$J$1000,J270,$EW$2:$EW$1000,"&lt;"&amp;EW270)+1)</f>
        <v/>
      </c>
      <c r="AA270" s="0" t="s">
        <v>162</v>
      </c>
      <c r="AD270" s="0" t="s">
        <v>158</v>
      </c>
      <c r="AH270" s="5" t="s">
        <v>158</v>
      </c>
      <c r="AI270" s="0" t="s">
        <v>3026</v>
      </c>
      <c r="AJ270" s="0" t="s">
        <v>163</v>
      </c>
      <c r="AK270" s="0" t="s">
        <v>178</v>
      </c>
      <c r="AL270" s="0" t="n">
        <v>894</v>
      </c>
      <c r="AM270" s="0" t="n">
        <v>1788</v>
      </c>
      <c r="AN270" s="0" t="s">
        <v>179</v>
      </c>
      <c r="AO270" s="0" t="s">
        <v>163</v>
      </c>
      <c r="AP270" s="0" t="s">
        <v>4046</v>
      </c>
      <c r="AQ270" s="5" t="s">
        <v>162</v>
      </c>
      <c r="AT270" s="0" t="str">
        <f aca="false">IF(AND(AX270="pass",AQ270&lt;&gt;"Y",C270&lt;&gt;"",OR(AW270&lt;&gt;"Y",AV270="Y")),"Y","N")</f>
        <v>N</v>
      </c>
      <c r="AU270" s="0" t="str">
        <f aca="false">_xlfn.TEXTJOIN("; ",TRUE(),IF(AX270&lt;&gt;"pass","gated out",""),IF(AQ270="Y","on hold: "&amp;AR270,""),IF(C270="","no contact named on an opened page",""),IF(AND(AW270="Y",AV270&lt;&gt;"Y"),"Tuesday estimate band "&amp;L270&amp;": founder's call",""))</f>
        <v>gated out; no contact named on an opened page; Tuesday estimate band over-500: founder's call</v>
      </c>
      <c r="AW270" s="0" t="s">
        <v>168</v>
      </c>
      <c r="AX270" s="0" t="s">
        <v>3703</v>
      </c>
      <c r="AY270" s="0" t="s">
        <v>4049</v>
      </c>
      <c r="AZ270" s="0" t="s">
        <v>1</v>
      </c>
      <c r="BA270" s="0" t="s">
        <v>4050</v>
      </c>
      <c r="BB270" s="0" t="s">
        <v>4051</v>
      </c>
      <c r="BC270" s="0" t="s">
        <v>4052</v>
      </c>
      <c r="BD270" s="0" t="s">
        <v>4053</v>
      </c>
      <c r="BF270" s="0" t="s">
        <v>1322</v>
      </c>
      <c r="BG270" s="0" t="s">
        <v>188</v>
      </c>
      <c r="BH270" s="0" t="s">
        <v>189</v>
      </c>
      <c r="BI270" s="0" t="s">
        <v>4054</v>
      </c>
      <c r="BK270" s="0" t="s">
        <v>1439</v>
      </c>
      <c r="BL270" s="0" t="s">
        <v>192</v>
      </c>
      <c r="BM270" s="0" t="s">
        <v>168</v>
      </c>
      <c r="BN270" s="0" t="s">
        <v>163</v>
      </c>
      <c r="BO270" s="0" t="s">
        <v>163</v>
      </c>
      <c r="BP270" s="0" t="s">
        <v>346</v>
      </c>
      <c r="BQ270" s="0" t="n">
        <v>40.741986</v>
      </c>
      <c r="BR270" s="0" t="n">
        <v>-73.989477</v>
      </c>
      <c r="BS270" s="0" t="s">
        <v>168</v>
      </c>
      <c r="BT270" s="0" t="n">
        <v>0</v>
      </c>
      <c r="BV270" s="0" t="s">
        <v>163</v>
      </c>
      <c r="BW270" s="0" t="s">
        <v>3547</v>
      </c>
      <c r="BX270" s="0" t="s">
        <v>3554</v>
      </c>
      <c r="BY270" s="0" t="s">
        <v>247</v>
      </c>
      <c r="CC270" s="0" t="s">
        <v>738</v>
      </c>
      <c r="CE270" s="0" t="s">
        <v>162</v>
      </c>
      <c r="CH270" s="0" t="s">
        <v>163</v>
      </c>
      <c r="CJ270" s="0" t="s">
        <v>163</v>
      </c>
      <c r="CK270" s="0" t="s">
        <v>162</v>
      </c>
      <c r="CL270" s="0" t="s">
        <v>163</v>
      </c>
      <c r="CO270" s="0" t="n">
        <v>1264</v>
      </c>
      <c r="CP270" s="0" t="s">
        <v>3816</v>
      </c>
      <c r="CQ270" s="0" t="s">
        <v>4055</v>
      </c>
      <c r="CR270" s="0" t="s">
        <v>206</v>
      </c>
      <c r="CS270" s="0" t="n">
        <v>0</v>
      </c>
      <c r="CT270" s="0" t="n">
        <v>21</v>
      </c>
      <c r="CU270" s="0" t="n">
        <v>0</v>
      </c>
      <c r="CV270" s="0" t="n">
        <v>2</v>
      </c>
      <c r="CW270" s="0" t="n">
        <v>6</v>
      </c>
      <c r="CX270" s="0" t="n">
        <v>13</v>
      </c>
      <c r="CY270" s="0" t="n">
        <f aca="false">IF(AH270="exact",10,IF(AH270="adjacent",5,0))</f>
        <v>0</v>
      </c>
      <c r="CZ270" s="0" t="n">
        <f aca="false">IF(R270="Y",15,0)</f>
        <v>0</v>
      </c>
      <c r="DF270" s="0" t="s">
        <v>158</v>
      </c>
      <c r="DG270" s="0" t="s">
        <v>1335</v>
      </c>
      <c r="DH270" s="0" t="s">
        <v>1446</v>
      </c>
      <c r="DI270" s="0" t="s">
        <v>162</v>
      </c>
      <c r="DK270" s="0" t="s">
        <v>4056</v>
      </c>
      <c r="DS270" s="0" t="s">
        <v>158</v>
      </c>
      <c r="DX270" s="0" t="s">
        <v>162</v>
      </c>
      <c r="ER270" s="0" t="str">
        <f aca="false">IF(ISNUMBER(MATCH(U270,{"queued","contacted","replied","call_booked","call_done","yes_in_principle","materials_sent"},0)),"Y","N")</f>
        <v>N</v>
      </c>
      <c r="ES270" s="0" t="str">
        <f aca="false">IF(COUNTIFS($AP$2:$AP$1000,AP270,$ER$2:$ER$1000,"Y")+COUNTIFS($AP$2:$AP$1000,AP270,$T$2:$T$1000,"Y")&gt;0,"Y","N")</f>
        <v>N</v>
      </c>
      <c r="ET270" s="0" t="str">
        <f aca="false">IF(AND(U270="new",T270="N",AT270="Y",AS270="",ES270="N"),"Y","N")</f>
        <v>N</v>
      </c>
      <c r="EU270" s="0" t="str">
        <f aca="false">IF(ET270&lt;&gt;"Y","N",IF(COUNTIFS($AP$2:$AP$1000,AP270,$ET$2:$ET$1000,"Y",$J$2:$J$1000,"&gt;"&amp;J270)+COUNTIFS($AP$2:$AP$1000,AP270,$ET$2:$ET$1000,"Y",$J$2:$J$1000,J270,$EW$2:$EW$1000,"&lt;"&amp;EW270)=0,"Y","N"))</f>
        <v>N</v>
      </c>
      <c r="EV270" s="0" t="str">
        <f aca="false">IF(Y270="","N",IF(Y270&lt;=10,"Y","N"))</f>
        <v>N</v>
      </c>
      <c r="EW270" s="0" t="n">
        <f aca="false">ROW()-1</f>
        <v>269</v>
      </c>
    </row>
    <row r="271" customFormat="false" ht="15" hidden="false" customHeight="false" outlineLevel="0" collapsed="false">
      <c r="A271" s="0" t="s">
        <v>4057</v>
      </c>
      <c r="B271" s="0" t="s">
        <v>4058</v>
      </c>
      <c r="H271" s="5" t="s">
        <v>158</v>
      </c>
      <c r="I271" s="5" t="s">
        <v>159</v>
      </c>
      <c r="J271" s="0" t="n">
        <f aca="false">IF(AX271="pass",ROUND(CU271+CV271+CW271+CX271+CY271+CZ271,1),0)</f>
        <v>0</v>
      </c>
      <c r="K271" s="0" t="s">
        <v>4059</v>
      </c>
      <c r="L271" s="0" t="s">
        <v>560</v>
      </c>
      <c r="O271" s="0" t="s">
        <v>4060</v>
      </c>
      <c r="P271" s="0" t="s">
        <v>1361</v>
      </c>
      <c r="Q271" s="0" t="s">
        <v>417</v>
      </c>
      <c r="R271" s="5" t="s">
        <v>162</v>
      </c>
      <c r="S271" s="0" t="s">
        <v>163</v>
      </c>
      <c r="T271" s="5" t="s">
        <v>162</v>
      </c>
      <c r="U271" s="5" t="s">
        <v>561</v>
      </c>
      <c r="V271" s="0" t="s">
        <v>1361</v>
      </c>
      <c r="W271" s="0" t="s">
        <v>166</v>
      </c>
      <c r="X271" s="0" t="s">
        <v>167</v>
      </c>
      <c r="Y271" s="0" t="str">
        <f aca="false">IF(EU271&lt;&gt;"Y","",COUNTIFS($EU$2:$EU$1000,"Y",$J$2:$J$1000,"&gt;"&amp;J271)+COUNTIFS($EU$2:$EU$1000,"Y",$J$2:$J$1000,J271,$EW$2:$EW$1000,"&lt;"&amp;EW271)+1)</f>
        <v/>
      </c>
      <c r="AA271" s="0" t="s">
        <v>162</v>
      </c>
      <c r="AD271" s="0" t="s">
        <v>158</v>
      </c>
      <c r="AH271" s="5" t="s">
        <v>158</v>
      </c>
      <c r="AI271" s="0" t="s">
        <v>232</v>
      </c>
      <c r="AJ271" s="0" t="s">
        <v>471</v>
      </c>
      <c r="AK271" s="0" t="s">
        <v>889</v>
      </c>
      <c r="AL271" s="0" t="n">
        <v>14</v>
      </c>
      <c r="AM271" s="0" t="n">
        <v>28</v>
      </c>
      <c r="AN271" s="0" t="s">
        <v>179</v>
      </c>
      <c r="AO271" s="0" t="s">
        <v>163</v>
      </c>
      <c r="AP271" s="0" t="s">
        <v>4057</v>
      </c>
      <c r="AQ271" s="5" t="s">
        <v>168</v>
      </c>
      <c r="AR271" s="0" t="s">
        <v>890</v>
      </c>
      <c r="AT271" s="0" t="str">
        <f aca="false">IF(AND(AX271="pass",AQ271&lt;&gt;"Y",C271&lt;&gt;"",OR(AW271&lt;&gt;"Y",AV271="Y")),"Y","N")</f>
        <v>N</v>
      </c>
      <c r="AU271" s="0" t="str">
        <f aca="false">_xlfn.TEXTJOIN("; ",TRUE(),IF(AX271&lt;&gt;"pass","gated out",""),IF(AQ271="Y","on hold: "&amp;AR271,""),IF(C271="","no contact named on an opened page",""),IF(AND(AW271="Y",AV271&lt;&gt;"Y"),"Tuesday estimate band "&amp;L271&amp;": founder's call",""))</f>
        <v>gated out; on hold: lease signed, move not confirmed: check the lobby directory before outreach (B); no contact named on an opened page; Tuesday estimate band under-40: founder's call</v>
      </c>
      <c r="AW271" s="0" t="s">
        <v>168</v>
      </c>
      <c r="AX271" s="0" t="s">
        <v>3703</v>
      </c>
      <c r="AY271" s="0" t="s">
        <v>4061</v>
      </c>
      <c r="AZ271" s="0" t="s">
        <v>1</v>
      </c>
      <c r="BA271" s="0" t="s">
        <v>4062</v>
      </c>
      <c r="BB271" s="0" t="s">
        <v>4063</v>
      </c>
      <c r="BC271" s="0" t="s">
        <v>4064</v>
      </c>
      <c r="BD271" s="0" t="s">
        <v>4065</v>
      </c>
      <c r="BF271" s="0" t="s">
        <v>394</v>
      </c>
      <c r="BG271" s="0" t="s">
        <v>188</v>
      </c>
      <c r="BH271" s="0" t="s">
        <v>189</v>
      </c>
      <c r="BI271" s="0" t="s">
        <v>4066</v>
      </c>
      <c r="BK271" s="0" t="s">
        <v>191</v>
      </c>
      <c r="BL271" s="0" t="s">
        <v>192</v>
      </c>
      <c r="BM271" s="0" t="s">
        <v>168</v>
      </c>
      <c r="BN271" s="0" t="s">
        <v>163</v>
      </c>
      <c r="BO271" s="0" t="s">
        <v>163</v>
      </c>
      <c r="BP271" s="0" t="s">
        <v>243</v>
      </c>
      <c r="BQ271" s="0" t="n">
        <v>40.742833</v>
      </c>
      <c r="BR271" s="0" t="n">
        <v>-73.984174</v>
      </c>
      <c r="BS271" s="0" t="s">
        <v>168</v>
      </c>
      <c r="BT271" s="0" t="n">
        <v>0</v>
      </c>
      <c r="BU271" s="0" t="s">
        <v>244</v>
      </c>
      <c r="BV271" s="0" t="s">
        <v>245</v>
      </c>
      <c r="BW271" s="0" t="s">
        <v>1361</v>
      </c>
      <c r="BX271" s="0" t="s">
        <v>417</v>
      </c>
      <c r="BY271" s="0" t="s">
        <v>247</v>
      </c>
      <c r="BZ271" s="0" t="s">
        <v>228</v>
      </c>
      <c r="CA271" s="0" t="s">
        <v>246</v>
      </c>
      <c r="CC271" s="0" t="s">
        <v>738</v>
      </c>
      <c r="CD271" s="0" t="s">
        <v>163</v>
      </c>
      <c r="CE271" s="0" t="s">
        <v>162</v>
      </c>
      <c r="CH271" s="0" t="s">
        <v>163</v>
      </c>
      <c r="CJ271" s="0" t="s">
        <v>163</v>
      </c>
      <c r="CK271" s="0" t="s">
        <v>162</v>
      </c>
      <c r="CL271" s="0" t="s">
        <v>163</v>
      </c>
      <c r="CO271" s="0" t="n">
        <v>20</v>
      </c>
      <c r="CP271" s="0" t="s">
        <v>4067</v>
      </c>
      <c r="CQ271" s="0" t="s">
        <v>4068</v>
      </c>
      <c r="CR271" s="0" t="s">
        <v>206</v>
      </c>
      <c r="CS271" s="0" t="n">
        <v>0</v>
      </c>
      <c r="CT271" s="0" t="n">
        <v>26</v>
      </c>
      <c r="CU271" s="0" t="n">
        <v>0</v>
      </c>
      <c r="CV271" s="0" t="n">
        <v>15</v>
      </c>
      <c r="CW271" s="0" t="n">
        <v>6</v>
      </c>
      <c r="CX271" s="0" t="n">
        <v>5</v>
      </c>
      <c r="CY271" s="0" t="n">
        <f aca="false">IF(AH271="exact",10,IF(AH271="adjacent",5,0))</f>
        <v>0</v>
      </c>
      <c r="CZ271" s="0" t="n">
        <f aca="false">IF(R271="Y",15,0)</f>
        <v>0</v>
      </c>
      <c r="DF271" s="0" t="s">
        <v>158</v>
      </c>
      <c r="DG271" s="0" t="s">
        <v>211</v>
      </c>
      <c r="DJ271" s="0" t="s">
        <v>4069</v>
      </c>
      <c r="DK271" s="0" t="s">
        <v>4070</v>
      </c>
      <c r="DS271" s="0" t="s">
        <v>158</v>
      </c>
      <c r="DX271" s="0" t="s">
        <v>162</v>
      </c>
      <c r="ER271" s="0" t="str">
        <f aca="false">IF(ISNUMBER(MATCH(U271,{"queued","contacted","replied","call_booked","call_done","yes_in_principle","materials_sent"},0)),"Y","N")</f>
        <v>N</v>
      </c>
      <c r="ES271" s="0" t="str">
        <f aca="false">IF(COUNTIFS($AP$2:$AP$1000,AP271,$ER$2:$ER$1000,"Y")+COUNTIFS($AP$2:$AP$1000,AP271,$T$2:$T$1000,"Y")&gt;0,"Y","N")</f>
        <v>N</v>
      </c>
      <c r="ET271" s="0" t="str">
        <f aca="false">IF(AND(U271="new",T271="N",AT271="Y",AS271="",ES271="N"),"Y","N")</f>
        <v>N</v>
      </c>
      <c r="EU271" s="0" t="str">
        <f aca="false">IF(ET271&lt;&gt;"Y","N",IF(COUNTIFS($AP$2:$AP$1000,AP271,$ET$2:$ET$1000,"Y",$J$2:$J$1000,"&gt;"&amp;J271)+COUNTIFS($AP$2:$AP$1000,AP271,$ET$2:$ET$1000,"Y",$J$2:$J$1000,J271,$EW$2:$EW$1000,"&lt;"&amp;EW271)=0,"Y","N"))</f>
        <v>N</v>
      </c>
      <c r="EV271" s="0" t="str">
        <f aca="false">IF(Y271="","N",IF(Y271&lt;=10,"Y","N"))</f>
        <v>N</v>
      </c>
      <c r="EW271" s="0" t="n">
        <f aca="false">ROW()-1</f>
        <v>270</v>
      </c>
    </row>
    <row r="272" customFormat="false" ht="15" hidden="false" customHeight="false" outlineLevel="0" collapsed="false">
      <c r="A272" s="0" t="s">
        <v>4071</v>
      </c>
      <c r="B272" s="0" t="s">
        <v>4072</v>
      </c>
      <c r="H272" s="5" t="s">
        <v>158</v>
      </c>
      <c r="I272" s="5" t="s">
        <v>159</v>
      </c>
      <c r="J272" s="0" t="n">
        <f aca="false">IF(AX272="pass",ROUND(CU272+CV272+CW272+CX272+CY272+CZ272,1),0)</f>
        <v>0</v>
      </c>
      <c r="K272" s="0" t="s">
        <v>4073</v>
      </c>
      <c r="L272" s="0" t="s">
        <v>1322</v>
      </c>
      <c r="R272" s="5" t="s">
        <v>162</v>
      </c>
      <c r="S272" s="0" t="s">
        <v>163</v>
      </c>
      <c r="T272" s="5" t="s">
        <v>162</v>
      </c>
      <c r="U272" s="5" t="s">
        <v>561</v>
      </c>
      <c r="V272" s="0" t="s">
        <v>1683</v>
      </c>
      <c r="W272" s="0" t="s">
        <v>166</v>
      </c>
      <c r="X272" s="0" t="s">
        <v>167</v>
      </c>
      <c r="Y272" s="0" t="str">
        <f aca="false">IF(EU272&lt;&gt;"Y","",COUNTIFS($EU$2:$EU$1000,"Y",$J$2:$J$1000,"&gt;"&amp;J272)+COUNTIFS($EU$2:$EU$1000,"Y",$J$2:$J$1000,J272,$EW$2:$EW$1000,"&lt;"&amp;EW272)+1)</f>
        <v/>
      </c>
      <c r="AA272" s="0" t="s">
        <v>162</v>
      </c>
      <c r="AD272" s="0" t="s">
        <v>158</v>
      </c>
      <c r="AH272" s="5" t="s">
        <v>158</v>
      </c>
      <c r="AI272" s="0" t="s">
        <v>860</v>
      </c>
      <c r="AJ272" s="0" t="s">
        <v>1257</v>
      </c>
      <c r="AK272" s="0" t="s">
        <v>889</v>
      </c>
      <c r="AL272" s="0" t="n">
        <v>408</v>
      </c>
      <c r="AM272" s="0" t="n">
        <v>815</v>
      </c>
      <c r="AN272" s="0" t="s">
        <v>179</v>
      </c>
      <c r="AO272" s="0" t="s">
        <v>163</v>
      </c>
      <c r="AP272" s="0" t="s">
        <v>4071</v>
      </c>
      <c r="AQ272" s="5" t="s">
        <v>168</v>
      </c>
      <c r="AR272" s="0" t="s">
        <v>890</v>
      </c>
      <c r="AT272" s="0" t="str">
        <f aca="false">IF(AND(AX272="pass",AQ272&lt;&gt;"Y",C272&lt;&gt;"",OR(AW272&lt;&gt;"Y",AV272="Y")),"Y","N")</f>
        <v>N</v>
      </c>
      <c r="AU272" s="0" t="str">
        <f aca="false">_xlfn.TEXTJOIN("; ",TRUE(),IF(AX272&lt;&gt;"pass","gated out",""),IF(AQ272="Y","on hold: "&amp;AR272,""),IF(C272="","no contact named on an opened page",""),IF(AND(AW272="Y",AV272&lt;&gt;"Y"),"Tuesday estimate band "&amp;L272&amp;": founder's call",""))</f>
        <v>gated out; on hold: lease signed, move not confirmed: check the lobby directory before outreach (B); no contact named on an opened page; Tuesday estimate band over-500: founder's call</v>
      </c>
      <c r="AW272" s="0" t="s">
        <v>168</v>
      </c>
      <c r="AX272" s="0" t="s">
        <v>3703</v>
      </c>
      <c r="AY272" s="0" t="s">
        <v>4074</v>
      </c>
      <c r="AZ272" s="0" t="s">
        <v>1</v>
      </c>
      <c r="BA272" s="0" t="s">
        <v>4075</v>
      </c>
      <c r="BB272" s="0" t="s">
        <v>4076</v>
      </c>
      <c r="BC272" s="0" t="s">
        <v>4077</v>
      </c>
      <c r="BD272" s="0" t="s">
        <v>4078</v>
      </c>
      <c r="BF272" s="0" t="s">
        <v>1322</v>
      </c>
      <c r="BG272" s="0" t="s">
        <v>188</v>
      </c>
      <c r="BH272" s="0" t="s">
        <v>189</v>
      </c>
      <c r="BI272" s="0" t="s">
        <v>4079</v>
      </c>
      <c r="BK272" s="0" t="s">
        <v>1439</v>
      </c>
      <c r="BL272" s="0" t="s">
        <v>192</v>
      </c>
      <c r="BM272" s="0" t="s">
        <v>168</v>
      </c>
      <c r="BN272" s="0" t="s">
        <v>163</v>
      </c>
      <c r="BO272" s="0" t="s">
        <v>163</v>
      </c>
      <c r="BP272" s="0" t="s">
        <v>346</v>
      </c>
      <c r="BQ272" s="0" t="n">
        <v>40.742654</v>
      </c>
      <c r="BR272" s="0" t="n">
        <v>-73.991559</v>
      </c>
      <c r="BS272" s="0" t="s">
        <v>168</v>
      </c>
      <c r="BT272" s="0" t="n">
        <v>0</v>
      </c>
      <c r="BU272" s="0" t="s">
        <v>869</v>
      </c>
      <c r="BV272" s="0" t="s">
        <v>870</v>
      </c>
      <c r="BW272" s="0" t="s">
        <v>1683</v>
      </c>
      <c r="BX272" s="0" t="s">
        <v>1684</v>
      </c>
      <c r="BY272" s="0" t="s">
        <v>247</v>
      </c>
      <c r="BZ272" s="0" t="s">
        <v>4080</v>
      </c>
      <c r="CA272" s="0" t="s">
        <v>2848</v>
      </c>
      <c r="CC272" s="0" t="s">
        <v>738</v>
      </c>
      <c r="CD272" s="0" t="s">
        <v>163</v>
      </c>
      <c r="CE272" s="0" t="s">
        <v>162</v>
      </c>
      <c r="CH272" s="0" t="s">
        <v>201</v>
      </c>
      <c r="CI272" s="0" t="s">
        <v>871</v>
      </c>
      <c r="CJ272" s="0" t="s">
        <v>163</v>
      </c>
      <c r="CK272" s="0" t="s">
        <v>162</v>
      </c>
      <c r="CL272" s="0" t="s">
        <v>163</v>
      </c>
      <c r="CO272" s="0" t="n">
        <v>577</v>
      </c>
      <c r="CP272" s="0" t="s">
        <v>3816</v>
      </c>
      <c r="CQ272" s="0" t="s">
        <v>4081</v>
      </c>
      <c r="CR272" s="0" t="s">
        <v>206</v>
      </c>
      <c r="CS272" s="0" t="n">
        <v>0</v>
      </c>
      <c r="CT272" s="0" t="n">
        <v>13</v>
      </c>
      <c r="CU272" s="0" t="n">
        <v>0</v>
      </c>
      <c r="CV272" s="0" t="n">
        <v>2</v>
      </c>
      <c r="CW272" s="0" t="n">
        <v>6</v>
      </c>
      <c r="CX272" s="0" t="n">
        <v>5</v>
      </c>
      <c r="CY272" s="0" t="n">
        <f aca="false">IF(AH272="exact",10,IF(AH272="adjacent",5,0))</f>
        <v>0</v>
      </c>
      <c r="CZ272" s="0" t="n">
        <f aca="false">IF(R272="Y",15,0)</f>
        <v>0</v>
      </c>
      <c r="DF272" s="0" t="s">
        <v>158</v>
      </c>
      <c r="DG272" s="0" t="s">
        <v>1335</v>
      </c>
      <c r="DH272" s="0" t="s">
        <v>1446</v>
      </c>
      <c r="DI272" s="0" t="s">
        <v>162</v>
      </c>
      <c r="DJ272" s="0" t="s">
        <v>4082</v>
      </c>
      <c r="DK272" s="0" t="s">
        <v>4083</v>
      </c>
      <c r="DS272" s="0" t="s">
        <v>158</v>
      </c>
      <c r="DX272" s="0" t="s">
        <v>162</v>
      </c>
      <c r="ER272" s="0" t="str">
        <f aca="false">IF(ISNUMBER(MATCH(U272,{"queued","contacted","replied","call_booked","call_done","yes_in_principle","materials_sent"},0)),"Y","N")</f>
        <v>N</v>
      </c>
      <c r="ES272" s="0" t="str">
        <f aca="false">IF(COUNTIFS($AP$2:$AP$1000,AP272,$ER$2:$ER$1000,"Y")+COUNTIFS($AP$2:$AP$1000,AP272,$T$2:$T$1000,"Y")&gt;0,"Y","N")</f>
        <v>N</v>
      </c>
      <c r="ET272" s="0" t="str">
        <f aca="false">IF(AND(U272="new",T272="N",AT272="Y",AS272="",ES272="N"),"Y","N")</f>
        <v>N</v>
      </c>
      <c r="EU272" s="0" t="str">
        <f aca="false">IF(ET272&lt;&gt;"Y","N",IF(COUNTIFS($AP$2:$AP$1000,AP272,$ET$2:$ET$1000,"Y",$J$2:$J$1000,"&gt;"&amp;J272)+COUNTIFS($AP$2:$AP$1000,AP272,$ET$2:$ET$1000,"Y",$J$2:$J$1000,J272,$EW$2:$EW$1000,"&lt;"&amp;EW272)=0,"Y","N"))</f>
        <v>N</v>
      </c>
      <c r="EV272" s="0" t="str">
        <f aca="false">IF(Y272="","N",IF(Y272&lt;=10,"Y","N"))</f>
        <v>N</v>
      </c>
      <c r="EW272" s="0" t="n">
        <f aca="false">ROW()-1</f>
        <v>271</v>
      </c>
    </row>
    <row r="273" customFormat="false" ht="15" hidden="false" customHeight="false" outlineLevel="0" collapsed="false">
      <c r="A273" s="0" t="s">
        <v>4084</v>
      </c>
      <c r="B273" s="0" t="s">
        <v>4085</v>
      </c>
      <c r="H273" s="5" t="s">
        <v>158</v>
      </c>
      <c r="I273" s="5" t="s">
        <v>159</v>
      </c>
      <c r="J273" s="0" t="n">
        <f aca="false">IF(AX273="pass",ROUND(CU273+CV273+CW273+CX273+CY273+CZ273,1),0)</f>
        <v>0</v>
      </c>
      <c r="K273" s="0" t="s">
        <v>4086</v>
      </c>
      <c r="L273" s="0" t="s">
        <v>1322</v>
      </c>
      <c r="R273" s="5" t="s">
        <v>162</v>
      </c>
      <c r="S273" s="0" t="s">
        <v>163</v>
      </c>
      <c r="T273" s="5" t="s">
        <v>162</v>
      </c>
      <c r="U273" s="5" t="s">
        <v>561</v>
      </c>
      <c r="V273" s="0" t="s">
        <v>1290</v>
      </c>
      <c r="W273" s="0" t="s">
        <v>166</v>
      </c>
      <c r="X273" s="0" t="s">
        <v>167</v>
      </c>
      <c r="Y273" s="0" t="str">
        <f aca="false">IF(EU273&lt;&gt;"Y","",COUNTIFS($EU$2:$EU$1000,"Y",$J$2:$J$1000,"&gt;"&amp;J273)+COUNTIFS($EU$2:$EU$1000,"Y",$J$2:$J$1000,J273,$EW$2:$EW$1000,"&lt;"&amp;EW273)+1)</f>
        <v/>
      </c>
      <c r="AA273" s="0" t="s">
        <v>162</v>
      </c>
      <c r="AD273" s="0" t="s">
        <v>158</v>
      </c>
      <c r="AH273" s="5" t="s">
        <v>158</v>
      </c>
      <c r="AI273" s="0" t="s">
        <v>1292</v>
      </c>
      <c r="AJ273" s="0" t="s">
        <v>163</v>
      </c>
      <c r="AK273" s="0" t="s">
        <v>178</v>
      </c>
      <c r="AL273" s="0" t="n">
        <v>4232</v>
      </c>
      <c r="AM273" s="0" t="n">
        <v>8465</v>
      </c>
      <c r="AN273" s="0" t="s">
        <v>179</v>
      </c>
      <c r="AO273" s="0" t="s">
        <v>163</v>
      </c>
      <c r="AP273" s="0" t="s">
        <v>4084</v>
      </c>
      <c r="AQ273" s="5" t="s">
        <v>162</v>
      </c>
      <c r="AT273" s="0" t="str">
        <f aca="false">IF(AND(AX273="pass",AQ273&lt;&gt;"Y",C273&lt;&gt;"",OR(AW273&lt;&gt;"Y",AV273="Y")),"Y","N")</f>
        <v>N</v>
      </c>
      <c r="AU273" s="0" t="str">
        <f aca="false">_xlfn.TEXTJOIN("; ",TRUE(),IF(AX273&lt;&gt;"pass","gated out",""),IF(AQ273="Y","on hold: "&amp;AR273,""),IF(C273="","no contact named on an opened page",""),IF(AND(AW273="Y",AV273&lt;&gt;"Y"),"Tuesday estimate band "&amp;L273&amp;": founder's call",""))</f>
        <v>gated out; no contact named on an opened page; Tuesday estimate band over-500: founder's call</v>
      </c>
      <c r="AW273" s="0" t="s">
        <v>168</v>
      </c>
      <c r="AX273" s="0" t="s">
        <v>3703</v>
      </c>
      <c r="AY273" s="0" t="s">
        <v>4087</v>
      </c>
      <c r="AZ273" s="0" t="s">
        <v>1</v>
      </c>
      <c r="BA273" s="0" t="s">
        <v>4088</v>
      </c>
      <c r="BB273" s="0" t="s">
        <v>4089</v>
      </c>
      <c r="BC273" s="0" t="s">
        <v>4090</v>
      </c>
      <c r="BD273" s="0" t="s">
        <v>4091</v>
      </c>
      <c r="BF273" s="0" t="s">
        <v>1322</v>
      </c>
      <c r="BG273" s="0" t="s">
        <v>188</v>
      </c>
      <c r="BH273" s="0" t="s">
        <v>189</v>
      </c>
      <c r="BI273" s="0" t="s">
        <v>4092</v>
      </c>
      <c r="BK273" s="0" t="s">
        <v>3287</v>
      </c>
      <c r="BL273" s="0" t="s">
        <v>192</v>
      </c>
      <c r="BM273" s="0" t="s">
        <v>168</v>
      </c>
      <c r="BN273" s="0" t="s">
        <v>163</v>
      </c>
      <c r="BO273" s="0" t="s">
        <v>163</v>
      </c>
      <c r="BP273" s="0" t="s">
        <v>377</v>
      </c>
      <c r="BQ273" s="0" t="n">
        <v>40.7409</v>
      </c>
      <c r="BR273" s="0" t="n">
        <v>-73.994512</v>
      </c>
      <c r="BS273" s="0" t="s">
        <v>168</v>
      </c>
      <c r="BT273" s="0" t="n">
        <v>0</v>
      </c>
      <c r="BU273" s="0" t="s">
        <v>1301</v>
      </c>
      <c r="BV273" s="0" t="s">
        <v>1302</v>
      </c>
      <c r="BW273" s="0" t="s">
        <v>1290</v>
      </c>
      <c r="BX273" s="0" t="s">
        <v>1291</v>
      </c>
      <c r="BY273" s="0" t="s">
        <v>247</v>
      </c>
      <c r="BZ273" s="0" t="s">
        <v>4093</v>
      </c>
      <c r="CA273" s="0" t="s">
        <v>4094</v>
      </c>
      <c r="CC273" s="0" t="s">
        <v>738</v>
      </c>
      <c r="CE273" s="0" t="s">
        <v>162</v>
      </c>
      <c r="CH273" s="0" t="s">
        <v>163</v>
      </c>
      <c r="CJ273" s="0" t="s">
        <v>163</v>
      </c>
      <c r="CK273" s="0" t="s">
        <v>162</v>
      </c>
      <c r="CL273" s="0" t="s">
        <v>163</v>
      </c>
      <c r="CO273" s="0" t="n">
        <v>5985</v>
      </c>
      <c r="CP273" s="0" t="s">
        <v>3816</v>
      </c>
      <c r="CQ273" s="0" t="s">
        <v>4095</v>
      </c>
      <c r="CR273" s="0" t="s">
        <v>206</v>
      </c>
      <c r="CS273" s="0" t="n">
        <v>0</v>
      </c>
      <c r="CT273" s="0" t="n">
        <v>19</v>
      </c>
      <c r="CU273" s="0" t="n">
        <v>0</v>
      </c>
      <c r="CV273" s="0" t="n">
        <v>0</v>
      </c>
      <c r="CW273" s="0" t="n">
        <v>6</v>
      </c>
      <c r="CX273" s="0" t="n">
        <v>13</v>
      </c>
      <c r="CY273" s="0" t="n">
        <f aca="false">IF(AH273="exact",10,IF(AH273="adjacent",5,0))</f>
        <v>0</v>
      </c>
      <c r="CZ273" s="0" t="n">
        <f aca="false">IF(R273="Y",15,0)</f>
        <v>0</v>
      </c>
      <c r="DF273" s="0" t="s">
        <v>158</v>
      </c>
      <c r="DG273" s="0" t="s">
        <v>1335</v>
      </c>
      <c r="DH273" s="0" t="s">
        <v>3290</v>
      </c>
      <c r="DI273" s="0" t="s">
        <v>162</v>
      </c>
      <c r="DJ273" s="0" t="s">
        <v>4096</v>
      </c>
      <c r="DK273" s="0" t="s">
        <v>4097</v>
      </c>
      <c r="DS273" s="0" t="s">
        <v>158</v>
      </c>
      <c r="DX273" s="0" t="s">
        <v>162</v>
      </c>
      <c r="ER273" s="0" t="str">
        <f aca="false">IF(ISNUMBER(MATCH(U273,{"queued","contacted","replied","call_booked","call_done","yes_in_principle","materials_sent"},0)),"Y","N")</f>
        <v>N</v>
      </c>
      <c r="ES273" s="0" t="str">
        <f aca="false">IF(COUNTIFS($AP$2:$AP$1000,AP273,$ER$2:$ER$1000,"Y")+COUNTIFS($AP$2:$AP$1000,AP273,$T$2:$T$1000,"Y")&gt;0,"Y","N")</f>
        <v>N</v>
      </c>
      <c r="ET273" s="0" t="str">
        <f aca="false">IF(AND(U273="new",T273="N",AT273="Y",AS273="",ES273="N"),"Y","N")</f>
        <v>N</v>
      </c>
      <c r="EU273" s="0" t="str">
        <f aca="false">IF(ET273&lt;&gt;"Y","N",IF(COUNTIFS($AP$2:$AP$1000,AP273,$ET$2:$ET$1000,"Y",$J$2:$J$1000,"&gt;"&amp;J273)+COUNTIFS($AP$2:$AP$1000,AP273,$ET$2:$ET$1000,"Y",$J$2:$J$1000,J273,$EW$2:$EW$1000,"&lt;"&amp;EW273)=0,"Y","N"))</f>
        <v>N</v>
      </c>
      <c r="EV273" s="0" t="str">
        <f aca="false">IF(Y273="","N",IF(Y273&lt;=10,"Y","N"))</f>
        <v>N</v>
      </c>
      <c r="EW273" s="0" t="n">
        <f aca="false">ROW()-1</f>
        <v>272</v>
      </c>
    </row>
    <row r="274" customFormat="false" ht="15" hidden="false" customHeight="false" outlineLevel="0" collapsed="false">
      <c r="A274" s="0" t="s">
        <v>4098</v>
      </c>
      <c r="B274" s="0" t="s">
        <v>4099</v>
      </c>
      <c r="H274" s="5" t="s">
        <v>158</v>
      </c>
      <c r="I274" s="5" t="s">
        <v>159</v>
      </c>
      <c r="J274" s="0" t="n">
        <f aca="false">IF(AX274="pass",ROUND(CU274+CV274+CW274+CX274+CY274+CZ274,1),0)</f>
        <v>0</v>
      </c>
      <c r="K274" s="0" t="s">
        <v>4100</v>
      </c>
      <c r="L274" s="0" t="s">
        <v>560</v>
      </c>
      <c r="R274" s="5" t="s">
        <v>162</v>
      </c>
      <c r="S274" s="0" t="s">
        <v>163</v>
      </c>
      <c r="T274" s="5" t="s">
        <v>162</v>
      </c>
      <c r="U274" s="5" t="s">
        <v>561</v>
      </c>
      <c r="V274" s="0" t="s">
        <v>1409</v>
      </c>
      <c r="W274" s="0" t="s">
        <v>166</v>
      </c>
      <c r="X274" s="0" t="s">
        <v>167</v>
      </c>
      <c r="Y274" s="0" t="str">
        <f aca="false">IF(EU274&lt;&gt;"Y","",COUNTIFS($EU$2:$EU$1000,"Y",$J$2:$J$1000,"&gt;"&amp;J274)+COUNTIFS($EU$2:$EU$1000,"Y",$J$2:$J$1000,J274,$EW$2:$EW$1000,"&lt;"&amp;EW274)+1)</f>
        <v/>
      </c>
      <c r="AA274" s="0" t="s">
        <v>162</v>
      </c>
      <c r="AD274" s="0" t="s">
        <v>158</v>
      </c>
      <c r="AH274" s="5" t="s">
        <v>158</v>
      </c>
      <c r="AI274" s="0" t="s">
        <v>1410</v>
      </c>
      <c r="AJ274" s="0" t="s">
        <v>163</v>
      </c>
      <c r="AK274" s="0" t="s">
        <v>178</v>
      </c>
      <c r="AL274" s="0" t="n">
        <v>1</v>
      </c>
      <c r="AM274" s="0" t="n">
        <v>27</v>
      </c>
      <c r="AN274" s="0" t="s">
        <v>179</v>
      </c>
      <c r="AO274" s="0" t="s">
        <v>163</v>
      </c>
      <c r="AP274" s="0" t="s">
        <v>4098</v>
      </c>
      <c r="AQ274" s="5" t="s">
        <v>162</v>
      </c>
      <c r="AT274" s="0" t="str">
        <f aca="false">IF(AND(AX274="pass",AQ274&lt;&gt;"Y",C274&lt;&gt;"",OR(AW274&lt;&gt;"Y",AV274="Y")),"Y","N")</f>
        <v>N</v>
      </c>
      <c r="AU274" s="0" t="str">
        <f aca="false">_xlfn.TEXTJOIN("; ",TRUE(),IF(AX274&lt;&gt;"pass","gated out",""),IF(AQ274="Y","on hold: "&amp;AR274,""),IF(C274="","no contact named on an opened page",""),IF(AND(AW274="Y",AV274&lt;&gt;"Y"),"Tuesday estimate band "&amp;L274&amp;": founder's call",""))</f>
        <v>gated out; no contact named on an opened page; Tuesday estimate band under-40: founder's call</v>
      </c>
      <c r="AW274" s="0" t="s">
        <v>168</v>
      </c>
      <c r="AX274" s="0" t="s">
        <v>3703</v>
      </c>
      <c r="AY274" s="0" t="s">
        <v>4101</v>
      </c>
      <c r="AZ274" s="0" t="s">
        <v>1</v>
      </c>
      <c r="BA274" s="0" t="s">
        <v>4102</v>
      </c>
      <c r="BB274" s="0" t="s">
        <v>4103</v>
      </c>
      <c r="BC274" s="0" t="s">
        <v>4104</v>
      </c>
      <c r="BD274" s="0" t="s">
        <v>961</v>
      </c>
      <c r="BF274" s="0" t="s">
        <v>394</v>
      </c>
      <c r="BG274" s="0" t="s">
        <v>188</v>
      </c>
      <c r="BH274" s="0" t="s">
        <v>189</v>
      </c>
      <c r="BI274" s="0" t="s">
        <v>4105</v>
      </c>
      <c r="BK274" s="0" t="s">
        <v>191</v>
      </c>
      <c r="BL274" s="0" t="s">
        <v>4106</v>
      </c>
      <c r="BM274" s="0" t="s">
        <v>162</v>
      </c>
      <c r="BN274" s="0" t="s">
        <v>163</v>
      </c>
      <c r="BO274" s="0" t="s">
        <v>163</v>
      </c>
      <c r="BP274" s="0" t="s">
        <v>346</v>
      </c>
      <c r="BQ274" s="0" t="n">
        <v>40.741548</v>
      </c>
      <c r="BR274" s="0" t="n">
        <v>-73.993007</v>
      </c>
      <c r="BS274" s="0" t="s">
        <v>168</v>
      </c>
      <c r="BT274" s="0" t="n">
        <v>0</v>
      </c>
      <c r="BU274" s="0" t="s">
        <v>1419</v>
      </c>
      <c r="BV274" s="0" t="s">
        <v>1420</v>
      </c>
      <c r="BW274" s="0" t="s">
        <v>1409</v>
      </c>
      <c r="BX274" s="0" t="s">
        <v>1421</v>
      </c>
      <c r="BY274" s="0" t="s">
        <v>247</v>
      </c>
      <c r="CC274" s="0" t="s">
        <v>738</v>
      </c>
      <c r="CE274" s="0" t="s">
        <v>162</v>
      </c>
      <c r="CH274" s="0" t="s">
        <v>163</v>
      </c>
      <c r="CJ274" s="0" t="s">
        <v>163</v>
      </c>
      <c r="CK274" s="0" t="s">
        <v>162</v>
      </c>
      <c r="CL274" s="0" t="s">
        <v>163</v>
      </c>
      <c r="CO274" s="0" t="n">
        <v>5</v>
      </c>
      <c r="CP274" s="0" t="s">
        <v>4067</v>
      </c>
      <c r="CQ274" s="0" t="s">
        <v>4107</v>
      </c>
      <c r="CR274" s="0" t="s">
        <v>206</v>
      </c>
      <c r="CS274" s="0" t="n">
        <v>0</v>
      </c>
      <c r="CT274" s="0" t="n">
        <v>34</v>
      </c>
      <c r="CU274" s="0" t="n">
        <v>0</v>
      </c>
      <c r="CV274" s="0" t="n">
        <v>15</v>
      </c>
      <c r="CW274" s="0" t="n">
        <v>6</v>
      </c>
      <c r="CX274" s="0" t="n">
        <v>13</v>
      </c>
      <c r="CY274" s="0" t="n">
        <f aca="false">IF(AH274="exact",10,IF(AH274="adjacent",5,0))</f>
        <v>0</v>
      </c>
      <c r="CZ274" s="0" t="n">
        <f aca="false">IF(R274="Y",15,0)</f>
        <v>0</v>
      </c>
      <c r="DF274" s="0" t="s">
        <v>158</v>
      </c>
      <c r="DG274" s="0" t="s">
        <v>211</v>
      </c>
      <c r="DJ274" s="0" t="s">
        <v>2377</v>
      </c>
      <c r="DK274" s="0" t="s">
        <v>4108</v>
      </c>
      <c r="DS274" s="0" t="s">
        <v>158</v>
      </c>
      <c r="DX274" s="0" t="s">
        <v>162</v>
      </c>
      <c r="ER274" s="0" t="str">
        <f aca="false">IF(ISNUMBER(MATCH(U274,{"queued","contacted","replied","call_booked","call_done","yes_in_principle","materials_sent"},0)),"Y","N")</f>
        <v>N</v>
      </c>
      <c r="ES274" s="0" t="str">
        <f aca="false">IF(COUNTIFS($AP$2:$AP$1000,AP274,$ER$2:$ER$1000,"Y")+COUNTIFS($AP$2:$AP$1000,AP274,$T$2:$T$1000,"Y")&gt;0,"Y","N")</f>
        <v>N</v>
      </c>
      <c r="ET274" s="0" t="str">
        <f aca="false">IF(AND(U274="new",T274="N",AT274="Y",AS274="",ES274="N"),"Y","N")</f>
        <v>N</v>
      </c>
      <c r="EU274" s="0" t="str">
        <f aca="false">IF(ET274&lt;&gt;"Y","N",IF(COUNTIFS($AP$2:$AP$1000,AP274,$ET$2:$ET$1000,"Y",$J$2:$J$1000,"&gt;"&amp;J274)+COUNTIFS($AP$2:$AP$1000,AP274,$ET$2:$ET$1000,"Y",$J$2:$J$1000,J274,$EW$2:$EW$1000,"&lt;"&amp;EW274)=0,"Y","N"))</f>
        <v>N</v>
      </c>
      <c r="EV274" s="0" t="str">
        <f aca="false">IF(Y274="","N",IF(Y274&lt;=10,"Y","N"))</f>
        <v>N</v>
      </c>
      <c r="EW274" s="0" t="n">
        <f aca="false">ROW()-1</f>
        <v>273</v>
      </c>
    </row>
    <row r="275" customFormat="false" ht="15" hidden="false" customHeight="false" outlineLevel="0" collapsed="false">
      <c r="A275" s="0" t="s">
        <v>4109</v>
      </c>
      <c r="B275" s="0" t="s">
        <v>4110</v>
      </c>
      <c r="H275" s="5" t="s">
        <v>158</v>
      </c>
      <c r="I275" s="5" t="s">
        <v>159</v>
      </c>
      <c r="J275" s="0" t="n">
        <f aca="false">IF(AX275="pass",ROUND(CU275+CV275+CW275+CX275+CY275+CZ275,1),0)</f>
        <v>0</v>
      </c>
      <c r="K275" s="0" t="s">
        <v>4111</v>
      </c>
      <c r="L275" s="0" t="s">
        <v>239</v>
      </c>
      <c r="O275" s="0" t="s">
        <v>4112</v>
      </c>
      <c r="P275" s="0" t="s">
        <v>3227</v>
      </c>
      <c r="Q275" s="0" t="s">
        <v>3228</v>
      </c>
      <c r="R275" s="5" t="s">
        <v>162</v>
      </c>
      <c r="S275" s="0" t="s">
        <v>163</v>
      </c>
      <c r="T275" s="5" t="s">
        <v>162</v>
      </c>
      <c r="U275" s="5" t="s">
        <v>561</v>
      </c>
      <c r="V275" s="0" t="s">
        <v>3227</v>
      </c>
      <c r="W275" s="0" t="s">
        <v>166</v>
      </c>
      <c r="X275" s="0" t="s">
        <v>167</v>
      </c>
      <c r="Y275" s="0" t="str">
        <f aca="false">IF(EU275&lt;&gt;"Y","",COUNTIFS($EU$2:$EU$1000,"Y",$J$2:$J$1000,"&gt;"&amp;J275)+COUNTIFS($EU$2:$EU$1000,"Y",$J$2:$J$1000,J275,$EW$2:$EW$1000,"&lt;"&amp;EW275)+1)</f>
        <v/>
      </c>
      <c r="AA275" s="0" t="s">
        <v>162</v>
      </c>
      <c r="AD275" s="0" t="s">
        <v>158</v>
      </c>
      <c r="AH275" s="5" t="s">
        <v>158</v>
      </c>
      <c r="AI275" s="0" t="s">
        <v>1693</v>
      </c>
      <c r="AJ275" s="0" t="s">
        <v>1751</v>
      </c>
      <c r="AK275" s="0" t="s">
        <v>889</v>
      </c>
      <c r="AL275" s="0" t="n">
        <v>314</v>
      </c>
      <c r="AM275" s="0" t="n">
        <v>627</v>
      </c>
      <c r="AN275" s="0" t="s">
        <v>179</v>
      </c>
      <c r="AO275" s="0" t="s">
        <v>163</v>
      </c>
      <c r="AP275" s="0" t="s">
        <v>4109</v>
      </c>
      <c r="AQ275" s="5" t="s">
        <v>168</v>
      </c>
      <c r="AR275" s="0" t="s">
        <v>890</v>
      </c>
      <c r="AT275" s="0" t="str">
        <f aca="false">IF(AND(AX275="pass",AQ275&lt;&gt;"Y",C275&lt;&gt;"",OR(AW275&lt;&gt;"Y",AV275="Y")),"Y","N")</f>
        <v>N</v>
      </c>
      <c r="AU275" s="0" t="str">
        <f aca="false">_xlfn.TEXTJOIN("; ",TRUE(),IF(AX275&lt;&gt;"pass","gated out",""),IF(AQ275="Y","on hold: "&amp;AR275,""),IF(C275="","no contact named on an opened page",""),IF(AND(AW275="Y",AV275&lt;&gt;"Y"),"Tuesday estimate band "&amp;L275&amp;": founder's call",""))</f>
        <v>gated out; on hold: lease signed, move not confirmed: check the lobby directory before outreach (B); no contact named on an opened page; Tuesday estimate band 251-500: founder's call</v>
      </c>
      <c r="AW275" s="0" t="s">
        <v>168</v>
      </c>
      <c r="AX275" s="0" t="s">
        <v>3703</v>
      </c>
      <c r="AY275" s="0" t="s">
        <v>4113</v>
      </c>
      <c r="AZ275" s="0" t="s">
        <v>1</v>
      </c>
      <c r="BA275" s="0" t="s">
        <v>4114</v>
      </c>
      <c r="BB275" s="0" t="s">
        <v>4115</v>
      </c>
      <c r="BC275" s="0" t="s">
        <v>1995</v>
      </c>
      <c r="BD275" s="0" t="s">
        <v>4116</v>
      </c>
      <c r="BF275" s="0" t="s">
        <v>1322</v>
      </c>
      <c r="BG275" s="0" t="s">
        <v>188</v>
      </c>
      <c r="BH275" s="0" t="s">
        <v>189</v>
      </c>
      <c r="BI275" s="0" t="s">
        <v>4117</v>
      </c>
      <c r="BK275" s="0" t="s">
        <v>1439</v>
      </c>
      <c r="BL275" s="0" t="s">
        <v>192</v>
      </c>
      <c r="BM275" s="0" t="s">
        <v>168</v>
      </c>
      <c r="BN275" s="0" t="s">
        <v>163</v>
      </c>
      <c r="BO275" s="0" t="s">
        <v>163</v>
      </c>
      <c r="BP275" s="0" t="s">
        <v>346</v>
      </c>
      <c r="BQ275" s="0" t="n">
        <v>40.741761</v>
      </c>
      <c r="BR275" s="0" t="n">
        <v>-73.987033</v>
      </c>
      <c r="BS275" s="0" t="s">
        <v>168</v>
      </c>
      <c r="BT275" s="0" t="n">
        <v>0</v>
      </c>
      <c r="BU275" s="0" t="s">
        <v>1702</v>
      </c>
      <c r="BV275" s="0" t="s">
        <v>1703</v>
      </c>
      <c r="BW275" s="0" t="s">
        <v>3227</v>
      </c>
      <c r="BX275" s="0" t="s">
        <v>3228</v>
      </c>
      <c r="BY275" s="0" t="s">
        <v>247</v>
      </c>
      <c r="BZ275" s="0" t="s">
        <v>4118</v>
      </c>
      <c r="CA275" s="0" t="s">
        <v>4119</v>
      </c>
      <c r="CC275" s="0" t="s">
        <v>738</v>
      </c>
      <c r="CD275" s="0" t="s">
        <v>163</v>
      </c>
      <c r="CE275" s="0" t="s">
        <v>162</v>
      </c>
      <c r="CH275" s="0" t="s">
        <v>1706</v>
      </c>
      <c r="CI275" s="0" t="s">
        <v>1707</v>
      </c>
      <c r="CJ275" s="0" t="s">
        <v>163</v>
      </c>
      <c r="CK275" s="0" t="s">
        <v>162</v>
      </c>
      <c r="CL275" s="0" t="s">
        <v>163</v>
      </c>
      <c r="CO275" s="0" t="n">
        <v>444</v>
      </c>
      <c r="CP275" s="0" t="s">
        <v>3816</v>
      </c>
      <c r="CQ275" s="0" t="s">
        <v>4120</v>
      </c>
      <c r="CR275" s="0" t="s">
        <v>206</v>
      </c>
      <c r="CS275" s="0" t="n">
        <v>0</v>
      </c>
      <c r="CT275" s="0" t="n">
        <v>13</v>
      </c>
      <c r="CU275" s="0" t="n">
        <v>0</v>
      </c>
      <c r="CV275" s="0" t="n">
        <v>2</v>
      </c>
      <c r="CW275" s="0" t="n">
        <v>6</v>
      </c>
      <c r="CX275" s="0" t="n">
        <v>5</v>
      </c>
      <c r="CY275" s="0" t="n">
        <f aca="false">IF(AH275="exact",10,IF(AH275="adjacent",5,0))</f>
        <v>0</v>
      </c>
      <c r="CZ275" s="0" t="n">
        <f aca="false">IF(R275="Y",15,0)</f>
        <v>0</v>
      </c>
      <c r="DF275" s="0" t="s">
        <v>158</v>
      </c>
      <c r="DG275" s="0" t="s">
        <v>1335</v>
      </c>
      <c r="DH275" s="0" t="s">
        <v>1446</v>
      </c>
      <c r="DI275" s="0" t="s">
        <v>162</v>
      </c>
      <c r="DJ275" s="0" t="s">
        <v>4121</v>
      </c>
      <c r="DK275" s="0" t="s">
        <v>4122</v>
      </c>
      <c r="DS275" s="0" t="s">
        <v>158</v>
      </c>
      <c r="DX275" s="0" t="s">
        <v>162</v>
      </c>
      <c r="ER275" s="0" t="str">
        <f aca="false">IF(ISNUMBER(MATCH(U275,{"queued","contacted","replied","call_booked","call_done","yes_in_principle","materials_sent"},0)),"Y","N")</f>
        <v>N</v>
      </c>
      <c r="ES275" s="0" t="str">
        <f aca="false">IF(COUNTIFS($AP$2:$AP$1000,AP275,$ER$2:$ER$1000,"Y")+COUNTIFS($AP$2:$AP$1000,AP275,$T$2:$T$1000,"Y")&gt;0,"Y","N")</f>
        <v>N</v>
      </c>
      <c r="ET275" s="0" t="str">
        <f aca="false">IF(AND(U275="new",T275="N",AT275="Y",AS275="",ES275="N"),"Y","N")</f>
        <v>N</v>
      </c>
      <c r="EU275" s="0" t="str">
        <f aca="false">IF(ET275&lt;&gt;"Y","N",IF(COUNTIFS($AP$2:$AP$1000,AP275,$ET$2:$ET$1000,"Y",$J$2:$J$1000,"&gt;"&amp;J275)+COUNTIFS($AP$2:$AP$1000,AP275,$ET$2:$ET$1000,"Y",$J$2:$J$1000,J275,$EW$2:$EW$1000,"&lt;"&amp;EW275)=0,"Y","N"))</f>
        <v>N</v>
      </c>
      <c r="EV275" s="0" t="str">
        <f aca="false">IF(Y275="","N",IF(Y275&lt;=10,"Y","N"))</f>
        <v>N</v>
      </c>
      <c r="EW275" s="0" t="n">
        <f aca="false">ROW()-1</f>
        <v>274</v>
      </c>
    </row>
    <row r="276" customFormat="false" ht="15" hidden="false" customHeight="false" outlineLevel="0" collapsed="false">
      <c r="A276" s="0" t="s">
        <v>4123</v>
      </c>
      <c r="B276" s="0" t="s">
        <v>4124</v>
      </c>
      <c r="H276" s="5" t="s">
        <v>158</v>
      </c>
      <c r="I276" s="5" t="s">
        <v>159</v>
      </c>
      <c r="J276" s="0" t="n">
        <f aca="false">IF(AX276="pass",ROUND(CU276+CV276+CW276+CX276+CY276+CZ276,1),0)</f>
        <v>0</v>
      </c>
      <c r="K276" s="0" t="s">
        <v>4125</v>
      </c>
      <c r="L276" s="0" t="s">
        <v>1322</v>
      </c>
      <c r="R276" s="5" t="s">
        <v>162</v>
      </c>
      <c r="S276" s="0" t="s">
        <v>163</v>
      </c>
      <c r="T276" s="5" t="s">
        <v>162</v>
      </c>
      <c r="U276" s="5" t="s">
        <v>561</v>
      </c>
      <c r="V276" s="0" t="s">
        <v>4126</v>
      </c>
      <c r="W276" s="0" t="s">
        <v>166</v>
      </c>
      <c r="X276" s="0" t="s">
        <v>167</v>
      </c>
      <c r="Y276" s="0" t="str">
        <f aca="false">IF(EU276&lt;&gt;"Y","",COUNTIFS($EU$2:$EU$1000,"Y",$J$2:$J$1000,"&gt;"&amp;J276)+COUNTIFS($EU$2:$EU$1000,"Y",$J$2:$J$1000,J276,$EW$2:$EW$1000,"&lt;"&amp;EW276)+1)</f>
        <v/>
      </c>
      <c r="AA276" s="0" t="s">
        <v>162</v>
      </c>
      <c r="AD276" s="0" t="s">
        <v>158</v>
      </c>
      <c r="AH276" s="5" t="s">
        <v>158</v>
      </c>
      <c r="AI276" s="0" t="s">
        <v>4127</v>
      </c>
      <c r="AJ276" s="0" t="s">
        <v>163</v>
      </c>
      <c r="AK276" s="0" t="s">
        <v>178</v>
      </c>
      <c r="AL276" s="0" t="n">
        <v>892</v>
      </c>
      <c r="AM276" s="0" t="n">
        <v>17848</v>
      </c>
      <c r="AN276" s="0" t="s">
        <v>179</v>
      </c>
      <c r="AO276" s="0" t="s">
        <v>163</v>
      </c>
      <c r="AP276" s="0" t="s">
        <v>4123</v>
      </c>
      <c r="AQ276" s="5" t="s">
        <v>162</v>
      </c>
      <c r="AT276" s="0" t="str">
        <f aca="false">IF(AND(AX276="pass",AQ276&lt;&gt;"Y",C276&lt;&gt;"",OR(AW276&lt;&gt;"Y",AV276="Y")),"Y","N")</f>
        <v>N</v>
      </c>
      <c r="AU276" s="0" t="str">
        <f aca="false">_xlfn.TEXTJOIN("; ",TRUE(),IF(AX276&lt;&gt;"pass","gated out",""),IF(AQ276="Y","on hold: "&amp;AR276,""),IF(C276="","no contact named on an opened page",""),IF(AND(AW276="Y",AV276&lt;&gt;"Y"),"Tuesday estimate band "&amp;L276&amp;": founder's call",""))</f>
        <v>gated out; no contact named on an opened page; Tuesday estimate band over-500: founder's call</v>
      </c>
      <c r="AW276" s="0" t="s">
        <v>168</v>
      </c>
      <c r="AX276" s="0" t="s">
        <v>3703</v>
      </c>
      <c r="AY276" s="0" t="s">
        <v>4128</v>
      </c>
      <c r="AZ276" s="0" t="s">
        <v>1</v>
      </c>
      <c r="BA276" s="0" t="s">
        <v>4129</v>
      </c>
      <c r="BB276" s="0" t="s">
        <v>4130</v>
      </c>
      <c r="BC276" s="0" t="s">
        <v>4131</v>
      </c>
      <c r="BD276" s="0" t="s">
        <v>4132</v>
      </c>
      <c r="BF276" s="0" t="s">
        <v>1322</v>
      </c>
      <c r="BG276" s="0" t="s">
        <v>188</v>
      </c>
      <c r="BH276" s="0" t="s">
        <v>189</v>
      </c>
      <c r="BI276" s="0" t="s">
        <v>4133</v>
      </c>
      <c r="BK276" s="0" t="s">
        <v>3287</v>
      </c>
      <c r="BL276" s="0" t="s">
        <v>4134</v>
      </c>
      <c r="BM276" s="0" t="s">
        <v>162</v>
      </c>
      <c r="BN276" s="0" t="s">
        <v>163</v>
      </c>
      <c r="BO276" s="0" t="s">
        <v>163</v>
      </c>
      <c r="BQ276" s="0" t="n">
        <v>40.739548</v>
      </c>
      <c r="BR276" s="0" t="n">
        <v>-73.991273</v>
      </c>
      <c r="BS276" s="0" t="s">
        <v>168</v>
      </c>
      <c r="BT276" s="0" t="n">
        <v>0</v>
      </c>
      <c r="BV276" s="0" t="s">
        <v>163</v>
      </c>
      <c r="BW276" s="0" t="s">
        <v>4126</v>
      </c>
      <c r="BX276" s="0" t="s">
        <v>3056</v>
      </c>
      <c r="BY276" s="0" t="s">
        <v>247</v>
      </c>
      <c r="BZ276" s="0" t="s">
        <v>4135</v>
      </c>
      <c r="CA276" s="0" t="s">
        <v>4136</v>
      </c>
      <c r="CC276" s="0" t="s">
        <v>738</v>
      </c>
      <c r="CE276" s="0" t="s">
        <v>162</v>
      </c>
      <c r="CH276" s="0" t="s">
        <v>163</v>
      </c>
      <c r="CJ276" s="0" t="s">
        <v>163</v>
      </c>
      <c r="CK276" s="0" t="s">
        <v>162</v>
      </c>
      <c r="CL276" s="0" t="s">
        <v>163</v>
      </c>
      <c r="CO276" s="0" t="n">
        <v>3990</v>
      </c>
      <c r="CP276" s="0" t="s">
        <v>3816</v>
      </c>
      <c r="CQ276" s="0" t="s">
        <v>4137</v>
      </c>
      <c r="CR276" s="0" t="s">
        <v>206</v>
      </c>
      <c r="CS276" s="0" t="n">
        <v>0</v>
      </c>
      <c r="CT276" s="0" t="n">
        <v>19</v>
      </c>
      <c r="CU276" s="0" t="n">
        <v>0</v>
      </c>
      <c r="CV276" s="0" t="n">
        <v>0</v>
      </c>
      <c r="CW276" s="0" t="n">
        <v>6</v>
      </c>
      <c r="CX276" s="0" t="n">
        <v>13</v>
      </c>
      <c r="CY276" s="0" t="n">
        <f aca="false">IF(AH276="exact",10,IF(AH276="adjacent",5,0))</f>
        <v>0</v>
      </c>
      <c r="CZ276" s="0" t="n">
        <f aca="false">IF(R276="Y",15,0)</f>
        <v>0</v>
      </c>
      <c r="DF276" s="0" t="s">
        <v>158</v>
      </c>
      <c r="DG276" s="0" t="s">
        <v>1335</v>
      </c>
      <c r="DH276" s="0" t="s">
        <v>3290</v>
      </c>
      <c r="DI276" s="0" t="s">
        <v>162</v>
      </c>
      <c r="DJ276" s="0" t="s">
        <v>4138</v>
      </c>
      <c r="DK276" s="0" t="s">
        <v>4139</v>
      </c>
      <c r="DS276" s="0" t="s">
        <v>158</v>
      </c>
      <c r="DX276" s="0" t="s">
        <v>162</v>
      </c>
      <c r="ER276" s="0" t="str">
        <f aca="false">IF(ISNUMBER(MATCH(U276,{"queued","contacted","replied","call_booked","call_done","yes_in_principle","materials_sent"},0)),"Y","N")</f>
        <v>N</v>
      </c>
      <c r="ES276" s="0" t="str">
        <f aca="false">IF(COUNTIFS($AP$2:$AP$1000,AP276,$ER$2:$ER$1000,"Y")+COUNTIFS($AP$2:$AP$1000,AP276,$T$2:$T$1000,"Y")&gt;0,"Y","N")</f>
        <v>N</v>
      </c>
      <c r="ET276" s="0" t="str">
        <f aca="false">IF(AND(U276="new",T276="N",AT276="Y",AS276="",ES276="N"),"Y","N")</f>
        <v>N</v>
      </c>
      <c r="EU276" s="0" t="str">
        <f aca="false">IF(ET276&lt;&gt;"Y","N",IF(COUNTIFS($AP$2:$AP$1000,AP276,$ET$2:$ET$1000,"Y",$J$2:$J$1000,"&gt;"&amp;J276)+COUNTIFS($AP$2:$AP$1000,AP276,$ET$2:$ET$1000,"Y",$J$2:$J$1000,J276,$EW$2:$EW$1000,"&lt;"&amp;EW276)=0,"Y","N"))</f>
        <v>N</v>
      </c>
      <c r="EV276" s="0" t="str">
        <f aca="false">IF(Y276="","N",IF(Y276&lt;=10,"Y","N"))</f>
        <v>N</v>
      </c>
      <c r="EW276" s="0" t="n">
        <f aca="false">ROW()-1</f>
        <v>275</v>
      </c>
    </row>
    <row r="277" customFormat="false" ht="15" hidden="false" customHeight="false" outlineLevel="0" collapsed="false">
      <c r="A277" s="0" t="s">
        <v>4140</v>
      </c>
      <c r="B277" s="0" t="s">
        <v>4141</v>
      </c>
      <c r="H277" s="5" t="s">
        <v>158</v>
      </c>
      <c r="I277" s="5" t="s">
        <v>159</v>
      </c>
      <c r="J277" s="0" t="n">
        <f aca="false">IF(AX277="pass",ROUND(CU277+CV277+CW277+CX277+CY277+CZ277,1),0)</f>
        <v>0</v>
      </c>
      <c r="K277" s="0" t="s">
        <v>4142</v>
      </c>
      <c r="L277" s="0" t="s">
        <v>1322</v>
      </c>
      <c r="R277" s="5" t="s">
        <v>162</v>
      </c>
      <c r="S277" s="0" t="s">
        <v>163</v>
      </c>
      <c r="T277" s="5" t="s">
        <v>162</v>
      </c>
      <c r="U277" s="5" t="s">
        <v>561</v>
      </c>
      <c r="V277" s="0" t="s">
        <v>1774</v>
      </c>
      <c r="W277" s="0" t="s">
        <v>166</v>
      </c>
      <c r="X277" s="0" t="s">
        <v>167</v>
      </c>
      <c r="Y277" s="0" t="str">
        <f aca="false">IF(EU277&lt;&gt;"Y","",COUNTIFS($EU$2:$EU$1000,"Y",$J$2:$J$1000,"&gt;"&amp;J277)+COUNTIFS($EU$2:$EU$1000,"Y",$J$2:$J$1000,J277,$EW$2:$EW$1000,"&lt;"&amp;EW277)+1)</f>
        <v/>
      </c>
      <c r="AA277" s="0" t="s">
        <v>162</v>
      </c>
      <c r="AD277" s="0" t="s">
        <v>158</v>
      </c>
      <c r="AH277" s="5" t="s">
        <v>158</v>
      </c>
      <c r="AI277" s="0" t="s">
        <v>1767</v>
      </c>
      <c r="AJ277" s="0" t="s">
        <v>4143</v>
      </c>
      <c r="AK277" s="0" t="s">
        <v>178</v>
      </c>
      <c r="AL277" s="0" t="n">
        <v>5129</v>
      </c>
      <c r="AM277" s="0" t="n">
        <v>102580</v>
      </c>
      <c r="AN277" s="0" t="s">
        <v>179</v>
      </c>
      <c r="AO277" s="0" t="s">
        <v>163</v>
      </c>
      <c r="AP277" s="0" t="s">
        <v>4140</v>
      </c>
      <c r="AQ277" s="5" t="s">
        <v>162</v>
      </c>
      <c r="AT277" s="0" t="str">
        <f aca="false">IF(AND(AX277="pass",AQ277&lt;&gt;"Y",C277&lt;&gt;"",OR(AW277&lt;&gt;"Y",AV277="Y")),"Y","N")</f>
        <v>N</v>
      </c>
      <c r="AU277" s="0" t="str">
        <f aca="false">_xlfn.TEXTJOIN("; ",TRUE(),IF(AX277&lt;&gt;"pass","gated out",""),IF(AQ277="Y","on hold: "&amp;AR277,""),IF(C277="","no contact named on an opened page",""),IF(AND(AW277="Y",AV277&lt;&gt;"Y"),"Tuesday estimate band "&amp;L277&amp;": founder's call",""))</f>
        <v>gated out; no contact named on an opened page; Tuesday estimate band over-500: founder's call</v>
      </c>
      <c r="AW277" s="0" t="s">
        <v>168</v>
      </c>
      <c r="AX277" s="0" t="s">
        <v>3703</v>
      </c>
      <c r="AY277" s="0" t="s">
        <v>4144</v>
      </c>
      <c r="AZ277" s="0" t="s">
        <v>1</v>
      </c>
      <c r="BA277" s="0" t="s">
        <v>4145</v>
      </c>
      <c r="BB277" s="0" t="s">
        <v>4146</v>
      </c>
      <c r="BC277" s="0" t="s">
        <v>4147</v>
      </c>
      <c r="BD277" s="0" t="s">
        <v>4148</v>
      </c>
      <c r="BF277" s="0" t="s">
        <v>1322</v>
      </c>
      <c r="BG277" s="0" t="s">
        <v>188</v>
      </c>
      <c r="BH277" s="0" t="s">
        <v>189</v>
      </c>
      <c r="BI277" s="0" t="s">
        <v>4149</v>
      </c>
      <c r="BK277" s="0" t="s">
        <v>3287</v>
      </c>
      <c r="BL277" s="0" t="s">
        <v>4150</v>
      </c>
      <c r="BM277" s="0" t="s">
        <v>162</v>
      </c>
      <c r="BN277" s="0" t="s">
        <v>163</v>
      </c>
      <c r="BO277" s="0" t="s">
        <v>163</v>
      </c>
      <c r="BP277" s="0" t="s">
        <v>377</v>
      </c>
      <c r="BQ277" s="0" t="n">
        <v>40.738461</v>
      </c>
      <c r="BR277" s="0" t="n">
        <v>-73.992523</v>
      </c>
      <c r="BS277" s="0" t="s">
        <v>168</v>
      </c>
      <c r="BT277" s="0" t="n">
        <v>0</v>
      </c>
      <c r="BV277" s="0" t="s">
        <v>163</v>
      </c>
      <c r="BW277" s="0" t="s">
        <v>1774</v>
      </c>
      <c r="BX277" s="0" t="s">
        <v>1775</v>
      </c>
      <c r="BY277" s="0" t="s">
        <v>247</v>
      </c>
      <c r="BZ277" s="0" t="s">
        <v>1766</v>
      </c>
      <c r="CA277" s="0" t="s">
        <v>1773</v>
      </c>
      <c r="CC277" s="0" t="s">
        <v>738</v>
      </c>
      <c r="CE277" s="0" t="s">
        <v>162</v>
      </c>
      <c r="CH277" s="0" t="s">
        <v>163</v>
      </c>
      <c r="CJ277" s="0" t="s">
        <v>163</v>
      </c>
      <c r="CK277" s="0" t="s">
        <v>162</v>
      </c>
      <c r="CL277" s="0" t="s">
        <v>163</v>
      </c>
      <c r="CO277" s="0" t="n">
        <v>22938</v>
      </c>
      <c r="CP277" s="0" t="s">
        <v>3816</v>
      </c>
      <c r="CQ277" s="0" t="s">
        <v>4151</v>
      </c>
      <c r="CR277" s="0" t="s">
        <v>206</v>
      </c>
      <c r="CS277" s="0" t="n">
        <v>0</v>
      </c>
      <c r="CT277" s="0" t="n">
        <v>19</v>
      </c>
      <c r="CU277" s="0" t="n">
        <v>0</v>
      </c>
      <c r="CV277" s="0" t="n">
        <v>0</v>
      </c>
      <c r="CW277" s="0" t="n">
        <v>6</v>
      </c>
      <c r="CX277" s="0" t="n">
        <v>13</v>
      </c>
      <c r="CY277" s="0" t="n">
        <f aca="false">IF(AH277="exact",10,IF(AH277="adjacent",5,0))</f>
        <v>0</v>
      </c>
      <c r="CZ277" s="0" t="n">
        <f aca="false">IF(R277="Y",15,0)</f>
        <v>0</v>
      </c>
      <c r="DF277" s="0" t="s">
        <v>158</v>
      </c>
      <c r="DG277" s="0" t="s">
        <v>1335</v>
      </c>
      <c r="DH277" s="0" t="s">
        <v>3290</v>
      </c>
      <c r="DI277" s="0" t="s">
        <v>162</v>
      </c>
      <c r="DJ277" s="0" t="s">
        <v>4152</v>
      </c>
      <c r="DK277" s="0" t="s">
        <v>4153</v>
      </c>
      <c r="DS277" s="0" t="s">
        <v>158</v>
      </c>
      <c r="DX277" s="0" t="s">
        <v>162</v>
      </c>
      <c r="ER277" s="0" t="str">
        <f aca="false">IF(ISNUMBER(MATCH(U277,{"queued","contacted","replied","call_booked","call_done","yes_in_principle","materials_sent"},0)),"Y","N")</f>
        <v>N</v>
      </c>
      <c r="ES277" s="0" t="str">
        <f aca="false">IF(COUNTIFS($AP$2:$AP$1000,AP277,$ER$2:$ER$1000,"Y")+COUNTIFS($AP$2:$AP$1000,AP277,$T$2:$T$1000,"Y")&gt;0,"Y","N")</f>
        <v>N</v>
      </c>
      <c r="ET277" s="0" t="str">
        <f aca="false">IF(AND(U277="new",T277="N",AT277="Y",AS277="",ES277="N"),"Y","N")</f>
        <v>N</v>
      </c>
      <c r="EU277" s="0" t="str">
        <f aca="false">IF(ET277&lt;&gt;"Y","N",IF(COUNTIFS($AP$2:$AP$1000,AP277,$ET$2:$ET$1000,"Y",$J$2:$J$1000,"&gt;"&amp;J277)+COUNTIFS($AP$2:$AP$1000,AP277,$ET$2:$ET$1000,"Y",$J$2:$J$1000,J277,$EW$2:$EW$1000,"&lt;"&amp;EW277)=0,"Y","N"))</f>
        <v>N</v>
      </c>
      <c r="EV277" s="0" t="str">
        <f aca="false">IF(Y277="","N",IF(Y277&lt;=10,"Y","N"))</f>
        <v>N</v>
      </c>
      <c r="EW277" s="0" t="n">
        <f aca="false">ROW()-1</f>
        <v>276</v>
      </c>
    </row>
    <row r="278" customFormat="false" ht="15" hidden="false" customHeight="false" outlineLevel="0" collapsed="false">
      <c r="A278" s="0" t="s">
        <v>4154</v>
      </c>
      <c r="B278" s="0" t="s">
        <v>4155</v>
      </c>
      <c r="H278" s="5" t="s">
        <v>158</v>
      </c>
      <c r="I278" s="5" t="s">
        <v>159</v>
      </c>
      <c r="J278" s="0" t="n">
        <f aca="false">IF(AX278="pass",ROUND(CU278+CV278+CW278+CX278+CY278+CZ278,1),0)</f>
        <v>0</v>
      </c>
      <c r="K278" s="0" t="s">
        <v>4156</v>
      </c>
      <c r="L278" s="0" t="s">
        <v>1322</v>
      </c>
      <c r="O278" s="0" t="s">
        <v>4157</v>
      </c>
      <c r="P278" s="0" t="s">
        <v>4158</v>
      </c>
      <c r="Q278" s="0" t="s">
        <v>4159</v>
      </c>
      <c r="R278" s="5" t="s">
        <v>162</v>
      </c>
      <c r="S278" s="0" t="s">
        <v>163</v>
      </c>
      <c r="T278" s="5" t="s">
        <v>162</v>
      </c>
      <c r="U278" s="5" t="s">
        <v>561</v>
      </c>
      <c r="V278" s="0" t="s">
        <v>4158</v>
      </c>
      <c r="W278" s="0" t="s">
        <v>166</v>
      </c>
      <c r="X278" s="0" t="s">
        <v>167</v>
      </c>
      <c r="Y278" s="0" t="str">
        <f aca="false">IF(EU278&lt;&gt;"Y","",COUNTIFS($EU$2:$EU$1000,"Y",$J$2:$J$1000,"&gt;"&amp;J278)+COUNTIFS($EU$2:$EU$1000,"Y",$J$2:$J$1000,J278,$EW$2:$EW$1000,"&lt;"&amp;EW278)+1)</f>
        <v/>
      </c>
      <c r="AA278" s="0" t="s">
        <v>162</v>
      </c>
      <c r="AD278" s="0" t="s">
        <v>158</v>
      </c>
      <c r="AH278" s="5" t="s">
        <v>158</v>
      </c>
      <c r="AI278" s="0" t="s">
        <v>2407</v>
      </c>
      <c r="AJ278" s="0" t="s">
        <v>4160</v>
      </c>
      <c r="AK278" s="0" t="s">
        <v>178</v>
      </c>
      <c r="AL278" s="0" t="n">
        <v>862</v>
      </c>
      <c r="AM278" s="0" t="n">
        <v>17250</v>
      </c>
      <c r="AN278" s="0" t="s">
        <v>179</v>
      </c>
      <c r="AO278" s="0" t="s">
        <v>163</v>
      </c>
      <c r="AP278" s="0" t="s">
        <v>4154</v>
      </c>
      <c r="AQ278" s="5" t="s">
        <v>162</v>
      </c>
      <c r="AT278" s="0" t="str">
        <f aca="false">IF(AND(AX278="pass",AQ278&lt;&gt;"Y",C278&lt;&gt;"",OR(AW278&lt;&gt;"Y",AV278="Y")),"Y","N")</f>
        <v>N</v>
      </c>
      <c r="AU278" s="0" t="str">
        <f aca="false">_xlfn.TEXTJOIN("; ",TRUE(),IF(AX278&lt;&gt;"pass","gated out",""),IF(AQ278="Y","on hold: "&amp;AR278,""),IF(C278="","no contact named on an opened page",""),IF(AND(AW278="Y",AV278&lt;&gt;"Y"),"Tuesday estimate band "&amp;L278&amp;": founder's call",""))</f>
        <v>gated out; no contact named on an opened page; Tuesday estimate band over-500: founder's call</v>
      </c>
      <c r="AW278" s="0" t="s">
        <v>168</v>
      </c>
      <c r="AX278" s="0" t="s">
        <v>3703</v>
      </c>
      <c r="AY278" s="0" t="s">
        <v>4161</v>
      </c>
      <c r="AZ278" s="0" t="s">
        <v>1</v>
      </c>
      <c r="BA278" s="0" t="s">
        <v>4162</v>
      </c>
      <c r="BB278" s="0" t="s">
        <v>4163</v>
      </c>
      <c r="BC278" s="0" t="s">
        <v>4164</v>
      </c>
      <c r="BD278" s="0" t="s">
        <v>4165</v>
      </c>
      <c r="BF278" s="0" t="s">
        <v>1322</v>
      </c>
      <c r="BG278" s="0" t="s">
        <v>188</v>
      </c>
      <c r="BH278" s="0" t="s">
        <v>189</v>
      </c>
      <c r="BI278" s="0" t="s">
        <v>4166</v>
      </c>
      <c r="BK278" s="0" t="s">
        <v>3287</v>
      </c>
      <c r="BL278" s="0" t="s">
        <v>163</v>
      </c>
      <c r="BM278" s="0" t="s">
        <v>163</v>
      </c>
      <c r="BN278" s="0" t="s">
        <v>163</v>
      </c>
      <c r="BO278" s="0" t="s">
        <v>163</v>
      </c>
      <c r="BP278" s="0" t="s">
        <v>346</v>
      </c>
      <c r="BQ278" s="0" t="n">
        <v>40.742477</v>
      </c>
      <c r="BR278" s="0" t="n">
        <v>-73.986608</v>
      </c>
      <c r="BS278" s="0" t="s">
        <v>168</v>
      </c>
      <c r="BT278" s="0" t="n">
        <v>0</v>
      </c>
      <c r="BU278" s="0" t="s">
        <v>2412</v>
      </c>
      <c r="BV278" s="0" t="s">
        <v>2413</v>
      </c>
      <c r="BW278" s="0" t="s">
        <v>4158</v>
      </c>
      <c r="BX278" s="0" t="s">
        <v>4159</v>
      </c>
      <c r="BY278" s="0" t="s">
        <v>247</v>
      </c>
      <c r="CC278" s="0" t="s">
        <v>738</v>
      </c>
      <c r="CE278" s="0" t="s">
        <v>162</v>
      </c>
      <c r="CH278" s="0" t="s">
        <v>201</v>
      </c>
      <c r="CI278" s="0" t="s">
        <v>2415</v>
      </c>
      <c r="CJ278" s="0" t="s">
        <v>163</v>
      </c>
      <c r="CK278" s="0" t="s">
        <v>162</v>
      </c>
      <c r="CL278" s="0" t="s">
        <v>163</v>
      </c>
      <c r="CO278" s="0" t="n">
        <v>3856</v>
      </c>
      <c r="CP278" s="0" t="s">
        <v>3816</v>
      </c>
      <c r="CQ278" s="0" t="s">
        <v>4167</v>
      </c>
      <c r="CR278" s="0" t="s">
        <v>206</v>
      </c>
      <c r="CS278" s="0" t="n">
        <v>0</v>
      </c>
      <c r="CT278" s="0" t="n">
        <v>19</v>
      </c>
      <c r="CU278" s="0" t="n">
        <v>0</v>
      </c>
      <c r="CV278" s="0" t="n">
        <v>0</v>
      </c>
      <c r="CW278" s="0" t="n">
        <v>6</v>
      </c>
      <c r="CX278" s="0" t="n">
        <v>13</v>
      </c>
      <c r="CY278" s="0" t="n">
        <f aca="false">IF(AH278="exact",10,IF(AH278="adjacent",5,0))</f>
        <v>0</v>
      </c>
      <c r="CZ278" s="0" t="n">
        <f aca="false">IF(R278="Y",15,0)</f>
        <v>0</v>
      </c>
      <c r="DF278" s="0" t="s">
        <v>158</v>
      </c>
      <c r="DG278" s="0" t="s">
        <v>1335</v>
      </c>
      <c r="DH278" s="0" t="s">
        <v>3290</v>
      </c>
      <c r="DI278" s="0" t="s">
        <v>162</v>
      </c>
      <c r="DJ278" s="0" t="s">
        <v>4168</v>
      </c>
      <c r="DK278" s="0" t="s">
        <v>4169</v>
      </c>
      <c r="DS278" s="0" t="s">
        <v>158</v>
      </c>
      <c r="DX278" s="0" t="s">
        <v>162</v>
      </c>
      <c r="ER278" s="0" t="str">
        <f aca="false">IF(ISNUMBER(MATCH(U278,{"queued","contacted","replied","call_booked","call_done","yes_in_principle","materials_sent"},0)),"Y","N")</f>
        <v>N</v>
      </c>
      <c r="ES278" s="0" t="str">
        <f aca="false">IF(COUNTIFS($AP$2:$AP$1000,AP278,$ER$2:$ER$1000,"Y")+COUNTIFS($AP$2:$AP$1000,AP278,$T$2:$T$1000,"Y")&gt;0,"Y","N")</f>
        <v>N</v>
      </c>
      <c r="ET278" s="0" t="str">
        <f aca="false">IF(AND(U278="new",T278="N",AT278="Y",AS278="",ES278="N"),"Y","N")</f>
        <v>N</v>
      </c>
      <c r="EU278" s="0" t="str">
        <f aca="false">IF(ET278&lt;&gt;"Y","N",IF(COUNTIFS($AP$2:$AP$1000,AP278,$ET$2:$ET$1000,"Y",$J$2:$J$1000,"&gt;"&amp;J278)+COUNTIFS($AP$2:$AP$1000,AP278,$ET$2:$ET$1000,"Y",$J$2:$J$1000,J278,$EW$2:$EW$1000,"&lt;"&amp;EW278)=0,"Y","N"))</f>
        <v>N</v>
      </c>
      <c r="EV278" s="0" t="str">
        <f aca="false">IF(Y278="","N",IF(Y278&lt;=10,"Y","N"))</f>
        <v>N</v>
      </c>
      <c r="EW278" s="0" t="n">
        <f aca="false">ROW()-1</f>
        <v>277</v>
      </c>
    </row>
    <row r="279" customFormat="false" ht="15" hidden="false" customHeight="false" outlineLevel="0" collapsed="false">
      <c r="A279" s="0" t="s">
        <v>4170</v>
      </c>
      <c r="B279" s="0" t="s">
        <v>4171</v>
      </c>
      <c r="H279" s="5" t="s">
        <v>158</v>
      </c>
      <c r="I279" s="5" t="s">
        <v>159</v>
      </c>
      <c r="J279" s="0" t="n">
        <f aca="false">IF(AX279="pass",ROUND(CU279+CV279+CW279+CX279+CY279+CZ279,1),0)</f>
        <v>0</v>
      </c>
      <c r="K279" s="0" t="s">
        <v>4172</v>
      </c>
      <c r="L279" s="0" t="s">
        <v>560</v>
      </c>
      <c r="O279" s="0" t="s">
        <v>504</v>
      </c>
      <c r="P279" s="0" t="s">
        <v>505</v>
      </c>
      <c r="Q279" s="0" t="s">
        <v>506</v>
      </c>
      <c r="R279" s="5" t="s">
        <v>162</v>
      </c>
      <c r="S279" s="0" t="s">
        <v>163</v>
      </c>
      <c r="T279" s="5" t="s">
        <v>162</v>
      </c>
      <c r="U279" s="5" t="s">
        <v>561</v>
      </c>
      <c r="V279" s="0" t="s">
        <v>505</v>
      </c>
      <c r="W279" s="0" t="s">
        <v>166</v>
      </c>
      <c r="X279" s="0" t="s">
        <v>167</v>
      </c>
      <c r="Y279" s="0" t="str">
        <f aca="false">IF(EU279&lt;&gt;"Y","",COUNTIFS($EU$2:$EU$1000,"Y",$J$2:$J$1000,"&gt;"&amp;J279)+COUNTIFS($EU$2:$EU$1000,"Y",$J$2:$J$1000,J279,$EW$2:$EW$1000,"&lt;"&amp;EW279)+1)</f>
        <v/>
      </c>
      <c r="AA279" s="0" t="s">
        <v>162</v>
      </c>
      <c r="AD279" s="0" t="s">
        <v>158</v>
      </c>
      <c r="AH279" s="5" t="s">
        <v>158</v>
      </c>
      <c r="AI279" s="0" t="s">
        <v>509</v>
      </c>
      <c r="AJ279" s="0" t="s">
        <v>510</v>
      </c>
      <c r="AK279" s="0" t="s">
        <v>889</v>
      </c>
      <c r="AL279" s="0" t="n">
        <v>20</v>
      </c>
      <c r="AM279" s="0" t="n">
        <v>20</v>
      </c>
      <c r="AN279" s="0" t="s">
        <v>738</v>
      </c>
      <c r="AO279" s="0" t="s">
        <v>163</v>
      </c>
      <c r="AP279" s="0" t="s">
        <v>4170</v>
      </c>
      <c r="AQ279" s="5" t="s">
        <v>168</v>
      </c>
      <c r="AR279" s="0" t="s">
        <v>890</v>
      </c>
      <c r="AT279" s="0" t="str">
        <f aca="false">IF(AND(AX279="pass",AQ279&lt;&gt;"Y",C279&lt;&gt;"",OR(AW279&lt;&gt;"Y",AV279="Y")),"Y","N")</f>
        <v>N</v>
      </c>
      <c r="AU279" s="0" t="str">
        <f aca="false">_xlfn.TEXTJOIN("; ",TRUE(),IF(AX279&lt;&gt;"pass","gated out",""),IF(AQ279="Y","on hold: "&amp;AR279,""),IF(C279="","no contact named on an opened page",""),IF(AND(AW279="Y",AV279&lt;&gt;"Y"),"Tuesday estimate band "&amp;L279&amp;": founder's call",""))</f>
        <v>gated out; on hold: lease signed, move not confirmed: check the lobby directory before outreach (B); no contact named on an opened page; Tuesday estimate band under-40: founder's call</v>
      </c>
      <c r="AW279" s="0" t="s">
        <v>168</v>
      </c>
      <c r="AX279" s="0" t="s">
        <v>3703</v>
      </c>
      <c r="AY279" s="0" t="s">
        <v>4173</v>
      </c>
      <c r="AZ279" s="0" t="s">
        <v>1</v>
      </c>
      <c r="BA279" s="0" t="s">
        <v>4174</v>
      </c>
      <c r="BB279" s="0" t="s">
        <v>4175</v>
      </c>
      <c r="BC279" s="0" t="s">
        <v>4176</v>
      </c>
      <c r="BD279" s="0" t="s">
        <v>4177</v>
      </c>
      <c r="BE279" s="0" t="s">
        <v>1649</v>
      </c>
      <c r="BF279" s="0" t="s">
        <v>560</v>
      </c>
      <c r="BG279" s="0" t="s">
        <v>1195</v>
      </c>
      <c r="BH279" s="0" t="s">
        <v>4178</v>
      </c>
      <c r="BI279" s="0" t="s">
        <v>505</v>
      </c>
      <c r="BJ279" s="0" t="s">
        <v>4179</v>
      </c>
      <c r="BK279" s="0" t="s">
        <v>191</v>
      </c>
      <c r="BL279" s="0" t="s">
        <v>192</v>
      </c>
      <c r="BM279" s="0" t="s">
        <v>168</v>
      </c>
      <c r="BN279" s="0" t="s">
        <v>163</v>
      </c>
      <c r="BO279" s="0" t="s">
        <v>163</v>
      </c>
      <c r="BP279" s="0" t="s">
        <v>346</v>
      </c>
      <c r="BQ279" s="0" t="n">
        <v>40.742771</v>
      </c>
      <c r="BR279" s="0" t="n">
        <v>-73.991782</v>
      </c>
      <c r="BS279" s="0" t="s">
        <v>168</v>
      </c>
      <c r="BT279" s="0" t="n">
        <v>0</v>
      </c>
      <c r="BU279" s="0" t="s">
        <v>515</v>
      </c>
      <c r="BV279" s="0" t="s">
        <v>516</v>
      </c>
      <c r="BW279" s="0" t="s">
        <v>505</v>
      </c>
      <c r="BX279" s="0" t="s">
        <v>506</v>
      </c>
      <c r="BY279" s="0" t="s">
        <v>247</v>
      </c>
      <c r="BZ279" s="0" t="s">
        <v>4180</v>
      </c>
      <c r="CA279" s="0" t="s">
        <v>3274</v>
      </c>
      <c r="CC279" s="0" t="s">
        <v>738</v>
      </c>
      <c r="CD279" s="0" t="s">
        <v>4181</v>
      </c>
      <c r="CE279" s="0" t="s">
        <v>162</v>
      </c>
      <c r="CH279" s="0" t="s">
        <v>163</v>
      </c>
      <c r="CJ279" s="0" t="s">
        <v>163</v>
      </c>
      <c r="CK279" s="0" t="s">
        <v>162</v>
      </c>
      <c r="CL279" s="0" t="s">
        <v>163</v>
      </c>
      <c r="CO279" s="0" t="n">
        <v>20</v>
      </c>
      <c r="CP279" s="0" t="s">
        <v>4067</v>
      </c>
      <c r="CQ279" s="0" t="s">
        <v>4182</v>
      </c>
      <c r="CR279" s="0" t="s">
        <v>206</v>
      </c>
      <c r="CS279" s="0" t="n">
        <v>0</v>
      </c>
      <c r="CT279" s="0" t="n">
        <v>31</v>
      </c>
      <c r="CU279" s="0" t="n">
        <v>5</v>
      </c>
      <c r="CV279" s="0" t="n">
        <v>15</v>
      </c>
      <c r="CW279" s="0" t="n">
        <v>6</v>
      </c>
      <c r="CX279" s="0" t="n">
        <v>5</v>
      </c>
      <c r="CY279" s="0" t="n">
        <f aca="false">IF(AH279="exact",10,IF(AH279="adjacent",5,0))</f>
        <v>0</v>
      </c>
      <c r="CZ279" s="0" t="n">
        <f aca="false">IF(R279="Y",15,0)</f>
        <v>0</v>
      </c>
      <c r="DF279" s="0" t="s">
        <v>158</v>
      </c>
      <c r="DG279" s="0" t="s">
        <v>211</v>
      </c>
      <c r="DJ279" s="0" t="s">
        <v>519</v>
      </c>
      <c r="DK279" s="0" t="s">
        <v>4183</v>
      </c>
      <c r="DS279" s="0" t="s">
        <v>158</v>
      </c>
      <c r="DX279" s="0" t="s">
        <v>162</v>
      </c>
      <c r="ER279" s="0" t="str">
        <f aca="false">IF(ISNUMBER(MATCH(U279,{"queued","contacted","replied","call_booked","call_done","yes_in_principle","materials_sent"},0)),"Y","N")</f>
        <v>N</v>
      </c>
      <c r="ES279" s="0" t="str">
        <f aca="false">IF(COUNTIFS($AP$2:$AP$1000,AP279,$ER$2:$ER$1000,"Y")+COUNTIFS($AP$2:$AP$1000,AP279,$T$2:$T$1000,"Y")&gt;0,"Y","N")</f>
        <v>N</v>
      </c>
      <c r="ET279" s="0" t="str">
        <f aca="false">IF(AND(U279="new",T279="N",AT279="Y",AS279="",ES279="N"),"Y","N")</f>
        <v>N</v>
      </c>
      <c r="EU279" s="0" t="str">
        <f aca="false">IF(ET279&lt;&gt;"Y","N",IF(COUNTIFS($AP$2:$AP$1000,AP279,$ET$2:$ET$1000,"Y",$J$2:$J$1000,"&gt;"&amp;J279)+COUNTIFS($AP$2:$AP$1000,AP279,$ET$2:$ET$1000,"Y",$J$2:$J$1000,J279,$EW$2:$EW$1000,"&lt;"&amp;EW279)=0,"Y","N"))</f>
        <v>N</v>
      </c>
      <c r="EV279" s="0" t="str">
        <f aca="false">IF(Y279="","N",IF(Y279&lt;=10,"Y","N"))</f>
        <v>N</v>
      </c>
      <c r="EW279" s="0" t="n">
        <f aca="false">ROW()-1</f>
        <v>278</v>
      </c>
    </row>
    <row r="280" customFormat="false" ht="15" hidden="false" customHeight="false" outlineLevel="0" collapsed="false">
      <c r="A280" s="0" t="s">
        <v>4184</v>
      </c>
      <c r="B280" s="0" t="s">
        <v>4185</v>
      </c>
      <c r="H280" s="5" t="s">
        <v>158</v>
      </c>
      <c r="I280" s="5" t="s">
        <v>159</v>
      </c>
      <c r="J280" s="0" t="n">
        <f aca="false">IF(AX280="pass",ROUND(CU280+CV280+CW280+CX280+CY280+CZ280,1),0)</f>
        <v>0</v>
      </c>
      <c r="K280" s="0" t="s">
        <v>4186</v>
      </c>
      <c r="L280" s="0" t="s">
        <v>1322</v>
      </c>
      <c r="R280" s="5" t="s">
        <v>162</v>
      </c>
      <c r="S280" s="0" t="s">
        <v>163</v>
      </c>
      <c r="T280" s="5" t="s">
        <v>162</v>
      </c>
      <c r="U280" s="5" t="s">
        <v>561</v>
      </c>
      <c r="V280" s="0" t="s">
        <v>3201</v>
      </c>
      <c r="W280" s="0" t="s">
        <v>166</v>
      </c>
      <c r="X280" s="0" t="s">
        <v>167</v>
      </c>
      <c r="Y280" s="0" t="str">
        <f aca="false">IF(EU280&lt;&gt;"Y","",COUNTIFS($EU$2:$EU$1000,"Y",$J$2:$J$1000,"&gt;"&amp;J280)+COUNTIFS($EU$2:$EU$1000,"Y",$J$2:$J$1000,J280,$EW$2:$EW$1000,"&lt;"&amp;EW280)+1)</f>
        <v/>
      </c>
      <c r="AA280" s="0" t="s">
        <v>162</v>
      </c>
      <c r="AD280" s="0" t="s">
        <v>158</v>
      </c>
      <c r="AH280" s="5" t="s">
        <v>158</v>
      </c>
      <c r="AI280" s="0" t="s">
        <v>1991</v>
      </c>
      <c r="AJ280" s="0" t="s">
        <v>163</v>
      </c>
      <c r="AK280" s="0" t="s">
        <v>178</v>
      </c>
      <c r="AL280" s="0" t="n">
        <v>370</v>
      </c>
      <c r="AM280" s="0" t="n">
        <v>7391</v>
      </c>
      <c r="AN280" s="0" t="s">
        <v>179</v>
      </c>
      <c r="AO280" s="0" t="s">
        <v>163</v>
      </c>
      <c r="AP280" s="0" t="s">
        <v>4184</v>
      </c>
      <c r="AQ280" s="5" t="s">
        <v>162</v>
      </c>
      <c r="AT280" s="0" t="str">
        <f aca="false">IF(AND(AX280="pass",AQ280&lt;&gt;"Y",C280&lt;&gt;"",OR(AW280&lt;&gt;"Y",AV280="Y")),"Y","N")</f>
        <v>N</v>
      </c>
      <c r="AU280" s="0" t="str">
        <f aca="false">_xlfn.TEXTJOIN("; ",TRUE(),IF(AX280&lt;&gt;"pass","gated out",""),IF(AQ280="Y","on hold: "&amp;AR280,""),IF(C280="","no contact named on an opened page",""),IF(AND(AW280="Y",AV280&lt;&gt;"Y"),"Tuesday estimate band "&amp;L280&amp;": founder's call",""))</f>
        <v>gated out; no contact named on an opened page; Tuesday estimate band over-500: founder's call</v>
      </c>
      <c r="AW280" s="0" t="s">
        <v>168</v>
      </c>
      <c r="AX280" s="0" t="s">
        <v>3703</v>
      </c>
      <c r="AY280" s="0" t="s">
        <v>4187</v>
      </c>
      <c r="AZ280" s="0" t="s">
        <v>1</v>
      </c>
      <c r="BA280" s="0" t="s">
        <v>4188</v>
      </c>
      <c r="BB280" s="0" t="s">
        <v>4189</v>
      </c>
      <c r="BC280" s="0" t="s">
        <v>4190</v>
      </c>
      <c r="BD280" s="0" t="s">
        <v>4191</v>
      </c>
      <c r="BF280" s="0" t="s">
        <v>1322</v>
      </c>
      <c r="BG280" s="0" t="s">
        <v>188</v>
      </c>
      <c r="BH280" s="0" t="s">
        <v>189</v>
      </c>
      <c r="BI280" s="0" t="s">
        <v>4192</v>
      </c>
      <c r="BK280" s="0" t="s">
        <v>3287</v>
      </c>
      <c r="BL280" s="0" t="s">
        <v>163</v>
      </c>
      <c r="BM280" s="0" t="s">
        <v>163</v>
      </c>
      <c r="BN280" s="0" t="s">
        <v>163</v>
      </c>
      <c r="BO280" s="0" t="s">
        <v>163</v>
      </c>
      <c r="BP280" s="0" t="s">
        <v>346</v>
      </c>
      <c r="BQ280" s="0" t="n">
        <v>40.741141</v>
      </c>
      <c r="BR280" s="0" t="n">
        <v>-73.987489</v>
      </c>
      <c r="BS280" s="0" t="s">
        <v>168</v>
      </c>
      <c r="BT280" s="0" t="n">
        <v>0</v>
      </c>
      <c r="BV280" s="0" t="s">
        <v>163</v>
      </c>
      <c r="BW280" s="0" t="s">
        <v>3201</v>
      </c>
      <c r="BX280" s="0" t="s">
        <v>3207</v>
      </c>
      <c r="BY280" s="0" t="s">
        <v>3208</v>
      </c>
      <c r="CC280" s="0" t="s">
        <v>738</v>
      </c>
      <c r="CE280" s="0" t="s">
        <v>162</v>
      </c>
      <c r="CH280" s="0" t="s">
        <v>163</v>
      </c>
      <c r="CJ280" s="0" t="s">
        <v>163</v>
      </c>
      <c r="CK280" s="0" t="s">
        <v>162</v>
      </c>
      <c r="CL280" s="0" t="s">
        <v>163</v>
      </c>
      <c r="CO280" s="0" t="n">
        <v>1654</v>
      </c>
      <c r="CP280" s="0" t="s">
        <v>3816</v>
      </c>
      <c r="CQ280" s="0" t="s">
        <v>4193</v>
      </c>
      <c r="CR280" s="0" t="s">
        <v>206</v>
      </c>
      <c r="CS280" s="0" t="n">
        <v>0</v>
      </c>
      <c r="CT280" s="0" t="n">
        <v>19</v>
      </c>
      <c r="CU280" s="0" t="n">
        <v>0</v>
      </c>
      <c r="CV280" s="0" t="n">
        <v>0</v>
      </c>
      <c r="CW280" s="0" t="n">
        <v>6</v>
      </c>
      <c r="CX280" s="0" t="n">
        <v>13</v>
      </c>
      <c r="CY280" s="0" t="n">
        <f aca="false">IF(AH280="exact",10,IF(AH280="adjacent",5,0))</f>
        <v>0</v>
      </c>
      <c r="CZ280" s="0" t="n">
        <f aca="false">IF(R280="Y",15,0)</f>
        <v>0</v>
      </c>
      <c r="DF280" s="0" t="s">
        <v>158</v>
      </c>
      <c r="DG280" s="0" t="s">
        <v>1335</v>
      </c>
      <c r="DH280" s="0" t="s">
        <v>3290</v>
      </c>
      <c r="DI280" s="0" t="s">
        <v>162</v>
      </c>
      <c r="DK280" s="0" t="s">
        <v>4194</v>
      </c>
      <c r="DS280" s="0" t="s">
        <v>158</v>
      </c>
      <c r="DX280" s="0" t="s">
        <v>162</v>
      </c>
      <c r="ER280" s="0" t="str">
        <f aca="false">IF(ISNUMBER(MATCH(U280,{"queued","contacted","replied","call_booked","call_done","yes_in_principle","materials_sent"},0)),"Y","N")</f>
        <v>N</v>
      </c>
      <c r="ES280" s="0" t="str">
        <f aca="false">IF(COUNTIFS($AP$2:$AP$1000,AP280,$ER$2:$ER$1000,"Y")+COUNTIFS($AP$2:$AP$1000,AP280,$T$2:$T$1000,"Y")&gt;0,"Y","N")</f>
        <v>N</v>
      </c>
      <c r="ET280" s="0" t="str">
        <f aca="false">IF(AND(U280="new",T280="N",AT280="Y",AS280="",ES280="N"),"Y","N")</f>
        <v>N</v>
      </c>
      <c r="EU280" s="0" t="str">
        <f aca="false">IF(ET280&lt;&gt;"Y","N",IF(COUNTIFS($AP$2:$AP$1000,AP280,$ET$2:$ET$1000,"Y",$J$2:$J$1000,"&gt;"&amp;J280)+COUNTIFS($AP$2:$AP$1000,AP280,$ET$2:$ET$1000,"Y",$J$2:$J$1000,J280,$EW$2:$EW$1000,"&lt;"&amp;EW280)=0,"Y","N"))</f>
        <v>N</v>
      </c>
      <c r="EV280" s="0" t="str">
        <f aca="false">IF(Y280="","N",IF(Y280&lt;=10,"Y","N"))</f>
        <v>N</v>
      </c>
      <c r="EW280" s="0" t="n">
        <f aca="false">ROW()-1</f>
        <v>279</v>
      </c>
    </row>
    <row r="281" customFormat="false" ht="15" hidden="false" customHeight="false" outlineLevel="0" collapsed="false">
      <c r="A281" s="0" t="s">
        <v>4195</v>
      </c>
      <c r="B281" s="0" t="s">
        <v>4196</v>
      </c>
      <c r="H281" s="5" t="s">
        <v>158</v>
      </c>
      <c r="I281" s="5" t="s">
        <v>159</v>
      </c>
      <c r="J281" s="0" t="n">
        <f aca="false">IF(AX281="pass",ROUND(CU281+CV281+CW281+CX281+CY281+CZ281,1),0)</f>
        <v>0</v>
      </c>
      <c r="K281" s="0" t="s">
        <v>4197</v>
      </c>
      <c r="L281" s="0" t="s">
        <v>1322</v>
      </c>
      <c r="R281" s="5" t="s">
        <v>162</v>
      </c>
      <c r="S281" s="0" t="s">
        <v>163</v>
      </c>
      <c r="T281" s="5" t="s">
        <v>162</v>
      </c>
      <c r="U281" s="5" t="s">
        <v>561</v>
      </c>
      <c r="V281" s="0" t="s">
        <v>4198</v>
      </c>
      <c r="W281" s="0" t="s">
        <v>166</v>
      </c>
      <c r="X281" s="0" t="s">
        <v>167</v>
      </c>
      <c r="Y281" s="0" t="str">
        <f aca="false">IF(EU281&lt;&gt;"Y","",COUNTIFS($EU$2:$EU$1000,"Y",$J$2:$J$1000,"&gt;"&amp;J281)+COUNTIFS($EU$2:$EU$1000,"Y",$J$2:$J$1000,J281,$EW$2:$EW$1000,"&lt;"&amp;EW281)+1)</f>
        <v/>
      </c>
      <c r="AA281" s="0" t="s">
        <v>162</v>
      </c>
      <c r="AD281" s="0" t="s">
        <v>158</v>
      </c>
      <c r="AH281" s="5" t="s">
        <v>158</v>
      </c>
      <c r="AI281" s="0" t="s">
        <v>1829</v>
      </c>
      <c r="AJ281" s="0" t="s">
        <v>163</v>
      </c>
      <c r="AK281" s="0" t="s">
        <v>178</v>
      </c>
      <c r="AL281" s="0" t="n">
        <v>374</v>
      </c>
      <c r="AM281" s="0" t="n">
        <v>749</v>
      </c>
      <c r="AN281" s="0" t="s">
        <v>179</v>
      </c>
      <c r="AO281" s="0" t="s">
        <v>163</v>
      </c>
      <c r="AP281" s="0" t="s">
        <v>4195</v>
      </c>
      <c r="AQ281" s="5" t="s">
        <v>162</v>
      </c>
      <c r="AT281" s="0" t="str">
        <f aca="false">IF(AND(AX281="pass",AQ281&lt;&gt;"Y",C281&lt;&gt;"",OR(AW281&lt;&gt;"Y",AV281="Y")),"Y","N")</f>
        <v>N</v>
      </c>
      <c r="AU281" s="0" t="str">
        <f aca="false">_xlfn.TEXTJOIN("; ",TRUE(),IF(AX281&lt;&gt;"pass","gated out",""),IF(AQ281="Y","on hold: "&amp;AR281,""),IF(C281="","no contact named on an opened page",""),IF(AND(AW281="Y",AV281&lt;&gt;"Y"),"Tuesday estimate band "&amp;L281&amp;": founder's call",""))</f>
        <v>gated out; no contact named on an opened page; Tuesday estimate band over-500: founder's call</v>
      </c>
      <c r="AW281" s="0" t="s">
        <v>168</v>
      </c>
      <c r="AX281" s="0" t="s">
        <v>3703</v>
      </c>
      <c r="AY281" s="0" t="s">
        <v>4199</v>
      </c>
      <c r="AZ281" s="0" t="s">
        <v>1</v>
      </c>
      <c r="BA281" s="0" t="s">
        <v>4200</v>
      </c>
      <c r="BB281" s="0" t="s">
        <v>4201</v>
      </c>
      <c r="BC281" s="0" t="s">
        <v>1260</v>
      </c>
      <c r="BD281" s="0" t="s">
        <v>4202</v>
      </c>
      <c r="BF281" s="0" t="s">
        <v>1322</v>
      </c>
      <c r="BG281" s="0" t="s">
        <v>188</v>
      </c>
      <c r="BH281" s="0" t="s">
        <v>189</v>
      </c>
      <c r="BI281" s="0" t="s">
        <v>4203</v>
      </c>
      <c r="BK281" s="0" t="s">
        <v>1439</v>
      </c>
      <c r="BL281" s="0" t="s">
        <v>192</v>
      </c>
      <c r="BM281" s="0" t="s">
        <v>168</v>
      </c>
      <c r="BN281" s="0" t="s">
        <v>163</v>
      </c>
      <c r="BO281" s="0" t="s">
        <v>163</v>
      </c>
      <c r="BP281" s="0" t="s">
        <v>193</v>
      </c>
      <c r="BQ281" s="0" t="n">
        <v>40.738809</v>
      </c>
      <c r="BR281" s="0" t="n">
        <v>-73.991356</v>
      </c>
      <c r="BS281" s="0" t="s">
        <v>168</v>
      </c>
      <c r="BT281" s="0" t="n">
        <v>0</v>
      </c>
      <c r="BU281" s="0" t="s">
        <v>442</v>
      </c>
      <c r="BV281" s="0" t="s">
        <v>443</v>
      </c>
      <c r="BW281" s="0" t="s">
        <v>4198</v>
      </c>
      <c r="BX281" s="0" t="s">
        <v>166</v>
      </c>
      <c r="BY281" s="0" t="s">
        <v>196</v>
      </c>
      <c r="CC281" s="0" t="s">
        <v>738</v>
      </c>
      <c r="CE281" s="0" t="s">
        <v>162</v>
      </c>
      <c r="CH281" s="0" t="s">
        <v>201</v>
      </c>
      <c r="CI281" s="0" t="s">
        <v>447</v>
      </c>
      <c r="CJ281" s="0" t="s">
        <v>163</v>
      </c>
      <c r="CK281" s="0" t="s">
        <v>162</v>
      </c>
      <c r="CL281" s="0" t="s">
        <v>163</v>
      </c>
      <c r="CO281" s="0" t="n">
        <v>529</v>
      </c>
      <c r="CP281" s="0" t="s">
        <v>3816</v>
      </c>
      <c r="CQ281" s="0" t="s">
        <v>4204</v>
      </c>
      <c r="CR281" s="0" t="s">
        <v>206</v>
      </c>
      <c r="CS281" s="0" t="n">
        <v>0</v>
      </c>
      <c r="CT281" s="0" t="n">
        <v>21</v>
      </c>
      <c r="CU281" s="0" t="n">
        <v>0</v>
      </c>
      <c r="CV281" s="0" t="n">
        <v>2</v>
      </c>
      <c r="CW281" s="0" t="n">
        <v>6</v>
      </c>
      <c r="CX281" s="0" t="n">
        <v>13</v>
      </c>
      <c r="CY281" s="0" t="n">
        <f aca="false">IF(AH281="exact",10,IF(AH281="adjacent",5,0))</f>
        <v>0</v>
      </c>
      <c r="CZ281" s="0" t="n">
        <f aca="false">IF(R281="Y",15,0)</f>
        <v>0</v>
      </c>
      <c r="DF281" s="0" t="s">
        <v>158</v>
      </c>
      <c r="DG281" s="0" t="s">
        <v>1335</v>
      </c>
      <c r="DH281" s="0" t="s">
        <v>1446</v>
      </c>
      <c r="DI281" s="0" t="s">
        <v>162</v>
      </c>
      <c r="DK281" s="0" t="s">
        <v>4205</v>
      </c>
      <c r="DS281" s="0" t="s">
        <v>158</v>
      </c>
      <c r="DX281" s="0" t="s">
        <v>162</v>
      </c>
      <c r="ER281" s="0" t="str">
        <f aca="false">IF(ISNUMBER(MATCH(U281,{"queued","contacted","replied","call_booked","call_done","yes_in_principle","materials_sent"},0)),"Y","N")</f>
        <v>N</v>
      </c>
      <c r="ES281" s="0" t="str">
        <f aca="false">IF(COUNTIFS($AP$2:$AP$1000,AP281,$ER$2:$ER$1000,"Y")+COUNTIFS($AP$2:$AP$1000,AP281,$T$2:$T$1000,"Y")&gt;0,"Y","N")</f>
        <v>N</v>
      </c>
      <c r="ET281" s="0" t="str">
        <f aca="false">IF(AND(U281="new",T281="N",AT281="Y",AS281="",ES281="N"),"Y","N")</f>
        <v>N</v>
      </c>
      <c r="EU281" s="0" t="str">
        <f aca="false">IF(ET281&lt;&gt;"Y","N",IF(COUNTIFS($AP$2:$AP$1000,AP281,$ET$2:$ET$1000,"Y",$J$2:$J$1000,"&gt;"&amp;J281)+COUNTIFS($AP$2:$AP$1000,AP281,$ET$2:$ET$1000,"Y",$J$2:$J$1000,J281,$EW$2:$EW$1000,"&lt;"&amp;EW281)=0,"Y","N"))</f>
        <v>N</v>
      </c>
      <c r="EV281" s="0" t="str">
        <f aca="false">IF(Y281="","N",IF(Y281&lt;=10,"Y","N"))</f>
        <v>N</v>
      </c>
      <c r="EW281" s="0" t="n">
        <f aca="false">ROW()-1</f>
        <v>280</v>
      </c>
    </row>
    <row r="282" customFormat="false" ht="15" hidden="false" customHeight="false" outlineLevel="0" collapsed="false">
      <c r="A282" s="0" t="s">
        <v>4206</v>
      </c>
      <c r="B282" s="0" t="s">
        <v>4207</v>
      </c>
      <c r="H282" s="5" t="s">
        <v>158</v>
      </c>
      <c r="I282" s="5" t="s">
        <v>159</v>
      </c>
      <c r="J282" s="0" t="n">
        <f aca="false">IF(AX282="pass",ROUND(CU282+CV282+CW282+CX282+CY282+CZ282,1),0)</f>
        <v>0</v>
      </c>
      <c r="K282" s="0" t="s">
        <v>4208</v>
      </c>
      <c r="L282" s="0" t="s">
        <v>1322</v>
      </c>
      <c r="O282" s="0" t="s">
        <v>4209</v>
      </c>
      <c r="P282" s="0" t="s">
        <v>4210</v>
      </c>
      <c r="Q282" s="0" t="s">
        <v>4211</v>
      </c>
      <c r="R282" s="5" t="s">
        <v>162</v>
      </c>
      <c r="S282" s="0" t="s">
        <v>163</v>
      </c>
      <c r="T282" s="5" t="s">
        <v>162</v>
      </c>
      <c r="U282" s="5" t="s">
        <v>561</v>
      </c>
      <c r="V282" s="0" t="s">
        <v>4210</v>
      </c>
      <c r="W282" s="0" t="s">
        <v>166</v>
      </c>
      <c r="X282" s="0" t="s">
        <v>167</v>
      </c>
      <c r="Y282" s="0" t="str">
        <f aca="false">IF(EU282&lt;&gt;"Y","",COUNTIFS($EU$2:$EU$1000,"Y",$J$2:$J$1000,"&gt;"&amp;J282)+COUNTIFS($EU$2:$EU$1000,"Y",$J$2:$J$1000,J282,$EW$2:$EW$1000,"&lt;"&amp;EW282)+1)</f>
        <v/>
      </c>
      <c r="AA282" s="0" t="s">
        <v>162</v>
      </c>
      <c r="AD282" s="0" t="s">
        <v>158</v>
      </c>
      <c r="AH282" s="5" t="s">
        <v>158</v>
      </c>
      <c r="AI282" s="0" t="s">
        <v>1644</v>
      </c>
      <c r="AJ282" s="0" t="s">
        <v>163</v>
      </c>
      <c r="AK282" s="0" t="s">
        <v>889</v>
      </c>
      <c r="AL282" s="0" t="n">
        <v>551</v>
      </c>
      <c r="AM282" s="0" t="n">
        <v>1102</v>
      </c>
      <c r="AN282" s="0" t="s">
        <v>179</v>
      </c>
      <c r="AO282" s="0" t="s">
        <v>163</v>
      </c>
      <c r="AP282" s="0" t="s">
        <v>4206</v>
      </c>
      <c r="AQ282" s="5" t="s">
        <v>168</v>
      </c>
      <c r="AR282" s="0" t="s">
        <v>890</v>
      </c>
      <c r="AT282" s="0" t="str">
        <f aca="false">IF(AND(AX282="pass",AQ282&lt;&gt;"Y",C282&lt;&gt;"",OR(AW282&lt;&gt;"Y",AV282="Y")),"Y","N")</f>
        <v>N</v>
      </c>
      <c r="AU282" s="0" t="str">
        <f aca="false">_xlfn.TEXTJOIN("; ",TRUE(),IF(AX282&lt;&gt;"pass","gated out",""),IF(AQ282="Y","on hold: "&amp;AR282,""),IF(C282="","no contact named on an opened page",""),IF(AND(AW282="Y",AV282&lt;&gt;"Y"),"Tuesday estimate band "&amp;L282&amp;": founder's call",""))</f>
        <v>gated out; on hold: lease signed, move not confirmed: check the lobby directory before outreach (B); no contact named on an opened page; Tuesday estimate band over-500: founder's call</v>
      </c>
      <c r="AW282" s="0" t="s">
        <v>168</v>
      </c>
      <c r="AX282" s="0" t="s">
        <v>3703</v>
      </c>
      <c r="AY282" s="0" t="s">
        <v>4212</v>
      </c>
      <c r="AZ282" s="0" t="s">
        <v>1</v>
      </c>
      <c r="BA282" s="0" t="s">
        <v>4213</v>
      </c>
      <c r="BB282" s="0" t="s">
        <v>163</v>
      </c>
      <c r="BC282" s="0" t="s">
        <v>4214</v>
      </c>
      <c r="BD282" s="0" t="s">
        <v>4215</v>
      </c>
      <c r="BF282" s="0" t="s">
        <v>1322</v>
      </c>
      <c r="BG282" s="0" t="s">
        <v>188</v>
      </c>
      <c r="BH282" s="0" t="s">
        <v>189</v>
      </c>
      <c r="BI282" s="0" t="s">
        <v>4216</v>
      </c>
      <c r="BK282" s="0" t="s">
        <v>1439</v>
      </c>
      <c r="BL282" s="0" t="s">
        <v>192</v>
      </c>
      <c r="BM282" s="0" t="s">
        <v>168</v>
      </c>
      <c r="BN282" s="0" t="s">
        <v>163</v>
      </c>
      <c r="BO282" s="0" t="s">
        <v>163</v>
      </c>
      <c r="BP282" s="0" t="s">
        <v>243</v>
      </c>
      <c r="BQ282" s="0" t="n">
        <v>40.746186</v>
      </c>
      <c r="BR282" s="0" t="n">
        <v>-73.985981</v>
      </c>
      <c r="BS282" s="0" t="s">
        <v>168</v>
      </c>
      <c r="BT282" s="0" t="n">
        <v>0</v>
      </c>
      <c r="BU282" s="0" t="s">
        <v>1652</v>
      </c>
      <c r="BV282" s="0" t="s">
        <v>1653</v>
      </c>
      <c r="BW282" s="0" t="s">
        <v>4210</v>
      </c>
      <c r="BX282" s="0" t="s">
        <v>4211</v>
      </c>
      <c r="BY282" s="0" t="s">
        <v>247</v>
      </c>
      <c r="CC282" s="0" t="s">
        <v>738</v>
      </c>
      <c r="CD282" s="0" t="s">
        <v>163</v>
      </c>
      <c r="CE282" s="0" t="s">
        <v>162</v>
      </c>
      <c r="CH282" s="0" t="s">
        <v>163</v>
      </c>
      <c r="CJ282" s="0" t="s">
        <v>163</v>
      </c>
      <c r="CK282" s="0" t="s">
        <v>162</v>
      </c>
      <c r="CL282" s="0" t="s">
        <v>163</v>
      </c>
      <c r="CO282" s="0" t="n">
        <v>779</v>
      </c>
      <c r="CP282" s="0" t="s">
        <v>3816</v>
      </c>
      <c r="CQ282" s="0" t="s">
        <v>4217</v>
      </c>
      <c r="CR282" s="0" t="s">
        <v>206</v>
      </c>
      <c r="CS282" s="0" t="n">
        <v>0</v>
      </c>
      <c r="CT282" s="0" t="n">
        <v>13</v>
      </c>
      <c r="CU282" s="0" t="n">
        <v>0</v>
      </c>
      <c r="CV282" s="0" t="n">
        <v>2</v>
      </c>
      <c r="CW282" s="0" t="n">
        <v>6</v>
      </c>
      <c r="CX282" s="0" t="n">
        <v>5</v>
      </c>
      <c r="CY282" s="0" t="n">
        <f aca="false">IF(AH282="exact",10,IF(AH282="adjacent",5,0))</f>
        <v>0</v>
      </c>
      <c r="CZ282" s="0" t="n">
        <f aca="false">IF(R282="Y",15,0)</f>
        <v>0</v>
      </c>
      <c r="DF282" s="0" t="s">
        <v>158</v>
      </c>
      <c r="DG282" s="0" t="s">
        <v>1335</v>
      </c>
      <c r="DH282" s="0" t="s">
        <v>1446</v>
      </c>
      <c r="DI282" s="0" t="s">
        <v>168</v>
      </c>
      <c r="DJ282" s="0" t="s">
        <v>4218</v>
      </c>
      <c r="DK282" s="0" t="s">
        <v>4219</v>
      </c>
      <c r="DS282" s="0" t="s">
        <v>158</v>
      </c>
      <c r="DX282" s="0" t="s">
        <v>162</v>
      </c>
      <c r="ER282" s="0" t="str">
        <f aca="false">IF(ISNUMBER(MATCH(U282,{"queued","contacted","replied","call_booked","call_done","yes_in_principle","materials_sent"},0)),"Y","N")</f>
        <v>N</v>
      </c>
      <c r="ES282" s="0" t="str">
        <f aca="false">IF(COUNTIFS($AP$2:$AP$1000,AP282,$ER$2:$ER$1000,"Y")+COUNTIFS($AP$2:$AP$1000,AP282,$T$2:$T$1000,"Y")&gt;0,"Y","N")</f>
        <v>N</v>
      </c>
      <c r="ET282" s="0" t="str">
        <f aca="false">IF(AND(U282="new",T282="N",AT282="Y",AS282="",ES282="N"),"Y","N")</f>
        <v>N</v>
      </c>
      <c r="EU282" s="0" t="str">
        <f aca="false">IF(ET282&lt;&gt;"Y","N",IF(COUNTIFS($AP$2:$AP$1000,AP282,$ET$2:$ET$1000,"Y",$J$2:$J$1000,"&gt;"&amp;J282)+COUNTIFS($AP$2:$AP$1000,AP282,$ET$2:$ET$1000,"Y",$J$2:$J$1000,J282,$EW$2:$EW$1000,"&lt;"&amp;EW282)=0,"Y","N"))</f>
        <v>N</v>
      </c>
      <c r="EV282" s="0" t="str">
        <f aca="false">IF(Y282="","N",IF(Y282&lt;=10,"Y","N"))</f>
        <v>N</v>
      </c>
      <c r="EW282" s="0" t="n">
        <f aca="false">ROW()-1</f>
        <v>281</v>
      </c>
    </row>
    <row r="283" customFormat="false" ht="15" hidden="false" customHeight="false" outlineLevel="0" collapsed="false">
      <c r="A283" s="0" t="s">
        <v>4220</v>
      </c>
      <c r="B283" s="0" t="s">
        <v>4221</v>
      </c>
      <c r="H283" s="5" t="s">
        <v>158</v>
      </c>
      <c r="I283" s="5" t="s">
        <v>159</v>
      </c>
      <c r="J283" s="0" t="n">
        <f aca="false">IF(AX283="pass",ROUND(CU283+CV283+CW283+CX283+CY283+CZ283,1),0)</f>
        <v>0</v>
      </c>
      <c r="K283" s="0" t="s">
        <v>4111</v>
      </c>
      <c r="L283" s="0" t="s">
        <v>239</v>
      </c>
      <c r="R283" s="5" t="s">
        <v>162</v>
      </c>
      <c r="S283" s="0" t="s">
        <v>163</v>
      </c>
      <c r="T283" s="5" t="s">
        <v>162</v>
      </c>
      <c r="U283" s="5" t="s">
        <v>561</v>
      </c>
      <c r="V283" s="0" t="s">
        <v>4222</v>
      </c>
      <c r="W283" s="0" t="s">
        <v>166</v>
      </c>
      <c r="X283" s="0" t="s">
        <v>167</v>
      </c>
      <c r="Y283" s="0" t="str">
        <f aca="false">IF(EU283&lt;&gt;"Y","",COUNTIFS($EU$2:$EU$1000,"Y",$J$2:$J$1000,"&gt;"&amp;J283)+COUNTIFS($EU$2:$EU$1000,"Y",$J$2:$J$1000,J283,$EW$2:$EW$1000,"&lt;"&amp;EW283)+1)</f>
        <v/>
      </c>
      <c r="AA283" s="0" t="s">
        <v>162</v>
      </c>
      <c r="AD283" s="0" t="s">
        <v>158</v>
      </c>
      <c r="AH283" s="5" t="s">
        <v>158</v>
      </c>
      <c r="AI283" s="0" t="s">
        <v>2803</v>
      </c>
      <c r="AJ283" s="0" t="s">
        <v>2370</v>
      </c>
      <c r="AK283" s="0" t="s">
        <v>178</v>
      </c>
      <c r="AL283" s="0" t="n">
        <v>314</v>
      </c>
      <c r="AM283" s="0" t="n">
        <v>627</v>
      </c>
      <c r="AN283" s="0" t="s">
        <v>179</v>
      </c>
      <c r="AO283" s="0" t="s">
        <v>163</v>
      </c>
      <c r="AP283" s="0" t="s">
        <v>4220</v>
      </c>
      <c r="AQ283" s="5" t="s">
        <v>162</v>
      </c>
      <c r="AT283" s="0" t="str">
        <f aca="false">IF(AND(AX283="pass",AQ283&lt;&gt;"Y",C283&lt;&gt;"",OR(AW283&lt;&gt;"Y",AV283="Y")),"Y","N")</f>
        <v>N</v>
      </c>
      <c r="AU283" s="0" t="str">
        <f aca="false">_xlfn.TEXTJOIN("; ",TRUE(),IF(AX283&lt;&gt;"pass","gated out",""),IF(AQ283="Y","on hold: "&amp;AR283,""),IF(C283="","no contact named on an opened page",""),IF(AND(AW283="Y",AV283&lt;&gt;"Y"),"Tuesday estimate band "&amp;L283&amp;": founder's call",""))</f>
        <v>gated out; no contact named on an opened page; Tuesday estimate band 251-500: founder's call</v>
      </c>
      <c r="AW283" s="0" t="s">
        <v>168</v>
      </c>
      <c r="AX283" s="0" t="s">
        <v>3703</v>
      </c>
      <c r="AY283" s="0" t="s">
        <v>4113</v>
      </c>
      <c r="AZ283" s="0" t="s">
        <v>1</v>
      </c>
      <c r="BA283" s="0" t="s">
        <v>4223</v>
      </c>
      <c r="BB283" s="0" t="s">
        <v>4224</v>
      </c>
      <c r="BC283" s="0" t="s">
        <v>4225</v>
      </c>
      <c r="BD283" s="0" t="s">
        <v>4116</v>
      </c>
      <c r="BF283" s="0" t="s">
        <v>1322</v>
      </c>
      <c r="BG283" s="0" t="s">
        <v>188</v>
      </c>
      <c r="BH283" s="0" t="s">
        <v>189</v>
      </c>
      <c r="BI283" s="0" t="s">
        <v>4226</v>
      </c>
      <c r="BK283" s="0" t="s">
        <v>1439</v>
      </c>
      <c r="BL283" s="0" t="s">
        <v>192</v>
      </c>
      <c r="BM283" s="0" t="s">
        <v>168</v>
      </c>
      <c r="BN283" s="0" t="s">
        <v>163</v>
      </c>
      <c r="BO283" s="0" t="s">
        <v>163</v>
      </c>
      <c r="BP283" s="0" t="s">
        <v>377</v>
      </c>
      <c r="BQ283" s="0" t="n">
        <v>40.738939</v>
      </c>
      <c r="BR283" s="0" t="n">
        <v>-73.993331</v>
      </c>
      <c r="BS283" s="0" t="s">
        <v>168</v>
      </c>
      <c r="BT283" s="0" t="n">
        <v>0</v>
      </c>
      <c r="BU283" s="0" t="s">
        <v>2802</v>
      </c>
      <c r="BV283" s="0" t="s">
        <v>2803</v>
      </c>
      <c r="BW283" s="0" t="s">
        <v>4222</v>
      </c>
      <c r="BX283" s="0" t="s">
        <v>4119</v>
      </c>
      <c r="BY283" s="0" t="s">
        <v>282</v>
      </c>
      <c r="CB283" s="0" t="s">
        <v>199</v>
      </c>
      <c r="CC283" s="0" t="s">
        <v>738</v>
      </c>
      <c r="CE283" s="0" t="s">
        <v>162</v>
      </c>
      <c r="CH283" s="0" t="s">
        <v>163</v>
      </c>
      <c r="CJ283" s="0" t="s">
        <v>163</v>
      </c>
      <c r="CK283" s="0" t="s">
        <v>162</v>
      </c>
      <c r="CL283" s="0" t="s">
        <v>163</v>
      </c>
      <c r="CO283" s="0" t="n">
        <v>444</v>
      </c>
      <c r="CP283" s="0" t="s">
        <v>3816</v>
      </c>
      <c r="CQ283" s="0" t="s">
        <v>4120</v>
      </c>
      <c r="CR283" s="0" t="s">
        <v>206</v>
      </c>
      <c r="CS283" s="0" t="n">
        <v>0</v>
      </c>
      <c r="CT283" s="0" t="n">
        <v>21</v>
      </c>
      <c r="CU283" s="0" t="n">
        <v>0</v>
      </c>
      <c r="CV283" s="0" t="n">
        <v>2</v>
      </c>
      <c r="CW283" s="0" t="n">
        <v>6</v>
      </c>
      <c r="CX283" s="0" t="n">
        <v>13</v>
      </c>
      <c r="CY283" s="0" t="n">
        <f aca="false">IF(AH283="exact",10,IF(AH283="adjacent",5,0))</f>
        <v>0</v>
      </c>
      <c r="CZ283" s="0" t="n">
        <f aca="false">IF(R283="Y",15,0)</f>
        <v>0</v>
      </c>
      <c r="DF283" s="0" t="s">
        <v>158</v>
      </c>
      <c r="DG283" s="0" t="s">
        <v>1335</v>
      </c>
      <c r="DH283" s="0" t="s">
        <v>1446</v>
      </c>
      <c r="DI283" s="0" t="s">
        <v>162</v>
      </c>
      <c r="DK283" s="0" t="s">
        <v>4227</v>
      </c>
      <c r="DS283" s="0" t="s">
        <v>158</v>
      </c>
      <c r="DX283" s="0" t="s">
        <v>162</v>
      </c>
      <c r="ER283" s="0" t="str">
        <f aca="false">IF(ISNUMBER(MATCH(U283,{"queued","contacted","replied","call_booked","call_done","yes_in_principle","materials_sent"},0)),"Y","N")</f>
        <v>N</v>
      </c>
      <c r="ES283" s="0" t="str">
        <f aca="false">IF(COUNTIFS($AP$2:$AP$1000,AP283,$ER$2:$ER$1000,"Y")+COUNTIFS($AP$2:$AP$1000,AP283,$T$2:$T$1000,"Y")&gt;0,"Y","N")</f>
        <v>N</v>
      </c>
      <c r="ET283" s="0" t="str">
        <f aca="false">IF(AND(U283="new",T283="N",AT283="Y",AS283="",ES283="N"),"Y","N")</f>
        <v>N</v>
      </c>
      <c r="EU283" s="0" t="str">
        <f aca="false">IF(ET283&lt;&gt;"Y","N",IF(COUNTIFS($AP$2:$AP$1000,AP283,$ET$2:$ET$1000,"Y",$J$2:$J$1000,"&gt;"&amp;J283)+COUNTIFS($AP$2:$AP$1000,AP283,$ET$2:$ET$1000,"Y",$J$2:$J$1000,J283,$EW$2:$EW$1000,"&lt;"&amp;EW283)=0,"Y","N"))</f>
        <v>N</v>
      </c>
      <c r="EV283" s="0" t="str">
        <f aca="false">IF(Y283="","N",IF(Y283&lt;=10,"Y","N"))</f>
        <v>N</v>
      </c>
      <c r="EW283" s="0" t="n">
        <f aca="false">ROW()-1</f>
        <v>282</v>
      </c>
    </row>
    <row r="284" customFormat="false" ht="15" hidden="false" customHeight="false" outlineLevel="0" collapsed="false">
      <c r="A284" s="0" t="s">
        <v>4228</v>
      </c>
      <c r="B284" s="0" t="s">
        <v>4229</v>
      </c>
      <c r="H284" s="5" t="s">
        <v>158</v>
      </c>
      <c r="I284" s="5" t="s">
        <v>159</v>
      </c>
      <c r="J284" s="0" t="n">
        <f aca="false">IF(AX284="pass",ROUND(CU284+CV284+CW284+CX284+CY284+CZ284,1),0)</f>
        <v>0</v>
      </c>
      <c r="K284" s="0" t="s">
        <v>4059</v>
      </c>
      <c r="L284" s="0" t="s">
        <v>560</v>
      </c>
      <c r="O284" s="0" t="s">
        <v>4230</v>
      </c>
      <c r="P284" s="0" t="s">
        <v>4231</v>
      </c>
      <c r="Q284" s="0" t="s">
        <v>3102</v>
      </c>
      <c r="R284" s="5" t="s">
        <v>162</v>
      </c>
      <c r="S284" s="0" t="s">
        <v>163</v>
      </c>
      <c r="T284" s="5" t="s">
        <v>162</v>
      </c>
      <c r="U284" s="5" t="s">
        <v>561</v>
      </c>
      <c r="V284" s="0" t="s">
        <v>4231</v>
      </c>
      <c r="W284" s="0" t="s">
        <v>166</v>
      </c>
      <c r="X284" s="0" t="s">
        <v>167</v>
      </c>
      <c r="Y284" s="0" t="str">
        <f aca="false">IF(EU284&lt;&gt;"Y","",COUNTIFS($EU$2:$EU$1000,"Y",$J$2:$J$1000,"&gt;"&amp;J284)+COUNTIFS($EU$2:$EU$1000,"Y",$J$2:$J$1000,J284,$EW$2:$EW$1000,"&lt;"&amp;EW284)+1)</f>
        <v/>
      </c>
      <c r="AA284" s="0" t="s">
        <v>162</v>
      </c>
      <c r="AD284" s="0" t="s">
        <v>158</v>
      </c>
      <c r="AH284" s="5" t="s">
        <v>158</v>
      </c>
      <c r="AI284" s="0" t="s">
        <v>1191</v>
      </c>
      <c r="AJ284" s="0" t="s">
        <v>754</v>
      </c>
      <c r="AK284" s="0" t="s">
        <v>178</v>
      </c>
      <c r="AL284" s="0" t="n">
        <v>14</v>
      </c>
      <c r="AM284" s="0" t="n">
        <v>28</v>
      </c>
      <c r="AN284" s="0" t="s">
        <v>179</v>
      </c>
      <c r="AO284" s="0" t="s">
        <v>163</v>
      </c>
      <c r="AP284" s="0" t="s">
        <v>4228</v>
      </c>
      <c r="AQ284" s="5" t="s">
        <v>162</v>
      </c>
      <c r="AT284" s="0" t="str">
        <f aca="false">IF(AND(AX284="pass",AQ284&lt;&gt;"Y",C284&lt;&gt;"",OR(AW284&lt;&gt;"Y",AV284="Y")),"Y","N")</f>
        <v>N</v>
      </c>
      <c r="AU284" s="0" t="str">
        <f aca="false">_xlfn.TEXTJOIN("; ",TRUE(),IF(AX284&lt;&gt;"pass","gated out",""),IF(AQ284="Y","on hold: "&amp;AR284,""),IF(C284="","no contact named on an opened page",""),IF(AND(AW284="Y",AV284&lt;&gt;"Y"),"Tuesday estimate band "&amp;L284&amp;": founder's call",""))</f>
        <v>gated out; no contact named on an opened page; Tuesday estimate band under-40: founder's call</v>
      </c>
      <c r="AW284" s="0" t="s">
        <v>168</v>
      </c>
      <c r="AX284" s="0" t="s">
        <v>3703</v>
      </c>
      <c r="AY284" s="0" t="s">
        <v>4061</v>
      </c>
      <c r="AZ284" s="0" t="s">
        <v>1</v>
      </c>
      <c r="BA284" s="0" t="s">
        <v>4232</v>
      </c>
      <c r="BB284" s="0" t="s">
        <v>4233</v>
      </c>
      <c r="BC284" s="0" t="s">
        <v>4234</v>
      </c>
      <c r="BD284" s="0" t="s">
        <v>4065</v>
      </c>
      <c r="BF284" s="0" t="s">
        <v>394</v>
      </c>
      <c r="BG284" s="0" t="s">
        <v>188</v>
      </c>
      <c r="BH284" s="0" t="s">
        <v>189</v>
      </c>
      <c r="BI284" s="0" t="s">
        <v>4235</v>
      </c>
      <c r="BK284" s="0" t="s">
        <v>191</v>
      </c>
      <c r="BL284" s="0" t="s">
        <v>192</v>
      </c>
      <c r="BM284" s="0" t="s">
        <v>168</v>
      </c>
      <c r="BN284" s="0" t="s">
        <v>163</v>
      </c>
      <c r="BO284" s="0" t="s">
        <v>163</v>
      </c>
      <c r="BP284" s="0" t="s">
        <v>346</v>
      </c>
      <c r="BQ284" s="0" t="n">
        <v>40.739961</v>
      </c>
      <c r="BR284" s="0" t="n">
        <v>-73.990971</v>
      </c>
      <c r="BS284" s="0" t="s">
        <v>168</v>
      </c>
      <c r="BT284" s="0" t="n">
        <v>0</v>
      </c>
      <c r="BU284" s="0" t="s">
        <v>1196</v>
      </c>
      <c r="BV284" s="0" t="s">
        <v>1197</v>
      </c>
      <c r="BW284" s="0" t="s">
        <v>4231</v>
      </c>
      <c r="BX284" s="0" t="s">
        <v>3102</v>
      </c>
      <c r="BY284" s="0" t="s">
        <v>247</v>
      </c>
      <c r="CC284" s="0" t="s">
        <v>738</v>
      </c>
      <c r="CE284" s="0" t="s">
        <v>162</v>
      </c>
      <c r="CH284" s="0" t="s">
        <v>163</v>
      </c>
      <c r="CJ284" s="0" t="s">
        <v>163</v>
      </c>
      <c r="CK284" s="0" t="s">
        <v>162</v>
      </c>
      <c r="CL284" s="0" t="s">
        <v>163</v>
      </c>
      <c r="CO284" s="0" t="n">
        <v>20</v>
      </c>
      <c r="CP284" s="0" t="s">
        <v>4067</v>
      </c>
      <c r="CQ284" s="0" t="s">
        <v>4068</v>
      </c>
      <c r="CR284" s="0" t="s">
        <v>206</v>
      </c>
      <c r="CS284" s="0" t="n">
        <v>0</v>
      </c>
      <c r="CT284" s="0" t="n">
        <v>34</v>
      </c>
      <c r="CU284" s="0" t="n">
        <v>0</v>
      </c>
      <c r="CV284" s="0" t="n">
        <v>15</v>
      </c>
      <c r="CW284" s="0" t="n">
        <v>6</v>
      </c>
      <c r="CX284" s="0" t="n">
        <v>13</v>
      </c>
      <c r="CY284" s="0" t="n">
        <f aca="false">IF(AH284="exact",10,IF(AH284="adjacent",5,0))</f>
        <v>0</v>
      </c>
      <c r="CZ284" s="0" t="n">
        <f aca="false">IF(R284="Y",15,0)</f>
        <v>0</v>
      </c>
      <c r="DF284" s="0" t="s">
        <v>158</v>
      </c>
      <c r="DG284" s="0" t="s">
        <v>211</v>
      </c>
      <c r="DJ284" s="0" t="s">
        <v>4236</v>
      </c>
      <c r="DK284" s="0" t="s">
        <v>4237</v>
      </c>
      <c r="DS284" s="0" t="s">
        <v>158</v>
      </c>
      <c r="DX284" s="0" t="s">
        <v>162</v>
      </c>
      <c r="ER284" s="0" t="str">
        <f aca="false">IF(ISNUMBER(MATCH(U284,{"queued","contacted","replied","call_booked","call_done","yes_in_principle","materials_sent"},0)),"Y","N")</f>
        <v>N</v>
      </c>
      <c r="ES284" s="0" t="str">
        <f aca="false">IF(COUNTIFS($AP$2:$AP$1000,AP284,$ER$2:$ER$1000,"Y")+COUNTIFS($AP$2:$AP$1000,AP284,$T$2:$T$1000,"Y")&gt;0,"Y","N")</f>
        <v>N</v>
      </c>
      <c r="ET284" s="0" t="str">
        <f aca="false">IF(AND(U284="new",T284="N",AT284="Y",AS284="",ES284="N"),"Y","N")</f>
        <v>N</v>
      </c>
      <c r="EU284" s="0" t="str">
        <f aca="false">IF(ET284&lt;&gt;"Y","N",IF(COUNTIFS($AP$2:$AP$1000,AP284,$ET$2:$ET$1000,"Y",$J$2:$J$1000,"&gt;"&amp;J284)+COUNTIFS($AP$2:$AP$1000,AP284,$ET$2:$ET$1000,"Y",$J$2:$J$1000,J284,$EW$2:$EW$1000,"&lt;"&amp;EW284)=0,"Y","N"))</f>
        <v>N</v>
      </c>
      <c r="EV284" s="0" t="str">
        <f aca="false">IF(Y284="","N",IF(Y284&lt;=10,"Y","N"))</f>
        <v>N</v>
      </c>
      <c r="EW284" s="0" t="n">
        <f aca="false">ROW()-1</f>
        <v>283</v>
      </c>
    </row>
    <row r="285" customFormat="false" ht="15" hidden="false" customHeight="false" outlineLevel="0" collapsed="false">
      <c r="A285" s="0" t="s">
        <v>4238</v>
      </c>
      <c r="B285" s="0" t="s">
        <v>4239</v>
      </c>
      <c r="H285" s="5" t="s">
        <v>158</v>
      </c>
      <c r="I285" s="5" t="s">
        <v>159</v>
      </c>
      <c r="J285" s="0" t="n">
        <f aca="false">IF(AX285="pass",ROUND(CU285+CV285+CW285+CX285+CY285+CZ285,1),0)</f>
        <v>0</v>
      </c>
      <c r="K285" s="0" t="s">
        <v>4240</v>
      </c>
      <c r="L285" s="0" t="s">
        <v>1322</v>
      </c>
      <c r="R285" s="5" t="s">
        <v>162</v>
      </c>
      <c r="S285" s="0" t="s">
        <v>163</v>
      </c>
      <c r="T285" s="5" t="s">
        <v>162</v>
      </c>
      <c r="U285" s="5" t="s">
        <v>561</v>
      </c>
      <c r="V285" s="0" t="s">
        <v>1290</v>
      </c>
      <c r="W285" s="0" t="s">
        <v>166</v>
      </c>
      <c r="X285" s="0" t="s">
        <v>167</v>
      </c>
      <c r="Y285" s="0" t="str">
        <f aca="false">IF(EU285&lt;&gt;"Y","",COUNTIFS($EU$2:$EU$1000,"Y",$J$2:$J$1000,"&gt;"&amp;J285)+COUNTIFS($EU$2:$EU$1000,"Y",$J$2:$J$1000,J285,$EW$2:$EW$1000,"&lt;"&amp;EW285)+1)</f>
        <v/>
      </c>
      <c r="AA285" s="0" t="s">
        <v>162</v>
      </c>
      <c r="AD285" s="0" t="s">
        <v>158</v>
      </c>
      <c r="AH285" s="5" t="s">
        <v>158</v>
      </c>
      <c r="AI285" s="0" t="s">
        <v>1292</v>
      </c>
      <c r="AJ285" s="0" t="s">
        <v>163</v>
      </c>
      <c r="AK285" s="0" t="s">
        <v>178</v>
      </c>
      <c r="AL285" s="0" t="n">
        <v>690</v>
      </c>
      <c r="AM285" s="0" t="n">
        <v>13800</v>
      </c>
      <c r="AN285" s="0" t="s">
        <v>179</v>
      </c>
      <c r="AO285" s="0" t="s">
        <v>163</v>
      </c>
      <c r="AP285" s="0" t="s">
        <v>4238</v>
      </c>
      <c r="AQ285" s="5" t="s">
        <v>162</v>
      </c>
      <c r="AT285" s="0" t="str">
        <f aca="false">IF(AND(AX285="pass",AQ285&lt;&gt;"Y",C285&lt;&gt;"",OR(AW285&lt;&gt;"Y",AV285="Y")),"Y","N")</f>
        <v>N</v>
      </c>
      <c r="AU285" s="0" t="str">
        <f aca="false">_xlfn.TEXTJOIN("; ",TRUE(),IF(AX285&lt;&gt;"pass","gated out",""),IF(AQ285="Y","on hold: "&amp;AR285,""),IF(C285="","no contact named on an opened page",""),IF(AND(AW285="Y",AV285&lt;&gt;"Y"),"Tuesday estimate band "&amp;L285&amp;": founder's call",""))</f>
        <v>gated out; no contact named on an opened page; Tuesday estimate band over-500: founder's call</v>
      </c>
      <c r="AW285" s="0" t="s">
        <v>168</v>
      </c>
      <c r="AX285" s="0" t="s">
        <v>3703</v>
      </c>
      <c r="AY285" s="0" t="s">
        <v>4241</v>
      </c>
      <c r="AZ285" s="0" t="s">
        <v>1</v>
      </c>
      <c r="BA285" s="0" t="s">
        <v>4242</v>
      </c>
      <c r="BB285" s="0" t="s">
        <v>4243</v>
      </c>
      <c r="BC285" s="0" t="s">
        <v>4244</v>
      </c>
      <c r="BD285" s="0" t="s">
        <v>4245</v>
      </c>
      <c r="BF285" s="0" t="s">
        <v>1322</v>
      </c>
      <c r="BG285" s="0" t="s">
        <v>188</v>
      </c>
      <c r="BH285" s="0" t="s">
        <v>189</v>
      </c>
      <c r="BI285" s="0" t="s">
        <v>4246</v>
      </c>
      <c r="BK285" s="0" t="s">
        <v>3287</v>
      </c>
      <c r="BL285" s="0" t="s">
        <v>163</v>
      </c>
      <c r="BM285" s="0" t="s">
        <v>163</v>
      </c>
      <c r="BN285" s="0" t="s">
        <v>163</v>
      </c>
      <c r="BO285" s="0" t="s">
        <v>163</v>
      </c>
      <c r="BP285" s="0" t="s">
        <v>377</v>
      </c>
      <c r="BQ285" s="0" t="n">
        <v>40.7409</v>
      </c>
      <c r="BR285" s="0" t="n">
        <v>-73.994512</v>
      </c>
      <c r="BS285" s="0" t="s">
        <v>168</v>
      </c>
      <c r="BT285" s="0" t="n">
        <v>0</v>
      </c>
      <c r="BU285" s="0" t="s">
        <v>1301</v>
      </c>
      <c r="BV285" s="0" t="s">
        <v>1302</v>
      </c>
      <c r="BW285" s="0" t="s">
        <v>1290</v>
      </c>
      <c r="BX285" s="0" t="s">
        <v>1291</v>
      </c>
      <c r="BY285" s="0" t="s">
        <v>247</v>
      </c>
      <c r="BZ285" s="0" t="s">
        <v>4247</v>
      </c>
      <c r="CA285" s="0" t="s">
        <v>4248</v>
      </c>
      <c r="CC285" s="0" t="s">
        <v>738</v>
      </c>
      <c r="CE285" s="0" t="s">
        <v>162</v>
      </c>
      <c r="CH285" s="0" t="s">
        <v>163</v>
      </c>
      <c r="CJ285" s="0" t="s">
        <v>163</v>
      </c>
      <c r="CK285" s="0" t="s">
        <v>162</v>
      </c>
      <c r="CL285" s="0" t="s">
        <v>163</v>
      </c>
      <c r="CO285" s="0" t="n">
        <v>3086</v>
      </c>
      <c r="CP285" s="0" t="s">
        <v>3816</v>
      </c>
      <c r="CQ285" s="0" t="s">
        <v>4249</v>
      </c>
      <c r="CR285" s="0" t="s">
        <v>206</v>
      </c>
      <c r="CS285" s="0" t="n">
        <v>0</v>
      </c>
      <c r="CT285" s="0" t="n">
        <v>19</v>
      </c>
      <c r="CU285" s="0" t="n">
        <v>0</v>
      </c>
      <c r="CV285" s="0" t="n">
        <v>0</v>
      </c>
      <c r="CW285" s="0" t="n">
        <v>6</v>
      </c>
      <c r="CX285" s="0" t="n">
        <v>13</v>
      </c>
      <c r="CY285" s="0" t="n">
        <f aca="false">IF(AH285="exact",10,IF(AH285="adjacent",5,0))</f>
        <v>0</v>
      </c>
      <c r="CZ285" s="0" t="n">
        <f aca="false">IF(R285="Y",15,0)</f>
        <v>0</v>
      </c>
      <c r="DF285" s="0" t="s">
        <v>158</v>
      </c>
      <c r="DG285" s="0" t="s">
        <v>1335</v>
      </c>
      <c r="DH285" s="0" t="s">
        <v>3290</v>
      </c>
      <c r="DI285" s="0" t="s">
        <v>162</v>
      </c>
      <c r="DJ285" s="0" t="s">
        <v>4250</v>
      </c>
      <c r="DK285" s="0" t="s">
        <v>4251</v>
      </c>
      <c r="DS285" s="0" t="s">
        <v>158</v>
      </c>
      <c r="DX285" s="0" t="s">
        <v>162</v>
      </c>
      <c r="ER285" s="0" t="str">
        <f aca="false">IF(ISNUMBER(MATCH(U285,{"queued","contacted","replied","call_booked","call_done","yes_in_principle","materials_sent"},0)),"Y","N")</f>
        <v>N</v>
      </c>
      <c r="ES285" s="0" t="str">
        <f aca="false">IF(COUNTIFS($AP$2:$AP$1000,AP285,$ER$2:$ER$1000,"Y")+COUNTIFS($AP$2:$AP$1000,AP285,$T$2:$T$1000,"Y")&gt;0,"Y","N")</f>
        <v>N</v>
      </c>
      <c r="ET285" s="0" t="str">
        <f aca="false">IF(AND(U285="new",T285="N",AT285="Y",AS285="",ES285="N"),"Y","N")</f>
        <v>N</v>
      </c>
      <c r="EU285" s="0" t="str">
        <f aca="false">IF(ET285&lt;&gt;"Y","N",IF(COUNTIFS($AP$2:$AP$1000,AP285,$ET$2:$ET$1000,"Y",$J$2:$J$1000,"&gt;"&amp;J285)+COUNTIFS($AP$2:$AP$1000,AP285,$ET$2:$ET$1000,"Y",$J$2:$J$1000,J285,$EW$2:$EW$1000,"&lt;"&amp;EW285)=0,"Y","N"))</f>
        <v>N</v>
      </c>
      <c r="EV285" s="0" t="str">
        <f aca="false">IF(Y285="","N",IF(Y285&lt;=10,"Y","N"))</f>
        <v>N</v>
      </c>
      <c r="EW285" s="0" t="n">
        <f aca="false">ROW()-1</f>
        <v>284</v>
      </c>
    </row>
    <row r="286" customFormat="false" ht="15" hidden="false" customHeight="false" outlineLevel="0" collapsed="false">
      <c r="A286" s="0" t="s">
        <v>4252</v>
      </c>
      <c r="B286" s="0" t="s">
        <v>4253</v>
      </c>
      <c r="H286" s="5" t="s">
        <v>158</v>
      </c>
      <c r="I286" s="5" t="s">
        <v>159</v>
      </c>
      <c r="J286" s="0" t="n">
        <f aca="false">IF(AX286="pass",ROUND(CU286+CV286+CW286+CX286+CY286+CZ286,1),0)</f>
        <v>0</v>
      </c>
      <c r="K286" s="0" t="s">
        <v>4254</v>
      </c>
      <c r="L286" s="0" t="s">
        <v>1322</v>
      </c>
      <c r="O286" s="0" t="s">
        <v>4255</v>
      </c>
      <c r="P286" s="0" t="s">
        <v>1774</v>
      </c>
      <c r="Q286" s="0" t="s">
        <v>1775</v>
      </c>
      <c r="R286" s="5" t="s">
        <v>162</v>
      </c>
      <c r="S286" s="0" t="s">
        <v>163</v>
      </c>
      <c r="T286" s="5" t="s">
        <v>162</v>
      </c>
      <c r="U286" s="5" t="s">
        <v>561</v>
      </c>
      <c r="V286" s="0" t="s">
        <v>1774</v>
      </c>
      <c r="W286" s="0" t="s">
        <v>166</v>
      </c>
      <c r="X286" s="0" t="s">
        <v>167</v>
      </c>
      <c r="Y286" s="0" t="str">
        <f aca="false">IF(EU286&lt;&gt;"Y","",COUNTIFS($EU$2:$EU$1000,"Y",$J$2:$J$1000,"&gt;"&amp;J286)+COUNTIFS($EU$2:$EU$1000,"Y",$J$2:$J$1000,J286,$EW$2:$EW$1000,"&lt;"&amp;EW286)+1)</f>
        <v/>
      </c>
      <c r="AA286" s="0" t="s">
        <v>162</v>
      </c>
      <c r="AD286" s="0" t="s">
        <v>158</v>
      </c>
      <c r="AH286" s="5" t="s">
        <v>158</v>
      </c>
      <c r="AI286" s="0" t="s">
        <v>1767</v>
      </c>
      <c r="AJ286" s="0" t="s">
        <v>433</v>
      </c>
      <c r="AK286" s="0" t="s">
        <v>889</v>
      </c>
      <c r="AL286" s="0" t="n">
        <v>599</v>
      </c>
      <c r="AM286" s="0" t="n">
        <v>11976</v>
      </c>
      <c r="AN286" s="0" t="s">
        <v>179</v>
      </c>
      <c r="AO286" s="0" t="s">
        <v>163</v>
      </c>
      <c r="AP286" s="0" t="s">
        <v>4252</v>
      </c>
      <c r="AQ286" s="5" t="s">
        <v>168</v>
      </c>
      <c r="AR286" s="0" t="s">
        <v>890</v>
      </c>
      <c r="AT286" s="0" t="str">
        <f aca="false">IF(AND(AX286="pass",AQ286&lt;&gt;"Y",C286&lt;&gt;"",OR(AW286&lt;&gt;"Y",AV286="Y")),"Y","N")</f>
        <v>N</v>
      </c>
      <c r="AU286" s="0" t="str">
        <f aca="false">_xlfn.TEXTJOIN("; ",TRUE(),IF(AX286&lt;&gt;"pass","gated out",""),IF(AQ286="Y","on hold: "&amp;AR286,""),IF(C286="","no contact named on an opened page",""),IF(AND(AW286="Y",AV286&lt;&gt;"Y"),"Tuesday estimate band "&amp;L286&amp;": founder's call",""))</f>
        <v>gated out; on hold: lease signed, move not confirmed: check the lobby directory before outreach (B); no contact named on an opened page; Tuesday estimate band over-500: founder's call</v>
      </c>
      <c r="AW286" s="0" t="s">
        <v>168</v>
      </c>
      <c r="AX286" s="0" t="s">
        <v>3703</v>
      </c>
      <c r="AY286" s="0" t="s">
        <v>4256</v>
      </c>
      <c r="AZ286" s="0" t="s">
        <v>1</v>
      </c>
      <c r="BA286" s="0" t="s">
        <v>4257</v>
      </c>
      <c r="BB286" s="0" t="s">
        <v>4258</v>
      </c>
      <c r="BC286" s="0" t="s">
        <v>4259</v>
      </c>
      <c r="BD286" s="0" t="s">
        <v>4260</v>
      </c>
      <c r="BF286" s="0" t="s">
        <v>1322</v>
      </c>
      <c r="BG286" s="0" t="s">
        <v>188</v>
      </c>
      <c r="BH286" s="0" t="s">
        <v>189</v>
      </c>
      <c r="BI286" s="0" t="s">
        <v>4261</v>
      </c>
      <c r="BK286" s="0" t="s">
        <v>3287</v>
      </c>
      <c r="BL286" s="0" t="s">
        <v>4262</v>
      </c>
      <c r="BM286" s="0" t="s">
        <v>162</v>
      </c>
      <c r="BN286" s="0" t="s">
        <v>163</v>
      </c>
      <c r="BO286" s="0" t="s">
        <v>163</v>
      </c>
      <c r="BP286" s="0" t="s">
        <v>377</v>
      </c>
      <c r="BQ286" s="0" t="n">
        <v>40.738461</v>
      </c>
      <c r="BR286" s="0" t="n">
        <v>-73.992523</v>
      </c>
      <c r="BS286" s="0" t="s">
        <v>168</v>
      </c>
      <c r="BT286" s="0" t="n">
        <v>0</v>
      </c>
      <c r="BV286" s="0" t="s">
        <v>163</v>
      </c>
      <c r="BW286" s="0" t="s">
        <v>1774</v>
      </c>
      <c r="BX286" s="0" t="s">
        <v>1775</v>
      </c>
      <c r="BY286" s="0" t="s">
        <v>247</v>
      </c>
      <c r="CC286" s="0" t="s">
        <v>738</v>
      </c>
      <c r="CD286" s="0" t="s">
        <v>163</v>
      </c>
      <c r="CE286" s="0" t="s">
        <v>162</v>
      </c>
      <c r="CH286" s="0" t="s">
        <v>163</v>
      </c>
      <c r="CJ286" s="0" t="s">
        <v>163</v>
      </c>
      <c r="CK286" s="0" t="s">
        <v>162</v>
      </c>
      <c r="CL286" s="0" t="s">
        <v>163</v>
      </c>
      <c r="CO286" s="0" t="n">
        <v>2678</v>
      </c>
      <c r="CP286" s="0" t="s">
        <v>3816</v>
      </c>
      <c r="CQ286" s="0" t="s">
        <v>4263</v>
      </c>
      <c r="CR286" s="0" t="s">
        <v>206</v>
      </c>
      <c r="CS286" s="0" t="n">
        <v>0</v>
      </c>
      <c r="CT286" s="0" t="n">
        <v>11</v>
      </c>
      <c r="CU286" s="0" t="n">
        <v>0</v>
      </c>
      <c r="CV286" s="0" t="n">
        <v>0</v>
      </c>
      <c r="CW286" s="0" t="n">
        <v>6</v>
      </c>
      <c r="CX286" s="0" t="n">
        <v>5</v>
      </c>
      <c r="CY286" s="0" t="n">
        <f aca="false">IF(AH286="exact",10,IF(AH286="adjacent",5,0))</f>
        <v>0</v>
      </c>
      <c r="CZ286" s="0" t="n">
        <f aca="false">IF(R286="Y",15,0)</f>
        <v>0</v>
      </c>
      <c r="DF286" s="0" t="s">
        <v>158</v>
      </c>
      <c r="DG286" s="0" t="s">
        <v>1335</v>
      </c>
      <c r="DH286" s="0" t="s">
        <v>3290</v>
      </c>
      <c r="DI286" s="0" t="s">
        <v>162</v>
      </c>
      <c r="DJ286" s="0" t="s">
        <v>4264</v>
      </c>
      <c r="DK286" s="0" t="s">
        <v>4265</v>
      </c>
      <c r="DS286" s="0" t="s">
        <v>158</v>
      </c>
      <c r="DX286" s="0" t="s">
        <v>162</v>
      </c>
      <c r="ER286" s="0" t="str">
        <f aca="false">IF(ISNUMBER(MATCH(U286,{"queued","contacted","replied","call_booked","call_done","yes_in_principle","materials_sent"},0)),"Y","N")</f>
        <v>N</v>
      </c>
      <c r="ES286" s="0" t="str">
        <f aca="false">IF(COUNTIFS($AP$2:$AP$1000,AP286,$ER$2:$ER$1000,"Y")+COUNTIFS($AP$2:$AP$1000,AP286,$T$2:$T$1000,"Y")&gt;0,"Y","N")</f>
        <v>N</v>
      </c>
      <c r="ET286" s="0" t="str">
        <f aca="false">IF(AND(U286="new",T286="N",AT286="Y",AS286="",ES286="N"),"Y","N")</f>
        <v>N</v>
      </c>
      <c r="EU286" s="0" t="str">
        <f aca="false">IF(ET286&lt;&gt;"Y","N",IF(COUNTIFS($AP$2:$AP$1000,AP286,$ET$2:$ET$1000,"Y",$J$2:$J$1000,"&gt;"&amp;J286)+COUNTIFS($AP$2:$AP$1000,AP286,$ET$2:$ET$1000,"Y",$J$2:$J$1000,J286,$EW$2:$EW$1000,"&lt;"&amp;EW286)=0,"Y","N"))</f>
        <v>N</v>
      </c>
      <c r="EV286" s="0" t="str">
        <f aca="false">IF(Y286="","N",IF(Y286&lt;=10,"Y","N"))</f>
        <v>N</v>
      </c>
      <c r="EW286" s="0" t="n">
        <f aca="false">ROW()-1</f>
        <v>285</v>
      </c>
    </row>
    <row r="287" customFormat="false" ht="15" hidden="false" customHeight="false" outlineLevel="0" collapsed="false">
      <c r="A287" s="0" t="s">
        <v>4266</v>
      </c>
      <c r="B287" s="0" t="s">
        <v>4267</v>
      </c>
      <c r="H287" s="5" t="s">
        <v>158</v>
      </c>
      <c r="I287" s="5" t="s">
        <v>159</v>
      </c>
      <c r="J287" s="0" t="n">
        <f aca="false">IF(AX287="pass",ROUND(CU287+CV287+CW287+CX287+CY287+CZ287,1),0)</f>
        <v>0</v>
      </c>
      <c r="K287" s="0" t="s">
        <v>4268</v>
      </c>
      <c r="L287" s="0" t="s">
        <v>1322</v>
      </c>
      <c r="O287" s="0" t="s">
        <v>4269</v>
      </c>
      <c r="P287" s="0" t="s">
        <v>4270</v>
      </c>
      <c r="Q287" s="0" t="s">
        <v>4271</v>
      </c>
      <c r="R287" s="5" t="s">
        <v>162</v>
      </c>
      <c r="S287" s="0" t="s">
        <v>163</v>
      </c>
      <c r="T287" s="5" t="s">
        <v>162</v>
      </c>
      <c r="U287" s="5" t="s">
        <v>561</v>
      </c>
      <c r="V287" s="0" t="s">
        <v>4270</v>
      </c>
      <c r="W287" s="0" t="s">
        <v>166</v>
      </c>
      <c r="X287" s="0" t="s">
        <v>167</v>
      </c>
      <c r="Y287" s="0" t="str">
        <f aca="false">IF(EU287&lt;&gt;"Y","",COUNTIFS($EU$2:$EU$1000,"Y",$J$2:$J$1000,"&gt;"&amp;J287)+COUNTIFS($EU$2:$EU$1000,"Y",$J$2:$J$1000,J287,$EW$2:$EW$1000,"&lt;"&amp;EW287)+1)</f>
        <v/>
      </c>
      <c r="AA287" s="0" t="s">
        <v>162</v>
      </c>
      <c r="AD287" s="0" t="s">
        <v>158</v>
      </c>
      <c r="AH287" s="5" t="s">
        <v>158</v>
      </c>
      <c r="AI287" s="0" t="s">
        <v>4272</v>
      </c>
      <c r="AJ287" s="0" t="s">
        <v>163</v>
      </c>
      <c r="AK287" s="0" t="s">
        <v>178</v>
      </c>
      <c r="AL287" s="0" t="n">
        <v>899</v>
      </c>
      <c r="AM287" s="0" t="n">
        <v>1798</v>
      </c>
      <c r="AN287" s="0" t="s">
        <v>179</v>
      </c>
      <c r="AO287" s="0" t="s">
        <v>163</v>
      </c>
      <c r="AP287" s="0" t="s">
        <v>4266</v>
      </c>
      <c r="AQ287" s="5" t="s">
        <v>162</v>
      </c>
      <c r="AT287" s="0" t="str">
        <f aca="false">IF(AND(AX287="pass",AQ287&lt;&gt;"Y",C287&lt;&gt;"",OR(AW287&lt;&gt;"Y",AV287="Y")),"Y","N")</f>
        <v>N</v>
      </c>
      <c r="AU287" s="0" t="str">
        <f aca="false">_xlfn.TEXTJOIN("; ",TRUE(),IF(AX287&lt;&gt;"pass","gated out",""),IF(AQ287="Y","on hold: "&amp;AR287,""),IF(C287="","no contact named on an opened page",""),IF(AND(AW287="Y",AV287&lt;&gt;"Y"),"Tuesday estimate band "&amp;L287&amp;": founder's call",""))</f>
        <v>gated out; no contact named on an opened page; Tuesday estimate band over-500: founder's call</v>
      </c>
      <c r="AW287" s="0" t="s">
        <v>168</v>
      </c>
      <c r="AX287" s="0" t="s">
        <v>3703</v>
      </c>
      <c r="AY287" s="0" t="s">
        <v>4273</v>
      </c>
      <c r="AZ287" s="0" t="s">
        <v>1</v>
      </c>
      <c r="BA287" s="0" t="s">
        <v>4274</v>
      </c>
      <c r="BB287" s="0" t="s">
        <v>4275</v>
      </c>
      <c r="BC287" s="0" t="s">
        <v>4276</v>
      </c>
      <c r="BD287" s="0" t="s">
        <v>4277</v>
      </c>
      <c r="BF287" s="0" t="s">
        <v>1322</v>
      </c>
      <c r="BG287" s="0" t="s">
        <v>188</v>
      </c>
      <c r="BH287" s="0" t="s">
        <v>189</v>
      </c>
      <c r="BI287" s="0" t="s">
        <v>4278</v>
      </c>
      <c r="BK287" s="0" t="s">
        <v>1439</v>
      </c>
      <c r="BL287" s="0" t="s">
        <v>192</v>
      </c>
      <c r="BM287" s="0" t="s">
        <v>168</v>
      </c>
      <c r="BN287" s="0" t="s">
        <v>163</v>
      </c>
      <c r="BO287" s="0" t="s">
        <v>163</v>
      </c>
      <c r="BP287" s="0" t="s">
        <v>193</v>
      </c>
      <c r="BQ287" s="0" t="n">
        <v>40.737275</v>
      </c>
      <c r="BR287" s="0" t="n">
        <v>-73.988244</v>
      </c>
      <c r="BS287" s="0" t="s">
        <v>168</v>
      </c>
      <c r="BT287" s="0" t="n">
        <v>0</v>
      </c>
      <c r="BV287" s="0" t="s">
        <v>163</v>
      </c>
      <c r="BW287" s="0" t="s">
        <v>4270</v>
      </c>
      <c r="BX287" s="0" t="s">
        <v>4271</v>
      </c>
      <c r="BY287" s="0" t="s">
        <v>247</v>
      </c>
      <c r="CC287" s="0" t="s">
        <v>738</v>
      </c>
      <c r="CE287" s="0" t="s">
        <v>162</v>
      </c>
      <c r="CH287" s="0" t="s">
        <v>163</v>
      </c>
      <c r="CJ287" s="0" t="s">
        <v>163</v>
      </c>
      <c r="CK287" s="0" t="s">
        <v>162</v>
      </c>
      <c r="CL287" s="0" t="s">
        <v>163</v>
      </c>
      <c r="CO287" s="0" t="n">
        <v>1271</v>
      </c>
      <c r="CP287" s="0" t="s">
        <v>3816</v>
      </c>
      <c r="CQ287" s="0" t="s">
        <v>4279</v>
      </c>
      <c r="CR287" s="0" t="s">
        <v>206</v>
      </c>
      <c r="CS287" s="0" t="n">
        <v>0</v>
      </c>
      <c r="CT287" s="0" t="n">
        <v>21</v>
      </c>
      <c r="CU287" s="0" t="n">
        <v>0</v>
      </c>
      <c r="CV287" s="0" t="n">
        <v>2</v>
      </c>
      <c r="CW287" s="0" t="n">
        <v>6</v>
      </c>
      <c r="CX287" s="0" t="n">
        <v>13</v>
      </c>
      <c r="CY287" s="0" t="n">
        <f aca="false">IF(AH287="exact",10,IF(AH287="adjacent",5,0))</f>
        <v>0</v>
      </c>
      <c r="CZ287" s="0" t="n">
        <f aca="false">IF(R287="Y",15,0)</f>
        <v>0</v>
      </c>
      <c r="DF287" s="0" t="s">
        <v>158</v>
      </c>
      <c r="DG287" s="0" t="s">
        <v>1335</v>
      </c>
      <c r="DH287" s="0" t="s">
        <v>1446</v>
      </c>
      <c r="DI287" s="0" t="s">
        <v>162</v>
      </c>
      <c r="DJ287" s="0" t="s">
        <v>4280</v>
      </c>
      <c r="DK287" s="0" t="s">
        <v>4281</v>
      </c>
      <c r="DS287" s="0" t="s">
        <v>158</v>
      </c>
      <c r="DX287" s="0" t="s">
        <v>162</v>
      </c>
      <c r="ER287" s="0" t="str">
        <f aca="false">IF(ISNUMBER(MATCH(U287,{"queued","contacted","replied","call_booked","call_done","yes_in_principle","materials_sent"},0)),"Y","N")</f>
        <v>N</v>
      </c>
      <c r="ES287" s="0" t="str">
        <f aca="false">IF(COUNTIFS($AP$2:$AP$1000,AP287,$ER$2:$ER$1000,"Y")+COUNTIFS($AP$2:$AP$1000,AP287,$T$2:$T$1000,"Y")&gt;0,"Y","N")</f>
        <v>N</v>
      </c>
      <c r="ET287" s="0" t="str">
        <f aca="false">IF(AND(U287="new",T287="N",AT287="Y",AS287="",ES287="N"),"Y","N")</f>
        <v>N</v>
      </c>
      <c r="EU287" s="0" t="str">
        <f aca="false">IF(ET287&lt;&gt;"Y","N",IF(COUNTIFS($AP$2:$AP$1000,AP287,$ET$2:$ET$1000,"Y",$J$2:$J$1000,"&gt;"&amp;J287)+COUNTIFS($AP$2:$AP$1000,AP287,$ET$2:$ET$1000,"Y",$J$2:$J$1000,J287,$EW$2:$EW$1000,"&lt;"&amp;EW287)=0,"Y","N"))</f>
        <v>N</v>
      </c>
      <c r="EV287" s="0" t="str">
        <f aca="false">IF(Y287="","N",IF(Y287&lt;=10,"Y","N"))</f>
        <v>N</v>
      </c>
      <c r="EW287" s="0" t="n">
        <f aca="false">ROW()-1</f>
        <v>286</v>
      </c>
    </row>
    <row r="288" customFormat="false" ht="15" hidden="false" customHeight="false" outlineLevel="0" collapsed="false">
      <c r="A288" s="0" t="s">
        <v>4282</v>
      </c>
      <c r="B288" s="0" t="s">
        <v>4283</v>
      </c>
      <c r="H288" s="5" t="s">
        <v>158</v>
      </c>
      <c r="I288" s="5" t="s">
        <v>159</v>
      </c>
      <c r="J288" s="0" t="n">
        <f aca="false">IF(AX288="pass",ROUND(CU288+CV288+CW288+CX288+CY288+CZ288,1),0)</f>
        <v>0</v>
      </c>
      <c r="K288" s="0" t="s">
        <v>4284</v>
      </c>
      <c r="L288" s="0" t="s">
        <v>1322</v>
      </c>
      <c r="R288" s="5" t="s">
        <v>162</v>
      </c>
      <c r="S288" s="0" t="s">
        <v>163</v>
      </c>
      <c r="T288" s="5" t="s">
        <v>162</v>
      </c>
      <c r="U288" s="5" t="s">
        <v>561</v>
      </c>
      <c r="V288" s="0" t="s">
        <v>1785</v>
      </c>
      <c r="W288" s="0" t="s">
        <v>166</v>
      </c>
      <c r="X288" s="0" t="s">
        <v>167</v>
      </c>
      <c r="Y288" s="0" t="str">
        <f aca="false">IF(EU288&lt;&gt;"Y","",COUNTIFS($EU$2:$EU$1000,"Y",$J$2:$J$1000,"&gt;"&amp;J288)+COUNTIFS($EU$2:$EU$1000,"Y",$J$2:$J$1000,J288,$EW$2:$EW$1000,"&lt;"&amp;EW288)+1)</f>
        <v/>
      </c>
      <c r="AA288" s="0" t="s">
        <v>162</v>
      </c>
      <c r="AD288" s="0" t="s">
        <v>158</v>
      </c>
      <c r="AH288" s="5" t="s">
        <v>158</v>
      </c>
      <c r="AI288" s="0" t="s">
        <v>1786</v>
      </c>
      <c r="AJ288" s="0" t="s">
        <v>163</v>
      </c>
      <c r="AK288" s="0" t="s">
        <v>3188</v>
      </c>
      <c r="AL288" s="0" t="n">
        <v>7820</v>
      </c>
      <c r="AM288" s="0" t="n">
        <v>156400</v>
      </c>
      <c r="AN288" s="0" t="s">
        <v>179</v>
      </c>
      <c r="AO288" s="0" t="s">
        <v>163</v>
      </c>
      <c r="AP288" s="0" t="s">
        <v>4282</v>
      </c>
      <c r="AQ288" s="5" t="s">
        <v>168</v>
      </c>
      <c r="AR288" s="0" t="s">
        <v>3189</v>
      </c>
      <c r="AT288" s="0" t="str">
        <f aca="false">IF(AND(AX288="pass",AQ288&lt;&gt;"Y",C288&lt;&gt;"",OR(AW288&lt;&gt;"Y",AV288="Y")),"Y","N")</f>
        <v>N</v>
      </c>
      <c r="AU288" s="0" t="str">
        <f aca="false">_xlfn.TEXTJOIN("; ",TRUE(),IF(AX288&lt;&gt;"pass","gated out",""),IF(AQ288="Y","on hold: "&amp;AR288,""),IF(C288="","no contact named on an opened page",""),IF(AND(AW288="Y",AV288&lt;&gt;"Y"),"Tuesday estimate band "&amp;L288&amp;": founder's call",""))</f>
        <v>gated out; on hold: moving out of this address: confirm where the office will be before outreach (B); no contact named on an opened page; Tuesday estimate band over-500: founder's call</v>
      </c>
      <c r="AW288" s="0" t="s">
        <v>168</v>
      </c>
      <c r="AX288" s="0" t="s">
        <v>3703</v>
      </c>
      <c r="AY288" s="0" t="s">
        <v>4285</v>
      </c>
      <c r="AZ288" s="0" t="s">
        <v>1</v>
      </c>
      <c r="BA288" s="0" t="s">
        <v>4286</v>
      </c>
      <c r="BB288" s="0" t="s">
        <v>4287</v>
      </c>
      <c r="BC288" s="0" t="s">
        <v>4288</v>
      </c>
      <c r="BD288" s="0" t="s">
        <v>4289</v>
      </c>
      <c r="BF288" s="0" t="s">
        <v>1322</v>
      </c>
      <c r="BG288" s="0" t="s">
        <v>188</v>
      </c>
      <c r="BH288" s="0" t="s">
        <v>189</v>
      </c>
      <c r="BI288" s="0" t="s">
        <v>4290</v>
      </c>
      <c r="BK288" s="0" t="s">
        <v>3287</v>
      </c>
      <c r="BL288" s="0" t="s">
        <v>163</v>
      </c>
      <c r="BM288" s="0" t="s">
        <v>163</v>
      </c>
      <c r="BN288" s="0" t="s">
        <v>163</v>
      </c>
      <c r="BO288" s="0" t="s">
        <v>163</v>
      </c>
      <c r="BP288" s="0" t="s">
        <v>193</v>
      </c>
      <c r="BQ288" s="0" t="n">
        <v>40.737054</v>
      </c>
      <c r="BR288" s="0" t="n">
        <v>-73.992635</v>
      </c>
      <c r="BS288" s="0" t="s">
        <v>168</v>
      </c>
      <c r="BT288" s="0" t="n">
        <v>0</v>
      </c>
      <c r="BU288" s="0" t="s">
        <v>1794</v>
      </c>
      <c r="BV288" s="0" t="s">
        <v>1786</v>
      </c>
      <c r="BW288" s="0" t="s">
        <v>1785</v>
      </c>
      <c r="BX288" s="0" t="s">
        <v>1491</v>
      </c>
      <c r="BY288" s="0" t="s">
        <v>247</v>
      </c>
      <c r="CC288" s="0" t="s">
        <v>179</v>
      </c>
      <c r="CD288" s="0" t="s">
        <v>163</v>
      </c>
      <c r="CE288" s="0" t="s">
        <v>162</v>
      </c>
      <c r="CH288" s="0" t="s">
        <v>163</v>
      </c>
      <c r="CJ288" s="0" t="s">
        <v>163</v>
      </c>
      <c r="CK288" s="0" t="s">
        <v>162</v>
      </c>
      <c r="CL288" s="0" t="s">
        <v>163</v>
      </c>
      <c r="CO288" s="0" t="n">
        <v>34972</v>
      </c>
      <c r="CP288" s="0" t="s">
        <v>3816</v>
      </c>
      <c r="CQ288" s="0" t="s">
        <v>4291</v>
      </c>
      <c r="CR288" s="0" t="s">
        <v>206</v>
      </c>
      <c r="CS288" s="0" t="n">
        <v>0</v>
      </c>
      <c r="CT288" s="0" t="n">
        <v>6</v>
      </c>
      <c r="CU288" s="0" t="n">
        <v>0</v>
      </c>
      <c r="CV288" s="0" t="n">
        <v>0</v>
      </c>
      <c r="CW288" s="0" t="n">
        <v>6</v>
      </c>
      <c r="CX288" s="0" t="n">
        <v>0</v>
      </c>
      <c r="CY288" s="0" t="n">
        <f aca="false">IF(AH288="exact",10,IF(AH288="adjacent",5,0))</f>
        <v>0</v>
      </c>
      <c r="CZ288" s="0" t="n">
        <f aca="false">IF(R288="Y",15,0)</f>
        <v>0</v>
      </c>
      <c r="DF288" s="0" t="s">
        <v>158</v>
      </c>
      <c r="DG288" s="0" t="s">
        <v>1335</v>
      </c>
      <c r="DH288" s="0" t="s">
        <v>3290</v>
      </c>
      <c r="DI288" s="0" t="s">
        <v>162</v>
      </c>
      <c r="DJ288" s="0" t="s">
        <v>3654</v>
      </c>
      <c r="DK288" s="0" t="s">
        <v>4292</v>
      </c>
      <c r="DS288" s="0" t="s">
        <v>158</v>
      </c>
      <c r="DX288" s="0" t="s">
        <v>162</v>
      </c>
      <c r="ER288" s="0" t="str">
        <f aca="false">IF(ISNUMBER(MATCH(U288,{"queued","contacted","replied","call_booked","call_done","yes_in_principle","materials_sent"},0)),"Y","N")</f>
        <v>N</v>
      </c>
      <c r="ES288" s="0" t="str">
        <f aca="false">IF(COUNTIFS($AP$2:$AP$1000,AP288,$ER$2:$ER$1000,"Y")+COUNTIFS($AP$2:$AP$1000,AP288,$T$2:$T$1000,"Y")&gt;0,"Y","N")</f>
        <v>N</v>
      </c>
      <c r="ET288" s="0" t="str">
        <f aca="false">IF(AND(U288="new",T288="N",AT288="Y",AS288="",ES288="N"),"Y","N")</f>
        <v>N</v>
      </c>
      <c r="EU288" s="0" t="str">
        <f aca="false">IF(ET288&lt;&gt;"Y","N",IF(COUNTIFS($AP$2:$AP$1000,AP288,$ET$2:$ET$1000,"Y",$J$2:$J$1000,"&gt;"&amp;J288)+COUNTIFS($AP$2:$AP$1000,AP288,$ET$2:$ET$1000,"Y",$J$2:$J$1000,J288,$EW$2:$EW$1000,"&lt;"&amp;EW288)=0,"Y","N"))</f>
        <v>N</v>
      </c>
      <c r="EV288" s="0" t="str">
        <f aca="false">IF(Y288="","N",IF(Y288&lt;=10,"Y","N"))</f>
        <v>N</v>
      </c>
      <c r="EW288" s="0" t="n">
        <f aca="false">ROW()-1</f>
        <v>287</v>
      </c>
    </row>
    <row r="289" customFormat="false" ht="15" hidden="false" customHeight="false" outlineLevel="0" collapsed="false">
      <c r="A289" s="0" t="s">
        <v>4293</v>
      </c>
      <c r="B289" s="0" t="s">
        <v>4294</v>
      </c>
      <c r="H289" s="5" t="s">
        <v>158</v>
      </c>
      <c r="I289" s="5" t="s">
        <v>159</v>
      </c>
      <c r="J289" s="0" t="n">
        <f aca="false">IF(AX289="pass",ROUND(CU289+CV289+CW289+CX289+CY289+CZ289,1),0)</f>
        <v>0</v>
      </c>
      <c r="K289" s="0" t="s">
        <v>4295</v>
      </c>
      <c r="L289" s="0" t="s">
        <v>1322</v>
      </c>
      <c r="R289" s="5" t="s">
        <v>162</v>
      </c>
      <c r="S289" s="0" t="s">
        <v>163</v>
      </c>
      <c r="T289" s="5" t="s">
        <v>162</v>
      </c>
      <c r="U289" s="5" t="s">
        <v>561</v>
      </c>
      <c r="V289" s="0" t="s">
        <v>4296</v>
      </c>
      <c r="W289" s="0" t="s">
        <v>166</v>
      </c>
      <c r="X289" s="0" t="s">
        <v>167</v>
      </c>
      <c r="Y289" s="0" t="str">
        <f aca="false">IF(EU289&lt;&gt;"Y","",COUNTIFS($EU$2:$EU$1000,"Y",$J$2:$J$1000,"&gt;"&amp;J289)+COUNTIFS($EU$2:$EU$1000,"Y",$J$2:$J$1000,J289,$EW$2:$EW$1000,"&lt;"&amp;EW289)+1)</f>
        <v/>
      </c>
      <c r="AA289" s="0" t="s">
        <v>162</v>
      </c>
      <c r="AD289" s="0" t="s">
        <v>158</v>
      </c>
      <c r="AH289" s="5" t="s">
        <v>158</v>
      </c>
      <c r="AI289" s="0" t="s">
        <v>930</v>
      </c>
      <c r="AJ289" s="0" t="s">
        <v>1257</v>
      </c>
      <c r="AK289" s="0" t="s">
        <v>434</v>
      </c>
      <c r="AL289" s="0" t="n">
        <v>920</v>
      </c>
      <c r="AM289" s="0" t="n">
        <v>18400</v>
      </c>
      <c r="AN289" s="0" t="s">
        <v>179</v>
      </c>
      <c r="AO289" s="0" t="s">
        <v>163</v>
      </c>
      <c r="AP289" s="0" t="s">
        <v>4293</v>
      </c>
      <c r="AQ289" s="5" t="s">
        <v>162</v>
      </c>
      <c r="AT289" s="0" t="str">
        <f aca="false">IF(AND(AX289="pass",AQ289&lt;&gt;"Y",C289&lt;&gt;"",OR(AW289&lt;&gt;"Y",AV289="Y")),"Y","N")</f>
        <v>N</v>
      </c>
      <c r="AU289" s="0" t="str">
        <f aca="false">_xlfn.TEXTJOIN("; ",TRUE(),IF(AX289&lt;&gt;"pass","gated out",""),IF(AQ289="Y","on hold: "&amp;AR289,""),IF(C289="","no contact named on an opened page",""),IF(AND(AW289="Y",AV289&lt;&gt;"Y"),"Tuesday estimate band "&amp;L289&amp;": founder's call",""))</f>
        <v>gated out; no contact named on an opened page; Tuesday estimate band over-500: founder's call</v>
      </c>
      <c r="AW289" s="0" t="s">
        <v>168</v>
      </c>
      <c r="AX289" s="0" t="s">
        <v>3703</v>
      </c>
      <c r="AY289" s="0" t="s">
        <v>4297</v>
      </c>
      <c r="AZ289" s="0" t="s">
        <v>1</v>
      </c>
      <c r="BA289" s="0" t="s">
        <v>4298</v>
      </c>
      <c r="BB289" s="0" t="s">
        <v>4299</v>
      </c>
      <c r="BC289" s="0" t="s">
        <v>4300</v>
      </c>
      <c r="BD289" s="0" t="s">
        <v>3911</v>
      </c>
      <c r="BF289" s="0" t="s">
        <v>1322</v>
      </c>
      <c r="BG289" s="0" t="s">
        <v>188</v>
      </c>
      <c r="BH289" s="0" t="s">
        <v>189</v>
      </c>
      <c r="BI289" s="0" t="s">
        <v>4301</v>
      </c>
      <c r="BK289" s="0" t="s">
        <v>3287</v>
      </c>
      <c r="BL289" s="0" t="s">
        <v>163</v>
      </c>
      <c r="BM289" s="0" t="s">
        <v>163</v>
      </c>
      <c r="BN289" s="0" t="s">
        <v>163</v>
      </c>
      <c r="BO289" s="0" t="s">
        <v>163</v>
      </c>
      <c r="BP289" s="0" t="s">
        <v>711</v>
      </c>
      <c r="BQ289" s="0" t="n">
        <v>40.743939</v>
      </c>
      <c r="BR289" s="0" t="n">
        <v>-73.988677</v>
      </c>
      <c r="BS289" s="0" t="s">
        <v>168</v>
      </c>
      <c r="BT289" s="0" t="n">
        <v>0</v>
      </c>
      <c r="BU289" s="0" t="s">
        <v>937</v>
      </c>
      <c r="BV289" s="0" t="s">
        <v>938</v>
      </c>
      <c r="BW289" s="0" t="s">
        <v>4296</v>
      </c>
      <c r="BX289" s="0" t="s">
        <v>4302</v>
      </c>
      <c r="BY289" s="0" t="s">
        <v>247</v>
      </c>
      <c r="CC289" s="0" t="s">
        <v>179</v>
      </c>
      <c r="CE289" s="0" t="s">
        <v>162</v>
      </c>
      <c r="CH289" s="0" t="s">
        <v>201</v>
      </c>
      <c r="CI289" s="0" t="s">
        <v>941</v>
      </c>
      <c r="CJ289" s="0" t="s">
        <v>163</v>
      </c>
      <c r="CK289" s="0" t="s">
        <v>162</v>
      </c>
      <c r="CL289" s="0" t="s">
        <v>163</v>
      </c>
      <c r="CO289" s="0" t="n">
        <v>4114</v>
      </c>
      <c r="CP289" s="0" t="s">
        <v>3816</v>
      </c>
      <c r="CQ289" s="0" t="s">
        <v>4303</v>
      </c>
      <c r="CR289" s="0" t="s">
        <v>206</v>
      </c>
      <c r="CS289" s="0" t="n">
        <v>0</v>
      </c>
      <c r="CT289" s="0" t="n">
        <v>11</v>
      </c>
      <c r="CU289" s="0" t="n">
        <v>0</v>
      </c>
      <c r="CV289" s="0" t="n">
        <v>0</v>
      </c>
      <c r="CW289" s="0" t="n">
        <v>6</v>
      </c>
      <c r="CX289" s="0" t="n">
        <v>5</v>
      </c>
      <c r="CY289" s="0" t="n">
        <f aca="false">IF(AH289="exact",10,IF(AH289="adjacent",5,0))</f>
        <v>0</v>
      </c>
      <c r="CZ289" s="0" t="n">
        <f aca="false">IF(R289="Y",15,0)</f>
        <v>0</v>
      </c>
      <c r="DF289" s="0" t="s">
        <v>158</v>
      </c>
      <c r="DG289" s="0" t="s">
        <v>1335</v>
      </c>
      <c r="DH289" s="0" t="s">
        <v>3290</v>
      </c>
      <c r="DI289" s="0" t="s">
        <v>162</v>
      </c>
      <c r="DJ289" s="0" t="s">
        <v>4304</v>
      </c>
      <c r="DK289" s="0" t="s">
        <v>4305</v>
      </c>
      <c r="DS289" s="0" t="s">
        <v>158</v>
      </c>
      <c r="DX289" s="0" t="s">
        <v>162</v>
      </c>
      <c r="ER289" s="0" t="str">
        <f aca="false">IF(ISNUMBER(MATCH(U289,{"queued","contacted","replied","call_booked","call_done","yes_in_principle","materials_sent"},0)),"Y","N")</f>
        <v>N</v>
      </c>
      <c r="ES289" s="0" t="str">
        <f aca="false">IF(COUNTIFS($AP$2:$AP$1000,AP289,$ER$2:$ER$1000,"Y")+COUNTIFS($AP$2:$AP$1000,AP289,$T$2:$T$1000,"Y")&gt;0,"Y","N")</f>
        <v>N</v>
      </c>
      <c r="ET289" s="0" t="str">
        <f aca="false">IF(AND(U289="new",T289="N",AT289="Y",AS289="",ES289="N"),"Y","N")</f>
        <v>N</v>
      </c>
      <c r="EU289" s="0" t="str">
        <f aca="false">IF(ET289&lt;&gt;"Y","N",IF(COUNTIFS($AP$2:$AP$1000,AP289,$ET$2:$ET$1000,"Y",$J$2:$J$1000,"&gt;"&amp;J289)+COUNTIFS($AP$2:$AP$1000,AP289,$ET$2:$ET$1000,"Y",$J$2:$J$1000,J289,$EW$2:$EW$1000,"&lt;"&amp;EW289)=0,"Y","N"))</f>
        <v>N</v>
      </c>
      <c r="EV289" s="0" t="str">
        <f aca="false">IF(Y289="","N",IF(Y289&lt;=10,"Y","N"))</f>
        <v>N</v>
      </c>
      <c r="EW289" s="0" t="n">
        <f aca="false">ROW()-1</f>
        <v>288</v>
      </c>
    </row>
    <row r="290" customFormat="false" ht="15" hidden="false" customHeight="false" outlineLevel="0" collapsed="false">
      <c r="A290" s="0" t="s">
        <v>4306</v>
      </c>
      <c r="B290" s="0" t="s">
        <v>4307</v>
      </c>
      <c r="H290" s="5" t="s">
        <v>158</v>
      </c>
      <c r="I290" s="5" t="s">
        <v>159</v>
      </c>
      <c r="J290" s="0" t="n">
        <f aca="false">IF(AX290="pass",ROUND(CU290+CV290+CW290+CX290+CY290+CZ290,1),0)</f>
        <v>0</v>
      </c>
      <c r="K290" s="0" t="s">
        <v>4308</v>
      </c>
      <c r="L290" s="0" t="s">
        <v>1322</v>
      </c>
      <c r="R290" s="5" t="s">
        <v>162</v>
      </c>
      <c r="S290" s="0" t="s">
        <v>163</v>
      </c>
      <c r="T290" s="5" t="s">
        <v>162</v>
      </c>
      <c r="U290" s="5" t="s">
        <v>561</v>
      </c>
      <c r="V290" s="0" t="s">
        <v>4309</v>
      </c>
      <c r="W290" s="0" t="s">
        <v>166</v>
      </c>
      <c r="X290" s="0" t="s">
        <v>167</v>
      </c>
      <c r="Y290" s="0" t="str">
        <f aca="false">IF(EU290&lt;&gt;"Y","",COUNTIFS($EU$2:$EU$1000,"Y",$J$2:$J$1000,"&gt;"&amp;J290)+COUNTIFS($EU$2:$EU$1000,"Y",$J$2:$J$1000,J290,$EW$2:$EW$1000,"&lt;"&amp;EW290)+1)</f>
        <v/>
      </c>
      <c r="AA290" s="0" t="s">
        <v>162</v>
      </c>
      <c r="AD290" s="0" t="s">
        <v>158</v>
      </c>
      <c r="AH290" s="5" t="s">
        <v>158</v>
      </c>
      <c r="AI290" s="0" t="s">
        <v>1526</v>
      </c>
      <c r="AJ290" s="0" t="s">
        <v>471</v>
      </c>
      <c r="AK290" s="0" t="s">
        <v>434</v>
      </c>
      <c r="AL290" s="0" t="n">
        <v>301</v>
      </c>
      <c r="AM290" s="0" t="n">
        <v>6026</v>
      </c>
      <c r="AN290" s="0" t="s">
        <v>179</v>
      </c>
      <c r="AO290" s="0" t="s">
        <v>163</v>
      </c>
      <c r="AP290" s="0" t="s">
        <v>4306</v>
      </c>
      <c r="AQ290" s="5" t="s">
        <v>162</v>
      </c>
      <c r="AT290" s="0" t="str">
        <f aca="false">IF(AND(AX290="pass",AQ290&lt;&gt;"Y",C290&lt;&gt;"",OR(AW290&lt;&gt;"Y",AV290="Y")),"Y","N")</f>
        <v>N</v>
      </c>
      <c r="AU290" s="0" t="str">
        <f aca="false">_xlfn.TEXTJOIN("; ",TRUE(),IF(AX290&lt;&gt;"pass","gated out",""),IF(AQ290="Y","on hold: "&amp;AR290,""),IF(C290="","no contact named on an opened page",""),IF(AND(AW290="Y",AV290&lt;&gt;"Y"),"Tuesday estimate band "&amp;L290&amp;": founder's call",""))</f>
        <v>gated out; no contact named on an opened page; Tuesday estimate band over-500: founder's call</v>
      </c>
      <c r="AW290" s="0" t="s">
        <v>168</v>
      </c>
      <c r="AX290" s="0" t="s">
        <v>3703</v>
      </c>
      <c r="AY290" s="0" t="s">
        <v>4310</v>
      </c>
      <c r="AZ290" s="0" t="s">
        <v>1</v>
      </c>
      <c r="BA290" s="0" t="s">
        <v>4311</v>
      </c>
      <c r="BB290" s="0" t="s">
        <v>4312</v>
      </c>
      <c r="BC290" s="0" t="s">
        <v>4313</v>
      </c>
      <c r="BD290" s="0" t="s">
        <v>4314</v>
      </c>
      <c r="BF290" s="0" t="s">
        <v>1322</v>
      </c>
      <c r="BG290" s="0" t="s">
        <v>188</v>
      </c>
      <c r="BH290" s="0" t="s">
        <v>189</v>
      </c>
      <c r="BI290" s="0" t="s">
        <v>4315</v>
      </c>
      <c r="BK290" s="0" t="s">
        <v>3287</v>
      </c>
      <c r="BL290" s="0" t="s">
        <v>163</v>
      </c>
      <c r="BM290" s="0" t="s">
        <v>163</v>
      </c>
      <c r="BN290" s="0" t="s">
        <v>4316</v>
      </c>
      <c r="BO290" s="0" t="s">
        <v>163</v>
      </c>
      <c r="BP290" s="0" t="s">
        <v>243</v>
      </c>
      <c r="BQ290" s="0" t="n">
        <v>40.745027</v>
      </c>
      <c r="BR290" s="0" t="n">
        <v>-73.986825</v>
      </c>
      <c r="BS290" s="0" t="s">
        <v>168</v>
      </c>
      <c r="BT290" s="0" t="n">
        <v>0</v>
      </c>
      <c r="BU290" s="0" t="s">
        <v>1533</v>
      </c>
      <c r="BV290" s="0" t="s">
        <v>1534</v>
      </c>
      <c r="BW290" s="0" t="s">
        <v>4309</v>
      </c>
      <c r="BX290" s="0" t="s">
        <v>4317</v>
      </c>
      <c r="BY290" s="0" t="s">
        <v>247</v>
      </c>
      <c r="BZ290" s="0" t="s">
        <v>4318</v>
      </c>
      <c r="CA290" s="0" t="s">
        <v>4319</v>
      </c>
      <c r="CC290" s="0" t="s">
        <v>179</v>
      </c>
      <c r="CE290" s="0" t="s">
        <v>162</v>
      </c>
      <c r="CH290" s="0" t="s">
        <v>201</v>
      </c>
      <c r="CI290" s="0" t="s">
        <v>1536</v>
      </c>
      <c r="CJ290" s="0" t="s">
        <v>163</v>
      </c>
      <c r="CK290" s="0" t="s">
        <v>162</v>
      </c>
      <c r="CL290" s="0" t="s">
        <v>163</v>
      </c>
      <c r="CO290" s="0" t="n">
        <v>1347</v>
      </c>
      <c r="CP290" s="0" t="s">
        <v>3816</v>
      </c>
      <c r="CQ290" s="0" t="s">
        <v>4320</v>
      </c>
      <c r="CR290" s="0" t="s">
        <v>206</v>
      </c>
      <c r="CS290" s="0" t="n">
        <v>0</v>
      </c>
      <c r="CT290" s="0" t="n">
        <v>7</v>
      </c>
      <c r="CU290" s="0" t="n">
        <v>0</v>
      </c>
      <c r="CV290" s="0" t="n">
        <v>-4</v>
      </c>
      <c r="CW290" s="0" t="n">
        <v>6</v>
      </c>
      <c r="CX290" s="0" t="n">
        <v>5</v>
      </c>
      <c r="CY290" s="0" t="n">
        <f aca="false">IF(AH290="exact",10,IF(AH290="adjacent",5,0))</f>
        <v>0</v>
      </c>
      <c r="CZ290" s="0" t="n">
        <f aca="false">IF(R290="Y",15,0)</f>
        <v>0</v>
      </c>
      <c r="DF290" s="0" t="s">
        <v>158</v>
      </c>
      <c r="DG290" s="0" t="s">
        <v>1335</v>
      </c>
      <c r="DH290" s="0" t="s">
        <v>3290</v>
      </c>
      <c r="DI290" s="0" t="s">
        <v>162</v>
      </c>
      <c r="DJ290" s="0" t="s">
        <v>4321</v>
      </c>
      <c r="DK290" s="0" t="s">
        <v>4322</v>
      </c>
      <c r="DS290" s="0" t="s">
        <v>158</v>
      </c>
      <c r="DX290" s="0" t="s">
        <v>162</v>
      </c>
      <c r="ER290" s="0" t="str">
        <f aca="false">IF(ISNUMBER(MATCH(U290,{"queued","contacted","replied","call_booked","call_done","yes_in_principle","materials_sent"},0)),"Y","N")</f>
        <v>N</v>
      </c>
      <c r="ES290" s="0" t="str">
        <f aca="false">IF(COUNTIFS($AP$2:$AP$1000,AP290,$ER$2:$ER$1000,"Y")+COUNTIFS($AP$2:$AP$1000,AP290,$T$2:$T$1000,"Y")&gt;0,"Y","N")</f>
        <v>N</v>
      </c>
      <c r="ET290" s="0" t="str">
        <f aca="false">IF(AND(U290="new",T290="N",AT290="Y",AS290="",ES290="N"),"Y","N")</f>
        <v>N</v>
      </c>
      <c r="EU290" s="0" t="str">
        <f aca="false">IF(ET290&lt;&gt;"Y","N",IF(COUNTIFS($AP$2:$AP$1000,AP290,$ET$2:$ET$1000,"Y",$J$2:$J$1000,"&gt;"&amp;J290)+COUNTIFS($AP$2:$AP$1000,AP290,$ET$2:$ET$1000,"Y",$J$2:$J$1000,J290,$EW$2:$EW$1000,"&lt;"&amp;EW290)=0,"Y","N"))</f>
        <v>N</v>
      </c>
      <c r="EV290" s="0" t="str">
        <f aca="false">IF(Y290="","N",IF(Y290&lt;=10,"Y","N"))</f>
        <v>N</v>
      </c>
      <c r="EW290" s="0" t="n">
        <f aca="false">ROW()-1</f>
        <v>289</v>
      </c>
    </row>
    <row r="291" customFormat="false" ht="15" hidden="false" customHeight="false" outlineLevel="0" collapsed="false">
      <c r="A291" s="0" t="s">
        <v>4323</v>
      </c>
      <c r="B291" s="0" t="s">
        <v>4324</v>
      </c>
      <c r="H291" s="5" t="s">
        <v>158</v>
      </c>
      <c r="I291" s="5" t="s">
        <v>159</v>
      </c>
      <c r="J291" s="0" t="n">
        <f aca="false">IF(AX291="pass",ROUND(CU291+CV291+CW291+CX291+CY291+CZ291,1),0)</f>
        <v>0</v>
      </c>
      <c r="K291" s="0" t="s">
        <v>4325</v>
      </c>
      <c r="L291" s="0" t="s">
        <v>239</v>
      </c>
      <c r="R291" s="5" t="s">
        <v>162</v>
      </c>
      <c r="S291" s="0" t="s">
        <v>163</v>
      </c>
      <c r="T291" s="5" t="s">
        <v>162</v>
      </c>
      <c r="U291" s="5" t="s">
        <v>561</v>
      </c>
      <c r="V291" s="0" t="s">
        <v>4326</v>
      </c>
      <c r="W291" s="0" t="s">
        <v>166</v>
      </c>
      <c r="X291" s="0" t="s">
        <v>167</v>
      </c>
      <c r="Y291" s="0" t="str">
        <f aca="false">IF(EU291&lt;&gt;"Y","",COUNTIFS($EU$2:$EU$1000,"Y",$J$2:$J$1000,"&gt;"&amp;J291)+COUNTIFS($EU$2:$EU$1000,"Y",$J$2:$J$1000,J291,$EW$2:$EW$1000,"&lt;"&amp;EW291)+1)</f>
        <v/>
      </c>
      <c r="AA291" s="0" t="s">
        <v>162</v>
      </c>
      <c r="AD291" s="0" t="s">
        <v>158</v>
      </c>
      <c r="AH291" s="5" t="s">
        <v>158</v>
      </c>
      <c r="AI291" s="0" t="s">
        <v>1432</v>
      </c>
      <c r="AJ291" s="0" t="s">
        <v>4327</v>
      </c>
      <c r="AK291" s="0" t="s">
        <v>434</v>
      </c>
      <c r="AL291" s="0" t="n">
        <v>256</v>
      </c>
      <c r="AM291" s="0" t="n">
        <v>513</v>
      </c>
      <c r="AN291" s="0" t="s">
        <v>179</v>
      </c>
      <c r="AO291" s="0" t="s">
        <v>163</v>
      </c>
      <c r="AP291" s="0" t="s">
        <v>4323</v>
      </c>
      <c r="AQ291" s="5" t="s">
        <v>162</v>
      </c>
      <c r="AT291" s="0" t="str">
        <f aca="false">IF(AND(AX291="pass",AQ291&lt;&gt;"Y",C291&lt;&gt;"",OR(AW291&lt;&gt;"Y",AV291="Y")),"Y","N")</f>
        <v>N</v>
      </c>
      <c r="AU291" s="0" t="str">
        <f aca="false">_xlfn.TEXTJOIN("; ",TRUE(),IF(AX291&lt;&gt;"pass","gated out",""),IF(AQ291="Y","on hold: "&amp;AR291,""),IF(C291="","no contact named on an opened page",""),IF(AND(AW291="Y",AV291&lt;&gt;"Y"),"Tuesday estimate band "&amp;L291&amp;": founder's call",""))</f>
        <v>gated out; no contact named on an opened page; Tuesday estimate band 251-500: founder's call</v>
      </c>
      <c r="AW291" s="0" t="s">
        <v>168</v>
      </c>
      <c r="AX291" s="0" t="s">
        <v>3703</v>
      </c>
      <c r="AY291" s="0" t="s">
        <v>4328</v>
      </c>
      <c r="AZ291" s="0" t="s">
        <v>1</v>
      </c>
      <c r="BA291" s="0" t="s">
        <v>4329</v>
      </c>
      <c r="BB291" s="0" t="s">
        <v>4330</v>
      </c>
      <c r="BC291" s="0" t="s">
        <v>4331</v>
      </c>
      <c r="BD291" s="0" t="s">
        <v>1807</v>
      </c>
      <c r="BF291" s="0" t="s">
        <v>1322</v>
      </c>
      <c r="BG291" s="0" t="s">
        <v>188</v>
      </c>
      <c r="BH291" s="0" t="s">
        <v>189</v>
      </c>
      <c r="BI291" s="0" t="s">
        <v>4332</v>
      </c>
      <c r="BK291" s="0" t="s">
        <v>1263</v>
      </c>
      <c r="BL291" s="0" t="s">
        <v>192</v>
      </c>
      <c r="BM291" s="0" t="s">
        <v>168</v>
      </c>
      <c r="BN291" s="0" t="s">
        <v>163</v>
      </c>
      <c r="BO291" s="0" t="s">
        <v>163</v>
      </c>
      <c r="BP291" s="0" t="s">
        <v>346</v>
      </c>
      <c r="BQ291" s="0" t="n">
        <v>40.739363</v>
      </c>
      <c r="BR291" s="0" t="n">
        <v>-73.989534</v>
      </c>
      <c r="BS291" s="0" t="s">
        <v>168</v>
      </c>
      <c r="BT291" s="0" t="n">
        <v>0</v>
      </c>
      <c r="BU291" s="0" t="s">
        <v>1441</v>
      </c>
      <c r="BV291" s="0" t="s">
        <v>1442</v>
      </c>
      <c r="BW291" s="0" t="s">
        <v>4326</v>
      </c>
      <c r="BX291" s="0" t="s">
        <v>4333</v>
      </c>
      <c r="BY291" s="0" t="s">
        <v>247</v>
      </c>
      <c r="BZ291" s="0" t="s">
        <v>1444</v>
      </c>
      <c r="CA291" s="0" t="s">
        <v>4334</v>
      </c>
      <c r="CC291" s="0" t="s">
        <v>179</v>
      </c>
      <c r="CE291" s="0" t="s">
        <v>162</v>
      </c>
      <c r="CH291" s="0" t="s">
        <v>201</v>
      </c>
      <c r="CI291" s="0" t="s">
        <v>1444</v>
      </c>
      <c r="CJ291" s="0" t="s">
        <v>163</v>
      </c>
      <c r="CK291" s="0" t="s">
        <v>162</v>
      </c>
      <c r="CL291" s="0" t="s">
        <v>163</v>
      </c>
      <c r="CO291" s="0" t="n">
        <v>362</v>
      </c>
      <c r="CP291" s="0" t="s">
        <v>3816</v>
      </c>
      <c r="CQ291" s="0" t="s">
        <v>4335</v>
      </c>
      <c r="CR291" s="0" t="s">
        <v>206</v>
      </c>
      <c r="CS291" s="0" t="n">
        <v>0</v>
      </c>
      <c r="CT291" s="0" t="n">
        <v>17</v>
      </c>
      <c r="CU291" s="0" t="n">
        <v>0</v>
      </c>
      <c r="CV291" s="0" t="n">
        <v>6</v>
      </c>
      <c r="CW291" s="0" t="n">
        <v>6</v>
      </c>
      <c r="CX291" s="0" t="n">
        <v>5</v>
      </c>
      <c r="CY291" s="0" t="n">
        <f aca="false">IF(AH291="exact",10,IF(AH291="adjacent",5,0))</f>
        <v>0</v>
      </c>
      <c r="CZ291" s="0" t="n">
        <f aca="false">IF(R291="Y",15,0)</f>
        <v>0</v>
      </c>
      <c r="DF291" s="0" t="s">
        <v>158</v>
      </c>
      <c r="DG291" s="0" t="s">
        <v>1335</v>
      </c>
      <c r="DH291" s="0" t="s">
        <v>1336</v>
      </c>
      <c r="DI291" s="0" t="s">
        <v>162</v>
      </c>
      <c r="DJ291" s="0" t="s">
        <v>1447</v>
      </c>
      <c r="DK291" s="0" t="s">
        <v>4336</v>
      </c>
      <c r="DS291" s="0" t="s">
        <v>158</v>
      </c>
      <c r="DX291" s="0" t="s">
        <v>162</v>
      </c>
      <c r="ER291" s="0" t="str">
        <f aca="false">IF(ISNUMBER(MATCH(U291,{"queued","contacted","replied","call_booked","call_done","yes_in_principle","materials_sent"},0)),"Y","N")</f>
        <v>N</v>
      </c>
      <c r="ES291" s="0" t="str">
        <f aca="false">IF(COUNTIFS($AP$2:$AP$1000,AP291,$ER$2:$ER$1000,"Y")+COUNTIFS($AP$2:$AP$1000,AP291,$T$2:$T$1000,"Y")&gt;0,"Y","N")</f>
        <v>N</v>
      </c>
      <c r="ET291" s="0" t="str">
        <f aca="false">IF(AND(U291="new",T291="N",AT291="Y",AS291="",ES291="N"),"Y","N")</f>
        <v>N</v>
      </c>
      <c r="EU291" s="0" t="str">
        <f aca="false">IF(ET291&lt;&gt;"Y","N",IF(COUNTIFS($AP$2:$AP$1000,AP291,$ET$2:$ET$1000,"Y",$J$2:$J$1000,"&gt;"&amp;J291)+COUNTIFS($AP$2:$AP$1000,AP291,$ET$2:$ET$1000,"Y",$J$2:$J$1000,J291,$EW$2:$EW$1000,"&lt;"&amp;EW291)=0,"Y","N"))</f>
        <v>N</v>
      </c>
      <c r="EV291" s="0" t="str">
        <f aca="false">IF(Y291="","N",IF(Y291&lt;=10,"Y","N"))</f>
        <v>N</v>
      </c>
      <c r="EW291" s="0" t="n">
        <f aca="false">ROW()-1</f>
        <v>290</v>
      </c>
    </row>
    <row r="292" customFormat="false" ht="15" hidden="false" customHeight="false" outlineLevel="0" collapsed="false">
      <c r="A292" s="0" t="s">
        <v>4337</v>
      </c>
      <c r="B292" s="0" t="s">
        <v>4338</v>
      </c>
      <c r="H292" s="5" t="s">
        <v>158</v>
      </c>
      <c r="I292" s="5" t="s">
        <v>159</v>
      </c>
      <c r="J292" s="0" t="n">
        <f aca="false">IF(AX292="pass",ROUND(CU292+CV292+CW292+CX292+CY292+CZ292,1),0)</f>
        <v>0</v>
      </c>
      <c r="K292" s="0" t="s">
        <v>4339</v>
      </c>
      <c r="L292" s="0" t="s">
        <v>1322</v>
      </c>
      <c r="R292" s="5" t="s">
        <v>162</v>
      </c>
      <c r="S292" s="0" t="s">
        <v>163</v>
      </c>
      <c r="T292" s="5" t="s">
        <v>162</v>
      </c>
      <c r="U292" s="5" t="s">
        <v>561</v>
      </c>
      <c r="V292" s="0" t="s">
        <v>4340</v>
      </c>
      <c r="W292" s="0" t="s">
        <v>166</v>
      </c>
      <c r="X292" s="0" t="s">
        <v>167</v>
      </c>
      <c r="Y292" s="0" t="str">
        <f aca="false">IF(EU292&lt;&gt;"Y","",COUNTIFS($EU$2:$EU$1000,"Y",$J$2:$J$1000,"&gt;"&amp;J292)+COUNTIFS($EU$2:$EU$1000,"Y",$J$2:$J$1000,J292,$EW$2:$EW$1000,"&lt;"&amp;EW292)+1)</f>
        <v/>
      </c>
      <c r="AA292" s="0" t="s">
        <v>162</v>
      </c>
      <c r="AD292" s="0" t="s">
        <v>158</v>
      </c>
      <c r="AH292" s="5" t="s">
        <v>158</v>
      </c>
      <c r="AI292" s="0" t="s">
        <v>1733</v>
      </c>
      <c r="AJ292" s="0" t="s">
        <v>1364</v>
      </c>
      <c r="AK292" s="0" t="s">
        <v>434</v>
      </c>
      <c r="AL292" s="0" t="n">
        <v>370</v>
      </c>
      <c r="AM292" s="0" t="n">
        <v>741</v>
      </c>
      <c r="AN292" s="0" t="s">
        <v>179</v>
      </c>
      <c r="AO292" s="0" t="s">
        <v>163</v>
      </c>
      <c r="AP292" s="0" t="s">
        <v>4337</v>
      </c>
      <c r="AQ292" s="5" t="s">
        <v>162</v>
      </c>
      <c r="AT292" s="0" t="str">
        <f aca="false">IF(AND(AX292="pass",AQ292&lt;&gt;"Y",C292&lt;&gt;"",OR(AW292&lt;&gt;"Y",AV292="Y")),"Y","N")</f>
        <v>N</v>
      </c>
      <c r="AU292" s="0" t="str">
        <f aca="false">_xlfn.TEXTJOIN("; ",TRUE(),IF(AX292&lt;&gt;"pass","gated out",""),IF(AQ292="Y","on hold: "&amp;AR292,""),IF(C292="","no contact named on an opened page",""),IF(AND(AW292="Y",AV292&lt;&gt;"Y"),"Tuesday estimate band "&amp;L292&amp;": founder's call",""))</f>
        <v>gated out; no contact named on an opened page; Tuesday estimate band over-500: founder's call</v>
      </c>
      <c r="AW292" s="0" t="s">
        <v>168</v>
      </c>
      <c r="AX292" s="0" t="s">
        <v>3703</v>
      </c>
      <c r="AY292" s="0" t="s">
        <v>4341</v>
      </c>
      <c r="AZ292" s="0" t="s">
        <v>1</v>
      </c>
      <c r="BA292" s="0" t="s">
        <v>4342</v>
      </c>
      <c r="BB292" s="0" t="s">
        <v>4343</v>
      </c>
      <c r="BC292" s="0" t="s">
        <v>4344</v>
      </c>
      <c r="BD292" s="0" t="s">
        <v>4345</v>
      </c>
      <c r="BF292" s="0" t="s">
        <v>1322</v>
      </c>
      <c r="BG292" s="0" t="s">
        <v>188</v>
      </c>
      <c r="BH292" s="0" t="s">
        <v>189</v>
      </c>
      <c r="BI292" s="0" t="s">
        <v>4340</v>
      </c>
      <c r="BK292" s="0" t="s">
        <v>1439</v>
      </c>
      <c r="BL292" s="0" t="s">
        <v>192</v>
      </c>
      <c r="BM292" s="0" t="s">
        <v>168</v>
      </c>
      <c r="BN292" s="0" t="s">
        <v>163</v>
      </c>
      <c r="BO292" s="0" t="s">
        <v>163</v>
      </c>
      <c r="BP292" s="0" t="s">
        <v>346</v>
      </c>
      <c r="BQ292" s="0" t="n">
        <v>40.743288</v>
      </c>
      <c r="BR292" s="0" t="n">
        <v>-73.986627</v>
      </c>
      <c r="BS292" s="0" t="s">
        <v>168</v>
      </c>
      <c r="BT292" s="0" t="n">
        <v>0</v>
      </c>
      <c r="BU292" s="0" t="s">
        <v>1739</v>
      </c>
      <c r="BV292" s="0" t="s">
        <v>1740</v>
      </c>
      <c r="BW292" s="0" t="s">
        <v>4340</v>
      </c>
      <c r="BX292" s="0" t="s">
        <v>166</v>
      </c>
      <c r="BY292" s="0" t="s">
        <v>444</v>
      </c>
      <c r="BZ292" s="0" t="s">
        <v>4346</v>
      </c>
      <c r="CA292" s="0" t="s">
        <v>4347</v>
      </c>
      <c r="CC292" s="0" t="s">
        <v>179</v>
      </c>
      <c r="CE292" s="0" t="s">
        <v>162</v>
      </c>
      <c r="CH292" s="0" t="s">
        <v>163</v>
      </c>
      <c r="CJ292" s="0" t="s">
        <v>163</v>
      </c>
      <c r="CK292" s="0" t="s">
        <v>162</v>
      </c>
      <c r="CL292" s="0" t="s">
        <v>163</v>
      </c>
      <c r="CO292" s="0" t="n">
        <v>524</v>
      </c>
      <c r="CP292" s="0" t="s">
        <v>3816</v>
      </c>
      <c r="CQ292" s="0" t="s">
        <v>4348</v>
      </c>
      <c r="CR292" s="0" t="s">
        <v>206</v>
      </c>
      <c r="CS292" s="0" t="n">
        <v>0</v>
      </c>
      <c r="CT292" s="0" t="n">
        <v>13</v>
      </c>
      <c r="CU292" s="0" t="n">
        <v>0</v>
      </c>
      <c r="CV292" s="0" t="n">
        <v>2</v>
      </c>
      <c r="CW292" s="0" t="n">
        <v>6</v>
      </c>
      <c r="CX292" s="0" t="n">
        <v>5</v>
      </c>
      <c r="CY292" s="0" t="n">
        <f aca="false">IF(AH292="exact",10,IF(AH292="adjacent",5,0))</f>
        <v>0</v>
      </c>
      <c r="CZ292" s="0" t="n">
        <f aca="false">IF(R292="Y",15,0)</f>
        <v>0</v>
      </c>
      <c r="DF292" s="0" t="s">
        <v>158</v>
      </c>
      <c r="DG292" s="0" t="s">
        <v>1335</v>
      </c>
      <c r="DH292" s="0" t="s">
        <v>1446</v>
      </c>
      <c r="DI292" s="0" t="s">
        <v>162</v>
      </c>
      <c r="DJ292" s="0" t="s">
        <v>2620</v>
      </c>
      <c r="DK292" s="0" t="s">
        <v>4349</v>
      </c>
      <c r="DS292" s="0" t="s">
        <v>158</v>
      </c>
      <c r="DX292" s="0" t="s">
        <v>162</v>
      </c>
      <c r="ER292" s="0" t="str">
        <f aca="false">IF(ISNUMBER(MATCH(U292,{"queued","contacted","replied","call_booked","call_done","yes_in_principle","materials_sent"},0)),"Y","N")</f>
        <v>N</v>
      </c>
      <c r="ES292" s="0" t="str">
        <f aca="false">IF(COUNTIFS($AP$2:$AP$1000,AP292,$ER$2:$ER$1000,"Y")+COUNTIFS($AP$2:$AP$1000,AP292,$T$2:$T$1000,"Y")&gt;0,"Y","N")</f>
        <v>N</v>
      </c>
      <c r="ET292" s="0" t="str">
        <f aca="false">IF(AND(U292="new",T292="N",AT292="Y",AS292="",ES292="N"),"Y","N")</f>
        <v>N</v>
      </c>
      <c r="EU292" s="0" t="str">
        <f aca="false">IF(ET292&lt;&gt;"Y","N",IF(COUNTIFS($AP$2:$AP$1000,AP292,$ET$2:$ET$1000,"Y",$J$2:$J$1000,"&gt;"&amp;J292)+COUNTIFS($AP$2:$AP$1000,AP292,$ET$2:$ET$1000,"Y",$J$2:$J$1000,J292,$EW$2:$EW$1000,"&lt;"&amp;EW292)=0,"Y","N"))</f>
        <v>N</v>
      </c>
      <c r="EV292" s="0" t="str">
        <f aca="false">IF(Y292="","N",IF(Y292&lt;=10,"Y","N"))</f>
        <v>N</v>
      </c>
      <c r="EW292" s="0" t="n">
        <f aca="false">ROW()-1</f>
        <v>291</v>
      </c>
    </row>
    <row r="293" customFormat="false" ht="15" hidden="false" customHeight="false" outlineLevel="0" collapsed="false">
      <c r="A293" s="0" t="s">
        <v>4350</v>
      </c>
      <c r="B293" s="0" t="s">
        <v>4351</v>
      </c>
      <c r="H293" s="5" t="s">
        <v>158</v>
      </c>
      <c r="I293" s="5" t="s">
        <v>159</v>
      </c>
      <c r="J293" s="0" t="n">
        <f aca="false">IF(AX293="pass",ROUND(CU293+CV293+CW293+CX293+CY293+CZ293,1),0)</f>
        <v>0</v>
      </c>
      <c r="K293" s="0" t="s">
        <v>4352</v>
      </c>
      <c r="L293" s="0" t="s">
        <v>1322</v>
      </c>
      <c r="R293" s="5" t="s">
        <v>162</v>
      </c>
      <c r="S293" s="0" t="s">
        <v>163</v>
      </c>
      <c r="T293" s="5" t="s">
        <v>162</v>
      </c>
      <c r="U293" s="5" t="s">
        <v>561</v>
      </c>
      <c r="V293" s="0" t="s">
        <v>4353</v>
      </c>
      <c r="W293" s="0" t="s">
        <v>166</v>
      </c>
      <c r="X293" s="0" t="s">
        <v>167</v>
      </c>
      <c r="Y293" s="0" t="str">
        <f aca="false">IF(EU293&lt;&gt;"Y","",COUNTIFS($EU$2:$EU$1000,"Y",$J$2:$J$1000,"&gt;"&amp;J293)+COUNTIFS($EU$2:$EU$1000,"Y",$J$2:$J$1000,J293,$EW$2:$EW$1000,"&lt;"&amp;EW293)+1)</f>
        <v/>
      </c>
      <c r="AA293" s="0" t="s">
        <v>162</v>
      </c>
      <c r="AD293" s="0" t="s">
        <v>158</v>
      </c>
      <c r="AH293" s="5" t="s">
        <v>158</v>
      </c>
      <c r="AI293" s="0" t="s">
        <v>4354</v>
      </c>
      <c r="AJ293" s="0" t="s">
        <v>4355</v>
      </c>
      <c r="AK293" s="0" t="s">
        <v>434</v>
      </c>
      <c r="AL293" s="0" t="n">
        <v>914</v>
      </c>
      <c r="AM293" s="0" t="n">
        <v>1827</v>
      </c>
      <c r="AN293" s="0" t="s">
        <v>179</v>
      </c>
      <c r="AO293" s="0" t="s">
        <v>163</v>
      </c>
      <c r="AP293" s="0" t="s">
        <v>4350</v>
      </c>
      <c r="AQ293" s="5" t="s">
        <v>162</v>
      </c>
      <c r="AT293" s="0" t="str">
        <f aca="false">IF(AND(AX293="pass",AQ293&lt;&gt;"Y",C293&lt;&gt;"",OR(AW293&lt;&gt;"Y",AV293="Y")),"Y","N")</f>
        <v>N</v>
      </c>
      <c r="AU293" s="0" t="str">
        <f aca="false">_xlfn.TEXTJOIN("; ",TRUE(),IF(AX293&lt;&gt;"pass","gated out",""),IF(AQ293="Y","on hold: "&amp;AR293,""),IF(C293="","no contact named on an opened page",""),IF(AND(AW293="Y",AV293&lt;&gt;"Y"),"Tuesday estimate band "&amp;L293&amp;": founder's call",""))</f>
        <v>gated out; no contact named on an opened page; Tuesday estimate band over-500: founder's call</v>
      </c>
      <c r="AW293" s="0" t="s">
        <v>168</v>
      </c>
      <c r="AX293" s="0" t="s">
        <v>3703</v>
      </c>
      <c r="AY293" s="0" t="s">
        <v>4356</v>
      </c>
      <c r="AZ293" s="0" t="s">
        <v>1</v>
      </c>
      <c r="BA293" s="0" t="s">
        <v>4357</v>
      </c>
      <c r="BB293" s="0" t="s">
        <v>4358</v>
      </c>
      <c r="BC293" s="0" t="s">
        <v>4359</v>
      </c>
      <c r="BD293" s="0" t="s">
        <v>4360</v>
      </c>
      <c r="BF293" s="0" t="s">
        <v>1322</v>
      </c>
      <c r="BG293" s="0" t="s">
        <v>188</v>
      </c>
      <c r="BH293" s="0" t="s">
        <v>189</v>
      </c>
      <c r="BI293" s="0" t="s">
        <v>4361</v>
      </c>
      <c r="BK293" s="0" t="s">
        <v>1439</v>
      </c>
      <c r="BL293" s="0" t="s">
        <v>192</v>
      </c>
      <c r="BM293" s="0" t="s">
        <v>168</v>
      </c>
      <c r="BN293" s="0" t="s">
        <v>163</v>
      </c>
      <c r="BO293" s="0" t="s">
        <v>163</v>
      </c>
      <c r="BP293" s="0" t="s">
        <v>377</v>
      </c>
      <c r="BQ293" s="0" t="n">
        <v>40.739723</v>
      </c>
      <c r="BR293" s="0" t="n">
        <v>-73.992339</v>
      </c>
      <c r="BS293" s="0" t="s">
        <v>168</v>
      </c>
      <c r="BT293" s="0" t="n">
        <v>0</v>
      </c>
      <c r="BV293" s="0" t="s">
        <v>163</v>
      </c>
      <c r="BW293" s="0" t="s">
        <v>4353</v>
      </c>
      <c r="BX293" s="0" t="s">
        <v>166</v>
      </c>
      <c r="BY293" s="0" t="s">
        <v>444</v>
      </c>
      <c r="BZ293" s="0" t="s">
        <v>4362</v>
      </c>
      <c r="CA293" s="0" t="s">
        <v>4363</v>
      </c>
      <c r="CC293" s="0" t="s">
        <v>179</v>
      </c>
      <c r="CE293" s="0" t="s">
        <v>162</v>
      </c>
      <c r="CH293" s="0" t="s">
        <v>201</v>
      </c>
      <c r="CJ293" s="0" t="s">
        <v>163</v>
      </c>
      <c r="CK293" s="0" t="s">
        <v>162</v>
      </c>
      <c r="CL293" s="0" t="s">
        <v>163</v>
      </c>
      <c r="CO293" s="0" t="n">
        <v>1292</v>
      </c>
      <c r="CP293" s="0" t="s">
        <v>3816</v>
      </c>
      <c r="CQ293" s="0" t="s">
        <v>4364</v>
      </c>
      <c r="CR293" s="0" t="s">
        <v>206</v>
      </c>
      <c r="CS293" s="0" t="n">
        <v>0</v>
      </c>
      <c r="CT293" s="0" t="n">
        <v>13</v>
      </c>
      <c r="CU293" s="0" t="n">
        <v>0</v>
      </c>
      <c r="CV293" s="0" t="n">
        <v>2</v>
      </c>
      <c r="CW293" s="0" t="n">
        <v>6</v>
      </c>
      <c r="CX293" s="0" t="n">
        <v>5</v>
      </c>
      <c r="CY293" s="0" t="n">
        <f aca="false">IF(AH293="exact",10,IF(AH293="adjacent",5,0))</f>
        <v>0</v>
      </c>
      <c r="CZ293" s="0" t="n">
        <f aca="false">IF(R293="Y",15,0)</f>
        <v>0</v>
      </c>
      <c r="DF293" s="0" t="s">
        <v>158</v>
      </c>
      <c r="DG293" s="0" t="s">
        <v>1335</v>
      </c>
      <c r="DH293" s="0" t="s">
        <v>1446</v>
      </c>
      <c r="DI293" s="0" t="s">
        <v>162</v>
      </c>
      <c r="DJ293" s="0" t="s">
        <v>4365</v>
      </c>
      <c r="DK293" s="0" t="s">
        <v>4366</v>
      </c>
      <c r="DS293" s="0" t="s">
        <v>158</v>
      </c>
      <c r="DX293" s="0" t="s">
        <v>162</v>
      </c>
      <c r="ER293" s="0" t="str">
        <f aca="false">IF(ISNUMBER(MATCH(U293,{"queued","contacted","replied","call_booked","call_done","yes_in_principle","materials_sent"},0)),"Y","N")</f>
        <v>N</v>
      </c>
      <c r="ES293" s="0" t="str">
        <f aca="false">IF(COUNTIFS($AP$2:$AP$1000,AP293,$ER$2:$ER$1000,"Y")+COUNTIFS($AP$2:$AP$1000,AP293,$T$2:$T$1000,"Y")&gt;0,"Y","N")</f>
        <v>N</v>
      </c>
      <c r="ET293" s="0" t="str">
        <f aca="false">IF(AND(U293="new",T293="N",AT293="Y",AS293="",ES293="N"),"Y","N")</f>
        <v>N</v>
      </c>
      <c r="EU293" s="0" t="str">
        <f aca="false">IF(ET293&lt;&gt;"Y","N",IF(COUNTIFS($AP$2:$AP$1000,AP293,$ET$2:$ET$1000,"Y",$J$2:$J$1000,"&gt;"&amp;J293)+COUNTIFS($AP$2:$AP$1000,AP293,$ET$2:$ET$1000,"Y",$J$2:$J$1000,J293,$EW$2:$EW$1000,"&lt;"&amp;EW293)=0,"Y","N"))</f>
        <v>N</v>
      </c>
      <c r="EV293" s="0" t="str">
        <f aca="false">IF(Y293="","N",IF(Y293&lt;=10,"Y","N"))</f>
        <v>N</v>
      </c>
      <c r="EW293" s="0" t="n">
        <f aca="false">ROW()-1</f>
        <v>292</v>
      </c>
    </row>
    <row r="294" customFormat="false" ht="15" hidden="false" customHeight="false" outlineLevel="0" collapsed="false">
      <c r="A294" s="0" t="s">
        <v>4367</v>
      </c>
      <c r="B294" s="0" t="s">
        <v>4368</v>
      </c>
      <c r="H294" s="5" t="s">
        <v>158</v>
      </c>
      <c r="I294" s="5" t="s">
        <v>159</v>
      </c>
      <c r="J294" s="0" t="n">
        <f aca="false">IF(AX294="pass",ROUND(CU294+CV294+CW294+CX294+CY294+CZ294,1),0)</f>
        <v>0</v>
      </c>
      <c r="K294" s="0" t="s">
        <v>4369</v>
      </c>
      <c r="L294" s="0" t="s">
        <v>163</v>
      </c>
      <c r="R294" s="5" t="s">
        <v>162</v>
      </c>
      <c r="S294" s="0" t="s">
        <v>163</v>
      </c>
      <c r="T294" s="5" t="s">
        <v>162</v>
      </c>
      <c r="U294" s="5" t="s">
        <v>561</v>
      </c>
      <c r="V294" s="0" t="s">
        <v>4370</v>
      </c>
      <c r="W294" s="0" t="s">
        <v>166</v>
      </c>
      <c r="X294" s="0" t="s">
        <v>167</v>
      </c>
      <c r="Y294" s="0" t="str">
        <f aca="false">IF(EU294&lt;&gt;"Y","",COUNTIFS($EU$2:$EU$1000,"Y",$J$2:$J$1000,"&gt;"&amp;J294)+COUNTIFS($EU$2:$EU$1000,"Y",$J$2:$J$1000,J294,$EW$2:$EW$1000,"&lt;"&amp;EW294)+1)</f>
        <v/>
      </c>
      <c r="AA294" s="0" t="s">
        <v>162</v>
      </c>
      <c r="AD294" s="0" t="s">
        <v>158</v>
      </c>
      <c r="AH294" s="5" t="s">
        <v>158</v>
      </c>
      <c r="AI294" s="0" t="s">
        <v>4371</v>
      </c>
      <c r="AJ294" s="0" t="s">
        <v>1257</v>
      </c>
      <c r="AK294" s="0" t="s">
        <v>178</v>
      </c>
      <c r="AL294" s="0" t="s">
        <v>163</v>
      </c>
      <c r="AM294" s="0" t="s">
        <v>163</v>
      </c>
      <c r="AN294" s="0" t="s">
        <v>158</v>
      </c>
      <c r="AO294" s="0" t="s">
        <v>163</v>
      </c>
      <c r="AP294" s="0" t="s">
        <v>4367</v>
      </c>
      <c r="AQ294" s="5" t="s">
        <v>162</v>
      </c>
      <c r="AT294" s="0" t="str">
        <f aca="false">IF(AND(AX294="pass",AQ294&lt;&gt;"Y",C294&lt;&gt;"",OR(AW294&lt;&gt;"Y",AV294="Y")),"Y","N")</f>
        <v>N</v>
      </c>
      <c r="AU294" s="0" t="str">
        <f aca="false">_xlfn.TEXTJOIN("; ",TRUE(),IF(AX294&lt;&gt;"pass","gated out",""),IF(AQ294="Y","on hold: "&amp;AR294,""),IF(C294="","no contact named on an opened page",""),IF(AND(AW294="Y",AV294&lt;&gt;"Y"),"Tuesday estimate band "&amp;L294&amp;": founder's call",""))</f>
        <v>gated out; no contact named on an opened page</v>
      </c>
      <c r="AW294" s="0" t="s">
        <v>162</v>
      </c>
      <c r="AX294" s="0" t="s">
        <v>3703</v>
      </c>
      <c r="AY294" s="0" t="s">
        <v>4372</v>
      </c>
      <c r="AZ294" s="0" t="s">
        <v>1</v>
      </c>
      <c r="BA294" s="0" t="s">
        <v>4373</v>
      </c>
      <c r="BB294" s="0" t="s">
        <v>4374</v>
      </c>
      <c r="BC294" s="0" t="s">
        <v>3268</v>
      </c>
      <c r="BD294" s="0" t="s">
        <v>163</v>
      </c>
      <c r="BF294" s="0" t="s">
        <v>163</v>
      </c>
      <c r="BG294" s="0" t="s">
        <v>163</v>
      </c>
      <c r="BH294" s="0" t="s">
        <v>2195</v>
      </c>
      <c r="BK294" s="0" t="s">
        <v>163</v>
      </c>
      <c r="BL294" s="0" t="s">
        <v>163</v>
      </c>
      <c r="BM294" s="0" t="s">
        <v>163</v>
      </c>
      <c r="BN294" s="0" t="s">
        <v>163</v>
      </c>
      <c r="BO294" s="0" t="s">
        <v>163</v>
      </c>
      <c r="BP294" s="0" t="s">
        <v>243</v>
      </c>
      <c r="BQ294" s="0" t="n">
        <v>40.745308</v>
      </c>
      <c r="BR294" s="0" t="n">
        <v>-73.98356</v>
      </c>
      <c r="BS294" s="0" t="s">
        <v>162</v>
      </c>
      <c r="BT294" s="0" t="n">
        <v>0.2</v>
      </c>
      <c r="BV294" s="0" t="s">
        <v>163</v>
      </c>
      <c r="BW294" s="0" t="s">
        <v>4370</v>
      </c>
      <c r="BX294" s="0" t="s">
        <v>166</v>
      </c>
      <c r="BY294" s="0" t="s">
        <v>196</v>
      </c>
      <c r="BZ294" s="0" t="s">
        <v>4375</v>
      </c>
      <c r="CA294" s="0" t="s">
        <v>4376</v>
      </c>
      <c r="CC294" s="0" t="s">
        <v>200</v>
      </c>
      <c r="CE294" s="0" t="s">
        <v>162</v>
      </c>
      <c r="CH294" s="0" t="s">
        <v>163</v>
      </c>
      <c r="CJ294" s="0" t="s">
        <v>163</v>
      </c>
      <c r="CK294" s="0" t="s">
        <v>162</v>
      </c>
      <c r="CL294" s="0" t="s">
        <v>163</v>
      </c>
      <c r="CO294" s="0" t="s">
        <v>163</v>
      </c>
      <c r="CQ294" s="0" t="s">
        <v>2196</v>
      </c>
      <c r="CR294" s="0" t="s">
        <v>206</v>
      </c>
      <c r="CS294" s="0" t="s">
        <v>163</v>
      </c>
      <c r="CT294" s="0" t="n">
        <v>36</v>
      </c>
      <c r="CU294" s="0" t="n">
        <v>7</v>
      </c>
      <c r="CV294" s="0" t="n">
        <v>8</v>
      </c>
      <c r="CW294" s="0" t="n">
        <v>6</v>
      </c>
      <c r="CX294" s="0" t="n">
        <v>15</v>
      </c>
      <c r="CY294" s="0" t="n">
        <f aca="false">IF(AH294="exact",10,IF(AH294="adjacent",5,0))</f>
        <v>0</v>
      </c>
      <c r="CZ294" s="0" t="n">
        <f aca="false">IF(R294="Y",15,0)</f>
        <v>0</v>
      </c>
      <c r="DF294" s="0" t="s">
        <v>158</v>
      </c>
      <c r="DG294" s="0" t="s">
        <v>3712</v>
      </c>
      <c r="DH294" s="0" t="s">
        <v>3713</v>
      </c>
      <c r="DI294" s="0" t="s">
        <v>162</v>
      </c>
      <c r="DJ294" s="0" t="s">
        <v>4377</v>
      </c>
      <c r="DK294" s="0" t="s">
        <v>4378</v>
      </c>
      <c r="DS294" s="0" t="s">
        <v>158</v>
      </c>
      <c r="DX294" s="0" t="s">
        <v>162</v>
      </c>
      <c r="ER294" s="0" t="str">
        <f aca="false">IF(ISNUMBER(MATCH(U294,{"queued","contacted","replied","call_booked","call_done","yes_in_principle","materials_sent"},0)),"Y","N")</f>
        <v>N</v>
      </c>
      <c r="ES294" s="0" t="str">
        <f aca="false">IF(COUNTIFS($AP$2:$AP$1000,AP294,$ER$2:$ER$1000,"Y")+COUNTIFS($AP$2:$AP$1000,AP294,$T$2:$T$1000,"Y")&gt;0,"Y","N")</f>
        <v>N</v>
      </c>
      <c r="ET294" s="0" t="str">
        <f aca="false">IF(AND(U294="new",T294="N",AT294="Y",AS294="",ES294="N"),"Y","N")</f>
        <v>N</v>
      </c>
      <c r="EU294" s="0" t="str">
        <f aca="false">IF(ET294&lt;&gt;"Y","N",IF(COUNTIFS($AP$2:$AP$1000,AP294,$ET$2:$ET$1000,"Y",$J$2:$J$1000,"&gt;"&amp;J294)+COUNTIFS($AP$2:$AP$1000,AP294,$ET$2:$ET$1000,"Y",$J$2:$J$1000,J294,$EW$2:$EW$1000,"&lt;"&amp;EW294)=0,"Y","N"))</f>
        <v>N</v>
      </c>
      <c r="EV294" s="0" t="str">
        <f aca="false">IF(Y294="","N",IF(Y294&lt;=10,"Y","N"))</f>
        <v>N</v>
      </c>
      <c r="EW294" s="0" t="n">
        <f aca="false">ROW()-1</f>
        <v>293</v>
      </c>
    </row>
    <row r="295" customFormat="false" ht="15" hidden="false" customHeight="false" outlineLevel="0" collapsed="false">
      <c r="A295" s="0" t="s">
        <v>4379</v>
      </c>
      <c r="B295" s="0" t="s">
        <v>4380</v>
      </c>
      <c r="H295" s="5" t="s">
        <v>158</v>
      </c>
      <c r="I295" s="5" t="s">
        <v>159</v>
      </c>
      <c r="J295" s="0" t="n">
        <f aca="false">IF(AX295="pass",ROUND(CU295+CV295+CW295+CX295+CY295+CZ295,1),0)</f>
        <v>0</v>
      </c>
      <c r="K295" s="0" t="s">
        <v>4381</v>
      </c>
      <c r="L295" s="0" t="s">
        <v>163</v>
      </c>
      <c r="R295" s="5" t="s">
        <v>162</v>
      </c>
      <c r="S295" s="0" t="s">
        <v>163</v>
      </c>
      <c r="T295" s="5" t="s">
        <v>162</v>
      </c>
      <c r="U295" s="5" t="s">
        <v>561</v>
      </c>
      <c r="V295" s="0" t="s">
        <v>4382</v>
      </c>
      <c r="W295" s="0" t="s">
        <v>166</v>
      </c>
      <c r="X295" s="0" t="s">
        <v>167</v>
      </c>
      <c r="Y295" s="0" t="str">
        <f aca="false">IF(EU295&lt;&gt;"Y","",COUNTIFS($EU$2:$EU$1000,"Y",$J$2:$J$1000,"&gt;"&amp;J295)+COUNTIFS($EU$2:$EU$1000,"Y",$J$2:$J$1000,J295,$EW$2:$EW$1000,"&lt;"&amp;EW295)+1)</f>
        <v/>
      </c>
      <c r="AA295" s="0" t="s">
        <v>162</v>
      </c>
      <c r="AD295" s="0" t="s">
        <v>158</v>
      </c>
      <c r="AH295" s="5" t="s">
        <v>158</v>
      </c>
      <c r="AI295" s="0" t="s">
        <v>4383</v>
      </c>
      <c r="AJ295" s="0" t="s">
        <v>650</v>
      </c>
      <c r="AK295" s="0" t="s">
        <v>178</v>
      </c>
      <c r="AL295" s="0" t="s">
        <v>163</v>
      </c>
      <c r="AM295" s="0" t="s">
        <v>163</v>
      </c>
      <c r="AN295" s="0" t="s">
        <v>158</v>
      </c>
      <c r="AO295" s="0" t="s">
        <v>163</v>
      </c>
      <c r="AP295" s="0" t="s">
        <v>4379</v>
      </c>
      <c r="AQ295" s="5" t="s">
        <v>162</v>
      </c>
      <c r="AT295" s="0" t="str">
        <f aca="false">IF(AND(AX295="pass",AQ295&lt;&gt;"Y",C295&lt;&gt;"",OR(AW295&lt;&gt;"Y",AV295="Y")),"Y","N")</f>
        <v>N</v>
      </c>
      <c r="AU295" s="0" t="str">
        <f aca="false">_xlfn.TEXTJOIN("; ",TRUE(),IF(AX295&lt;&gt;"pass","gated out",""),IF(AQ295="Y","on hold: "&amp;AR295,""),IF(C295="","no contact named on an opened page",""),IF(AND(AW295="Y",AV295&lt;&gt;"Y"),"Tuesday estimate band "&amp;L295&amp;": founder's call",""))</f>
        <v>gated out; no contact named on an opened page</v>
      </c>
      <c r="AW295" s="0" t="s">
        <v>162</v>
      </c>
      <c r="AX295" s="0" t="s">
        <v>3703</v>
      </c>
      <c r="AY295" s="0" t="s">
        <v>4384</v>
      </c>
      <c r="AZ295" s="0" t="s">
        <v>1</v>
      </c>
      <c r="BA295" s="0" t="s">
        <v>4385</v>
      </c>
      <c r="BB295" s="0" t="s">
        <v>4386</v>
      </c>
      <c r="BC295" s="0" t="s">
        <v>4387</v>
      </c>
      <c r="BD295" s="0" t="s">
        <v>163</v>
      </c>
      <c r="BF295" s="0" t="s">
        <v>163</v>
      </c>
      <c r="BG295" s="0" t="s">
        <v>163</v>
      </c>
      <c r="BH295" s="0" t="s">
        <v>2195</v>
      </c>
      <c r="BK295" s="0" t="s">
        <v>163</v>
      </c>
      <c r="BL295" s="0" t="s">
        <v>163</v>
      </c>
      <c r="BM295" s="0" t="s">
        <v>163</v>
      </c>
      <c r="BN295" s="0" t="s">
        <v>163</v>
      </c>
      <c r="BO295" s="0" t="s">
        <v>163</v>
      </c>
      <c r="BP295" s="0" t="s">
        <v>346</v>
      </c>
      <c r="BQ295" s="0" t="n">
        <v>40.74293</v>
      </c>
      <c r="BR295" s="0" t="n">
        <v>-73.989315</v>
      </c>
      <c r="BS295" s="0" t="s">
        <v>168</v>
      </c>
      <c r="BT295" s="0" t="n">
        <v>0</v>
      </c>
      <c r="BU295" s="0" t="s">
        <v>842</v>
      </c>
      <c r="BV295" s="0" t="s">
        <v>843</v>
      </c>
      <c r="BW295" s="0" t="s">
        <v>4382</v>
      </c>
      <c r="BX295" s="0" t="s">
        <v>166</v>
      </c>
      <c r="BY295" s="0" t="s">
        <v>196</v>
      </c>
      <c r="BZ295" s="0" t="s">
        <v>1234</v>
      </c>
      <c r="CA295" s="0" t="s">
        <v>1244</v>
      </c>
      <c r="CC295" s="0" t="s">
        <v>200</v>
      </c>
      <c r="CE295" s="0" t="s">
        <v>168</v>
      </c>
      <c r="CF295" s="0" t="s">
        <v>2743</v>
      </c>
      <c r="CH295" s="0" t="s">
        <v>201</v>
      </c>
      <c r="CI295" s="0" t="s">
        <v>845</v>
      </c>
      <c r="CJ295" s="0" t="s">
        <v>163</v>
      </c>
      <c r="CK295" s="0" t="s">
        <v>162</v>
      </c>
      <c r="CL295" s="0" t="s">
        <v>163</v>
      </c>
      <c r="CO295" s="0" t="s">
        <v>163</v>
      </c>
      <c r="CQ295" s="0" t="s">
        <v>2196</v>
      </c>
      <c r="CR295" s="0" t="s">
        <v>206</v>
      </c>
      <c r="CS295" s="0" t="s">
        <v>163</v>
      </c>
      <c r="CT295" s="0" t="n">
        <v>36</v>
      </c>
      <c r="CU295" s="0" t="n">
        <v>7</v>
      </c>
      <c r="CV295" s="0" t="n">
        <v>8</v>
      </c>
      <c r="CW295" s="0" t="n">
        <v>6</v>
      </c>
      <c r="CX295" s="0" t="n">
        <v>15</v>
      </c>
      <c r="CY295" s="0" t="n">
        <f aca="false">IF(AH295="exact",10,IF(AH295="adjacent",5,0))</f>
        <v>0</v>
      </c>
      <c r="CZ295" s="0" t="n">
        <f aca="false">IF(R295="Y",15,0)</f>
        <v>0</v>
      </c>
      <c r="DF295" s="0" t="s">
        <v>158</v>
      </c>
      <c r="DG295" s="0" t="s">
        <v>3778</v>
      </c>
      <c r="DK295" s="0" t="s">
        <v>4388</v>
      </c>
      <c r="DS295" s="0" t="s">
        <v>158</v>
      </c>
      <c r="DX295" s="0" t="s">
        <v>162</v>
      </c>
      <c r="ER295" s="0" t="str">
        <f aca="false">IF(ISNUMBER(MATCH(U295,{"queued","contacted","replied","call_booked","call_done","yes_in_principle","materials_sent"},0)),"Y","N")</f>
        <v>N</v>
      </c>
      <c r="ES295" s="0" t="str">
        <f aca="false">IF(COUNTIFS($AP$2:$AP$1000,AP295,$ER$2:$ER$1000,"Y")+COUNTIFS($AP$2:$AP$1000,AP295,$T$2:$T$1000,"Y")&gt;0,"Y","N")</f>
        <v>N</v>
      </c>
      <c r="ET295" s="0" t="str">
        <f aca="false">IF(AND(U295="new",T295="N",AT295="Y",AS295="",ES295="N"),"Y","N")</f>
        <v>N</v>
      </c>
      <c r="EU295" s="0" t="str">
        <f aca="false">IF(ET295&lt;&gt;"Y","N",IF(COUNTIFS($AP$2:$AP$1000,AP295,$ET$2:$ET$1000,"Y",$J$2:$J$1000,"&gt;"&amp;J295)+COUNTIFS($AP$2:$AP$1000,AP295,$ET$2:$ET$1000,"Y",$J$2:$J$1000,J295,$EW$2:$EW$1000,"&lt;"&amp;EW295)=0,"Y","N"))</f>
        <v>N</v>
      </c>
      <c r="EV295" s="0" t="str">
        <f aca="false">IF(Y295="","N",IF(Y295&lt;=10,"Y","N"))</f>
        <v>N</v>
      </c>
      <c r="EW295" s="0" t="n">
        <f aca="false">ROW()-1</f>
        <v>294</v>
      </c>
    </row>
    <row r="296" customFormat="false" ht="15" hidden="false" customHeight="false" outlineLevel="0" collapsed="false">
      <c r="A296" s="0" t="s">
        <v>4389</v>
      </c>
      <c r="B296" s="0" t="s">
        <v>4390</v>
      </c>
      <c r="H296" s="5" t="s">
        <v>158</v>
      </c>
      <c r="I296" s="5" t="s">
        <v>159</v>
      </c>
      <c r="J296" s="0" t="n">
        <f aca="false">IF(AX296="pass",ROUND(CU296+CV296+CW296+CX296+CY296+CZ296,1),0)</f>
        <v>0</v>
      </c>
      <c r="K296" s="0" t="s">
        <v>3732</v>
      </c>
      <c r="L296" s="0" t="s">
        <v>163</v>
      </c>
      <c r="R296" s="5" t="s">
        <v>162</v>
      </c>
      <c r="S296" s="0" t="s">
        <v>163</v>
      </c>
      <c r="T296" s="5" t="s">
        <v>162</v>
      </c>
      <c r="U296" s="5" t="s">
        <v>561</v>
      </c>
      <c r="V296" s="0" t="s">
        <v>4391</v>
      </c>
      <c r="W296" s="0" t="s">
        <v>166</v>
      </c>
      <c r="X296" s="0" t="s">
        <v>167</v>
      </c>
      <c r="Y296" s="0" t="str">
        <f aca="false">IF(EU296&lt;&gt;"Y","",COUNTIFS($EU$2:$EU$1000,"Y",$J$2:$J$1000,"&gt;"&amp;J296)+COUNTIFS($EU$2:$EU$1000,"Y",$J$2:$J$1000,J296,$EW$2:$EW$1000,"&lt;"&amp;EW296)+1)</f>
        <v/>
      </c>
      <c r="AA296" s="0" t="s">
        <v>162</v>
      </c>
      <c r="AD296" s="0" t="s">
        <v>158</v>
      </c>
      <c r="AH296" s="5" t="s">
        <v>158</v>
      </c>
      <c r="AI296" s="0" t="s">
        <v>4392</v>
      </c>
      <c r="AJ296" s="0" t="s">
        <v>4393</v>
      </c>
      <c r="AK296" s="0" t="s">
        <v>2227</v>
      </c>
      <c r="AL296" s="0" t="s">
        <v>163</v>
      </c>
      <c r="AM296" s="0" t="s">
        <v>163</v>
      </c>
      <c r="AN296" s="0" t="s">
        <v>158</v>
      </c>
      <c r="AO296" s="0" t="s">
        <v>163</v>
      </c>
      <c r="AP296" s="0" t="s">
        <v>4394</v>
      </c>
      <c r="AQ296" s="5" t="s">
        <v>162</v>
      </c>
      <c r="AT296" s="0" t="str">
        <f aca="false">IF(AND(AX296="pass",AQ296&lt;&gt;"Y",C296&lt;&gt;"",OR(AW296&lt;&gt;"Y",AV296="Y")),"Y","N")</f>
        <v>N</v>
      </c>
      <c r="AU296" s="0" t="str">
        <f aca="false">_xlfn.TEXTJOIN("; ",TRUE(),IF(AX296&lt;&gt;"pass","gated out",""),IF(AQ296="Y","on hold: "&amp;AR296,""),IF(C296="","no contact named on an opened page",""),IF(AND(AW296="Y",AV296&lt;&gt;"Y"),"Tuesday estimate band "&amp;L296&amp;": founder's call",""))</f>
        <v>gated out; no contact named on an opened page</v>
      </c>
      <c r="AW296" s="0" t="s">
        <v>162</v>
      </c>
      <c r="AX296" s="0" t="s">
        <v>3703</v>
      </c>
      <c r="AY296" s="0" t="s">
        <v>3735</v>
      </c>
      <c r="AZ296" s="0" t="s">
        <v>2228</v>
      </c>
      <c r="BA296" s="0" t="s">
        <v>4395</v>
      </c>
      <c r="BB296" s="0" t="s">
        <v>4396</v>
      </c>
      <c r="BC296" s="0" t="s">
        <v>2231</v>
      </c>
      <c r="BD296" s="0" t="s">
        <v>163</v>
      </c>
      <c r="BF296" s="0" t="s">
        <v>163</v>
      </c>
      <c r="BG296" s="0" t="s">
        <v>163</v>
      </c>
      <c r="BK296" s="0" t="s">
        <v>163</v>
      </c>
      <c r="BL296" s="0" t="s">
        <v>2232</v>
      </c>
      <c r="BM296" s="0" t="s">
        <v>163</v>
      </c>
      <c r="BN296" s="0" t="s">
        <v>4397</v>
      </c>
      <c r="BP296" s="0" t="s">
        <v>346</v>
      </c>
      <c r="BQ296" s="0" t="n">
        <v>40.740111</v>
      </c>
      <c r="BR296" s="0" t="n">
        <v>-73.985459</v>
      </c>
      <c r="BS296" s="0" t="s">
        <v>162</v>
      </c>
      <c r="BT296" s="0" t="n">
        <v>0.1</v>
      </c>
      <c r="BV296" s="0" t="s">
        <v>163</v>
      </c>
      <c r="BW296" s="0" t="s">
        <v>4391</v>
      </c>
      <c r="BX296" s="0" t="s">
        <v>166</v>
      </c>
      <c r="BY296" s="0" t="s">
        <v>2236</v>
      </c>
      <c r="BZ296" s="0" t="s">
        <v>4398</v>
      </c>
      <c r="CC296" s="0" t="s">
        <v>200</v>
      </c>
      <c r="CE296" s="0" t="s">
        <v>162</v>
      </c>
      <c r="CF296" s="0" t="s">
        <v>4395</v>
      </c>
      <c r="CG296" s="0" t="s">
        <v>2238</v>
      </c>
      <c r="CH296" s="0" t="s">
        <v>163</v>
      </c>
      <c r="CJ296" s="0" t="s">
        <v>163</v>
      </c>
      <c r="CK296" s="0" t="s">
        <v>162</v>
      </c>
      <c r="CL296" s="0" t="s">
        <v>163</v>
      </c>
      <c r="CO296" s="0" t="s">
        <v>163</v>
      </c>
      <c r="CQ296" s="0" t="s">
        <v>2239</v>
      </c>
      <c r="CR296" s="0" t="s">
        <v>206</v>
      </c>
      <c r="CS296" s="0" t="s">
        <v>163</v>
      </c>
      <c r="CT296" s="0" t="n">
        <v>36</v>
      </c>
      <c r="CU296" s="0" t="n">
        <v>7</v>
      </c>
      <c r="CV296" s="0" t="n">
        <v>8</v>
      </c>
      <c r="CW296" s="0" t="n">
        <v>6</v>
      </c>
      <c r="CX296" s="0" t="n">
        <v>15</v>
      </c>
      <c r="CY296" s="0" t="n">
        <f aca="false">IF(AH296="exact",10,IF(AH296="adjacent",5,0))</f>
        <v>0</v>
      </c>
      <c r="CZ296" s="0" t="n">
        <f aca="false">IF(R296="Y",15,0)</f>
        <v>0</v>
      </c>
      <c r="DF296" s="0" t="s">
        <v>158</v>
      </c>
      <c r="DG296" s="0" t="s">
        <v>2228</v>
      </c>
      <c r="DK296" s="0" t="s">
        <v>4399</v>
      </c>
      <c r="DS296" s="0" t="s">
        <v>158</v>
      </c>
      <c r="DX296" s="0" t="s">
        <v>162</v>
      </c>
      <c r="DZ296" s="0" t="s">
        <v>4400</v>
      </c>
      <c r="ER296" s="0" t="str">
        <f aca="false">IF(ISNUMBER(MATCH(U296,{"queued","contacted","replied","call_booked","call_done","yes_in_principle","materials_sent"},0)),"Y","N")</f>
        <v>N</v>
      </c>
      <c r="ES296" s="0" t="str">
        <f aca="false">IF(COUNTIFS($AP$2:$AP$1000,AP296,$ER$2:$ER$1000,"Y")+COUNTIFS($AP$2:$AP$1000,AP296,$T$2:$T$1000,"Y")&gt;0,"Y","N")</f>
        <v>N</v>
      </c>
      <c r="ET296" s="0" t="str">
        <f aca="false">IF(AND(U296="new",T296="N",AT296="Y",AS296="",ES296="N"),"Y","N")</f>
        <v>N</v>
      </c>
      <c r="EU296" s="0" t="str">
        <f aca="false">IF(ET296&lt;&gt;"Y","N",IF(COUNTIFS($AP$2:$AP$1000,AP296,$ET$2:$ET$1000,"Y",$J$2:$J$1000,"&gt;"&amp;J296)+COUNTIFS($AP$2:$AP$1000,AP296,$ET$2:$ET$1000,"Y",$J$2:$J$1000,J296,$EW$2:$EW$1000,"&lt;"&amp;EW296)=0,"Y","N"))</f>
        <v>N</v>
      </c>
      <c r="EV296" s="0" t="str">
        <f aca="false">IF(Y296="","N",IF(Y296&lt;=10,"Y","N"))</f>
        <v>N</v>
      </c>
      <c r="EW296" s="0" t="n">
        <f aca="false">ROW()-1</f>
        <v>295</v>
      </c>
    </row>
    <row r="297" customFormat="false" ht="15" hidden="false" customHeight="false" outlineLevel="0" collapsed="false">
      <c r="A297" s="0" t="s">
        <v>4401</v>
      </c>
      <c r="B297" s="0" t="s">
        <v>4402</v>
      </c>
      <c r="H297" s="5" t="s">
        <v>158</v>
      </c>
      <c r="I297" s="5" t="s">
        <v>159</v>
      </c>
      <c r="J297" s="0" t="n">
        <f aca="false">IF(AX297="pass",ROUND(CU297+CV297+CW297+CX297+CY297+CZ297,1),0)</f>
        <v>0</v>
      </c>
      <c r="K297" s="0" t="s">
        <v>4369</v>
      </c>
      <c r="L297" s="0" t="s">
        <v>163</v>
      </c>
      <c r="R297" s="5" t="s">
        <v>162</v>
      </c>
      <c r="S297" s="0" t="s">
        <v>163</v>
      </c>
      <c r="T297" s="5" t="s">
        <v>162</v>
      </c>
      <c r="U297" s="5" t="s">
        <v>561</v>
      </c>
      <c r="V297" s="0" t="s">
        <v>4398</v>
      </c>
      <c r="W297" s="0" t="s">
        <v>166</v>
      </c>
      <c r="X297" s="0" t="s">
        <v>167</v>
      </c>
      <c r="Y297" s="0" t="str">
        <f aca="false">IF(EU297&lt;&gt;"Y","",COUNTIFS($EU$2:$EU$1000,"Y",$J$2:$J$1000,"&gt;"&amp;J297)+COUNTIFS($EU$2:$EU$1000,"Y",$J$2:$J$1000,J297,$EW$2:$EW$1000,"&lt;"&amp;EW297)+1)</f>
        <v/>
      </c>
      <c r="AA297" s="0" t="s">
        <v>162</v>
      </c>
      <c r="AD297" s="0" t="s">
        <v>158</v>
      </c>
      <c r="AH297" s="5" t="s">
        <v>158</v>
      </c>
      <c r="AI297" s="0" t="s">
        <v>4403</v>
      </c>
      <c r="AJ297" s="0" t="s">
        <v>4393</v>
      </c>
      <c r="AK297" s="0" t="s">
        <v>2227</v>
      </c>
      <c r="AL297" s="0" t="s">
        <v>163</v>
      </c>
      <c r="AM297" s="0" t="s">
        <v>163</v>
      </c>
      <c r="AN297" s="0" t="s">
        <v>158</v>
      </c>
      <c r="AO297" s="0" t="s">
        <v>163</v>
      </c>
      <c r="AP297" s="0" t="s">
        <v>4394</v>
      </c>
      <c r="AQ297" s="5" t="s">
        <v>162</v>
      </c>
      <c r="AT297" s="0" t="str">
        <f aca="false">IF(AND(AX297="pass",AQ297&lt;&gt;"Y",C297&lt;&gt;"",OR(AW297&lt;&gt;"Y",AV297="Y")),"Y","N")</f>
        <v>N</v>
      </c>
      <c r="AU297" s="0" t="str">
        <f aca="false">_xlfn.TEXTJOIN("; ",TRUE(),IF(AX297&lt;&gt;"pass","gated out",""),IF(AQ297="Y","on hold: "&amp;AR297,""),IF(C297="","no contact named on an opened page",""),IF(AND(AW297="Y",AV297&lt;&gt;"Y"),"Tuesday estimate band "&amp;L297&amp;": founder's call",""))</f>
        <v>gated out; no contact named on an opened page</v>
      </c>
      <c r="AW297" s="0" t="s">
        <v>162</v>
      </c>
      <c r="AX297" s="0" t="s">
        <v>3703</v>
      </c>
      <c r="AY297" s="0" t="s">
        <v>4372</v>
      </c>
      <c r="AZ297" s="0" t="s">
        <v>2228</v>
      </c>
      <c r="BA297" s="0" t="s">
        <v>4404</v>
      </c>
      <c r="BB297" s="0" t="s">
        <v>2490</v>
      </c>
      <c r="BC297" s="0" t="s">
        <v>2231</v>
      </c>
      <c r="BD297" s="0" t="s">
        <v>163</v>
      </c>
      <c r="BF297" s="0" t="s">
        <v>163</v>
      </c>
      <c r="BG297" s="0" t="s">
        <v>163</v>
      </c>
      <c r="BK297" s="0" t="s">
        <v>163</v>
      </c>
      <c r="BL297" s="0" t="s">
        <v>2232</v>
      </c>
      <c r="BM297" s="0" t="s">
        <v>163</v>
      </c>
      <c r="BN297" s="0" t="s">
        <v>4397</v>
      </c>
      <c r="BP297" s="0" t="s">
        <v>193</v>
      </c>
      <c r="BQ297" s="0" t="n">
        <v>40.734347</v>
      </c>
      <c r="BR297" s="0" t="n">
        <v>-73.992229</v>
      </c>
      <c r="BS297" s="0" t="s">
        <v>162</v>
      </c>
      <c r="BT297" s="0" t="n">
        <v>0.2</v>
      </c>
      <c r="BV297" s="0" t="s">
        <v>163</v>
      </c>
      <c r="BW297" s="0" t="s">
        <v>4398</v>
      </c>
      <c r="BX297" s="0" t="s">
        <v>4405</v>
      </c>
      <c r="BY297" s="0" t="s">
        <v>2236</v>
      </c>
      <c r="BZ297" s="0" t="s">
        <v>4391</v>
      </c>
      <c r="CC297" s="0" t="s">
        <v>200</v>
      </c>
      <c r="CE297" s="0" t="s">
        <v>162</v>
      </c>
      <c r="CF297" s="0" t="s">
        <v>4404</v>
      </c>
      <c r="CG297" s="0" t="s">
        <v>2238</v>
      </c>
      <c r="CH297" s="0" t="s">
        <v>163</v>
      </c>
      <c r="CJ297" s="0" t="s">
        <v>163</v>
      </c>
      <c r="CK297" s="0" t="s">
        <v>162</v>
      </c>
      <c r="CL297" s="0" t="s">
        <v>163</v>
      </c>
      <c r="CO297" s="0" t="s">
        <v>163</v>
      </c>
      <c r="CQ297" s="0" t="s">
        <v>2239</v>
      </c>
      <c r="CR297" s="0" t="s">
        <v>206</v>
      </c>
      <c r="CS297" s="0" t="s">
        <v>163</v>
      </c>
      <c r="CT297" s="0" t="n">
        <v>36</v>
      </c>
      <c r="CU297" s="0" t="n">
        <v>7</v>
      </c>
      <c r="CV297" s="0" t="n">
        <v>8</v>
      </c>
      <c r="CW297" s="0" t="n">
        <v>6</v>
      </c>
      <c r="CX297" s="0" t="n">
        <v>15</v>
      </c>
      <c r="CY297" s="0" t="n">
        <f aca="false">IF(AH297="exact",10,IF(AH297="adjacent",5,0))</f>
        <v>0</v>
      </c>
      <c r="CZ297" s="0" t="n">
        <f aca="false">IF(R297="Y",15,0)</f>
        <v>0</v>
      </c>
      <c r="DF297" s="0" t="s">
        <v>158</v>
      </c>
      <c r="DG297" s="0" t="s">
        <v>2228</v>
      </c>
      <c r="DK297" s="0" t="s">
        <v>4406</v>
      </c>
      <c r="DS297" s="0" t="s">
        <v>158</v>
      </c>
      <c r="DX297" s="0" t="s">
        <v>162</v>
      </c>
      <c r="DZ297" s="0" t="s">
        <v>4407</v>
      </c>
      <c r="ER297" s="0" t="str">
        <f aca="false">IF(ISNUMBER(MATCH(U297,{"queued","contacted","replied","call_booked","call_done","yes_in_principle","materials_sent"},0)),"Y","N")</f>
        <v>N</v>
      </c>
      <c r="ES297" s="0" t="str">
        <f aca="false">IF(COUNTIFS($AP$2:$AP$1000,AP297,$ER$2:$ER$1000,"Y")+COUNTIFS($AP$2:$AP$1000,AP297,$T$2:$T$1000,"Y")&gt;0,"Y","N")</f>
        <v>N</v>
      </c>
      <c r="ET297" s="0" t="str">
        <f aca="false">IF(AND(U297="new",T297="N",AT297="Y",AS297="",ES297="N"),"Y","N")</f>
        <v>N</v>
      </c>
      <c r="EU297" s="0" t="str">
        <f aca="false">IF(ET297&lt;&gt;"Y","N",IF(COUNTIFS($AP$2:$AP$1000,AP297,$ET$2:$ET$1000,"Y",$J$2:$J$1000,"&gt;"&amp;J297)+COUNTIFS($AP$2:$AP$1000,AP297,$ET$2:$ET$1000,"Y",$J$2:$J$1000,J297,$EW$2:$EW$1000,"&lt;"&amp;EW297)=0,"Y","N"))</f>
        <v>N</v>
      </c>
      <c r="EV297" s="0" t="str">
        <f aca="false">IF(Y297="","N",IF(Y297&lt;=10,"Y","N"))</f>
        <v>N</v>
      </c>
      <c r="EW297" s="0" t="n">
        <f aca="false">ROW()-1</f>
        <v>296</v>
      </c>
    </row>
    <row r="298" customFormat="false" ht="15" hidden="false" customHeight="false" outlineLevel="0" collapsed="false">
      <c r="A298" s="0" t="s">
        <v>4408</v>
      </c>
      <c r="B298" s="0" t="s">
        <v>4409</v>
      </c>
      <c r="H298" s="5" t="s">
        <v>158</v>
      </c>
      <c r="I298" s="5" t="s">
        <v>159</v>
      </c>
      <c r="J298" s="0" t="n">
        <f aca="false">IF(AX298="pass",ROUND(CU298+CV298+CW298+CX298+CY298+CZ298,1),0)</f>
        <v>0</v>
      </c>
      <c r="K298" s="0" t="s">
        <v>4369</v>
      </c>
      <c r="L298" s="0" t="s">
        <v>163</v>
      </c>
      <c r="O298" s="0" t="s">
        <v>4410</v>
      </c>
      <c r="P298" s="0" t="s">
        <v>4411</v>
      </c>
      <c r="Q298" s="0" t="s">
        <v>4412</v>
      </c>
      <c r="R298" s="5" t="s">
        <v>162</v>
      </c>
      <c r="S298" s="0" t="s">
        <v>163</v>
      </c>
      <c r="T298" s="5" t="s">
        <v>162</v>
      </c>
      <c r="U298" s="5" t="s">
        <v>561</v>
      </c>
      <c r="V298" s="0" t="s">
        <v>4411</v>
      </c>
      <c r="W298" s="0" t="s">
        <v>166</v>
      </c>
      <c r="X298" s="0" t="s">
        <v>167</v>
      </c>
      <c r="Y298" s="0" t="str">
        <f aca="false">IF(EU298&lt;&gt;"Y","",COUNTIFS($EU$2:$EU$1000,"Y",$J$2:$J$1000,"&gt;"&amp;J298)+COUNTIFS($EU$2:$EU$1000,"Y",$J$2:$J$1000,J298,$EW$2:$EW$1000,"&lt;"&amp;EW298)+1)</f>
        <v/>
      </c>
      <c r="AA298" s="0" t="s">
        <v>162</v>
      </c>
      <c r="AD298" s="0" t="s">
        <v>158</v>
      </c>
      <c r="AH298" s="5" t="s">
        <v>158</v>
      </c>
      <c r="AI298" s="0" t="s">
        <v>4371</v>
      </c>
      <c r="AJ298" s="0" t="s">
        <v>4413</v>
      </c>
      <c r="AK298" s="0" t="s">
        <v>178</v>
      </c>
      <c r="AL298" s="0" t="s">
        <v>163</v>
      </c>
      <c r="AM298" s="0" t="s">
        <v>163</v>
      </c>
      <c r="AN298" s="0" t="s">
        <v>158</v>
      </c>
      <c r="AO298" s="0" t="s">
        <v>163</v>
      </c>
      <c r="AP298" s="0" t="s">
        <v>4408</v>
      </c>
      <c r="AQ298" s="5" t="s">
        <v>162</v>
      </c>
      <c r="AT298" s="0" t="str">
        <f aca="false">IF(AND(AX298="pass",AQ298&lt;&gt;"Y",C298&lt;&gt;"",OR(AW298&lt;&gt;"Y",AV298="Y")),"Y","N")</f>
        <v>N</v>
      </c>
      <c r="AU298" s="0" t="str">
        <f aca="false">_xlfn.TEXTJOIN("; ",TRUE(),IF(AX298&lt;&gt;"pass","gated out",""),IF(AQ298="Y","on hold: "&amp;AR298,""),IF(C298="","no contact named on an opened page",""),IF(AND(AW298="Y",AV298&lt;&gt;"Y"),"Tuesday estimate band "&amp;L298&amp;": founder's call",""))</f>
        <v>gated out; no contact named on an opened page</v>
      </c>
      <c r="AW298" s="0" t="s">
        <v>162</v>
      </c>
      <c r="AX298" s="0" t="s">
        <v>3703</v>
      </c>
      <c r="AY298" s="0" t="s">
        <v>4372</v>
      </c>
      <c r="AZ298" s="0" t="s">
        <v>1</v>
      </c>
      <c r="BA298" s="0" t="s">
        <v>4414</v>
      </c>
      <c r="BB298" s="0" t="s">
        <v>4415</v>
      </c>
      <c r="BC298" s="0" t="s">
        <v>4416</v>
      </c>
      <c r="BD298" s="0" t="s">
        <v>163</v>
      </c>
      <c r="BF298" s="0" t="s">
        <v>163</v>
      </c>
      <c r="BG298" s="0" t="s">
        <v>163</v>
      </c>
      <c r="BH298" s="0" t="s">
        <v>2195</v>
      </c>
      <c r="BK298" s="0" t="s">
        <v>163</v>
      </c>
      <c r="BL298" s="0" t="s">
        <v>163</v>
      </c>
      <c r="BM298" s="0" t="s">
        <v>163</v>
      </c>
      <c r="BN298" s="0" t="s">
        <v>163</v>
      </c>
      <c r="BO298" s="0" t="s">
        <v>163</v>
      </c>
      <c r="BP298" s="0" t="s">
        <v>243</v>
      </c>
      <c r="BQ298" s="0" t="n">
        <v>40.745308</v>
      </c>
      <c r="BR298" s="0" t="n">
        <v>-73.98356</v>
      </c>
      <c r="BS298" s="0" t="s">
        <v>162</v>
      </c>
      <c r="BT298" s="0" t="n">
        <v>0.2</v>
      </c>
      <c r="BV298" s="0" t="s">
        <v>163</v>
      </c>
      <c r="BW298" s="0" t="s">
        <v>4411</v>
      </c>
      <c r="BX298" s="0" t="s">
        <v>4412</v>
      </c>
      <c r="BY298" s="0" t="s">
        <v>247</v>
      </c>
      <c r="BZ298" s="0" t="s">
        <v>4417</v>
      </c>
      <c r="CA298" s="0" t="s">
        <v>166</v>
      </c>
      <c r="CC298" s="0" t="s">
        <v>200</v>
      </c>
      <c r="CE298" s="0" t="s">
        <v>162</v>
      </c>
      <c r="CH298" s="0" t="s">
        <v>163</v>
      </c>
      <c r="CJ298" s="0" t="s">
        <v>163</v>
      </c>
      <c r="CK298" s="0" t="s">
        <v>162</v>
      </c>
      <c r="CL298" s="0" t="s">
        <v>163</v>
      </c>
      <c r="CO298" s="0" t="s">
        <v>163</v>
      </c>
      <c r="CQ298" s="0" t="s">
        <v>2196</v>
      </c>
      <c r="CR298" s="0" t="s">
        <v>206</v>
      </c>
      <c r="CS298" s="0" t="s">
        <v>163</v>
      </c>
      <c r="CT298" s="0" t="n">
        <v>36</v>
      </c>
      <c r="CU298" s="0" t="n">
        <v>7</v>
      </c>
      <c r="CV298" s="0" t="n">
        <v>8</v>
      </c>
      <c r="CW298" s="0" t="n">
        <v>6</v>
      </c>
      <c r="CX298" s="0" t="n">
        <v>15</v>
      </c>
      <c r="CY298" s="0" t="n">
        <f aca="false">IF(AH298="exact",10,IF(AH298="adjacent",5,0))</f>
        <v>0</v>
      </c>
      <c r="CZ298" s="0" t="n">
        <f aca="false">IF(R298="Y",15,0)</f>
        <v>0</v>
      </c>
      <c r="DF298" s="0" t="s">
        <v>158</v>
      </c>
      <c r="DG298" s="0" t="s">
        <v>3712</v>
      </c>
      <c r="DH298" s="0" t="s">
        <v>3713</v>
      </c>
      <c r="DI298" s="0" t="s">
        <v>162</v>
      </c>
      <c r="DJ298" s="0" t="s">
        <v>4418</v>
      </c>
      <c r="DK298" s="0" t="s">
        <v>4419</v>
      </c>
      <c r="DS298" s="0" t="s">
        <v>158</v>
      </c>
      <c r="DX298" s="0" t="s">
        <v>162</v>
      </c>
      <c r="ER298" s="0" t="str">
        <f aca="false">IF(ISNUMBER(MATCH(U298,{"queued","contacted","replied","call_booked","call_done","yes_in_principle","materials_sent"},0)),"Y","N")</f>
        <v>N</v>
      </c>
      <c r="ES298" s="0" t="str">
        <f aca="false">IF(COUNTIFS($AP$2:$AP$1000,AP298,$ER$2:$ER$1000,"Y")+COUNTIFS($AP$2:$AP$1000,AP298,$T$2:$T$1000,"Y")&gt;0,"Y","N")</f>
        <v>N</v>
      </c>
      <c r="ET298" s="0" t="str">
        <f aca="false">IF(AND(U298="new",T298="N",AT298="Y",AS298="",ES298="N"),"Y","N")</f>
        <v>N</v>
      </c>
      <c r="EU298" s="0" t="str">
        <f aca="false">IF(ET298&lt;&gt;"Y","N",IF(COUNTIFS($AP$2:$AP$1000,AP298,$ET$2:$ET$1000,"Y",$J$2:$J$1000,"&gt;"&amp;J298)+COUNTIFS($AP$2:$AP$1000,AP298,$ET$2:$ET$1000,"Y",$J$2:$J$1000,J298,$EW$2:$EW$1000,"&lt;"&amp;EW298)=0,"Y","N"))</f>
        <v>N</v>
      </c>
      <c r="EV298" s="0" t="str">
        <f aca="false">IF(Y298="","N",IF(Y298&lt;=10,"Y","N"))</f>
        <v>N</v>
      </c>
      <c r="EW298" s="0" t="n">
        <f aca="false">ROW()-1</f>
        <v>297</v>
      </c>
    </row>
    <row r="299" customFormat="false" ht="15" hidden="false" customHeight="false" outlineLevel="0" collapsed="false">
      <c r="A299" s="0" t="s">
        <v>4420</v>
      </c>
      <c r="B299" s="0" t="s">
        <v>4421</v>
      </c>
      <c r="H299" s="5" t="s">
        <v>158</v>
      </c>
      <c r="I299" s="5" t="s">
        <v>159</v>
      </c>
      <c r="J299" s="0" t="n">
        <f aca="false">IF(AX299="pass",ROUND(CU299+CV299+CW299+CX299+CY299+CZ299,1),0)</f>
        <v>0</v>
      </c>
      <c r="K299" s="0" t="s">
        <v>4422</v>
      </c>
      <c r="L299" s="0" t="s">
        <v>163</v>
      </c>
      <c r="R299" s="5" t="s">
        <v>162</v>
      </c>
      <c r="S299" s="0" t="s">
        <v>163</v>
      </c>
      <c r="T299" s="5" t="s">
        <v>162</v>
      </c>
      <c r="U299" s="5" t="s">
        <v>561</v>
      </c>
      <c r="V299" s="0" t="s">
        <v>4423</v>
      </c>
      <c r="W299" s="0" t="s">
        <v>166</v>
      </c>
      <c r="X299" s="0" t="s">
        <v>167</v>
      </c>
      <c r="Y299" s="0" t="str">
        <f aca="false">IF(EU299&lt;&gt;"Y","",COUNTIFS($EU$2:$EU$1000,"Y",$J$2:$J$1000,"&gt;"&amp;J299)+COUNTIFS($EU$2:$EU$1000,"Y",$J$2:$J$1000,J299,$EW$2:$EW$1000,"&lt;"&amp;EW299)+1)</f>
        <v/>
      </c>
      <c r="AA299" s="0" t="s">
        <v>162</v>
      </c>
      <c r="AD299" s="0" t="s">
        <v>158</v>
      </c>
      <c r="AH299" s="5" t="s">
        <v>158</v>
      </c>
      <c r="AI299" s="0" t="s">
        <v>4424</v>
      </c>
      <c r="AJ299" s="0" t="s">
        <v>4425</v>
      </c>
      <c r="AK299" s="0" t="s">
        <v>2227</v>
      </c>
      <c r="AL299" s="0" t="s">
        <v>163</v>
      </c>
      <c r="AM299" s="0" t="s">
        <v>163</v>
      </c>
      <c r="AN299" s="0" t="s">
        <v>158</v>
      </c>
      <c r="AO299" s="0" t="s">
        <v>163</v>
      </c>
      <c r="AP299" s="0" t="s">
        <v>4420</v>
      </c>
      <c r="AQ299" s="5" t="s">
        <v>162</v>
      </c>
      <c r="AT299" s="0" t="str">
        <f aca="false">IF(AND(AX299="pass",AQ299&lt;&gt;"Y",C299&lt;&gt;"",OR(AW299&lt;&gt;"Y",AV299="Y")),"Y","N")</f>
        <v>N</v>
      </c>
      <c r="AU299" s="0" t="str">
        <f aca="false">_xlfn.TEXTJOIN("; ",TRUE(),IF(AX299&lt;&gt;"pass","gated out",""),IF(AQ299="Y","on hold: "&amp;AR299,""),IF(C299="","no contact named on an opened page",""),IF(AND(AW299="Y",AV299&lt;&gt;"Y"),"Tuesday estimate band "&amp;L299&amp;": founder's call",""))</f>
        <v>gated out; no contact named on an opened page</v>
      </c>
      <c r="AW299" s="0" t="s">
        <v>162</v>
      </c>
      <c r="AX299" s="0" t="s">
        <v>3703</v>
      </c>
      <c r="AY299" s="0" t="s">
        <v>4426</v>
      </c>
      <c r="AZ299" s="0" t="s">
        <v>2228</v>
      </c>
      <c r="BA299" s="0" t="s">
        <v>4427</v>
      </c>
      <c r="BB299" s="0" t="s">
        <v>4428</v>
      </c>
      <c r="BC299" s="0" t="s">
        <v>2231</v>
      </c>
      <c r="BD299" s="0" t="s">
        <v>163</v>
      </c>
      <c r="BF299" s="0" t="s">
        <v>163</v>
      </c>
      <c r="BG299" s="0" t="s">
        <v>163</v>
      </c>
      <c r="BK299" s="0" t="s">
        <v>163</v>
      </c>
      <c r="BL299" s="0" t="s">
        <v>2232</v>
      </c>
      <c r="BM299" s="0" t="s">
        <v>163</v>
      </c>
      <c r="BN299" s="0" t="s">
        <v>4429</v>
      </c>
      <c r="BP299" s="0" t="s">
        <v>243</v>
      </c>
      <c r="BQ299" s="0" t="n">
        <v>40.746221</v>
      </c>
      <c r="BR299" s="0" t="n">
        <v>-73.982288</v>
      </c>
      <c r="BS299" s="0" t="s">
        <v>162</v>
      </c>
      <c r="BT299" s="0" t="n">
        <v>2</v>
      </c>
      <c r="BV299" s="0" t="s">
        <v>163</v>
      </c>
      <c r="BW299" s="0" t="s">
        <v>4423</v>
      </c>
      <c r="BX299" s="0" t="s">
        <v>166</v>
      </c>
      <c r="BY299" s="0" t="s">
        <v>2236</v>
      </c>
      <c r="BZ299" s="0" t="s">
        <v>4430</v>
      </c>
      <c r="CC299" s="0" t="s">
        <v>738</v>
      </c>
      <c r="CE299" s="0" t="s">
        <v>162</v>
      </c>
      <c r="CF299" s="0" t="s">
        <v>4427</v>
      </c>
      <c r="CG299" s="0" t="s">
        <v>2238</v>
      </c>
      <c r="CH299" s="0" t="s">
        <v>163</v>
      </c>
      <c r="CJ299" s="0" t="s">
        <v>163</v>
      </c>
      <c r="CK299" s="0" t="s">
        <v>162</v>
      </c>
      <c r="CL299" s="0" t="s">
        <v>163</v>
      </c>
      <c r="CO299" s="0" t="s">
        <v>163</v>
      </c>
      <c r="CQ299" s="0" t="s">
        <v>2239</v>
      </c>
      <c r="CR299" s="0" t="s">
        <v>206</v>
      </c>
      <c r="CS299" s="0" t="s">
        <v>163</v>
      </c>
      <c r="CT299" s="0" t="n">
        <v>34</v>
      </c>
      <c r="CU299" s="0" t="n">
        <v>7</v>
      </c>
      <c r="CV299" s="0" t="n">
        <v>8</v>
      </c>
      <c r="CW299" s="0" t="n">
        <v>6</v>
      </c>
      <c r="CX299" s="0" t="n">
        <v>13</v>
      </c>
      <c r="CY299" s="0" t="n">
        <f aca="false">IF(AH299="exact",10,IF(AH299="adjacent",5,0))</f>
        <v>0</v>
      </c>
      <c r="CZ299" s="0" t="n">
        <f aca="false">IF(R299="Y",15,0)</f>
        <v>0</v>
      </c>
      <c r="DF299" s="0" t="s">
        <v>158</v>
      </c>
      <c r="DG299" s="0" t="s">
        <v>2228</v>
      </c>
      <c r="DK299" s="0" t="s">
        <v>4431</v>
      </c>
      <c r="DS299" s="0" t="s">
        <v>158</v>
      </c>
      <c r="DX299" s="0" t="s">
        <v>162</v>
      </c>
      <c r="ER299" s="0" t="str">
        <f aca="false">IF(ISNUMBER(MATCH(U299,{"queued","contacted","replied","call_booked","call_done","yes_in_principle","materials_sent"},0)),"Y","N")</f>
        <v>N</v>
      </c>
      <c r="ES299" s="0" t="str">
        <f aca="false">IF(COUNTIFS($AP$2:$AP$1000,AP299,$ER$2:$ER$1000,"Y")+COUNTIFS($AP$2:$AP$1000,AP299,$T$2:$T$1000,"Y")&gt;0,"Y","N")</f>
        <v>N</v>
      </c>
      <c r="ET299" s="0" t="str">
        <f aca="false">IF(AND(U299="new",T299="N",AT299="Y",AS299="",ES299="N"),"Y","N")</f>
        <v>N</v>
      </c>
      <c r="EU299" s="0" t="str">
        <f aca="false">IF(ET299&lt;&gt;"Y","N",IF(COUNTIFS($AP$2:$AP$1000,AP299,$ET$2:$ET$1000,"Y",$J$2:$J$1000,"&gt;"&amp;J299)+COUNTIFS($AP$2:$AP$1000,AP299,$ET$2:$ET$1000,"Y",$J$2:$J$1000,J299,$EW$2:$EW$1000,"&lt;"&amp;EW299)=0,"Y","N"))</f>
        <v>N</v>
      </c>
      <c r="EV299" s="0" t="str">
        <f aca="false">IF(Y299="","N",IF(Y299&lt;=10,"Y","N"))</f>
        <v>N</v>
      </c>
      <c r="EW299" s="0" t="n">
        <f aca="false">ROW()-1</f>
        <v>298</v>
      </c>
    </row>
    <row r="300" customFormat="false" ht="15" hidden="false" customHeight="false" outlineLevel="0" collapsed="false">
      <c r="A300" s="0" t="s">
        <v>4432</v>
      </c>
      <c r="B300" s="0" t="s">
        <v>4433</v>
      </c>
      <c r="H300" s="5" t="s">
        <v>158</v>
      </c>
      <c r="I300" s="5" t="s">
        <v>159</v>
      </c>
      <c r="J300" s="0" t="n">
        <f aca="false">IF(AX300="pass",ROUND(CU300+CV300+CW300+CX300+CY300+CZ300,1),0)</f>
        <v>0</v>
      </c>
      <c r="K300" s="0" t="s">
        <v>4434</v>
      </c>
      <c r="L300" s="0" t="s">
        <v>163</v>
      </c>
      <c r="R300" s="5" t="s">
        <v>162</v>
      </c>
      <c r="S300" s="0" t="s">
        <v>163</v>
      </c>
      <c r="T300" s="5" t="s">
        <v>162</v>
      </c>
      <c r="U300" s="5" t="s">
        <v>561</v>
      </c>
      <c r="V300" s="0" t="s">
        <v>2526</v>
      </c>
      <c r="W300" s="0" t="s">
        <v>174</v>
      </c>
      <c r="X300" s="0" t="s">
        <v>167</v>
      </c>
      <c r="Y300" s="0" t="str">
        <f aca="false">IF(EU300&lt;&gt;"Y","",COUNTIFS($EU$2:$EU$1000,"Y",$J$2:$J$1000,"&gt;"&amp;J300)+COUNTIFS($EU$2:$EU$1000,"Y",$J$2:$J$1000,J300,$EW$2:$EW$1000,"&lt;"&amp;EW300)+1)</f>
        <v/>
      </c>
      <c r="AA300" s="0" t="s">
        <v>162</v>
      </c>
      <c r="AD300" s="0" t="s">
        <v>158</v>
      </c>
      <c r="AH300" s="5" t="s">
        <v>158</v>
      </c>
      <c r="AI300" s="0" t="s">
        <v>4435</v>
      </c>
      <c r="AJ300" s="0" t="s">
        <v>163</v>
      </c>
      <c r="AK300" s="0" t="s">
        <v>598</v>
      </c>
      <c r="AL300" s="0" t="s">
        <v>163</v>
      </c>
      <c r="AM300" s="0" t="s">
        <v>163</v>
      </c>
      <c r="AN300" s="0" t="s">
        <v>158</v>
      </c>
      <c r="AO300" s="0" t="s">
        <v>163</v>
      </c>
      <c r="AP300" s="0" t="s">
        <v>4432</v>
      </c>
      <c r="AQ300" s="5" t="s">
        <v>162</v>
      </c>
      <c r="AT300" s="0" t="str">
        <f aca="false">IF(AND(AX300="pass",AQ300&lt;&gt;"Y",C300&lt;&gt;"",OR(AW300&lt;&gt;"Y",AV300="Y")),"Y","N")</f>
        <v>N</v>
      </c>
      <c r="AU300" s="0" t="str">
        <f aca="false">_xlfn.TEXTJOIN("; ",TRUE(),IF(AX300&lt;&gt;"pass","gated out",""),IF(AQ300="Y","on hold: "&amp;AR300,""),IF(C300="","no contact named on an opened page",""),IF(AND(AW300="Y",AV300&lt;&gt;"Y"),"Tuesday estimate band "&amp;L300&amp;": founder's call",""))</f>
        <v>gated out; no contact named on an opened page</v>
      </c>
      <c r="AW300" s="0" t="s">
        <v>162</v>
      </c>
      <c r="AX300" s="0" t="s">
        <v>3703</v>
      </c>
      <c r="AY300" s="0" t="s">
        <v>4436</v>
      </c>
      <c r="AZ300" s="0" t="s">
        <v>2228</v>
      </c>
      <c r="BA300" s="0" t="s">
        <v>4437</v>
      </c>
      <c r="BB300" s="0" t="s">
        <v>2490</v>
      </c>
      <c r="BC300" s="0" t="s">
        <v>2231</v>
      </c>
      <c r="BD300" s="0" t="s">
        <v>163</v>
      </c>
      <c r="BF300" s="0" t="s">
        <v>163</v>
      </c>
      <c r="BG300" s="0" t="s">
        <v>163</v>
      </c>
      <c r="BK300" s="0" t="s">
        <v>163</v>
      </c>
      <c r="BL300" s="0" t="s">
        <v>2232</v>
      </c>
      <c r="BM300" s="0" t="s">
        <v>163</v>
      </c>
      <c r="BN300" s="0" t="s">
        <v>4438</v>
      </c>
      <c r="BP300" s="0" t="s">
        <v>377</v>
      </c>
      <c r="BQ300" s="0" t="n">
        <v>40.737788</v>
      </c>
      <c r="BR300" s="0" t="n">
        <v>-73.992555</v>
      </c>
      <c r="BS300" s="0" t="s">
        <v>168</v>
      </c>
      <c r="BT300" s="0" t="n">
        <v>0</v>
      </c>
      <c r="BU300" s="0" t="s">
        <v>2535</v>
      </c>
      <c r="BV300" s="0" t="s">
        <v>2528</v>
      </c>
      <c r="BW300" s="0" t="s">
        <v>2526</v>
      </c>
      <c r="BX300" s="0" t="s">
        <v>4439</v>
      </c>
      <c r="BY300" s="0" t="s">
        <v>2236</v>
      </c>
      <c r="CC300" s="0" t="s">
        <v>738</v>
      </c>
      <c r="CE300" s="0" t="s">
        <v>162</v>
      </c>
      <c r="CF300" s="0" t="s">
        <v>4437</v>
      </c>
      <c r="CG300" s="0" t="s">
        <v>163</v>
      </c>
      <c r="CH300" s="0" t="s">
        <v>163</v>
      </c>
      <c r="CJ300" s="0" t="s">
        <v>163</v>
      </c>
      <c r="CK300" s="0" t="s">
        <v>162</v>
      </c>
      <c r="CL300" s="0" t="s">
        <v>163</v>
      </c>
      <c r="CO300" s="0" t="s">
        <v>163</v>
      </c>
      <c r="CQ300" s="0" t="s">
        <v>2239</v>
      </c>
      <c r="CR300" s="0" t="s">
        <v>206</v>
      </c>
      <c r="CS300" s="0" t="s">
        <v>163</v>
      </c>
      <c r="CT300" s="0" t="n">
        <v>26</v>
      </c>
      <c r="CU300" s="0" t="n">
        <v>7</v>
      </c>
      <c r="CV300" s="0" t="n">
        <v>8</v>
      </c>
      <c r="CW300" s="0" t="n">
        <v>6</v>
      </c>
      <c r="CX300" s="0" t="n">
        <v>5</v>
      </c>
      <c r="CY300" s="0" t="n">
        <f aca="false">IF(AH300="exact",10,IF(AH300="adjacent",5,0))</f>
        <v>0</v>
      </c>
      <c r="CZ300" s="0" t="n">
        <f aca="false">IF(R300="Y",15,0)</f>
        <v>0</v>
      </c>
      <c r="DF300" s="0" t="s">
        <v>158</v>
      </c>
      <c r="DG300" s="0" t="s">
        <v>2228</v>
      </c>
      <c r="DK300" s="0" t="s">
        <v>4440</v>
      </c>
      <c r="DS300" s="0" t="s">
        <v>158</v>
      </c>
      <c r="DX300" s="0" t="s">
        <v>162</v>
      </c>
      <c r="ER300" s="0" t="str">
        <f aca="false">IF(ISNUMBER(MATCH(U300,{"queued","contacted","replied","call_booked","call_done","yes_in_principle","materials_sent"},0)),"Y","N")</f>
        <v>N</v>
      </c>
      <c r="ES300" s="0" t="str">
        <f aca="false">IF(COUNTIFS($AP$2:$AP$1000,AP300,$ER$2:$ER$1000,"Y")+COUNTIFS($AP$2:$AP$1000,AP300,$T$2:$T$1000,"Y")&gt;0,"Y","N")</f>
        <v>N</v>
      </c>
      <c r="ET300" s="0" t="str">
        <f aca="false">IF(AND(U300="new",T300="N",AT300="Y",AS300="",ES300="N"),"Y","N")</f>
        <v>N</v>
      </c>
      <c r="EU300" s="0" t="str">
        <f aca="false">IF(ET300&lt;&gt;"Y","N",IF(COUNTIFS($AP$2:$AP$1000,AP300,$ET$2:$ET$1000,"Y",$J$2:$J$1000,"&gt;"&amp;J300)+COUNTIFS($AP$2:$AP$1000,AP300,$ET$2:$ET$1000,"Y",$J$2:$J$1000,J300,$EW$2:$EW$1000,"&lt;"&amp;EW300)=0,"Y","N"))</f>
        <v>N</v>
      </c>
      <c r="EV300" s="0" t="str">
        <f aca="false">IF(Y300="","N",IF(Y300&lt;=10,"Y","N"))</f>
        <v>N</v>
      </c>
      <c r="EW300" s="0" t="n">
        <f aca="false">ROW()-1</f>
        <v>299</v>
      </c>
    </row>
    <row r="301" customFormat="false" ht="15" hidden="false" customHeight="false" outlineLevel="0" collapsed="false">
      <c r="A301" s="0" t="s">
        <v>4441</v>
      </c>
      <c r="B301" s="0" t="s">
        <v>4442</v>
      </c>
      <c r="H301" s="5" t="s">
        <v>158</v>
      </c>
      <c r="I301" s="5" t="s">
        <v>159</v>
      </c>
      <c r="J301" s="0" t="n">
        <f aca="false">IF(AX301="pass",ROUND(CU301+CV301+CW301+CX301+CY301+CZ301,1),0)</f>
        <v>0</v>
      </c>
      <c r="K301" s="0" t="s">
        <v>4443</v>
      </c>
      <c r="L301" s="0" t="s">
        <v>163</v>
      </c>
      <c r="R301" s="5" t="s">
        <v>162</v>
      </c>
      <c r="S301" s="0" t="s">
        <v>163</v>
      </c>
      <c r="T301" s="5" t="s">
        <v>162</v>
      </c>
      <c r="U301" s="5" t="s">
        <v>561</v>
      </c>
      <c r="V301" s="0" t="s">
        <v>2276</v>
      </c>
      <c r="W301" s="0" t="s">
        <v>166</v>
      </c>
      <c r="X301" s="0" t="s">
        <v>167</v>
      </c>
      <c r="Y301" s="0" t="str">
        <f aca="false">IF(EU301&lt;&gt;"Y","",COUNTIFS($EU$2:$EU$1000,"Y",$J$2:$J$1000,"&gt;"&amp;J301)+COUNTIFS($EU$2:$EU$1000,"Y",$J$2:$J$1000,J301,$EW$2:$EW$1000,"&lt;"&amp;EW301)+1)</f>
        <v/>
      </c>
      <c r="AA301" s="0" t="s">
        <v>162</v>
      </c>
      <c r="AD301" s="0" t="s">
        <v>158</v>
      </c>
      <c r="AH301" s="5" t="s">
        <v>158</v>
      </c>
      <c r="AI301" s="0" t="s">
        <v>4444</v>
      </c>
      <c r="AJ301" s="0" t="s">
        <v>2278</v>
      </c>
      <c r="AK301" s="0" t="s">
        <v>2227</v>
      </c>
      <c r="AL301" s="0" t="s">
        <v>163</v>
      </c>
      <c r="AM301" s="0" t="s">
        <v>163</v>
      </c>
      <c r="AN301" s="0" t="s">
        <v>158</v>
      </c>
      <c r="AO301" s="0" t="s">
        <v>163</v>
      </c>
      <c r="AP301" s="0" t="s">
        <v>2279</v>
      </c>
      <c r="AQ301" s="5" t="s">
        <v>162</v>
      </c>
      <c r="AT301" s="0" t="str">
        <f aca="false">IF(AND(AX301="pass",AQ301&lt;&gt;"Y",C301&lt;&gt;"",OR(AW301&lt;&gt;"Y",AV301="Y")),"Y","N")</f>
        <v>N</v>
      </c>
      <c r="AU301" s="0" t="str">
        <f aca="false">_xlfn.TEXTJOIN("; ",TRUE(),IF(AX301&lt;&gt;"pass","gated out",""),IF(AQ301="Y","on hold: "&amp;AR301,""),IF(C301="","no contact named on an opened page",""),IF(AND(AW301="Y",AV301&lt;&gt;"Y"),"Tuesday estimate band "&amp;L301&amp;": founder's call",""))</f>
        <v>gated out; no contact named on an opened page</v>
      </c>
      <c r="AW301" s="0" t="s">
        <v>162</v>
      </c>
      <c r="AX301" s="0" t="s">
        <v>3703</v>
      </c>
      <c r="AY301" s="0" t="s">
        <v>4445</v>
      </c>
      <c r="AZ301" s="0" t="s">
        <v>2228</v>
      </c>
      <c r="BA301" s="0" t="s">
        <v>4446</v>
      </c>
      <c r="BB301" s="0" t="s">
        <v>2281</v>
      </c>
      <c r="BC301" s="0" t="s">
        <v>2231</v>
      </c>
      <c r="BD301" s="0" t="s">
        <v>163</v>
      </c>
      <c r="BF301" s="0" t="s">
        <v>163</v>
      </c>
      <c r="BG301" s="0" t="s">
        <v>163</v>
      </c>
      <c r="BK301" s="0" t="s">
        <v>163</v>
      </c>
      <c r="BL301" s="0" t="s">
        <v>2232</v>
      </c>
      <c r="BM301" s="0" t="s">
        <v>163</v>
      </c>
      <c r="BN301" s="0" t="s">
        <v>2282</v>
      </c>
      <c r="BP301" s="0" t="s">
        <v>346</v>
      </c>
      <c r="BQ301" s="0" t="n">
        <v>40.739621</v>
      </c>
      <c r="BR301" s="0" t="n">
        <v>-73.985632</v>
      </c>
      <c r="BS301" s="0" t="s">
        <v>162</v>
      </c>
      <c r="BT301" s="0" t="n">
        <v>0.3</v>
      </c>
      <c r="BV301" s="0" t="s">
        <v>163</v>
      </c>
      <c r="BW301" s="0" t="s">
        <v>2276</v>
      </c>
      <c r="BX301" s="0" t="s">
        <v>166</v>
      </c>
      <c r="BY301" s="0" t="s">
        <v>2236</v>
      </c>
      <c r="BZ301" s="0" t="s">
        <v>2660</v>
      </c>
      <c r="CC301" s="0" t="s">
        <v>738</v>
      </c>
      <c r="CE301" s="0" t="s">
        <v>162</v>
      </c>
      <c r="CF301" s="0" t="s">
        <v>4446</v>
      </c>
      <c r="CG301" s="0" t="s">
        <v>2238</v>
      </c>
      <c r="CH301" s="0" t="s">
        <v>163</v>
      </c>
      <c r="CJ301" s="0" t="s">
        <v>163</v>
      </c>
      <c r="CK301" s="0" t="s">
        <v>162</v>
      </c>
      <c r="CL301" s="0" t="s">
        <v>163</v>
      </c>
      <c r="CO301" s="0" t="s">
        <v>163</v>
      </c>
      <c r="CQ301" s="0" t="s">
        <v>2239</v>
      </c>
      <c r="CR301" s="0" t="s">
        <v>206</v>
      </c>
      <c r="CS301" s="0" t="s">
        <v>163</v>
      </c>
      <c r="CT301" s="0" t="n">
        <v>34</v>
      </c>
      <c r="CU301" s="0" t="n">
        <v>7</v>
      </c>
      <c r="CV301" s="0" t="n">
        <v>8</v>
      </c>
      <c r="CW301" s="0" t="n">
        <v>6</v>
      </c>
      <c r="CX301" s="0" t="n">
        <v>13</v>
      </c>
      <c r="CY301" s="0" t="n">
        <f aca="false">IF(AH301="exact",10,IF(AH301="adjacent",5,0))</f>
        <v>0</v>
      </c>
      <c r="CZ301" s="0" t="n">
        <f aca="false">IF(R301="Y",15,0)</f>
        <v>0</v>
      </c>
      <c r="DF301" s="0" t="s">
        <v>158</v>
      </c>
      <c r="DG301" s="0" t="s">
        <v>2228</v>
      </c>
      <c r="DK301" s="0" t="s">
        <v>4447</v>
      </c>
      <c r="DS301" s="0" t="s">
        <v>158</v>
      </c>
      <c r="DX301" s="0" t="s">
        <v>162</v>
      </c>
      <c r="DZ301" s="0" t="s">
        <v>4448</v>
      </c>
      <c r="ER301" s="0" t="str">
        <f aca="false">IF(ISNUMBER(MATCH(U301,{"queued","contacted","replied","call_booked","call_done","yes_in_principle","materials_sent"},0)),"Y","N")</f>
        <v>N</v>
      </c>
      <c r="ES301" s="0" t="str">
        <f aca="false">IF(COUNTIFS($AP$2:$AP$1000,AP301,$ER$2:$ER$1000,"Y")+COUNTIFS($AP$2:$AP$1000,AP301,$T$2:$T$1000,"Y")&gt;0,"Y","N")</f>
        <v>N</v>
      </c>
      <c r="ET301" s="0" t="str">
        <f aca="false">IF(AND(U301="new",T301="N",AT301="Y",AS301="",ES301="N"),"Y","N")</f>
        <v>N</v>
      </c>
      <c r="EU301" s="0" t="str">
        <f aca="false">IF(ET301&lt;&gt;"Y","N",IF(COUNTIFS($AP$2:$AP$1000,AP301,$ET$2:$ET$1000,"Y",$J$2:$J$1000,"&gt;"&amp;J301)+COUNTIFS($AP$2:$AP$1000,AP301,$ET$2:$ET$1000,"Y",$J$2:$J$1000,J301,$EW$2:$EW$1000,"&lt;"&amp;EW301)=0,"Y","N"))</f>
        <v>N</v>
      </c>
      <c r="EV301" s="0" t="str">
        <f aca="false">IF(Y301="","N",IF(Y301&lt;=10,"Y","N"))</f>
        <v>N</v>
      </c>
      <c r="EW301" s="0" t="n">
        <f aca="false">ROW()-1</f>
        <v>300</v>
      </c>
    </row>
    <row r="302" customFormat="false" ht="15" hidden="false" customHeight="false" outlineLevel="0" collapsed="false">
      <c r="A302" s="0" t="s">
        <v>4449</v>
      </c>
      <c r="B302" s="0" t="s">
        <v>4450</v>
      </c>
      <c r="H302" s="5" t="s">
        <v>158</v>
      </c>
      <c r="I302" s="5" t="s">
        <v>159</v>
      </c>
      <c r="J302" s="0" t="n">
        <f aca="false">IF(AX302="pass",ROUND(CU302+CV302+CW302+CX302+CY302+CZ302,1),0)</f>
        <v>0</v>
      </c>
      <c r="K302" s="0" t="s">
        <v>4451</v>
      </c>
      <c r="L302" s="0" t="s">
        <v>163</v>
      </c>
      <c r="R302" s="5" t="s">
        <v>162</v>
      </c>
      <c r="S302" s="0" t="s">
        <v>163</v>
      </c>
      <c r="T302" s="5" t="s">
        <v>162</v>
      </c>
      <c r="U302" s="5" t="s">
        <v>561</v>
      </c>
      <c r="V302" s="0" t="s">
        <v>4452</v>
      </c>
      <c r="W302" s="0" t="s">
        <v>166</v>
      </c>
      <c r="X302" s="0" t="s">
        <v>167</v>
      </c>
      <c r="Y302" s="0" t="str">
        <f aca="false">IF(EU302&lt;&gt;"Y","",COUNTIFS($EU$2:$EU$1000,"Y",$J$2:$J$1000,"&gt;"&amp;J302)+COUNTIFS($EU$2:$EU$1000,"Y",$J$2:$J$1000,J302,$EW$2:$EW$1000,"&lt;"&amp;EW302)+1)</f>
        <v/>
      </c>
      <c r="AA302" s="0" t="s">
        <v>162</v>
      </c>
      <c r="AD302" s="0" t="s">
        <v>158</v>
      </c>
      <c r="AH302" s="5" t="s">
        <v>158</v>
      </c>
      <c r="AI302" s="0" t="s">
        <v>4453</v>
      </c>
      <c r="AJ302" s="0" t="s">
        <v>163</v>
      </c>
      <c r="AK302" s="0" t="s">
        <v>2227</v>
      </c>
      <c r="AL302" s="0" t="s">
        <v>163</v>
      </c>
      <c r="AM302" s="0" t="s">
        <v>163</v>
      </c>
      <c r="AN302" s="0" t="s">
        <v>158</v>
      </c>
      <c r="AO302" s="0" t="s">
        <v>163</v>
      </c>
      <c r="AP302" s="0" t="s">
        <v>2798</v>
      </c>
      <c r="AQ302" s="5" t="s">
        <v>162</v>
      </c>
      <c r="AT302" s="0" t="str">
        <f aca="false">IF(AND(AX302="pass",AQ302&lt;&gt;"Y",C302&lt;&gt;"",OR(AW302&lt;&gt;"Y",AV302="Y")),"Y","N")</f>
        <v>N</v>
      </c>
      <c r="AU302" s="0" t="str">
        <f aca="false">_xlfn.TEXTJOIN("; ",TRUE(),IF(AX302&lt;&gt;"pass","gated out",""),IF(AQ302="Y","on hold: "&amp;AR302,""),IF(C302="","no contact named on an opened page",""),IF(AND(AW302="Y",AV302&lt;&gt;"Y"),"Tuesday estimate band "&amp;L302&amp;": founder's call",""))</f>
        <v>gated out; no contact named on an opened page</v>
      </c>
      <c r="AW302" s="0" t="s">
        <v>162</v>
      </c>
      <c r="AX302" s="0" t="s">
        <v>3703</v>
      </c>
      <c r="AY302" s="0" t="s">
        <v>4454</v>
      </c>
      <c r="AZ302" s="0" t="s">
        <v>2228</v>
      </c>
      <c r="BA302" s="0" t="s">
        <v>4455</v>
      </c>
      <c r="BB302" s="0" t="s">
        <v>2800</v>
      </c>
      <c r="BC302" s="0" t="s">
        <v>2231</v>
      </c>
      <c r="BD302" s="0" t="s">
        <v>163</v>
      </c>
      <c r="BF302" s="0" t="s">
        <v>163</v>
      </c>
      <c r="BG302" s="0" t="s">
        <v>163</v>
      </c>
      <c r="BK302" s="0" t="s">
        <v>163</v>
      </c>
      <c r="BL302" s="0" t="s">
        <v>2232</v>
      </c>
      <c r="BM302" s="0" t="s">
        <v>163</v>
      </c>
      <c r="BN302" s="0" t="s">
        <v>2801</v>
      </c>
      <c r="BP302" s="0" t="s">
        <v>243</v>
      </c>
      <c r="BQ302" s="0" t="n">
        <v>40.746008</v>
      </c>
      <c r="BR302" s="0" t="n">
        <v>-73.984034</v>
      </c>
      <c r="BS302" s="0" t="s">
        <v>162</v>
      </c>
      <c r="BT302" s="0" t="n">
        <v>0.8</v>
      </c>
      <c r="BV302" s="0" t="s">
        <v>163</v>
      </c>
      <c r="BW302" s="0" t="s">
        <v>4452</v>
      </c>
      <c r="BX302" s="0" t="s">
        <v>166</v>
      </c>
      <c r="BY302" s="0" t="s">
        <v>2236</v>
      </c>
      <c r="CC302" s="0" t="s">
        <v>738</v>
      </c>
      <c r="CE302" s="0" t="s">
        <v>162</v>
      </c>
      <c r="CF302" s="0" t="s">
        <v>4455</v>
      </c>
      <c r="CG302" s="0" t="s">
        <v>2238</v>
      </c>
      <c r="CH302" s="0" t="s">
        <v>163</v>
      </c>
      <c r="CJ302" s="0" t="s">
        <v>163</v>
      </c>
      <c r="CK302" s="0" t="s">
        <v>162</v>
      </c>
      <c r="CL302" s="0" t="s">
        <v>163</v>
      </c>
      <c r="CO302" s="0" t="s">
        <v>163</v>
      </c>
      <c r="CQ302" s="0" t="s">
        <v>2239</v>
      </c>
      <c r="CR302" s="0" t="s">
        <v>206</v>
      </c>
      <c r="CS302" s="0" t="s">
        <v>163</v>
      </c>
      <c r="CT302" s="0" t="n">
        <v>34</v>
      </c>
      <c r="CU302" s="0" t="n">
        <v>7</v>
      </c>
      <c r="CV302" s="0" t="n">
        <v>8</v>
      </c>
      <c r="CW302" s="0" t="n">
        <v>6</v>
      </c>
      <c r="CX302" s="0" t="n">
        <v>13</v>
      </c>
      <c r="CY302" s="0" t="n">
        <f aca="false">IF(AH302="exact",10,IF(AH302="adjacent",5,0))</f>
        <v>0</v>
      </c>
      <c r="CZ302" s="0" t="n">
        <f aca="false">IF(R302="Y",15,0)</f>
        <v>0</v>
      </c>
      <c r="DF302" s="0" t="s">
        <v>158</v>
      </c>
      <c r="DG302" s="0" t="s">
        <v>2228</v>
      </c>
      <c r="DK302" s="0" t="s">
        <v>4456</v>
      </c>
      <c r="DS302" s="0" t="s">
        <v>158</v>
      </c>
      <c r="DX302" s="0" t="s">
        <v>162</v>
      </c>
      <c r="DZ302" s="0" t="s">
        <v>4457</v>
      </c>
      <c r="ER302" s="0" t="str">
        <f aca="false">IF(ISNUMBER(MATCH(U302,{"queued","contacted","replied","call_booked","call_done","yes_in_principle","materials_sent"},0)),"Y","N")</f>
        <v>N</v>
      </c>
      <c r="ES302" s="0" t="str">
        <f aca="false">IF(COUNTIFS($AP$2:$AP$1000,AP302,$ER$2:$ER$1000,"Y")+COUNTIFS($AP$2:$AP$1000,AP302,$T$2:$T$1000,"Y")&gt;0,"Y","N")</f>
        <v>N</v>
      </c>
      <c r="ET302" s="0" t="str">
        <f aca="false">IF(AND(U302="new",T302="N",AT302="Y",AS302="",ES302="N"),"Y","N")</f>
        <v>N</v>
      </c>
      <c r="EU302" s="0" t="str">
        <f aca="false">IF(ET302&lt;&gt;"Y","N",IF(COUNTIFS($AP$2:$AP$1000,AP302,$ET$2:$ET$1000,"Y",$J$2:$J$1000,"&gt;"&amp;J302)+COUNTIFS($AP$2:$AP$1000,AP302,$ET$2:$ET$1000,"Y",$J$2:$J$1000,J302,$EW$2:$EW$1000,"&lt;"&amp;EW302)=0,"Y","N"))</f>
        <v>N</v>
      </c>
      <c r="EV302" s="0" t="str">
        <f aca="false">IF(Y302="","N",IF(Y302&lt;=10,"Y","N"))</f>
        <v>N</v>
      </c>
      <c r="EW302" s="0" t="n">
        <f aca="false">ROW()-1</f>
        <v>301</v>
      </c>
    </row>
    <row r="303" customFormat="false" ht="15" hidden="false" customHeight="false" outlineLevel="0" collapsed="false">
      <c r="A303" s="0" t="s">
        <v>4458</v>
      </c>
      <c r="B303" s="0" t="s">
        <v>4459</v>
      </c>
      <c r="H303" s="5" t="s">
        <v>158</v>
      </c>
      <c r="I303" s="5" t="s">
        <v>159</v>
      </c>
      <c r="J303" s="0" t="n">
        <f aca="false">IF(AX303="pass",ROUND(CU303+CV303+CW303+CX303+CY303+CZ303,1),0)</f>
        <v>0</v>
      </c>
      <c r="K303" s="0" t="s">
        <v>4460</v>
      </c>
      <c r="L303" s="0" t="s">
        <v>163</v>
      </c>
      <c r="R303" s="5" t="s">
        <v>162</v>
      </c>
      <c r="S303" s="0" t="s">
        <v>163</v>
      </c>
      <c r="T303" s="5" t="s">
        <v>162</v>
      </c>
      <c r="U303" s="5" t="s">
        <v>561</v>
      </c>
      <c r="V303" s="0" t="s">
        <v>4461</v>
      </c>
      <c r="W303" s="0" t="s">
        <v>166</v>
      </c>
      <c r="X303" s="0" t="s">
        <v>167</v>
      </c>
      <c r="Y303" s="0" t="str">
        <f aca="false">IF(EU303&lt;&gt;"Y","",COUNTIFS($EU$2:$EU$1000,"Y",$J$2:$J$1000,"&gt;"&amp;J303)+COUNTIFS($EU$2:$EU$1000,"Y",$J$2:$J$1000,J303,$EW$2:$EW$1000,"&lt;"&amp;EW303)+1)</f>
        <v/>
      </c>
      <c r="AA303" s="0" t="s">
        <v>162</v>
      </c>
      <c r="AD303" s="0" t="s">
        <v>158</v>
      </c>
      <c r="AH303" s="5" t="s">
        <v>158</v>
      </c>
      <c r="AI303" s="0" t="s">
        <v>4462</v>
      </c>
      <c r="AJ303" s="0" t="s">
        <v>163</v>
      </c>
      <c r="AK303" s="0" t="s">
        <v>2227</v>
      </c>
      <c r="AL303" s="0" t="s">
        <v>163</v>
      </c>
      <c r="AM303" s="0" t="s">
        <v>163</v>
      </c>
      <c r="AN303" s="0" t="s">
        <v>158</v>
      </c>
      <c r="AO303" s="0" t="s">
        <v>163</v>
      </c>
      <c r="AP303" s="0" t="s">
        <v>2798</v>
      </c>
      <c r="AQ303" s="5" t="s">
        <v>162</v>
      </c>
      <c r="AT303" s="0" t="str">
        <f aca="false">IF(AND(AX303="pass",AQ303&lt;&gt;"Y",C303&lt;&gt;"",OR(AW303&lt;&gt;"Y",AV303="Y")),"Y","N")</f>
        <v>N</v>
      </c>
      <c r="AU303" s="0" t="str">
        <f aca="false">_xlfn.TEXTJOIN("; ",TRUE(),IF(AX303&lt;&gt;"pass","gated out",""),IF(AQ303="Y","on hold: "&amp;AR303,""),IF(C303="","no contact named on an opened page",""),IF(AND(AW303="Y",AV303&lt;&gt;"Y"),"Tuesday estimate band "&amp;L303&amp;": founder's call",""))</f>
        <v>gated out; no contact named on an opened page</v>
      </c>
      <c r="AW303" s="0" t="s">
        <v>162</v>
      </c>
      <c r="AX303" s="0" t="s">
        <v>3703</v>
      </c>
      <c r="AY303" s="0" t="s">
        <v>4463</v>
      </c>
      <c r="AZ303" s="0" t="s">
        <v>2228</v>
      </c>
      <c r="BA303" s="0" t="s">
        <v>4464</v>
      </c>
      <c r="BB303" s="0" t="s">
        <v>2800</v>
      </c>
      <c r="BC303" s="0" t="s">
        <v>2231</v>
      </c>
      <c r="BD303" s="0" t="s">
        <v>163</v>
      </c>
      <c r="BF303" s="0" t="s">
        <v>163</v>
      </c>
      <c r="BG303" s="0" t="s">
        <v>163</v>
      </c>
      <c r="BK303" s="0" t="s">
        <v>163</v>
      </c>
      <c r="BL303" s="0" t="s">
        <v>2232</v>
      </c>
      <c r="BM303" s="0" t="s">
        <v>163</v>
      </c>
      <c r="BN303" s="0" t="s">
        <v>2801</v>
      </c>
      <c r="BP303" s="0" t="s">
        <v>193</v>
      </c>
      <c r="BQ303" s="0" t="n">
        <v>40.735166</v>
      </c>
      <c r="BR303" s="0" t="n">
        <v>-73.988236</v>
      </c>
      <c r="BS303" s="0" t="s">
        <v>162</v>
      </c>
      <c r="BT303" s="0" t="n">
        <v>0.9</v>
      </c>
      <c r="BV303" s="0" t="s">
        <v>163</v>
      </c>
      <c r="BW303" s="0" t="s">
        <v>4461</v>
      </c>
      <c r="BX303" s="0" t="s">
        <v>166</v>
      </c>
      <c r="BY303" s="0" t="s">
        <v>2236</v>
      </c>
      <c r="CC303" s="0" t="s">
        <v>738</v>
      </c>
      <c r="CE303" s="0" t="s">
        <v>162</v>
      </c>
      <c r="CF303" s="0" t="s">
        <v>4464</v>
      </c>
      <c r="CG303" s="0" t="s">
        <v>2238</v>
      </c>
      <c r="CH303" s="0" t="s">
        <v>163</v>
      </c>
      <c r="CJ303" s="0" t="s">
        <v>163</v>
      </c>
      <c r="CK303" s="0" t="s">
        <v>162</v>
      </c>
      <c r="CL303" s="0" t="s">
        <v>163</v>
      </c>
      <c r="CO303" s="0" t="s">
        <v>163</v>
      </c>
      <c r="CQ303" s="0" t="s">
        <v>2239</v>
      </c>
      <c r="CR303" s="0" t="s">
        <v>206</v>
      </c>
      <c r="CS303" s="0" t="s">
        <v>163</v>
      </c>
      <c r="CT303" s="0" t="n">
        <v>34</v>
      </c>
      <c r="CU303" s="0" t="n">
        <v>7</v>
      </c>
      <c r="CV303" s="0" t="n">
        <v>8</v>
      </c>
      <c r="CW303" s="0" t="n">
        <v>6</v>
      </c>
      <c r="CX303" s="0" t="n">
        <v>13</v>
      </c>
      <c r="CY303" s="0" t="n">
        <f aca="false">IF(AH303="exact",10,IF(AH303="adjacent",5,0))</f>
        <v>0</v>
      </c>
      <c r="CZ303" s="0" t="n">
        <f aca="false">IF(R303="Y",15,0)</f>
        <v>0</v>
      </c>
      <c r="DF303" s="0" t="s">
        <v>158</v>
      </c>
      <c r="DG303" s="0" t="s">
        <v>2228</v>
      </c>
      <c r="DK303" s="0" t="s">
        <v>4465</v>
      </c>
      <c r="DS303" s="0" t="s">
        <v>158</v>
      </c>
      <c r="DX303" s="0" t="s">
        <v>162</v>
      </c>
      <c r="DZ303" s="0" t="s">
        <v>4466</v>
      </c>
      <c r="ER303" s="0" t="str">
        <f aca="false">IF(ISNUMBER(MATCH(U303,{"queued","contacted","replied","call_booked","call_done","yes_in_principle","materials_sent"},0)),"Y","N")</f>
        <v>N</v>
      </c>
      <c r="ES303" s="0" t="str">
        <f aca="false">IF(COUNTIFS($AP$2:$AP$1000,AP303,$ER$2:$ER$1000,"Y")+COUNTIFS($AP$2:$AP$1000,AP303,$T$2:$T$1000,"Y")&gt;0,"Y","N")</f>
        <v>N</v>
      </c>
      <c r="ET303" s="0" t="str">
        <f aca="false">IF(AND(U303="new",T303="N",AT303="Y",AS303="",ES303="N"),"Y","N")</f>
        <v>N</v>
      </c>
      <c r="EU303" s="0" t="str">
        <f aca="false">IF(ET303&lt;&gt;"Y","N",IF(COUNTIFS($AP$2:$AP$1000,AP303,$ET$2:$ET$1000,"Y",$J$2:$J$1000,"&gt;"&amp;J303)+COUNTIFS($AP$2:$AP$1000,AP303,$ET$2:$ET$1000,"Y",$J$2:$J$1000,J303,$EW$2:$EW$1000,"&lt;"&amp;EW303)=0,"Y","N"))</f>
        <v>N</v>
      </c>
      <c r="EV303" s="0" t="str">
        <f aca="false">IF(Y303="","N",IF(Y303&lt;=10,"Y","N"))</f>
        <v>N</v>
      </c>
      <c r="EW303" s="0" t="n">
        <f aca="false">ROW()-1</f>
        <v>302</v>
      </c>
    </row>
    <row r="304" customFormat="false" ht="15" hidden="false" customHeight="false" outlineLevel="0" collapsed="false">
      <c r="A304" s="0" t="s">
        <v>4467</v>
      </c>
      <c r="B304" s="0" t="s">
        <v>4468</v>
      </c>
      <c r="H304" s="5" t="s">
        <v>158</v>
      </c>
      <c r="I304" s="5" t="s">
        <v>159</v>
      </c>
      <c r="J304" s="0" t="n">
        <f aca="false">IF(AX304="pass",ROUND(CU304+CV304+CW304+CX304+CY304+CZ304,1),0)</f>
        <v>0</v>
      </c>
      <c r="K304" s="0" t="s">
        <v>4434</v>
      </c>
      <c r="L304" s="0" t="s">
        <v>163</v>
      </c>
      <c r="R304" s="5" t="s">
        <v>162</v>
      </c>
      <c r="S304" s="0" t="s">
        <v>163</v>
      </c>
      <c r="T304" s="5" t="s">
        <v>162</v>
      </c>
      <c r="U304" s="5" t="s">
        <v>561</v>
      </c>
      <c r="V304" s="0" t="s">
        <v>4469</v>
      </c>
      <c r="W304" s="0" t="s">
        <v>166</v>
      </c>
      <c r="X304" s="0" t="s">
        <v>167</v>
      </c>
      <c r="Y304" s="0" t="str">
        <f aca="false">IF(EU304&lt;&gt;"Y","",COUNTIFS($EU$2:$EU$1000,"Y",$J$2:$J$1000,"&gt;"&amp;J304)+COUNTIFS($EU$2:$EU$1000,"Y",$J$2:$J$1000,J304,$EW$2:$EW$1000,"&lt;"&amp;EW304)+1)</f>
        <v/>
      </c>
      <c r="AA304" s="0" t="s">
        <v>162</v>
      </c>
      <c r="AD304" s="0" t="s">
        <v>158</v>
      </c>
      <c r="AH304" s="5" t="s">
        <v>158</v>
      </c>
      <c r="AI304" s="0" t="s">
        <v>4470</v>
      </c>
      <c r="AJ304" s="0" t="s">
        <v>2772</v>
      </c>
      <c r="AK304" s="0" t="s">
        <v>598</v>
      </c>
      <c r="AL304" s="0" t="s">
        <v>163</v>
      </c>
      <c r="AM304" s="0" t="s">
        <v>163</v>
      </c>
      <c r="AN304" s="0" t="s">
        <v>158</v>
      </c>
      <c r="AO304" s="0" t="s">
        <v>163</v>
      </c>
      <c r="AP304" s="0" t="s">
        <v>4467</v>
      </c>
      <c r="AQ304" s="5" t="s">
        <v>162</v>
      </c>
      <c r="AT304" s="0" t="str">
        <f aca="false">IF(AND(AX304="pass",AQ304&lt;&gt;"Y",C304&lt;&gt;"",OR(AW304&lt;&gt;"Y",AV304="Y")),"Y","N")</f>
        <v>N</v>
      </c>
      <c r="AU304" s="0" t="str">
        <f aca="false">_xlfn.TEXTJOIN("; ",TRUE(),IF(AX304&lt;&gt;"pass","gated out",""),IF(AQ304="Y","on hold: "&amp;AR304,""),IF(C304="","no contact named on an opened page",""),IF(AND(AW304="Y",AV304&lt;&gt;"Y"),"Tuesday estimate band "&amp;L304&amp;": founder's call",""))</f>
        <v>gated out; no contact named on an opened page</v>
      </c>
      <c r="AW304" s="0" t="s">
        <v>162</v>
      </c>
      <c r="AX304" s="0" t="s">
        <v>3703</v>
      </c>
      <c r="AY304" s="0" t="s">
        <v>4436</v>
      </c>
      <c r="AZ304" s="0" t="s">
        <v>2228</v>
      </c>
      <c r="BA304" s="0" t="s">
        <v>4471</v>
      </c>
      <c r="BB304" s="0" t="s">
        <v>4472</v>
      </c>
      <c r="BC304" s="0" t="s">
        <v>2231</v>
      </c>
      <c r="BD304" s="0" t="s">
        <v>163</v>
      </c>
      <c r="BF304" s="0" t="s">
        <v>163</v>
      </c>
      <c r="BG304" s="0" t="s">
        <v>163</v>
      </c>
      <c r="BK304" s="0" t="s">
        <v>163</v>
      </c>
      <c r="BL304" s="0" t="s">
        <v>2232</v>
      </c>
      <c r="BM304" s="0" t="s">
        <v>163</v>
      </c>
      <c r="BN304" s="0" t="s">
        <v>4473</v>
      </c>
      <c r="BP304" s="0" t="s">
        <v>346</v>
      </c>
      <c r="BQ304" s="0" t="n">
        <v>40.739588</v>
      </c>
      <c r="BR304" s="0" t="n">
        <v>-73.986574</v>
      </c>
      <c r="BS304" s="0" t="s">
        <v>168</v>
      </c>
      <c r="BT304" s="0" t="n">
        <v>0</v>
      </c>
      <c r="BU304" s="0" t="s">
        <v>4474</v>
      </c>
      <c r="BV304" s="0" t="s">
        <v>4475</v>
      </c>
      <c r="BW304" s="0" t="s">
        <v>4469</v>
      </c>
      <c r="BX304" s="0" t="s">
        <v>4476</v>
      </c>
      <c r="BY304" s="0" t="s">
        <v>2236</v>
      </c>
      <c r="BZ304" s="0" t="s">
        <v>2660</v>
      </c>
      <c r="CC304" s="0" t="s">
        <v>179</v>
      </c>
      <c r="CE304" s="0" t="s">
        <v>162</v>
      </c>
      <c r="CF304" s="0" t="s">
        <v>4471</v>
      </c>
      <c r="CG304" s="0" t="s">
        <v>163</v>
      </c>
      <c r="CH304" s="0" t="s">
        <v>163</v>
      </c>
      <c r="CJ304" s="0" t="s">
        <v>163</v>
      </c>
      <c r="CK304" s="0" t="s">
        <v>162</v>
      </c>
      <c r="CL304" s="0" t="s">
        <v>163</v>
      </c>
      <c r="CO304" s="0" t="s">
        <v>163</v>
      </c>
      <c r="CQ304" s="0" t="s">
        <v>2239</v>
      </c>
      <c r="CR304" s="0" t="s">
        <v>206</v>
      </c>
      <c r="CS304" s="0" t="s">
        <v>163</v>
      </c>
      <c r="CT304" s="0" t="n">
        <v>23</v>
      </c>
      <c r="CU304" s="0" t="n">
        <v>7</v>
      </c>
      <c r="CV304" s="0" t="n">
        <v>8</v>
      </c>
      <c r="CW304" s="0" t="n">
        <v>6</v>
      </c>
      <c r="CX304" s="0" t="n">
        <v>2</v>
      </c>
      <c r="CY304" s="0" t="n">
        <f aca="false">IF(AH304="exact",10,IF(AH304="adjacent",5,0))</f>
        <v>0</v>
      </c>
      <c r="CZ304" s="0" t="n">
        <f aca="false">IF(R304="Y",15,0)</f>
        <v>0</v>
      </c>
      <c r="DF304" s="0" t="s">
        <v>158</v>
      </c>
      <c r="DG304" s="0" t="s">
        <v>2228</v>
      </c>
      <c r="DK304" s="0" t="s">
        <v>4477</v>
      </c>
      <c r="DS304" s="0" t="s">
        <v>158</v>
      </c>
      <c r="DX304" s="0" t="s">
        <v>162</v>
      </c>
      <c r="ER304" s="0" t="str">
        <f aca="false">IF(ISNUMBER(MATCH(U304,{"queued","contacted","replied","call_booked","call_done","yes_in_principle","materials_sent"},0)),"Y","N")</f>
        <v>N</v>
      </c>
      <c r="ES304" s="0" t="str">
        <f aca="false">IF(COUNTIFS($AP$2:$AP$1000,AP304,$ER$2:$ER$1000,"Y")+COUNTIFS($AP$2:$AP$1000,AP304,$T$2:$T$1000,"Y")&gt;0,"Y","N")</f>
        <v>N</v>
      </c>
      <c r="ET304" s="0" t="str">
        <f aca="false">IF(AND(U304="new",T304="N",AT304="Y",AS304="",ES304="N"),"Y","N")</f>
        <v>N</v>
      </c>
      <c r="EU304" s="0" t="str">
        <f aca="false">IF(ET304&lt;&gt;"Y","N",IF(COUNTIFS($AP$2:$AP$1000,AP304,$ET$2:$ET$1000,"Y",$J$2:$J$1000,"&gt;"&amp;J304)+COUNTIFS($AP$2:$AP$1000,AP304,$ET$2:$ET$1000,"Y",$J$2:$J$1000,J304,$EW$2:$EW$1000,"&lt;"&amp;EW304)=0,"Y","N"))</f>
        <v>N</v>
      </c>
      <c r="EV304" s="0" t="str">
        <f aca="false">IF(Y304="","N",IF(Y304&lt;=10,"Y","N"))</f>
        <v>N</v>
      </c>
      <c r="EW304" s="0" t="n">
        <f aca="false">ROW()-1</f>
        <v>303</v>
      </c>
    </row>
    <row r="305" customFormat="false" ht="15" hidden="false" customHeight="false" outlineLevel="0" collapsed="false">
      <c r="A305" s="0" t="s">
        <v>4478</v>
      </c>
      <c r="B305" s="0" t="s">
        <v>4479</v>
      </c>
      <c r="H305" s="5" t="s">
        <v>158</v>
      </c>
      <c r="I305" s="5" t="s">
        <v>159</v>
      </c>
      <c r="J305" s="0" t="n">
        <f aca="false">IF(AX305="pass",ROUND(CU305+CV305+CW305+CX305+CY305+CZ305,1),0)</f>
        <v>0</v>
      </c>
      <c r="K305" s="0" t="s">
        <v>4480</v>
      </c>
      <c r="L305" s="0" t="s">
        <v>163</v>
      </c>
      <c r="R305" s="5" t="s">
        <v>162</v>
      </c>
      <c r="S305" s="0" t="s">
        <v>163</v>
      </c>
      <c r="T305" s="5" t="s">
        <v>162</v>
      </c>
      <c r="U305" s="5" t="s">
        <v>561</v>
      </c>
      <c r="V305" s="0" t="s">
        <v>4481</v>
      </c>
      <c r="W305" s="0" t="s">
        <v>166</v>
      </c>
      <c r="X305" s="0" t="s">
        <v>167</v>
      </c>
      <c r="Y305" s="0" t="str">
        <f aca="false">IF(EU305&lt;&gt;"Y","",COUNTIFS($EU$2:$EU$1000,"Y",$J$2:$J$1000,"&gt;"&amp;J305)+COUNTIFS($EU$2:$EU$1000,"Y",$J$2:$J$1000,J305,$EW$2:$EW$1000,"&lt;"&amp;EW305)+1)</f>
        <v/>
      </c>
      <c r="AA305" s="0" t="s">
        <v>162</v>
      </c>
      <c r="AD305" s="0" t="s">
        <v>158</v>
      </c>
      <c r="AH305" s="5" t="s">
        <v>158</v>
      </c>
      <c r="AI305" s="0" t="s">
        <v>4482</v>
      </c>
      <c r="AJ305" s="0" t="s">
        <v>4483</v>
      </c>
      <c r="AK305" s="0" t="s">
        <v>598</v>
      </c>
      <c r="AL305" s="0" t="s">
        <v>163</v>
      </c>
      <c r="AM305" s="0" t="s">
        <v>163</v>
      </c>
      <c r="AN305" s="0" t="s">
        <v>158</v>
      </c>
      <c r="AO305" s="0" t="s">
        <v>163</v>
      </c>
      <c r="AP305" s="0" t="s">
        <v>4484</v>
      </c>
      <c r="AQ305" s="5" t="s">
        <v>162</v>
      </c>
      <c r="AT305" s="0" t="str">
        <f aca="false">IF(AND(AX305="pass",AQ305&lt;&gt;"Y",C305&lt;&gt;"",OR(AW305&lt;&gt;"Y",AV305="Y")),"Y","N")</f>
        <v>N</v>
      </c>
      <c r="AU305" s="0" t="str">
        <f aca="false">_xlfn.TEXTJOIN("; ",TRUE(),IF(AX305&lt;&gt;"pass","gated out",""),IF(AQ305="Y","on hold: "&amp;AR305,""),IF(C305="","no contact named on an opened page",""),IF(AND(AW305="Y",AV305&lt;&gt;"Y"),"Tuesday estimate band "&amp;L305&amp;": founder's call",""))</f>
        <v>gated out; no contact named on an opened page</v>
      </c>
      <c r="AW305" s="0" t="s">
        <v>162</v>
      </c>
      <c r="AX305" s="0" t="s">
        <v>3703</v>
      </c>
      <c r="AY305" s="0" t="s">
        <v>4485</v>
      </c>
      <c r="AZ305" s="0" t="s">
        <v>2228</v>
      </c>
      <c r="BA305" s="0" t="s">
        <v>4486</v>
      </c>
      <c r="BB305" s="0" t="s">
        <v>4487</v>
      </c>
      <c r="BC305" s="0" t="s">
        <v>2231</v>
      </c>
      <c r="BD305" s="0" t="s">
        <v>163</v>
      </c>
      <c r="BF305" s="0" t="s">
        <v>163</v>
      </c>
      <c r="BG305" s="0" t="s">
        <v>163</v>
      </c>
      <c r="BK305" s="0" t="s">
        <v>163</v>
      </c>
      <c r="BL305" s="0" t="s">
        <v>2232</v>
      </c>
      <c r="BM305" s="0" t="s">
        <v>163</v>
      </c>
      <c r="BN305" s="0" t="s">
        <v>4488</v>
      </c>
      <c r="BP305" s="0" t="s">
        <v>711</v>
      </c>
      <c r="BQ305" s="0" t="n">
        <v>40.747741</v>
      </c>
      <c r="BR305" s="0" t="n">
        <v>-73.988094</v>
      </c>
      <c r="BS305" s="0" t="s">
        <v>162</v>
      </c>
      <c r="BT305" s="0" t="n">
        <v>0.8</v>
      </c>
      <c r="BV305" s="0" t="s">
        <v>163</v>
      </c>
      <c r="BW305" s="0" t="s">
        <v>4481</v>
      </c>
      <c r="BX305" s="0" t="s">
        <v>166</v>
      </c>
      <c r="BY305" s="0" t="s">
        <v>2236</v>
      </c>
      <c r="CC305" s="0" t="s">
        <v>179</v>
      </c>
      <c r="CE305" s="0" t="s">
        <v>162</v>
      </c>
      <c r="CF305" s="0" t="s">
        <v>4486</v>
      </c>
      <c r="CG305" s="0" t="s">
        <v>163</v>
      </c>
      <c r="CH305" s="0" t="s">
        <v>163</v>
      </c>
      <c r="CJ305" s="0" t="s">
        <v>163</v>
      </c>
      <c r="CK305" s="0" t="s">
        <v>162</v>
      </c>
      <c r="CL305" s="0" t="s">
        <v>163</v>
      </c>
      <c r="CO305" s="0" t="s">
        <v>163</v>
      </c>
      <c r="CQ305" s="0" t="s">
        <v>2239</v>
      </c>
      <c r="CR305" s="0" t="s">
        <v>206</v>
      </c>
      <c r="CS305" s="0" t="s">
        <v>163</v>
      </c>
      <c r="CT305" s="0" t="n">
        <v>23</v>
      </c>
      <c r="CU305" s="0" t="n">
        <v>7</v>
      </c>
      <c r="CV305" s="0" t="n">
        <v>8</v>
      </c>
      <c r="CW305" s="0" t="n">
        <v>6</v>
      </c>
      <c r="CX305" s="0" t="n">
        <v>2</v>
      </c>
      <c r="CY305" s="0" t="n">
        <f aca="false">IF(AH305="exact",10,IF(AH305="adjacent",5,0))</f>
        <v>0</v>
      </c>
      <c r="CZ305" s="0" t="n">
        <f aca="false">IF(R305="Y",15,0)</f>
        <v>0</v>
      </c>
      <c r="DF305" s="0" t="s">
        <v>158</v>
      </c>
      <c r="DG305" s="0" t="s">
        <v>2228</v>
      </c>
      <c r="DK305" s="0" t="s">
        <v>4489</v>
      </c>
      <c r="DS305" s="0" t="s">
        <v>158</v>
      </c>
      <c r="DX305" s="0" t="s">
        <v>162</v>
      </c>
      <c r="DZ305" s="0" t="s">
        <v>4490</v>
      </c>
      <c r="ER305" s="0" t="str">
        <f aca="false">IF(ISNUMBER(MATCH(U305,{"queued","contacted","replied","call_booked","call_done","yes_in_principle","materials_sent"},0)),"Y","N")</f>
        <v>N</v>
      </c>
      <c r="ES305" s="0" t="str">
        <f aca="false">IF(COUNTIFS($AP$2:$AP$1000,AP305,$ER$2:$ER$1000,"Y")+COUNTIFS($AP$2:$AP$1000,AP305,$T$2:$T$1000,"Y")&gt;0,"Y","N")</f>
        <v>N</v>
      </c>
      <c r="ET305" s="0" t="str">
        <f aca="false">IF(AND(U305="new",T305="N",AT305="Y",AS305="",ES305="N"),"Y","N")</f>
        <v>N</v>
      </c>
      <c r="EU305" s="0" t="str">
        <f aca="false">IF(ET305&lt;&gt;"Y","N",IF(COUNTIFS($AP$2:$AP$1000,AP305,$ET$2:$ET$1000,"Y",$J$2:$J$1000,"&gt;"&amp;J305)+COUNTIFS($AP$2:$AP$1000,AP305,$ET$2:$ET$1000,"Y",$J$2:$J$1000,J305,$EW$2:$EW$1000,"&lt;"&amp;EW305)=0,"Y","N"))</f>
        <v>N</v>
      </c>
      <c r="EV305" s="0" t="str">
        <f aca="false">IF(Y305="","N",IF(Y305&lt;=10,"Y","N"))</f>
        <v>N</v>
      </c>
      <c r="EW305" s="0" t="n">
        <f aca="false">ROW()-1</f>
        <v>304</v>
      </c>
    </row>
    <row r="306" customFormat="false" ht="15" hidden="false" customHeight="false" outlineLevel="0" collapsed="false">
      <c r="A306" s="0" t="s">
        <v>4491</v>
      </c>
      <c r="B306" s="0" t="s">
        <v>4492</v>
      </c>
      <c r="H306" s="5" t="s">
        <v>158</v>
      </c>
      <c r="I306" s="5" t="s">
        <v>159</v>
      </c>
      <c r="J306" s="0" t="n">
        <f aca="false">IF(AX306="pass",ROUND(CU306+CV306+CW306+CX306+CY306+CZ306,1),0)</f>
        <v>0</v>
      </c>
      <c r="K306" s="0" t="s">
        <v>4480</v>
      </c>
      <c r="L306" s="0" t="s">
        <v>163</v>
      </c>
      <c r="R306" s="5" t="s">
        <v>162</v>
      </c>
      <c r="S306" s="0" t="s">
        <v>163</v>
      </c>
      <c r="T306" s="5" t="s">
        <v>162</v>
      </c>
      <c r="U306" s="5" t="s">
        <v>561</v>
      </c>
      <c r="V306" s="0" t="s">
        <v>4493</v>
      </c>
      <c r="W306" s="0" t="s">
        <v>166</v>
      </c>
      <c r="X306" s="0" t="s">
        <v>167</v>
      </c>
      <c r="Y306" s="0" t="str">
        <f aca="false">IF(EU306&lt;&gt;"Y","",COUNTIFS($EU$2:$EU$1000,"Y",$J$2:$J$1000,"&gt;"&amp;J306)+COUNTIFS($EU$2:$EU$1000,"Y",$J$2:$J$1000,J306,$EW$2:$EW$1000,"&lt;"&amp;EW306)+1)</f>
        <v/>
      </c>
      <c r="AA306" s="0" t="s">
        <v>162</v>
      </c>
      <c r="AD306" s="0" t="s">
        <v>158</v>
      </c>
      <c r="AH306" s="5" t="s">
        <v>158</v>
      </c>
      <c r="AI306" s="0" t="s">
        <v>4494</v>
      </c>
      <c r="AJ306" s="0" t="s">
        <v>2658</v>
      </c>
      <c r="AK306" s="0" t="s">
        <v>598</v>
      </c>
      <c r="AL306" s="0" t="s">
        <v>163</v>
      </c>
      <c r="AM306" s="0" t="s">
        <v>163</v>
      </c>
      <c r="AN306" s="0" t="s">
        <v>158</v>
      </c>
      <c r="AO306" s="0" t="s">
        <v>163</v>
      </c>
      <c r="AP306" s="0" t="s">
        <v>4484</v>
      </c>
      <c r="AQ306" s="5" t="s">
        <v>162</v>
      </c>
      <c r="AT306" s="0" t="str">
        <f aca="false">IF(AND(AX306="pass",AQ306&lt;&gt;"Y",C306&lt;&gt;"",OR(AW306&lt;&gt;"Y",AV306="Y")),"Y","N")</f>
        <v>N</v>
      </c>
      <c r="AU306" s="0" t="str">
        <f aca="false">_xlfn.TEXTJOIN("; ",TRUE(),IF(AX306&lt;&gt;"pass","gated out",""),IF(AQ306="Y","on hold: "&amp;AR306,""),IF(C306="","no contact named on an opened page",""),IF(AND(AW306="Y",AV306&lt;&gt;"Y"),"Tuesday estimate band "&amp;L306&amp;": founder's call",""))</f>
        <v>gated out; no contact named on an opened page</v>
      </c>
      <c r="AW306" s="0" t="s">
        <v>162</v>
      </c>
      <c r="AX306" s="0" t="s">
        <v>3703</v>
      </c>
      <c r="AY306" s="0" t="s">
        <v>4485</v>
      </c>
      <c r="AZ306" s="0" t="s">
        <v>2228</v>
      </c>
      <c r="BA306" s="0" t="s">
        <v>4495</v>
      </c>
      <c r="BB306" s="0" t="s">
        <v>4487</v>
      </c>
      <c r="BC306" s="0" t="s">
        <v>2231</v>
      </c>
      <c r="BD306" s="0" t="s">
        <v>163</v>
      </c>
      <c r="BF306" s="0" t="s">
        <v>163</v>
      </c>
      <c r="BG306" s="0" t="s">
        <v>163</v>
      </c>
      <c r="BK306" s="0" t="s">
        <v>163</v>
      </c>
      <c r="BL306" s="0" t="s">
        <v>2232</v>
      </c>
      <c r="BM306" s="0" t="s">
        <v>163</v>
      </c>
      <c r="BN306" s="0" t="s">
        <v>4488</v>
      </c>
      <c r="BP306" s="0" t="s">
        <v>243</v>
      </c>
      <c r="BQ306" s="0" t="n">
        <v>40.746229</v>
      </c>
      <c r="BR306" s="0" t="n">
        <v>-73.984472</v>
      </c>
      <c r="BS306" s="0" t="s">
        <v>162</v>
      </c>
      <c r="BT306" s="0" t="n">
        <v>0.8</v>
      </c>
      <c r="BV306" s="0" t="s">
        <v>163</v>
      </c>
      <c r="BW306" s="0" t="s">
        <v>4493</v>
      </c>
      <c r="BX306" s="0" t="s">
        <v>166</v>
      </c>
      <c r="BY306" s="0" t="s">
        <v>2236</v>
      </c>
      <c r="CC306" s="0" t="s">
        <v>179</v>
      </c>
      <c r="CE306" s="0" t="s">
        <v>162</v>
      </c>
      <c r="CF306" s="0" t="s">
        <v>4495</v>
      </c>
      <c r="CG306" s="0" t="s">
        <v>163</v>
      </c>
      <c r="CH306" s="0" t="s">
        <v>163</v>
      </c>
      <c r="CJ306" s="0" t="s">
        <v>163</v>
      </c>
      <c r="CK306" s="0" t="s">
        <v>162</v>
      </c>
      <c r="CL306" s="0" t="s">
        <v>163</v>
      </c>
      <c r="CO306" s="0" t="s">
        <v>163</v>
      </c>
      <c r="CQ306" s="0" t="s">
        <v>2239</v>
      </c>
      <c r="CR306" s="0" t="s">
        <v>206</v>
      </c>
      <c r="CS306" s="0" t="s">
        <v>163</v>
      </c>
      <c r="CT306" s="0" t="n">
        <v>23</v>
      </c>
      <c r="CU306" s="0" t="n">
        <v>7</v>
      </c>
      <c r="CV306" s="0" t="n">
        <v>8</v>
      </c>
      <c r="CW306" s="0" t="n">
        <v>6</v>
      </c>
      <c r="CX306" s="0" t="n">
        <v>2</v>
      </c>
      <c r="CY306" s="0" t="n">
        <f aca="false">IF(AH306="exact",10,IF(AH306="adjacent",5,0))</f>
        <v>0</v>
      </c>
      <c r="CZ306" s="0" t="n">
        <f aca="false">IF(R306="Y",15,0)</f>
        <v>0</v>
      </c>
      <c r="DF306" s="0" t="s">
        <v>158</v>
      </c>
      <c r="DG306" s="0" t="s">
        <v>2228</v>
      </c>
      <c r="DK306" s="0" t="s">
        <v>4496</v>
      </c>
      <c r="DS306" s="0" t="s">
        <v>158</v>
      </c>
      <c r="DX306" s="0" t="s">
        <v>162</v>
      </c>
      <c r="DZ306" s="0" t="s">
        <v>4497</v>
      </c>
      <c r="ER306" s="0" t="str">
        <f aca="false">IF(ISNUMBER(MATCH(U306,{"queued","contacted","replied","call_booked","call_done","yes_in_principle","materials_sent"},0)),"Y","N")</f>
        <v>N</v>
      </c>
      <c r="ES306" s="0" t="str">
        <f aca="false">IF(COUNTIFS($AP$2:$AP$1000,AP306,$ER$2:$ER$1000,"Y")+COUNTIFS($AP$2:$AP$1000,AP306,$T$2:$T$1000,"Y")&gt;0,"Y","N")</f>
        <v>N</v>
      </c>
      <c r="ET306" s="0" t="str">
        <f aca="false">IF(AND(U306="new",T306="N",AT306="Y",AS306="",ES306="N"),"Y","N")</f>
        <v>N</v>
      </c>
      <c r="EU306" s="0" t="str">
        <f aca="false">IF(ET306&lt;&gt;"Y","N",IF(COUNTIFS($AP$2:$AP$1000,AP306,$ET$2:$ET$1000,"Y",$J$2:$J$1000,"&gt;"&amp;J306)+COUNTIFS($AP$2:$AP$1000,AP306,$ET$2:$ET$1000,"Y",$J$2:$J$1000,J306,$EW$2:$EW$1000,"&lt;"&amp;EW306)=0,"Y","N"))</f>
        <v>N</v>
      </c>
      <c r="EV306" s="0" t="str">
        <f aca="false">IF(Y306="","N",IF(Y306&lt;=10,"Y","N"))</f>
        <v>N</v>
      </c>
      <c r="EW306" s="0" t="n">
        <f aca="false">ROW()-1</f>
        <v>305</v>
      </c>
    </row>
    <row r="307" customFormat="false" ht="15" hidden="false" customHeight="false" outlineLevel="0" collapsed="false">
      <c r="A307" s="0" t="s">
        <v>4498</v>
      </c>
      <c r="B307" s="0" t="s">
        <v>4499</v>
      </c>
      <c r="H307" s="5" t="s">
        <v>158</v>
      </c>
      <c r="I307" s="5" t="s">
        <v>159</v>
      </c>
      <c r="J307" s="0" t="n">
        <f aca="false">IF(AX307="pass",ROUND(CU307+CV307+CW307+CX307+CY307+CZ307,1),0)</f>
        <v>0</v>
      </c>
      <c r="K307" s="0" t="s">
        <v>4434</v>
      </c>
      <c r="L307" s="0" t="s">
        <v>163</v>
      </c>
      <c r="R307" s="5" t="s">
        <v>162</v>
      </c>
      <c r="S307" s="0" t="s">
        <v>163</v>
      </c>
      <c r="T307" s="5" t="s">
        <v>162</v>
      </c>
      <c r="U307" s="5" t="s">
        <v>561</v>
      </c>
      <c r="V307" s="0" t="s">
        <v>4500</v>
      </c>
      <c r="W307" s="0" t="s">
        <v>166</v>
      </c>
      <c r="X307" s="0" t="s">
        <v>167</v>
      </c>
      <c r="Y307" s="0" t="str">
        <f aca="false">IF(EU307&lt;&gt;"Y","",COUNTIFS($EU$2:$EU$1000,"Y",$J$2:$J$1000,"&gt;"&amp;J307)+COUNTIFS($EU$2:$EU$1000,"Y",$J$2:$J$1000,J307,$EW$2:$EW$1000,"&lt;"&amp;EW307)+1)</f>
        <v/>
      </c>
      <c r="AA307" s="0" t="s">
        <v>162</v>
      </c>
      <c r="AD307" s="0" t="s">
        <v>158</v>
      </c>
      <c r="AH307" s="5" t="s">
        <v>158</v>
      </c>
      <c r="AI307" s="0" t="s">
        <v>4501</v>
      </c>
      <c r="AJ307" s="0" t="s">
        <v>4502</v>
      </c>
      <c r="AK307" s="0" t="s">
        <v>598</v>
      </c>
      <c r="AL307" s="0" t="s">
        <v>163</v>
      </c>
      <c r="AM307" s="0" t="s">
        <v>163</v>
      </c>
      <c r="AN307" s="0" t="s">
        <v>158</v>
      </c>
      <c r="AO307" s="0" t="s">
        <v>163</v>
      </c>
      <c r="AP307" s="0" t="s">
        <v>4484</v>
      </c>
      <c r="AQ307" s="5" t="s">
        <v>162</v>
      </c>
      <c r="AT307" s="0" t="str">
        <f aca="false">IF(AND(AX307="pass",AQ307&lt;&gt;"Y",C307&lt;&gt;"",OR(AW307&lt;&gt;"Y",AV307="Y")),"Y","N")</f>
        <v>N</v>
      </c>
      <c r="AU307" s="0" t="str">
        <f aca="false">_xlfn.TEXTJOIN("; ",TRUE(),IF(AX307&lt;&gt;"pass","gated out",""),IF(AQ307="Y","on hold: "&amp;AR307,""),IF(C307="","no contact named on an opened page",""),IF(AND(AW307="Y",AV307&lt;&gt;"Y"),"Tuesday estimate band "&amp;L307&amp;": founder's call",""))</f>
        <v>gated out; no contact named on an opened page</v>
      </c>
      <c r="AW307" s="0" t="s">
        <v>162</v>
      </c>
      <c r="AX307" s="0" t="s">
        <v>3703</v>
      </c>
      <c r="AY307" s="0" t="s">
        <v>4436</v>
      </c>
      <c r="AZ307" s="0" t="s">
        <v>2228</v>
      </c>
      <c r="BA307" s="0" t="s">
        <v>4503</v>
      </c>
      <c r="BB307" s="0" t="s">
        <v>4487</v>
      </c>
      <c r="BC307" s="0" t="s">
        <v>2231</v>
      </c>
      <c r="BD307" s="0" t="s">
        <v>163</v>
      </c>
      <c r="BF307" s="0" t="s">
        <v>163</v>
      </c>
      <c r="BG307" s="0" t="s">
        <v>163</v>
      </c>
      <c r="BK307" s="0" t="s">
        <v>163</v>
      </c>
      <c r="BL307" s="0" t="s">
        <v>2232</v>
      </c>
      <c r="BM307" s="0" t="s">
        <v>163</v>
      </c>
      <c r="BN307" s="0" t="s">
        <v>4488</v>
      </c>
      <c r="BP307" s="0" t="s">
        <v>346</v>
      </c>
      <c r="BQ307" s="0" t="n">
        <v>40.742477</v>
      </c>
      <c r="BR307" s="0" t="n">
        <v>-73.986608</v>
      </c>
      <c r="BS307" s="0" t="s">
        <v>168</v>
      </c>
      <c r="BT307" s="0" t="n">
        <v>0</v>
      </c>
      <c r="BU307" s="0" t="s">
        <v>2412</v>
      </c>
      <c r="BV307" s="0" t="s">
        <v>2413</v>
      </c>
      <c r="BW307" s="0" t="s">
        <v>4500</v>
      </c>
      <c r="BX307" s="0" t="s">
        <v>166</v>
      </c>
      <c r="BY307" s="0" t="s">
        <v>2236</v>
      </c>
      <c r="CC307" s="0" t="s">
        <v>179</v>
      </c>
      <c r="CE307" s="0" t="s">
        <v>162</v>
      </c>
      <c r="CF307" s="0" t="s">
        <v>4503</v>
      </c>
      <c r="CG307" s="0" t="s">
        <v>163</v>
      </c>
      <c r="CH307" s="0" t="s">
        <v>201</v>
      </c>
      <c r="CI307" s="0" t="s">
        <v>2415</v>
      </c>
      <c r="CJ307" s="0" t="s">
        <v>163</v>
      </c>
      <c r="CK307" s="0" t="s">
        <v>162</v>
      </c>
      <c r="CL307" s="0" t="s">
        <v>163</v>
      </c>
      <c r="CO307" s="0" t="s">
        <v>163</v>
      </c>
      <c r="CQ307" s="0" t="s">
        <v>2239</v>
      </c>
      <c r="CR307" s="0" t="s">
        <v>206</v>
      </c>
      <c r="CS307" s="0" t="s">
        <v>163</v>
      </c>
      <c r="CT307" s="0" t="n">
        <v>23</v>
      </c>
      <c r="CU307" s="0" t="n">
        <v>7</v>
      </c>
      <c r="CV307" s="0" t="n">
        <v>8</v>
      </c>
      <c r="CW307" s="0" t="n">
        <v>6</v>
      </c>
      <c r="CX307" s="0" t="n">
        <v>2</v>
      </c>
      <c r="CY307" s="0" t="n">
        <f aca="false">IF(AH307="exact",10,IF(AH307="adjacent",5,0))</f>
        <v>0</v>
      </c>
      <c r="CZ307" s="0" t="n">
        <f aca="false">IF(R307="Y",15,0)</f>
        <v>0</v>
      </c>
      <c r="DF307" s="0" t="s">
        <v>158</v>
      </c>
      <c r="DG307" s="0" t="s">
        <v>2228</v>
      </c>
      <c r="DK307" s="0" t="s">
        <v>4504</v>
      </c>
      <c r="DS307" s="0" t="s">
        <v>158</v>
      </c>
      <c r="DX307" s="0" t="s">
        <v>162</v>
      </c>
      <c r="DZ307" s="0" t="s">
        <v>4505</v>
      </c>
      <c r="ER307" s="0" t="str">
        <f aca="false">IF(ISNUMBER(MATCH(U307,{"queued","contacted","replied","call_booked","call_done","yes_in_principle","materials_sent"},0)),"Y","N")</f>
        <v>N</v>
      </c>
      <c r="ES307" s="0" t="str">
        <f aca="false">IF(COUNTIFS($AP$2:$AP$1000,AP307,$ER$2:$ER$1000,"Y")+COUNTIFS($AP$2:$AP$1000,AP307,$T$2:$T$1000,"Y")&gt;0,"Y","N")</f>
        <v>N</v>
      </c>
      <c r="ET307" s="0" t="str">
        <f aca="false">IF(AND(U307="new",T307="N",AT307="Y",AS307="",ES307="N"),"Y","N")</f>
        <v>N</v>
      </c>
      <c r="EU307" s="0" t="str">
        <f aca="false">IF(ET307&lt;&gt;"Y","N",IF(COUNTIFS($AP$2:$AP$1000,AP307,$ET$2:$ET$1000,"Y",$J$2:$J$1000,"&gt;"&amp;J307)+COUNTIFS($AP$2:$AP$1000,AP307,$ET$2:$ET$1000,"Y",$J$2:$J$1000,J307,$EW$2:$EW$1000,"&lt;"&amp;EW307)=0,"Y","N"))</f>
        <v>N</v>
      </c>
      <c r="EV307" s="0" t="str">
        <f aca="false">IF(Y307="","N",IF(Y307&lt;=10,"Y","N"))</f>
        <v>N</v>
      </c>
      <c r="EW307" s="0" t="n">
        <f aca="false">ROW()-1</f>
        <v>306</v>
      </c>
    </row>
    <row r="308" customFormat="false" ht="15" hidden="false" customHeight="false" outlineLevel="0" collapsed="false">
      <c r="A308" s="0" t="s">
        <v>4506</v>
      </c>
      <c r="B308" s="0" t="s">
        <v>4507</v>
      </c>
      <c r="H308" s="5" t="s">
        <v>158</v>
      </c>
      <c r="I308" s="5" t="s">
        <v>159</v>
      </c>
      <c r="J308" s="0" t="n">
        <f aca="false">IF(AX308="pass",ROUND(CU308+CV308+CW308+CX308+CY308+CZ308,1),0)</f>
        <v>0</v>
      </c>
      <c r="K308" s="0" t="s">
        <v>4434</v>
      </c>
      <c r="L308" s="0" t="s">
        <v>163</v>
      </c>
      <c r="R308" s="5" t="s">
        <v>162</v>
      </c>
      <c r="S308" s="0" t="s">
        <v>163</v>
      </c>
      <c r="T308" s="5" t="s">
        <v>162</v>
      </c>
      <c r="U308" s="5" t="s">
        <v>561</v>
      </c>
      <c r="V308" s="0" t="s">
        <v>4508</v>
      </c>
      <c r="W308" s="0" t="s">
        <v>166</v>
      </c>
      <c r="X308" s="0" t="s">
        <v>167</v>
      </c>
      <c r="Y308" s="0" t="str">
        <f aca="false">IF(EU308&lt;&gt;"Y","",COUNTIFS($EU$2:$EU$1000,"Y",$J$2:$J$1000,"&gt;"&amp;J308)+COUNTIFS($EU$2:$EU$1000,"Y",$J$2:$J$1000,J308,$EW$2:$EW$1000,"&lt;"&amp;EW308)+1)</f>
        <v/>
      </c>
      <c r="AA308" s="0" t="s">
        <v>162</v>
      </c>
      <c r="AD308" s="0" t="s">
        <v>158</v>
      </c>
      <c r="AH308" s="5" t="s">
        <v>158</v>
      </c>
      <c r="AI308" s="0" t="s">
        <v>4509</v>
      </c>
      <c r="AJ308" s="0" t="s">
        <v>4510</v>
      </c>
      <c r="AK308" s="0" t="s">
        <v>598</v>
      </c>
      <c r="AL308" s="0" t="s">
        <v>163</v>
      </c>
      <c r="AM308" s="0" t="s">
        <v>163</v>
      </c>
      <c r="AN308" s="0" t="s">
        <v>158</v>
      </c>
      <c r="AO308" s="0" t="s">
        <v>163</v>
      </c>
      <c r="AP308" s="0" t="s">
        <v>4506</v>
      </c>
      <c r="AQ308" s="5" t="s">
        <v>162</v>
      </c>
      <c r="AT308" s="0" t="str">
        <f aca="false">IF(AND(AX308="pass",AQ308&lt;&gt;"Y",C308&lt;&gt;"",OR(AW308&lt;&gt;"Y",AV308="Y")),"Y","N")</f>
        <v>N</v>
      </c>
      <c r="AU308" s="0" t="str">
        <f aca="false">_xlfn.TEXTJOIN("; ",TRUE(),IF(AX308&lt;&gt;"pass","gated out",""),IF(AQ308="Y","on hold: "&amp;AR308,""),IF(C308="","no contact named on an opened page",""),IF(AND(AW308="Y",AV308&lt;&gt;"Y"),"Tuesday estimate band "&amp;L308&amp;": founder's call",""))</f>
        <v>gated out; no contact named on an opened page</v>
      </c>
      <c r="AW308" s="0" t="s">
        <v>162</v>
      </c>
      <c r="AX308" s="0" t="s">
        <v>3703</v>
      </c>
      <c r="AY308" s="0" t="s">
        <v>4436</v>
      </c>
      <c r="AZ308" s="0" t="s">
        <v>2228</v>
      </c>
      <c r="BA308" s="0" t="s">
        <v>4511</v>
      </c>
      <c r="BB308" s="0" t="s">
        <v>4487</v>
      </c>
      <c r="BC308" s="0" t="s">
        <v>2231</v>
      </c>
      <c r="BD308" s="0" t="s">
        <v>163</v>
      </c>
      <c r="BF308" s="0" t="s">
        <v>163</v>
      </c>
      <c r="BG308" s="0" t="s">
        <v>163</v>
      </c>
      <c r="BK308" s="0" t="s">
        <v>163</v>
      </c>
      <c r="BL308" s="0" t="s">
        <v>2232</v>
      </c>
      <c r="BM308" s="0" t="s">
        <v>163</v>
      </c>
      <c r="BN308" s="0" t="s">
        <v>4512</v>
      </c>
      <c r="BP308" s="0" t="s">
        <v>243</v>
      </c>
      <c r="BQ308" s="0" t="n">
        <v>40.743042</v>
      </c>
      <c r="BR308" s="0" t="n">
        <v>-73.984024</v>
      </c>
      <c r="BS308" s="0" t="s">
        <v>168</v>
      </c>
      <c r="BT308" s="0" t="n">
        <v>0</v>
      </c>
      <c r="BV308" s="0" t="s">
        <v>163</v>
      </c>
      <c r="BW308" s="0" t="s">
        <v>4508</v>
      </c>
      <c r="BX308" s="0" t="s">
        <v>166</v>
      </c>
      <c r="BY308" s="0" t="s">
        <v>2236</v>
      </c>
      <c r="CC308" s="0" t="s">
        <v>179</v>
      </c>
      <c r="CE308" s="0" t="s">
        <v>162</v>
      </c>
      <c r="CF308" s="0" t="s">
        <v>4511</v>
      </c>
      <c r="CG308" s="0" t="s">
        <v>163</v>
      </c>
      <c r="CH308" s="0" t="s">
        <v>163</v>
      </c>
      <c r="CJ308" s="0" t="s">
        <v>163</v>
      </c>
      <c r="CK308" s="0" t="s">
        <v>162</v>
      </c>
      <c r="CL308" s="0" t="s">
        <v>163</v>
      </c>
      <c r="CO308" s="0" t="s">
        <v>163</v>
      </c>
      <c r="CQ308" s="0" t="s">
        <v>2239</v>
      </c>
      <c r="CR308" s="0" t="s">
        <v>206</v>
      </c>
      <c r="CS308" s="0" t="s">
        <v>163</v>
      </c>
      <c r="CT308" s="0" t="n">
        <v>23</v>
      </c>
      <c r="CU308" s="0" t="n">
        <v>7</v>
      </c>
      <c r="CV308" s="0" t="n">
        <v>8</v>
      </c>
      <c r="CW308" s="0" t="n">
        <v>6</v>
      </c>
      <c r="CX308" s="0" t="n">
        <v>2</v>
      </c>
      <c r="CY308" s="0" t="n">
        <f aca="false">IF(AH308="exact",10,IF(AH308="adjacent",5,0))</f>
        <v>0</v>
      </c>
      <c r="CZ308" s="0" t="n">
        <f aca="false">IF(R308="Y",15,0)</f>
        <v>0</v>
      </c>
      <c r="DF308" s="0" t="s">
        <v>158</v>
      </c>
      <c r="DG308" s="0" t="s">
        <v>2228</v>
      </c>
      <c r="DK308" s="0" t="s">
        <v>4513</v>
      </c>
      <c r="DS308" s="0" t="s">
        <v>158</v>
      </c>
      <c r="DX308" s="0" t="s">
        <v>162</v>
      </c>
      <c r="ER308" s="0" t="str">
        <f aca="false">IF(ISNUMBER(MATCH(U308,{"queued","contacted","replied","call_booked","call_done","yes_in_principle","materials_sent"},0)),"Y","N")</f>
        <v>N</v>
      </c>
      <c r="ES308" s="0" t="str">
        <f aca="false">IF(COUNTIFS($AP$2:$AP$1000,AP308,$ER$2:$ER$1000,"Y")+COUNTIFS($AP$2:$AP$1000,AP308,$T$2:$T$1000,"Y")&gt;0,"Y","N")</f>
        <v>N</v>
      </c>
      <c r="ET308" s="0" t="str">
        <f aca="false">IF(AND(U308="new",T308="N",AT308="Y",AS308="",ES308="N"),"Y","N")</f>
        <v>N</v>
      </c>
      <c r="EU308" s="0" t="str">
        <f aca="false">IF(ET308&lt;&gt;"Y","N",IF(COUNTIFS($AP$2:$AP$1000,AP308,$ET$2:$ET$1000,"Y",$J$2:$J$1000,"&gt;"&amp;J308)+COUNTIFS($AP$2:$AP$1000,AP308,$ET$2:$ET$1000,"Y",$J$2:$J$1000,J308,$EW$2:$EW$1000,"&lt;"&amp;EW308)=0,"Y","N"))</f>
        <v>N</v>
      </c>
      <c r="EV308" s="0" t="str">
        <f aca="false">IF(Y308="","N",IF(Y308&lt;=10,"Y","N"))</f>
        <v>N</v>
      </c>
      <c r="EW308" s="0" t="n">
        <f aca="false">ROW()-1</f>
        <v>307</v>
      </c>
    </row>
    <row r="309" customFormat="false" ht="15" hidden="false" customHeight="false" outlineLevel="0" collapsed="false">
      <c r="A309" s="0" t="s">
        <v>4514</v>
      </c>
      <c r="B309" s="0" t="s">
        <v>4515</v>
      </c>
      <c r="H309" s="5" t="s">
        <v>158</v>
      </c>
      <c r="I309" s="5" t="s">
        <v>159</v>
      </c>
      <c r="J309" s="0" t="n">
        <f aca="false">IF(AX309="pass",ROUND(CU309+CV309+CW309+CX309+CY309+CZ309,1),0)</f>
        <v>0</v>
      </c>
      <c r="K309" s="0" t="s">
        <v>4516</v>
      </c>
      <c r="L309" s="0" t="s">
        <v>163</v>
      </c>
      <c r="R309" s="5" t="s">
        <v>162</v>
      </c>
      <c r="S309" s="0" t="s">
        <v>163</v>
      </c>
      <c r="T309" s="5" t="s">
        <v>162</v>
      </c>
      <c r="U309" s="5" t="s">
        <v>561</v>
      </c>
      <c r="V309" s="0" t="s">
        <v>3792</v>
      </c>
      <c r="W309" s="0" t="s">
        <v>174</v>
      </c>
      <c r="X309" s="0" t="s">
        <v>167</v>
      </c>
      <c r="Y309" s="0" t="str">
        <f aca="false">IF(EU309&lt;&gt;"Y","",COUNTIFS($EU$2:$EU$1000,"Y",$J$2:$J$1000,"&gt;"&amp;J309)+COUNTIFS($EU$2:$EU$1000,"Y",$J$2:$J$1000,J309,$EW$2:$EW$1000,"&lt;"&amp;EW309)+1)</f>
        <v/>
      </c>
      <c r="AA309" s="0" t="s">
        <v>162</v>
      </c>
      <c r="AD309" s="0" t="s">
        <v>158</v>
      </c>
      <c r="AH309" s="5" t="s">
        <v>158</v>
      </c>
      <c r="AI309" s="0" t="s">
        <v>4517</v>
      </c>
      <c r="AJ309" s="0" t="s">
        <v>4518</v>
      </c>
      <c r="AK309" s="0" t="s">
        <v>4519</v>
      </c>
      <c r="AL309" s="0" t="s">
        <v>163</v>
      </c>
      <c r="AM309" s="0" t="s">
        <v>163</v>
      </c>
      <c r="AN309" s="0" t="s">
        <v>158</v>
      </c>
      <c r="AO309" s="0" t="s">
        <v>163</v>
      </c>
      <c r="AP309" s="0" t="s">
        <v>2798</v>
      </c>
      <c r="AQ309" s="5" t="s">
        <v>168</v>
      </c>
      <c r="AR309" s="0" t="s">
        <v>4520</v>
      </c>
      <c r="AT309" s="0" t="str">
        <f aca="false">IF(AND(AX309="pass",AQ309&lt;&gt;"Y",C309&lt;&gt;"",OR(AW309&lt;&gt;"Y",AV309="Y")),"Y","N")</f>
        <v>N</v>
      </c>
      <c r="AU309" s="0" t="str">
        <f aca="false">_xlfn.TEXTJOIN("; ",TRUE(),IF(AX309&lt;&gt;"pass","gated out",""),IF(AQ309="Y","on hold: "&amp;AR309,""),IF(C309="","no contact named on an opened page",""),IF(AND(AW309="Y",AV309&lt;&gt;"Y"),"Tuesday estimate band "&amp;L309&amp;": founder's call",""))</f>
        <v>gated out; on hold: address conflict in B's sources: check the lobby directory before outreach (B); site possibly closed: walk by first (B); no contact named on an opened page</v>
      </c>
      <c r="AW309" s="0" t="s">
        <v>162</v>
      </c>
      <c r="AX309" s="0" t="s">
        <v>3703</v>
      </c>
      <c r="AY309" s="0" t="s">
        <v>4521</v>
      </c>
      <c r="AZ309" s="0" t="s">
        <v>2228</v>
      </c>
      <c r="BA309" s="0" t="s">
        <v>3793</v>
      </c>
      <c r="BB309" s="0" t="s">
        <v>4522</v>
      </c>
      <c r="BC309" s="0" t="s">
        <v>2231</v>
      </c>
      <c r="BD309" s="0" t="s">
        <v>163</v>
      </c>
      <c r="BF309" s="0" t="s">
        <v>163</v>
      </c>
      <c r="BG309" s="0" t="s">
        <v>163</v>
      </c>
      <c r="BK309" s="0" t="s">
        <v>163</v>
      </c>
      <c r="BL309" s="0" t="s">
        <v>2232</v>
      </c>
      <c r="BM309" s="0" t="s">
        <v>163</v>
      </c>
      <c r="BN309" s="0" t="s">
        <v>2801</v>
      </c>
      <c r="BP309" s="0" t="s">
        <v>243</v>
      </c>
      <c r="BQ309" s="0" t="n">
        <v>40.744057</v>
      </c>
      <c r="BR309" s="0" t="n">
        <v>-73.985252</v>
      </c>
      <c r="BS309" s="0" t="s">
        <v>168</v>
      </c>
      <c r="BT309" s="0" t="n">
        <v>0</v>
      </c>
      <c r="BU309" s="0" t="s">
        <v>3790</v>
      </c>
      <c r="BV309" s="0" t="s">
        <v>3791</v>
      </c>
      <c r="BW309" s="0" t="s">
        <v>3792</v>
      </c>
      <c r="BX309" s="0" t="s">
        <v>174</v>
      </c>
      <c r="BY309" s="0" t="s">
        <v>2236</v>
      </c>
      <c r="BZ309" s="0" t="s">
        <v>3783</v>
      </c>
      <c r="CC309" s="0" t="s">
        <v>179</v>
      </c>
      <c r="CE309" s="0" t="s">
        <v>162</v>
      </c>
      <c r="CF309" s="0" t="s">
        <v>3793</v>
      </c>
      <c r="CG309" s="0" t="s">
        <v>163</v>
      </c>
      <c r="CH309" s="0" t="s">
        <v>163</v>
      </c>
      <c r="CJ309" s="0" t="s">
        <v>163</v>
      </c>
      <c r="CK309" s="0" t="s">
        <v>162</v>
      </c>
      <c r="CL309" s="0" t="s">
        <v>163</v>
      </c>
      <c r="CO309" s="0" t="s">
        <v>163</v>
      </c>
      <c r="CQ309" s="0" t="s">
        <v>2239</v>
      </c>
      <c r="CR309" s="0" t="s">
        <v>206</v>
      </c>
      <c r="CS309" s="0" t="s">
        <v>163</v>
      </c>
      <c r="CT309" s="0" t="n">
        <v>21</v>
      </c>
      <c r="CU309" s="0" t="n">
        <v>7</v>
      </c>
      <c r="CV309" s="0" t="n">
        <v>8</v>
      </c>
      <c r="CW309" s="0" t="n">
        <v>6</v>
      </c>
      <c r="CX309" s="0" t="n">
        <v>0</v>
      </c>
      <c r="CY309" s="0" t="n">
        <f aca="false">IF(AH309="exact",10,IF(AH309="adjacent",5,0))</f>
        <v>0</v>
      </c>
      <c r="CZ309" s="0" t="n">
        <f aca="false">IF(R309="Y",15,0)</f>
        <v>0</v>
      </c>
      <c r="DF309" s="0" t="s">
        <v>158</v>
      </c>
      <c r="DG309" s="0" t="s">
        <v>2228</v>
      </c>
      <c r="DK309" s="0" t="s">
        <v>4523</v>
      </c>
      <c r="DS309" s="0" t="s">
        <v>158</v>
      </c>
      <c r="DX309" s="0" t="s">
        <v>162</v>
      </c>
      <c r="DZ309" s="0" t="s">
        <v>4524</v>
      </c>
      <c r="ER309" s="0" t="str">
        <f aca="false">IF(ISNUMBER(MATCH(U309,{"queued","contacted","replied","call_booked","call_done","yes_in_principle","materials_sent"},0)),"Y","N")</f>
        <v>N</v>
      </c>
      <c r="ES309" s="0" t="str">
        <f aca="false">IF(COUNTIFS($AP$2:$AP$1000,AP309,$ER$2:$ER$1000,"Y")+COUNTIFS($AP$2:$AP$1000,AP309,$T$2:$T$1000,"Y")&gt;0,"Y","N")</f>
        <v>N</v>
      </c>
      <c r="ET309" s="0" t="str">
        <f aca="false">IF(AND(U309="new",T309="N",AT309="Y",AS309="",ES309="N"),"Y","N")</f>
        <v>N</v>
      </c>
      <c r="EU309" s="0" t="str">
        <f aca="false">IF(ET309&lt;&gt;"Y","N",IF(COUNTIFS($AP$2:$AP$1000,AP309,$ET$2:$ET$1000,"Y",$J$2:$J$1000,"&gt;"&amp;J309)+COUNTIFS($AP$2:$AP$1000,AP309,$ET$2:$ET$1000,"Y",$J$2:$J$1000,J309,$EW$2:$EW$1000,"&lt;"&amp;EW309)=0,"Y","N"))</f>
        <v>N</v>
      </c>
      <c r="EV309" s="0" t="str">
        <f aca="false">IF(Y309="","N",IF(Y309&lt;=10,"Y","N"))</f>
        <v>N</v>
      </c>
      <c r="EW309" s="0" t="n">
        <f aca="false">ROW()-1</f>
        <v>308</v>
      </c>
    </row>
  </sheetData>
  <autoFilter ref="A1:EW309"/>
  <dataValidations count="8">
    <dataValidation allowBlank="true" errorStyle="stop" operator="between" showDropDown="false" showErrorMessage="false" showInputMessage="false" sqref="U2:U309" type="list">
      <formula1>"new,queued,contacted,replied,call_booked,call_done,yes_in_principle,materials_sent,signed,not_now,no,wrong_person,do_not_contact"</formula1>
      <formula2>0</formula2>
    </dataValidation>
    <dataValidation allowBlank="true" errorStyle="stop" operator="between" showDropDown="false" showErrorMessage="false" showInputMessage="false" sqref="T2:T309" type="list">
      <formula1>"Y,N"</formula1>
      <formula2>0</formula2>
    </dataValidation>
    <dataValidation allowBlank="true" errorStyle="stop" operator="between" showDropDown="false" showErrorMessage="false" showInputMessage="false" sqref="R2:R309" type="list">
      <formula1>"Y,N"</formula1>
      <formula2>0</formula2>
    </dataValidation>
    <dataValidation allowBlank="true" errorStyle="stop" operator="between" showDropDown="false" showErrorMessage="false" showInputMessage="false" sqref="AQ2:AQ309" type="list">
      <formula1>"Y,N"</formula1>
      <formula2>0</formula2>
    </dataValidation>
    <dataValidation allowBlank="true" errorStyle="stop" operator="between" showDropDown="false" showErrorMessage="false" showInputMessage="false" sqref="AV2:AV309" type="list">
      <formula1>"Y"</formula1>
      <formula2>0</formula2>
    </dataValidation>
    <dataValidation allowBlank="true" errorStyle="stop" operator="between" showDropDown="false" showErrorMessage="false" showInputMessage="false" sqref="H2:H309" type="list">
      <formula1>"verified,unverified,none"</formula1>
      <formula2>0</formula2>
    </dataValidation>
    <dataValidation allowBlank="true" errorStyle="stop" operator="between" showDropDown="false" showErrorMessage="false" showInputMessage="false" sqref="I2:I309" type="list">
      <formula1>"email,linkedin,warm-intro,walk-in"</formula1>
      <formula2>0</formula2>
    </dataValidation>
    <dataValidation allowBlank="true" errorStyle="stop" operator="between" showDropDown="false" showErrorMessage="false" showInputMessage="false" sqref="AH2:AH309" type="list">
      <formula1>"exact,adjacent,none"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D3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40"/>
    <col collapsed="false" customWidth="true" hidden="false" outlineLevel="0" max="4" min="3" style="0" width="14"/>
    <col collapsed="false" customWidth="true" hidden="false" outlineLevel="0" max="5" min="5" style="0" width="40"/>
    <col collapsed="false" customWidth="true" hidden="false" outlineLevel="0" max="10" min="6" style="0" width="14"/>
    <col collapsed="false" customWidth="true" hidden="false" outlineLevel="0" max="11" min="11" style="0" width="40"/>
    <col collapsed="false" customWidth="true" hidden="false" outlineLevel="0" max="14" min="12" style="0" width="14"/>
    <col collapsed="false" customWidth="true" hidden="false" outlineLevel="0" max="15" min="15" style="0" width="40"/>
    <col collapsed="false" customWidth="true" hidden="false" outlineLevel="0" max="27" min="16" style="0" width="14"/>
    <col collapsed="false" customWidth="true" hidden="false" outlineLevel="0" max="28" min="28" style="0" width="40"/>
    <col collapsed="false" customWidth="true" hidden="false" outlineLevel="0" max="38" min="29" style="0" width="14"/>
    <col collapsed="false" customWidth="true" hidden="false" outlineLevel="0" max="39" min="39" style="0" width="40"/>
    <col collapsed="false" customWidth="true" hidden="false" outlineLevel="0" max="41" min="40" style="0" width="14"/>
    <col collapsed="false" customWidth="true" hidden="false" outlineLevel="0" max="42" min="42" style="0" width="40"/>
    <col collapsed="false" customWidth="true" hidden="false" outlineLevel="0" max="44" min="43" style="0" width="14"/>
    <col collapsed="false" customWidth="true" hidden="false" outlineLevel="0" max="45" min="45" style="0" width="40"/>
    <col collapsed="false" customWidth="true" hidden="false" outlineLevel="0" max="48" min="46" style="0" width="14"/>
    <col collapsed="false" customWidth="true" hidden="false" outlineLevel="0" max="49" min="49" style="0" width="40"/>
    <col collapsed="false" customWidth="true" hidden="false" outlineLevel="0" max="76" min="50" style="0" width="14"/>
    <col collapsed="false" customWidth="true" hidden="false" outlineLevel="0" max="77" min="77" style="0" width="40"/>
    <col collapsed="false" customWidth="true" hidden="false" outlineLevel="0" max="101" min="78" style="0" width="14"/>
    <col collapsed="false" customWidth="true" hidden="false" outlineLevel="0" max="102" min="102" style="0" width="40"/>
    <col collapsed="false" customWidth="true" hidden="false" outlineLevel="0" max="134" min="103" style="0" width="14"/>
  </cols>
  <sheetData>
    <row r="1" customFormat="false" ht="15" hidden="false" customHeight="false" outlineLevel="0" collapsed="false">
      <c r="A1" s="1" t="s">
        <v>0</v>
      </c>
      <c r="B1" s="1" t="s">
        <v>1</v>
      </c>
      <c r="C1" s="1" t="s">
        <v>2</v>
      </c>
      <c r="D1" s="1" t="s">
        <v>3</v>
      </c>
      <c r="E1" s="1" t="s">
        <v>4</v>
      </c>
      <c r="F1" s="2" t="s">
        <v>5</v>
      </c>
      <c r="G1" s="2" t="s">
        <v>6</v>
      </c>
      <c r="H1" s="2" t="s">
        <v>7</v>
      </c>
      <c r="I1" s="1" t="s">
        <v>8</v>
      </c>
      <c r="J1" s="3" t="s">
        <v>9</v>
      </c>
      <c r="K1" s="1" t="s">
        <v>10</v>
      </c>
      <c r="L1" s="1" t="s">
        <v>11</v>
      </c>
      <c r="M1" s="1" t="s">
        <v>12</v>
      </c>
      <c r="N1" s="1" t="s">
        <v>13</v>
      </c>
      <c r="O1" s="1" t="s">
        <v>14</v>
      </c>
      <c r="P1" s="1" t="s">
        <v>15</v>
      </c>
      <c r="Q1" s="1" t="s">
        <v>16</v>
      </c>
      <c r="R1" s="2" t="s">
        <v>17</v>
      </c>
      <c r="S1" s="1" t="s">
        <v>18</v>
      </c>
      <c r="T1" s="4" t="s">
        <v>19</v>
      </c>
      <c r="U1" s="4" t="s">
        <v>20</v>
      </c>
      <c r="V1" s="1" t="s">
        <v>21</v>
      </c>
      <c r="W1" s="1" t="s">
        <v>22</v>
      </c>
      <c r="X1" s="1" t="s">
        <v>23</v>
      </c>
      <c r="Y1" s="3" t="s">
        <v>24</v>
      </c>
      <c r="Z1" s="1" t="s">
        <v>25</v>
      </c>
      <c r="AA1" s="1" t="s">
        <v>4525</v>
      </c>
      <c r="AB1" s="1" t="s">
        <v>27</v>
      </c>
      <c r="AC1" s="1" t="s">
        <v>28</v>
      </c>
      <c r="AD1" s="1" t="s">
        <v>29</v>
      </c>
      <c r="AE1" s="1" t="s">
        <v>30</v>
      </c>
      <c r="AF1" s="1" t="s">
        <v>31</v>
      </c>
      <c r="AG1" s="1" t="s">
        <v>32</v>
      </c>
      <c r="AH1" s="1" t="s">
        <v>4526</v>
      </c>
      <c r="AI1" s="1" t="s">
        <v>4527</v>
      </c>
      <c r="AJ1" s="1" t="s">
        <v>63</v>
      </c>
      <c r="AK1" s="1" t="s">
        <v>4528</v>
      </c>
      <c r="AL1" s="1" t="s">
        <v>4529</v>
      </c>
      <c r="AM1" s="1" t="s">
        <v>4530</v>
      </c>
      <c r="AN1" s="1" t="s">
        <v>41</v>
      </c>
      <c r="AO1" s="2" t="s">
        <v>42</v>
      </c>
      <c r="AP1" s="1" t="s">
        <v>43</v>
      </c>
      <c r="AQ1" s="4" t="s">
        <v>44</v>
      </c>
      <c r="AR1" s="3" t="s">
        <v>45</v>
      </c>
      <c r="AS1" s="3" t="s">
        <v>46</v>
      </c>
      <c r="AT1" s="2" t="s">
        <v>47</v>
      </c>
      <c r="AU1" s="1" t="s">
        <v>49</v>
      </c>
      <c r="AV1" s="1" t="s">
        <v>4531</v>
      </c>
      <c r="AW1" s="1" t="s">
        <v>50</v>
      </c>
      <c r="AX1" s="1" t="s">
        <v>4532</v>
      </c>
      <c r="AY1" s="1" t="s">
        <v>53</v>
      </c>
      <c r="AZ1" s="1" t="s">
        <v>4533</v>
      </c>
      <c r="BA1" s="1" t="s">
        <v>4534</v>
      </c>
      <c r="BB1" s="1" t="s">
        <v>4535</v>
      </c>
      <c r="BC1" s="1" t="s">
        <v>4536</v>
      </c>
      <c r="BD1" s="1" t="s">
        <v>4537</v>
      </c>
      <c r="BE1" s="1" t="s">
        <v>4538</v>
      </c>
      <c r="BF1" s="1" t="s">
        <v>4539</v>
      </c>
      <c r="BG1" s="1" t="s">
        <v>4540</v>
      </c>
      <c r="BH1" s="1" t="s">
        <v>4541</v>
      </c>
      <c r="BI1" s="1" t="s">
        <v>4542</v>
      </c>
      <c r="BJ1" s="1" t="s">
        <v>4543</v>
      </c>
      <c r="BK1" s="1" t="s">
        <v>4544</v>
      </c>
      <c r="BL1" s="1" t="s">
        <v>4545</v>
      </c>
      <c r="BM1" s="1" t="s">
        <v>4546</v>
      </c>
      <c r="BN1" s="1" t="s">
        <v>4547</v>
      </c>
      <c r="BO1" s="1" t="s">
        <v>4548</v>
      </c>
      <c r="BP1" s="1" t="s">
        <v>4549</v>
      </c>
      <c r="BQ1" s="1" t="s">
        <v>4550</v>
      </c>
      <c r="BR1" s="1" t="s">
        <v>4551</v>
      </c>
      <c r="BS1" s="1" t="s">
        <v>4552</v>
      </c>
      <c r="BT1" s="1" t="s">
        <v>4553</v>
      </c>
      <c r="BU1" s="1" t="s">
        <v>4554</v>
      </c>
      <c r="BV1" s="1" t="s">
        <v>4555</v>
      </c>
      <c r="BW1" s="1" t="s">
        <v>4556</v>
      </c>
      <c r="BX1" s="1" t="s">
        <v>116</v>
      </c>
      <c r="BY1" s="1" t="s">
        <v>118</v>
      </c>
      <c r="BZ1" s="1" t="s">
        <v>119</v>
      </c>
      <c r="CA1" s="1" t="s">
        <v>121</v>
      </c>
      <c r="CB1" s="1" t="s">
        <v>104</v>
      </c>
      <c r="CC1" s="1" t="s">
        <v>105</v>
      </c>
      <c r="CD1" s="1" t="s">
        <v>106</v>
      </c>
      <c r="CE1" s="1" t="s">
        <v>120</v>
      </c>
      <c r="CF1" s="1" t="s">
        <v>122</v>
      </c>
      <c r="CG1" s="1" t="s">
        <v>126</v>
      </c>
      <c r="CH1" s="2" t="s">
        <v>107</v>
      </c>
      <c r="CI1" s="1" t="s">
        <v>4557</v>
      </c>
      <c r="CJ1" s="2" t="s">
        <v>108</v>
      </c>
      <c r="CK1" s="2" t="s">
        <v>109</v>
      </c>
      <c r="CL1" s="1" t="s">
        <v>97</v>
      </c>
      <c r="CM1" s="1" t="s">
        <v>4558</v>
      </c>
      <c r="CN1" s="1" t="s">
        <v>4559</v>
      </c>
      <c r="CO1" s="1" t="s">
        <v>4560</v>
      </c>
      <c r="CP1" s="1" t="s">
        <v>4561</v>
      </c>
      <c r="CQ1" s="1" t="s">
        <v>4562</v>
      </c>
      <c r="CR1" s="1" t="s">
        <v>4563</v>
      </c>
      <c r="CS1" s="3" t="s">
        <v>103</v>
      </c>
      <c r="CT1" s="1" t="s">
        <v>4564</v>
      </c>
      <c r="CU1" s="1" t="s">
        <v>4565</v>
      </c>
      <c r="CV1" s="1" t="s">
        <v>4566</v>
      </c>
      <c r="CW1" s="1" t="s">
        <v>4567</v>
      </c>
      <c r="CX1" s="1" t="s">
        <v>4568</v>
      </c>
      <c r="CY1" s="1" t="s">
        <v>4569</v>
      </c>
      <c r="CZ1" s="1" t="s">
        <v>124</v>
      </c>
      <c r="DA1" s="1" t="s">
        <v>127</v>
      </c>
      <c r="DB1" s="1" t="s">
        <v>117</v>
      </c>
      <c r="DC1" s="1" t="s">
        <v>123</v>
      </c>
      <c r="DD1" s="1" t="s">
        <v>125</v>
      </c>
      <c r="DE1" s="1" t="s">
        <v>4570</v>
      </c>
      <c r="DF1" s="1" t="s">
        <v>129</v>
      </c>
      <c r="DG1" s="4" t="s">
        <v>130</v>
      </c>
      <c r="DH1" s="4" t="s">
        <v>131</v>
      </c>
      <c r="DI1" s="4" t="s">
        <v>132</v>
      </c>
      <c r="DJ1" s="4" t="s">
        <v>133</v>
      </c>
      <c r="DK1" s="4" t="s">
        <v>134</v>
      </c>
      <c r="DL1" s="4" t="s">
        <v>135</v>
      </c>
      <c r="DM1" s="4" t="s">
        <v>136</v>
      </c>
      <c r="DN1" s="4" t="s">
        <v>137</v>
      </c>
      <c r="DO1" s="4" t="s">
        <v>138</v>
      </c>
      <c r="DP1" s="4" t="s">
        <v>139</v>
      </c>
      <c r="DQ1" s="4" t="s">
        <v>140</v>
      </c>
      <c r="DR1" s="4" t="s">
        <v>141</v>
      </c>
      <c r="DS1" s="4" t="s">
        <v>143</v>
      </c>
      <c r="DT1" s="4" t="s">
        <v>4571</v>
      </c>
      <c r="DU1" s="4" t="s">
        <v>144</v>
      </c>
      <c r="DV1" s="4" t="s">
        <v>145</v>
      </c>
      <c r="DW1" s="4" t="s">
        <v>146</v>
      </c>
      <c r="DX1" s="4" t="s">
        <v>4572</v>
      </c>
      <c r="DY1" s="3" t="s">
        <v>147</v>
      </c>
      <c r="DZ1" s="3" t="s">
        <v>148</v>
      </c>
      <c r="EA1" s="3" t="s">
        <v>149</v>
      </c>
      <c r="EB1" s="3" t="s">
        <v>150</v>
      </c>
      <c r="EC1" s="3" t="s">
        <v>151</v>
      </c>
      <c r="ED1" s="3" t="s">
        <v>152</v>
      </c>
    </row>
    <row r="2" customFormat="false" ht="15" hidden="false" customHeight="false" outlineLevel="0" collapsed="false">
      <c r="A2" s="0" t="s">
        <v>4573</v>
      </c>
      <c r="B2" s="0" t="s">
        <v>4574</v>
      </c>
      <c r="C2" s="0" t="s">
        <v>4575</v>
      </c>
      <c r="D2" s="0" t="s">
        <v>4576</v>
      </c>
      <c r="E2" s="0" t="s">
        <v>4577</v>
      </c>
      <c r="F2" s="0" t="s">
        <v>4578</v>
      </c>
      <c r="H2" s="5" t="s">
        <v>158</v>
      </c>
      <c r="I2" s="5" t="s">
        <v>159</v>
      </c>
      <c r="J2" s="0" t="n">
        <f aca="false">IF(AU2="pass",CM2+CN2+CO2+CP2+CQ2+CR2+CS2+CT2,0)</f>
        <v>81</v>
      </c>
      <c r="K2" s="0" t="s">
        <v>4579</v>
      </c>
      <c r="M2" s="0" t="s">
        <v>4580</v>
      </c>
      <c r="N2" s="0" t="s">
        <v>4581</v>
      </c>
      <c r="O2" s="0" t="s">
        <v>4582</v>
      </c>
      <c r="P2" s="0" t="s">
        <v>4583</v>
      </c>
      <c r="Q2" s="0" t="s">
        <v>2158</v>
      </c>
      <c r="R2" s="5" t="s">
        <v>162</v>
      </c>
      <c r="S2" s="0" t="s">
        <v>168</v>
      </c>
      <c r="T2" s="5" t="s">
        <v>162</v>
      </c>
      <c r="U2" s="5" t="s">
        <v>561</v>
      </c>
      <c r="V2" s="0" t="s">
        <v>4584</v>
      </c>
      <c r="W2" s="0" t="s">
        <v>166</v>
      </c>
      <c r="X2" s="0" t="s">
        <v>4585</v>
      </c>
      <c r="Y2" s="0" t="n">
        <f aca="false">IF(EB2&lt;&gt;"Y","",COUNTIFS($EB$2:$EB$1000,"Y",$J$2:$J$1000,"&gt;"&amp;J2)+COUNTIFS($EB$2:$EB$1000,"Y",$J$2:$J$1000,J2,$ED$2:$ED$1000,"&lt;"&amp;ED2)+1)</f>
        <v>1</v>
      </c>
      <c r="Z2" s="0" t="n">
        <v>1</v>
      </c>
      <c r="AA2" s="0" t="s">
        <v>168</v>
      </c>
      <c r="AB2" s="0" t="s">
        <v>4586</v>
      </c>
      <c r="AC2" s="0" t="s">
        <v>4587</v>
      </c>
      <c r="AD2" s="0" t="s">
        <v>171</v>
      </c>
      <c r="AE2" s="0" t="s">
        <v>230</v>
      </c>
      <c r="AF2" s="0" t="s">
        <v>4588</v>
      </c>
      <c r="AG2" s="0" t="s">
        <v>174</v>
      </c>
      <c r="AH2" s="0" t="s">
        <v>4589</v>
      </c>
      <c r="AI2" s="0" t="s">
        <v>4590</v>
      </c>
      <c r="AJ2" s="0" t="s">
        <v>4591</v>
      </c>
      <c r="AK2" s="0" t="s">
        <v>4592</v>
      </c>
      <c r="AL2" s="0" t="s">
        <v>168</v>
      </c>
      <c r="AM2" s="0" t="s">
        <v>4593</v>
      </c>
      <c r="AN2" s="0" t="s">
        <v>4573</v>
      </c>
      <c r="AO2" s="5" t="s">
        <v>162</v>
      </c>
      <c r="AR2" s="0" t="str">
        <f aca="false">IF(AND(AU2="pass",AO2&lt;&gt;"Y",C2&lt;&gt;""),"Y","N")</f>
        <v>Y</v>
      </c>
      <c r="AS2" s="0" t="str">
        <f aca="false">_xlfn.TEXTJOIN("; ",TRUE(),IF(AU2&lt;&gt;"pass","gated out",""),IF(AO2="Y","on hold: "&amp;AP2,""),IF(C2="","no contact named on an opened page",""))</f>
        <v/>
      </c>
      <c r="AU2" s="0" t="s">
        <v>181</v>
      </c>
      <c r="AW2" s="0" t="s">
        <v>182</v>
      </c>
      <c r="AX2" s="0" t="s">
        <v>4594</v>
      </c>
      <c r="AY2" s="0" t="s">
        <v>4592</v>
      </c>
      <c r="AZ2" s="0" t="s">
        <v>4595</v>
      </c>
      <c r="BA2" s="0" t="s">
        <v>4596</v>
      </c>
      <c r="BB2" s="0" t="s">
        <v>4597</v>
      </c>
      <c r="BD2" s="0" t="s">
        <v>168</v>
      </c>
      <c r="BE2" s="0" t="s">
        <v>4598</v>
      </c>
      <c r="BF2" s="0" t="s">
        <v>168</v>
      </c>
      <c r="BG2" s="0" t="s">
        <v>168</v>
      </c>
      <c r="BH2" s="0" t="s">
        <v>163</v>
      </c>
      <c r="BJ2" s="0" t="s">
        <v>4599</v>
      </c>
      <c r="BK2" s="0" t="s">
        <v>162</v>
      </c>
      <c r="BL2" s="0" t="s">
        <v>162</v>
      </c>
      <c r="BN2" s="0" t="n">
        <v>0</v>
      </c>
      <c r="BO2" s="0" t="s">
        <v>168</v>
      </c>
      <c r="BP2" s="0" t="n">
        <v>12</v>
      </c>
      <c r="BQ2" s="0" t="s">
        <v>4600</v>
      </c>
      <c r="BR2" s="0" t="s">
        <v>4601</v>
      </c>
      <c r="BS2" s="0" t="s">
        <v>4602</v>
      </c>
      <c r="BT2" s="0" t="s">
        <v>4603</v>
      </c>
      <c r="BU2" s="0" t="s">
        <v>4604</v>
      </c>
      <c r="BV2" s="0" t="n">
        <v>176</v>
      </c>
      <c r="BW2" s="0" t="s">
        <v>4583</v>
      </c>
      <c r="BX2" s="0" t="s">
        <v>4605</v>
      </c>
      <c r="BY2" s="0" t="s">
        <v>4606</v>
      </c>
      <c r="BZ2" s="0" t="s">
        <v>4607</v>
      </c>
      <c r="CA2" s="0" t="s">
        <v>4608</v>
      </c>
      <c r="CB2" s="0" t="s">
        <v>4609</v>
      </c>
      <c r="CC2" s="0" t="s">
        <v>4610</v>
      </c>
      <c r="CD2" s="0" t="s">
        <v>4611</v>
      </c>
      <c r="CE2" s="0" t="s">
        <v>4612</v>
      </c>
      <c r="CF2" s="0" t="s">
        <v>171</v>
      </c>
      <c r="CG2" s="0" t="s">
        <v>4613</v>
      </c>
      <c r="CK2" s="0" t="s">
        <v>158</v>
      </c>
      <c r="CL2" s="0" t="n">
        <v>81</v>
      </c>
      <c r="CM2" s="0" t="n">
        <v>25</v>
      </c>
      <c r="CN2" s="0" t="n">
        <v>20</v>
      </c>
      <c r="CO2" s="0" t="n">
        <v>15</v>
      </c>
      <c r="CP2" s="0" t="n">
        <v>5</v>
      </c>
      <c r="CQ2" s="0" t="n">
        <v>10</v>
      </c>
      <c r="CR2" s="0" t="n">
        <v>10</v>
      </c>
      <c r="CS2" s="0" t="n">
        <f aca="false">IF(R2="Y",10,0)</f>
        <v>0</v>
      </c>
      <c r="CT2" s="0" t="n">
        <v>-4</v>
      </c>
      <c r="CU2" s="0" t="s">
        <v>4614</v>
      </c>
      <c r="CV2" s="0" t="s">
        <v>4615</v>
      </c>
      <c r="CW2" s="0" t="s">
        <v>4616</v>
      </c>
      <c r="CX2" s="0" t="s">
        <v>4617</v>
      </c>
      <c r="CY2" s="0" t="s">
        <v>4618</v>
      </c>
      <c r="CZ2" s="0" t="s">
        <v>4619</v>
      </c>
      <c r="DA2" s="0" t="s">
        <v>4620</v>
      </c>
      <c r="DB2" s="0" t="s">
        <v>3312</v>
      </c>
      <c r="DC2" s="0" t="s">
        <v>230</v>
      </c>
      <c r="DD2" s="0" t="s">
        <v>912</v>
      </c>
      <c r="DY2" s="0" t="str">
        <f aca="false">IF(ISNUMBER(MATCH(U2,{"queued","contacted","replied","call_booked","call_done","yes_in_principle","materials_sent"},0)),"Y","N")</f>
        <v>N</v>
      </c>
      <c r="DZ2" s="0" t="str">
        <f aca="false">IF(COUNTIFS($AN$2:$AN$1000,AN2,$DY$2:$DY$1000,"Y")+COUNTIFS($AN$2:$AN$1000,AN2,$T$2:$T$1000,"Y")&gt;0,"Y","N")</f>
        <v>N</v>
      </c>
      <c r="EA2" s="0" t="str">
        <f aca="false">IF(AND(U2="new",T2="N",AR2="Y",AQ2="",DZ2="N"),"Y","N")</f>
        <v>Y</v>
      </c>
      <c r="EB2" s="0" t="str">
        <f aca="false">IF(EA2&lt;&gt;"Y","N",IF(COUNTIFS($AN$2:$AN$1000,AN2,$EA$2:$EA$1000,"Y",$J$2:$J$1000,"&gt;"&amp;J2)+COUNTIFS($AN$2:$AN$1000,AN2,$EA$2:$EA$1000,"Y",$J$2:$J$1000,J2,$ED$2:$ED$1000,"&lt;"&amp;ED2)=0,"Y","N"))</f>
        <v>Y</v>
      </c>
      <c r="EC2" s="0" t="str">
        <f aca="false">IF(Y2="","N",IF(Y2&lt;=10,"Y","N"))</f>
        <v>Y</v>
      </c>
      <c r="ED2" s="0" t="n">
        <f aca="false">ROW()-1</f>
        <v>1</v>
      </c>
    </row>
    <row r="3" customFormat="false" ht="15" hidden="false" customHeight="false" outlineLevel="0" collapsed="false">
      <c r="A3" s="0" t="s">
        <v>4621</v>
      </c>
      <c r="B3" s="0" t="s">
        <v>4622</v>
      </c>
      <c r="C3" s="0" t="s">
        <v>4623</v>
      </c>
      <c r="D3" s="0" t="s">
        <v>4624</v>
      </c>
      <c r="E3" s="0" t="s">
        <v>4625</v>
      </c>
      <c r="H3" s="5" t="s">
        <v>158</v>
      </c>
      <c r="I3" s="5" t="s">
        <v>159</v>
      </c>
      <c r="J3" s="0" t="n">
        <f aca="false">IF(AU3="pass",CM3+CN3+CO3+CP3+CQ3+CR3+CS3+CT3,0)</f>
        <v>78</v>
      </c>
      <c r="K3" s="0" t="s">
        <v>4626</v>
      </c>
      <c r="M3" s="0" t="s">
        <v>4627</v>
      </c>
      <c r="N3" s="0" t="s">
        <v>4581</v>
      </c>
      <c r="O3" s="0" t="s">
        <v>4628</v>
      </c>
      <c r="P3" s="0" t="s">
        <v>4629</v>
      </c>
      <c r="Q3" s="0" t="s">
        <v>610</v>
      </c>
      <c r="R3" s="5" t="s">
        <v>162</v>
      </c>
      <c r="S3" s="0" t="s">
        <v>168</v>
      </c>
      <c r="T3" s="5" t="s">
        <v>162</v>
      </c>
      <c r="U3" s="5" t="s">
        <v>561</v>
      </c>
      <c r="V3" s="0" t="s">
        <v>4630</v>
      </c>
      <c r="W3" s="0" t="s">
        <v>166</v>
      </c>
      <c r="X3" s="0" t="s">
        <v>4585</v>
      </c>
      <c r="Y3" s="0" t="n">
        <f aca="false">IF(EB3&lt;&gt;"Y","",COUNTIFS($EB$2:$EB$1000,"Y",$J$2:$J$1000,"&gt;"&amp;J3)+COUNTIFS($EB$2:$EB$1000,"Y",$J$2:$J$1000,J3,$ED$2:$ED$1000,"&lt;"&amp;ED3)+1)</f>
        <v>2</v>
      </c>
      <c r="Z3" s="0" t="n">
        <v>2</v>
      </c>
      <c r="AA3" s="0" t="s">
        <v>168</v>
      </c>
      <c r="AB3" s="0" t="s">
        <v>4631</v>
      </c>
      <c r="AC3" s="0" t="s">
        <v>4587</v>
      </c>
      <c r="AD3" s="0" t="s">
        <v>171</v>
      </c>
      <c r="AE3" s="0" t="s">
        <v>1189</v>
      </c>
      <c r="AF3" s="0" t="s">
        <v>4629</v>
      </c>
      <c r="AG3" s="0" t="s">
        <v>174</v>
      </c>
      <c r="AH3" s="0" t="s">
        <v>4632</v>
      </c>
      <c r="AI3" s="0" t="s">
        <v>4633</v>
      </c>
      <c r="AJ3" s="0" t="s">
        <v>4634</v>
      </c>
      <c r="AK3" s="0" t="s">
        <v>4635</v>
      </c>
      <c r="AL3" s="0" t="s">
        <v>162</v>
      </c>
      <c r="AN3" s="0" t="s">
        <v>4621</v>
      </c>
      <c r="AO3" s="5" t="s">
        <v>162</v>
      </c>
      <c r="AR3" s="0" t="str">
        <f aca="false">IF(AND(AU3="pass",AO3&lt;&gt;"Y",C3&lt;&gt;""),"Y","N")</f>
        <v>Y</v>
      </c>
      <c r="AS3" s="0" t="str">
        <f aca="false">_xlfn.TEXTJOIN("; ",TRUE(),IF(AU3&lt;&gt;"pass","gated out",""),IF(AO3="Y","on hold: "&amp;AP3,""),IF(C3="","no contact named on an opened page",""))</f>
        <v/>
      </c>
      <c r="AU3" s="0" t="s">
        <v>181</v>
      </c>
      <c r="AW3" s="0" t="s">
        <v>182</v>
      </c>
      <c r="AY3" s="0" t="s">
        <v>4635</v>
      </c>
      <c r="AZ3" s="0" t="s">
        <v>4595</v>
      </c>
      <c r="BA3" s="0" t="s">
        <v>4596</v>
      </c>
      <c r="BB3" s="0" t="s">
        <v>163</v>
      </c>
      <c r="BD3" s="0" t="s">
        <v>168</v>
      </c>
      <c r="BE3" s="0" t="s">
        <v>4636</v>
      </c>
      <c r="BF3" s="0" t="s">
        <v>168</v>
      </c>
      <c r="BG3" s="0" t="s">
        <v>168</v>
      </c>
      <c r="BH3" s="0" t="s">
        <v>163</v>
      </c>
      <c r="BJ3" s="0" t="s">
        <v>163</v>
      </c>
      <c r="BK3" s="0" t="s">
        <v>162</v>
      </c>
      <c r="BL3" s="0" t="s">
        <v>162</v>
      </c>
      <c r="BN3" s="0" t="n">
        <v>0</v>
      </c>
      <c r="BO3" s="0" t="s">
        <v>168</v>
      </c>
      <c r="BP3" s="0" t="n">
        <v>1</v>
      </c>
      <c r="BQ3" s="0" t="s">
        <v>4637</v>
      </c>
      <c r="BS3" s="0" t="s">
        <v>4638</v>
      </c>
      <c r="BT3" s="0" t="s">
        <v>4639</v>
      </c>
      <c r="BU3" s="0" t="s">
        <v>4604</v>
      </c>
      <c r="BV3" s="0" t="n">
        <v>248</v>
      </c>
      <c r="BW3" s="0" t="s">
        <v>4640</v>
      </c>
      <c r="BX3" s="0" t="s">
        <v>4641</v>
      </c>
      <c r="BY3" s="0" t="s">
        <v>4642</v>
      </c>
      <c r="CA3" s="0" t="s">
        <v>4643</v>
      </c>
      <c r="CB3" s="0" t="s">
        <v>792</v>
      </c>
      <c r="CC3" s="0" t="s">
        <v>4644</v>
      </c>
      <c r="CD3" s="0" t="s">
        <v>4645</v>
      </c>
      <c r="CE3" s="0" t="s">
        <v>4612</v>
      </c>
      <c r="CF3" s="0" t="s">
        <v>171</v>
      </c>
      <c r="CG3" s="0" t="s">
        <v>4646</v>
      </c>
      <c r="CK3" s="0" t="s">
        <v>158</v>
      </c>
      <c r="CL3" s="0" t="n">
        <v>78</v>
      </c>
      <c r="CM3" s="0" t="n">
        <v>25</v>
      </c>
      <c r="CN3" s="0" t="n">
        <v>20</v>
      </c>
      <c r="CO3" s="0" t="n">
        <v>8</v>
      </c>
      <c r="CP3" s="0" t="n">
        <v>5</v>
      </c>
      <c r="CQ3" s="0" t="n">
        <v>10</v>
      </c>
      <c r="CR3" s="0" t="n">
        <v>10</v>
      </c>
      <c r="CS3" s="0" t="n">
        <f aca="false">IF(R3="Y",10,0)</f>
        <v>0</v>
      </c>
      <c r="CT3" s="0" t="n">
        <v>0</v>
      </c>
      <c r="CV3" s="0" t="s">
        <v>4615</v>
      </c>
      <c r="CW3" s="0" t="s">
        <v>4647</v>
      </c>
      <c r="CX3" s="0" t="s">
        <v>4648</v>
      </c>
      <c r="CY3" s="0" t="s">
        <v>4649</v>
      </c>
      <c r="CZ3" s="0" t="s">
        <v>4650</v>
      </c>
      <c r="DA3" s="0" t="s">
        <v>4620</v>
      </c>
      <c r="DC3" s="0" t="s">
        <v>1189</v>
      </c>
      <c r="DE3" s="0" t="s">
        <v>4651</v>
      </c>
      <c r="DY3" s="0" t="str">
        <f aca="false">IF(ISNUMBER(MATCH(U3,{"queued","contacted","replied","call_booked","call_done","yes_in_principle","materials_sent"},0)),"Y","N")</f>
        <v>N</v>
      </c>
      <c r="DZ3" s="0" t="str">
        <f aca="false">IF(COUNTIFS($AN$2:$AN$1000,AN3,$DY$2:$DY$1000,"Y")+COUNTIFS($AN$2:$AN$1000,AN3,$T$2:$T$1000,"Y")&gt;0,"Y","N")</f>
        <v>N</v>
      </c>
      <c r="EA3" s="0" t="str">
        <f aca="false">IF(AND(U3="new",T3="N",AR3="Y",AQ3="",DZ3="N"),"Y","N")</f>
        <v>Y</v>
      </c>
      <c r="EB3" s="0" t="str">
        <f aca="false">IF(EA3&lt;&gt;"Y","N",IF(COUNTIFS($AN$2:$AN$1000,AN3,$EA$2:$EA$1000,"Y",$J$2:$J$1000,"&gt;"&amp;J3)+COUNTIFS($AN$2:$AN$1000,AN3,$EA$2:$EA$1000,"Y",$J$2:$J$1000,J3,$ED$2:$ED$1000,"&lt;"&amp;ED3)=0,"Y","N"))</f>
        <v>Y</v>
      </c>
      <c r="EC3" s="0" t="str">
        <f aca="false">IF(Y3="","N",IF(Y3&lt;=10,"Y","N"))</f>
        <v>Y</v>
      </c>
      <c r="ED3" s="0" t="n">
        <f aca="false">ROW()-1</f>
        <v>2</v>
      </c>
    </row>
    <row r="4" customFormat="false" ht="15" hidden="false" customHeight="false" outlineLevel="0" collapsed="false">
      <c r="A4" s="0" t="s">
        <v>4652</v>
      </c>
      <c r="B4" s="0" t="s">
        <v>4653</v>
      </c>
      <c r="C4" s="0" t="s">
        <v>4654</v>
      </c>
      <c r="D4" s="0" t="s">
        <v>4655</v>
      </c>
      <c r="E4" s="0" t="s">
        <v>4656</v>
      </c>
      <c r="F4" s="0" t="s">
        <v>4657</v>
      </c>
      <c r="H4" s="5" t="s">
        <v>158</v>
      </c>
      <c r="I4" s="5" t="s">
        <v>159</v>
      </c>
      <c r="J4" s="0" t="n">
        <f aca="false">IF(AU4="pass",CM4+CN4+CO4+CP4+CQ4+CR4+CS4+CT4,0)</f>
        <v>77</v>
      </c>
      <c r="K4" s="0" t="s">
        <v>4658</v>
      </c>
      <c r="M4" s="0" t="s">
        <v>4580</v>
      </c>
      <c r="N4" s="0" t="s">
        <v>4581</v>
      </c>
      <c r="O4" s="0" t="s">
        <v>4659</v>
      </c>
      <c r="P4" s="0" t="s">
        <v>4660</v>
      </c>
      <c r="Q4" s="0" t="s">
        <v>4661</v>
      </c>
      <c r="R4" s="5" t="s">
        <v>162</v>
      </c>
      <c r="S4" s="0" t="s">
        <v>168</v>
      </c>
      <c r="T4" s="5" t="s">
        <v>162</v>
      </c>
      <c r="U4" s="5" t="s">
        <v>561</v>
      </c>
      <c r="V4" s="0" t="s">
        <v>4660</v>
      </c>
      <c r="W4" s="0" t="s">
        <v>166</v>
      </c>
      <c r="X4" s="0" t="s">
        <v>4585</v>
      </c>
      <c r="Y4" s="0" t="n">
        <f aca="false">IF(EB4&lt;&gt;"Y","",COUNTIFS($EB$2:$EB$1000,"Y",$J$2:$J$1000,"&gt;"&amp;J4)+COUNTIFS($EB$2:$EB$1000,"Y",$J$2:$J$1000,J4,$ED$2:$ED$1000,"&lt;"&amp;ED4)+1)</f>
        <v>3</v>
      </c>
      <c r="Z4" s="0" t="n">
        <v>3</v>
      </c>
      <c r="AA4" s="0" t="s">
        <v>168</v>
      </c>
      <c r="AB4" s="0" t="s">
        <v>4662</v>
      </c>
      <c r="AC4" s="0" t="s">
        <v>4587</v>
      </c>
      <c r="AD4" s="0" t="s">
        <v>171</v>
      </c>
      <c r="AE4" s="0" t="s">
        <v>1189</v>
      </c>
      <c r="AF4" s="0" t="s">
        <v>4660</v>
      </c>
      <c r="AG4" s="0" t="s">
        <v>174</v>
      </c>
      <c r="AH4" s="0" t="s">
        <v>4663</v>
      </c>
      <c r="AI4" s="0" t="s">
        <v>4664</v>
      </c>
      <c r="AJ4" s="0" t="s">
        <v>4665</v>
      </c>
      <c r="AK4" s="0" t="s">
        <v>4666</v>
      </c>
      <c r="AL4" s="0" t="s">
        <v>168</v>
      </c>
      <c r="AM4" s="0" t="s">
        <v>4667</v>
      </c>
      <c r="AN4" s="0" t="s">
        <v>4652</v>
      </c>
      <c r="AO4" s="5" t="s">
        <v>162</v>
      </c>
      <c r="AR4" s="0" t="str">
        <f aca="false">IF(AND(AU4="pass",AO4&lt;&gt;"Y",C4&lt;&gt;""),"Y","N")</f>
        <v>Y</v>
      </c>
      <c r="AS4" s="0" t="str">
        <f aca="false">_xlfn.TEXTJOIN("; ",TRUE(),IF(AU4&lt;&gt;"pass","gated out",""),IF(AO4="Y","on hold: "&amp;AP4,""),IF(C4="","no contact named on an opened page",""))</f>
        <v/>
      </c>
      <c r="AU4" s="0" t="s">
        <v>181</v>
      </c>
      <c r="AW4" s="0" t="s">
        <v>182</v>
      </c>
      <c r="AX4" s="0" t="s">
        <v>4594</v>
      </c>
      <c r="AY4" s="0" t="s">
        <v>4666</v>
      </c>
      <c r="AZ4" s="0" t="s">
        <v>4595</v>
      </c>
      <c r="BA4" s="0" t="s">
        <v>4596</v>
      </c>
      <c r="BB4" s="0" t="s">
        <v>163</v>
      </c>
      <c r="BD4" s="0" t="s">
        <v>168</v>
      </c>
      <c r="BE4" s="0" t="s">
        <v>4668</v>
      </c>
      <c r="BF4" s="0" t="s">
        <v>168</v>
      </c>
      <c r="BG4" s="0" t="s">
        <v>168</v>
      </c>
      <c r="BH4" s="0" t="s">
        <v>163</v>
      </c>
      <c r="BJ4" s="0" t="s">
        <v>163</v>
      </c>
      <c r="BK4" s="0" t="s">
        <v>162</v>
      </c>
      <c r="BL4" s="0" t="s">
        <v>162</v>
      </c>
      <c r="BN4" s="0" t="n">
        <v>0</v>
      </c>
      <c r="BO4" s="0" t="s">
        <v>168</v>
      </c>
      <c r="BP4" s="0" t="n">
        <v>3</v>
      </c>
      <c r="BQ4" s="0" t="s">
        <v>4669</v>
      </c>
      <c r="BR4" s="0" t="s">
        <v>4670</v>
      </c>
      <c r="BS4" s="0" t="s">
        <v>4671</v>
      </c>
      <c r="BT4" s="0" t="s">
        <v>4672</v>
      </c>
      <c r="BU4" s="0" t="s">
        <v>4604</v>
      </c>
      <c r="BV4" s="0" t="n">
        <v>44</v>
      </c>
      <c r="BW4" s="0" t="s">
        <v>4660</v>
      </c>
      <c r="BX4" s="0" t="s">
        <v>4673</v>
      </c>
      <c r="BY4" s="0" t="s">
        <v>4674</v>
      </c>
      <c r="BZ4" s="0" t="s">
        <v>4607</v>
      </c>
      <c r="CF4" s="0" t="s">
        <v>158</v>
      </c>
      <c r="CK4" s="0" t="s">
        <v>158</v>
      </c>
      <c r="CL4" s="0" t="n">
        <v>77</v>
      </c>
      <c r="CM4" s="0" t="n">
        <v>25</v>
      </c>
      <c r="CN4" s="0" t="n">
        <v>20</v>
      </c>
      <c r="CO4" s="0" t="n">
        <v>15</v>
      </c>
      <c r="CP4" s="0" t="n">
        <v>5</v>
      </c>
      <c r="CQ4" s="0" t="n">
        <v>10</v>
      </c>
      <c r="CR4" s="0" t="n">
        <v>6</v>
      </c>
      <c r="CS4" s="0" t="n">
        <f aca="false">IF(R4="Y",10,0)</f>
        <v>0</v>
      </c>
      <c r="CT4" s="0" t="n">
        <v>-4</v>
      </c>
      <c r="CV4" s="0" t="s">
        <v>4615</v>
      </c>
      <c r="CW4" s="0" t="s">
        <v>4675</v>
      </c>
      <c r="CX4" s="0" t="s">
        <v>4676</v>
      </c>
      <c r="CY4" s="0" t="s">
        <v>4677</v>
      </c>
      <c r="DA4" s="0" t="s">
        <v>4620</v>
      </c>
      <c r="DY4" s="0" t="str">
        <f aca="false">IF(ISNUMBER(MATCH(U4,{"queued","contacted","replied","call_booked","call_done","yes_in_principle","materials_sent"},0)),"Y","N")</f>
        <v>N</v>
      </c>
      <c r="DZ4" s="0" t="str">
        <f aca="false">IF(COUNTIFS($AN$2:$AN$1000,AN4,$DY$2:$DY$1000,"Y")+COUNTIFS($AN$2:$AN$1000,AN4,$T$2:$T$1000,"Y")&gt;0,"Y","N")</f>
        <v>N</v>
      </c>
      <c r="EA4" s="0" t="str">
        <f aca="false">IF(AND(U4="new",T4="N",AR4="Y",AQ4="",DZ4="N"),"Y","N")</f>
        <v>Y</v>
      </c>
      <c r="EB4" s="0" t="str">
        <f aca="false">IF(EA4&lt;&gt;"Y","N",IF(COUNTIFS($AN$2:$AN$1000,AN4,$EA$2:$EA$1000,"Y",$J$2:$J$1000,"&gt;"&amp;J4)+COUNTIFS($AN$2:$AN$1000,AN4,$EA$2:$EA$1000,"Y",$J$2:$J$1000,J4,$ED$2:$ED$1000,"&lt;"&amp;ED4)=0,"Y","N"))</f>
        <v>Y</v>
      </c>
      <c r="EC4" s="0" t="str">
        <f aca="false">IF(Y4="","N",IF(Y4&lt;=10,"Y","N"))</f>
        <v>Y</v>
      </c>
      <c r="ED4" s="0" t="n">
        <f aca="false">ROW()-1</f>
        <v>3</v>
      </c>
    </row>
    <row r="5" customFormat="false" ht="15" hidden="false" customHeight="false" outlineLevel="0" collapsed="false">
      <c r="A5" s="0" t="s">
        <v>4678</v>
      </c>
      <c r="B5" s="0" t="s">
        <v>4679</v>
      </c>
      <c r="C5" s="0" t="s">
        <v>4680</v>
      </c>
      <c r="D5" s="0" t="s">
        <v>4681</v>
      </c>
      <c r="E5" s="0" t="s">
        <v>4656</v>
      </c>
      <c r="H5" s="5" t="s">
        <v>158</v>
      </c>
      <c r="I5" s="5" t="s">
        <v>159</v>
      </c>
      <c r="J5" s="0" t="n">
        <f aca="false">IF(AU5="pass",CM5+CN5+CO5+CP5+CQ5+CR5+CS5+CT5,0)</f>
        <v>76</v>
      </c>
      <c r="K5" s="0" t="s">
        <v>4682</v>
      </c>
      <c r="M5" s="0" t="s">
        <v>4580</v>
      </c>
      <c r="N5" s="0" t="s">
        <v>4581</v>
      </c>
      <c r="O5" s="0" t="s">
        <v>4683</v>
      </c>
      <c r="P5" s="0" t="s">
        <v>4684</v>
      </c>
      <c r="Q5" s="0" t="s">
        <v>4685</v>
      </c>
      <c r="R5" s="5" t="s">
        <v>162</v>
      </c>
      <c r="S5" s="0" t="s">
        <v>163</v>
      </c>
      <c r="T5" s="5" t="s">
        <v>162</v>
      </c>
      <c r="U5" s="5" t="s">
        <v>561</v>
      </c>
      <c r="V5" s="0" t="s">
        <v>4684</v>
      </c>
      <c r="W5" s="0" t="s">
        <v>166</v>
      </c>
      <c r="X5" s="0" t="s">
        <v>4585</v>
      </c>
      <c r="Y5" s="0" t="n">
        <f aca="false">IF(EB5&lt;&gt;"Y","",COUNTIFS($EB$2:$EB$1000,"Y",$J$2:$J$1000,"&gt;"&amp;J5)+COUNTIFS($EB$2:$EB$1000,"Y",$J$2:$J$1000,J5,$ED$2:$ED$1000,"&lt;"&amp;ED5)+1)</f>
        <v>4</v>
      </c>
      <c r="Z5" s="0" t="n">
        <v>4</v>
      </c>
      <c r="AA5" s="0" t="s">
        <v>168</v>
      </c>
      <c r="AB5" s="0" t="s">
        <v>4686</v>
      </c>
      <c r="AC5" s="0" t="s">
        <v>4587</v>
      </c>
      <c r="AD5" s="0" t="s">
        <v>171</v>
      </c>
      <c r="AE5" s="0" t="s">
        <v>230</v>
      </c>
      <c r="AF5" s="0" t="s">
        <v>4687</v>
      </c>
      <c r="AG5" s="0" t="s">
        <v>174</v>
      </c>
      <c r="AH5" s="0" t="s">
        <v>4688</v>
      </c>
      <c r="AI5" s="0" t="s">
        <v>4664</v>
      </c>
      <c r="AJ5" s="0" t="s">
        <v>4634</v>
      </c>
      <c r="AK5" s="0" t="s">
        <v>4689</v>
      </c>
      <c r="AL5" s="0" t="s">
        <v>168</v>
      </c>
      <c r="AM5" s="0" t="s">
        <v>4690</v>
      </c>
      <c r="AN5" s="0" t="s">
        <v>4678</v>
      </c>
      <c r="AO5" s="5" t="s">
        <v>162</v>
      </c>
      <c r="AR5" s="0" t="str">
        <f aca="false">IF(AND(AU5="pass",AO5&lt;&gt;"Y",C5&lt;&gt;""),"Y","N")</f>
        <v>Y</v>
      </c>
      <c r="AS5" s="0" t="str">
        <f aca="false">_xlfn.TEXTJOIN("; ",TRUE(),IF(AU5&lt;&gt;"pass","gated out",""),IF(AO5="Y","on hold: "&amp;AP5,""),IF(C5="","no contact named on an opened page",""))</f>
        <v/>
      </c>
      <c r="AU5" s="0" t="s">
        <v>181</v>
      </c>
      <c r="AW5" s="0" t="s">
        <v>182</v>
      </c>
      <c r="AY5" s="0" t="s">
        <v>4689</v>
      </c>
      <c r="AZ5" s="0" t="s">
        <v>4595</v>
      </c>
      <c r="BA5" s="0" t="s">
        <v>4596</v>
      </c>
      <c r="BB5" s="0" t="s">
        <v>163</v>
      </c>
      <c r="BD5" s="0" t="s">
        <v>263</v>
      </c>
      <c r="BE5" s="0" t="s">
        <v>4691</v>
      </c>
      <c r="BF5" s="0" t="s">
        <v>168</v>
      </c>
      <c r="BG5" s="0" t="s">
        <v>168</v>
      </c>
      <c r="BH5" s="0" t="s">
        <v>163</v>
      </c>
      <c r="BJ5" s="0" t="s">
        <v>163</v>
      </c>
      <c r="BK5" s="0" t="s">
        <v>162</v>
      </c>
      <c r="BL5" s="0" t="s">
        <v>162</v>
      </c>
      <c r="BN5" s="0" t="n">
        <v>0</v>
      </c>
      <c r="BO5" s="0" t="s">
        <v>168</v>
      </c>
      <c r="BP5" s="0" t="n">
        <v>3</v>
      </c>
      <c r="BQ5" s="0" t="s">
        <v>4669</v>
      </c>
      <c r="BS5" s="0" t="s">
        <v>4692</v>
      </c>
      <c r="BT5" s="0" t="s">
        <v>4693</v>
      </c>
      <c r="BU5" s="0" t="s">
        <v>4694</v>
      </c>
      <c r="BV5" s="0" t="n">
        <v>22</v>
      </c>
      <c r="BX5" s="0" t="s">
        <v>4695</v>
      </c>
      <c r="BY5" s="0" t="s">
        <v>4696</v>
      </c>
      <c r="CA5" s="0" t="s">
        <v>4697</v>
      </c>
      <c r="CB5" s="0" t="s">
        <v>4698</v>
      </c>
      <c r="CC5" s="0" t="s">
        <v>4699</v>
      </c>
      <c r="CD5" s="0" t="s">
        <v>4700</v>
      </c>
      <c r="CE5" s="0" t="s">
        <v>4612</v>
      </c>
      <c r="CF5" s="0" t="s">
        <v>171</v>
      </c>
      <c r="CG5" s="0" t="s">
        <v>4701</v>
      </c>
      <c r="CK5" s="0" t="s">
        <v>158</v>
      </c>
      <c r="CL5" s="0" t="n">
        <v>76</v>
      </c>
      <c r="CM5" s="0" t="n">
        <v>25</v>
      </c>
      <c r="CN5" s="0" t="n">
        <v>20</v>
      </c>
      <c r="CO5" s="0" t="n">
        <v>8</v>
      </c>
      <c r="CP5" s="0" t="n">
        <v>5</v>
      </c>
      <c r="CQ5" s="0" t="n">
        <v>8</v>
      </c>
      <c r="CR5" s="0" t="n">
        <v>10</v>
      </c>
      <c r="CS5" s="0" t="n">
        <f aca="false">IF(R5="Y",10,0)</f>
        <v>0</v>
      </c>
      <c r="CT5" s="0" t="n">
        <v>0</v>
      </c>
      <c r="CU5" s="0" t="s">
        <v>4702</v>
      </c>
      <c r="CV5" s="0" t="s">
        <v>4703</v>
      </c>
      <c r="CW5" s="0" t="s">
        <v>4704</v>
      </c>
      <c r="CX5" s="0" t="s">
        <v>4705</v>
      </c>
      <c r="CY5" s="0" t="s">
        <v>4706</v>
      </c>
      <c r="CZ5" s="0" t="s">
        <v>4707</v>
      </c>
      <c r="DA5" s="0" t="s">
        <v>4620</v>
      </c>
      <c r="DB5" s="0" t="s">
        <v>4708</v>
      </c>
      <c r="DC5" s="0" t="s">
        <v>230</v>
      </c>
      <c r="DD5" s="0" t="s">
        <v>4709</v>
      </c>
      <c r="DY5" s="0" t="str">
        <f aca="false">IF(ISNUMBER(MATCH(U5,{"queued","contacted","replied","call_booked","call_done","yes_in_principle","materials_sent"},0)),"Y","N")</f>
        <v>N</v>
      </c>
      <c r="DZ5" s="0" t="str">
        <f aca="false">IF(COUNTIFS($AN$2:$AN$1000,AN5,$DY$2:$DY$1000,"Y")+COUNTIFS($AN$2:$AN$1000,AN5,$T$2:$T$1000,"Y")&gt;0,"Y","N")</f>
        <v>N</v>
      </c>
      <c r="EA5" s="0" t="str">
        <f aca="false">IF(AND(U5="new",T5="N",AR5="Y",AQ5="",DZ5="N"),"Y","N")</f>
        <v>Y</v>
      </c>
      <c r="EB5" s="0" t="str">
        <f aca="false">IF(EA5&lt;&gt;"Y","N",IF(COUNTIFS($AN$2:$AN$1000,AN5,$EA$2:$EA$1000,"Y",$J$2:$J$1000,"&gt;"&amp;J5)+COUNTIFS($AN$2:$AN$1000,AN5,$EA$2:$EA$1000,"Y",$J$2:$J$1000,J5,$ED$2:$ED$1000,"&lt;"&amp;ED5)=0,"Y","N"))</f>
        <v>Y</v>
      </c>
      <c r="EC5" s="0" t="str">
        <f aca="false">IF(Y5="","N",IF(Y5&lt;=10,"Y","N"))</f>
        <v>Y</v>
      </c>
      <c r="ED5" s="0" t="n">
        <f aca="false">ROW()-1</f>
        <v>4</v>
      </c>
    </row>
    <row r="6" customFormat="false" ht="15" hidden="false" customHeight="false" outlineLevel="0" collapsed="false">
      <c r="A6" s="0" t="s">
        <v>4710</v>
      </c>
      <c r="B6" s="0" t="s">
        <v>4711</v>
      </c>
      <c r="C6" s="0" t="s">
        <v>4712</v>
      </c>
      <c r="D6" s="0" t="s">
        <v>4713</v>
      </c>
      <c r="E6" s="0" t="s">
        <v>4656</v>
      </c>
      <c r="H6" s="5" t="s">
        <v>158</v>
      </c>
      <c r="I6" s="5" t="s">
        <v>159</v>
      </c>
      <c r="J6" s="0" t="n">
        <f aca="false">IF(AU6="pass",CM6+CN6+CO6+CP6+CQ6+CR6+CS6+CT6,0)</f>
        <v>74</v>
      </c>
      <c r="K6" s="0" t="s">
        <v>4714</v>
      </c>
      <c r="M6" s="0" t="s">
        <v>4580</v>
      </c>
      <c r="N6" s="0" t="s">
        <v>4581</v>
      </c>
      <c r="O6" s="0" t="s">
        <v>4715</v>
      </c>
      <c r="P6" s="0" t="s">
        <v>4716</v>
      </c>
      <c r="Q6" s="0" t="s">
        <v>4717</v>
      </c>
      <c r="R6" s="5" t="s">
        <v>162</v>
      </c>
      <c r="S6" s="0" t="s">
        <v>163</v>
      </c>
      <c r="T6" s="5" t="s">
        <v>162</v>
      </c>
      <c r="U6" s="5" t="s">
        <v>561</v>
      </c>
      <c r="V6" s="0" t="s">
        <v>4718</v>
      </c>
      <c r="W6" s="0" t="s">
        <v>166</v>
      </c>
      <c r="X6" s="0" t="s">
        <v>4585</v>
      </c>
      <c r="Y6" s="0" t="n">
        <f aca="false">IF(EB6&lt;&gt;"Y","",COUNTIFS($EB$2:$EB$1000,"Y",$J$2:$J$1000,"&gt;"&amp;J6)+COUNTIFS($EB$2:$EB$1000,"Y",$J$2:$J$1000,J6,$ED$2:$ED$1000,"&lt;"&amp;ED6)+1)</f>
        <v>5</v>
      </c>
      <c r="Z6" s="0" t="n">
        <v>5</v>
      </c>
      <c r="AA6" s="0" t="s">
        <v>168</v>
      </c>
      <c r="AB6" s="0" t="s">
        <v>4719</v>
      </c>
      <c r="AC6" s="0" t="s">
        <v>4587</v>
      </c>
      <c r="AD6" s="0" t="s">
        <v>171</v>
      </c>
      <c r="AE6" s="0" t="s">
        <v>230</v>
      </c>
      <c r="AF6" s="0" t="s">
        <v>4720</v>
      </c>
      <c r="AG6" s="0" t="s">
        <v>174</v>
      </c>
      <c r="AH6" s="0" t="s">
        <v>4721</v>
      </c>
      <c r="AI6" s="0" t="s">
        <v>4722</v>
      </c>
      <c r="AJ6" s="0" t="s">
        <v>192</v>
      </c>
      <c r="AK6" s="0" t="s">
        <v>4723</v>
      </c>
      <c r="AL6" s="0" t="s">
        <v>162</v>
      </c>
      <c r="AN6" s="0" t="s">
        <v>4710</v>
      </c>
      <c r="AO6" s="5" t="s">
        <v>162</v>
      </c>
      <c r="AR6" s="0" t="str">
        <f aca="false">IF(AND(AU6="pass",AO6&lt;&gt;"Y",C6&lt;&gt;""),"Y","N")</f>
        <v>Y</v>
      </c>
      <c r="AS6" s="0" t="str">
        <f aca="false">_xlfn.TEXTJOIN("; ",TRUE(),IF(AU6&lt;&gt;"pass","gated out",""),IF(AO6="Y","on hold: "&amp;AP6,""),IF(C6="","no contact named on an opened page",""))</f>
        <v/>
      </c>
      <c r="AU6" s="0" t="s">
        <v>181</v>
      </c>
      <c r="AW6" s="0" t="s">
        <v>182</v>
      </c>
      <c r="AY6" s="0" t="s">
        <v>4723</v>
      </c>
      <c r="AZ6" s="0" t="s">
        <v>4595</v>
      </c>
      <c r="BA6" s="0" t="s">
        <v>4596</v>
      </c>
      <c r="BB6" s="0" t="s">
        <v>163</v>
      </c>
      <c r="BD6" s="0" t="s">
        <v>168</v>
      </c>
      <c r="BE6" s="0" t="s">
        <v>4724</v>
      </c>
      <c r="BF6" s="0" t="s">
        <v>168</v>
      </c>
      <c r="BG6" s="0" t="s">
        <v>168</v>
      </c>
      <c r="BH6" s="0" t="s">
        <v>163</v>
      </c>
      <c r="BJ6" s="0" t="s">
        <v>163</v>
      </c>
      <c r="BK6" s="0" t="s">
        <v>162</v>
      </c>
      <c r="BL6" s="0" t="s">
        <v>162</v>
      </c>
      <c r="BN6" s="0" t="n">
        <v>0</v>
      </c>
      <c r="BO6" s="0" t="s">
        <v>168</v>
      </c>
      <c r="BP6" s="0" t="n">
        <v>10</v>
      </c>
      <c r="BQ6" s="0" t="s">
        <v>4725</v>
      </c>
      <c r="BS6" s="0" t="s">
        <v>4726</v>
      </c>
      <c r="BT6" s="0" t="s">
        <v>4727</v>
      </c>
      <c r="BU6" s="0" t="s">
        <v>4604</v>
      </c>
      <c r="BV6" s="0" t="n">
        <v>201</v>
      </c>
      <c r="BX6" s="0" t="s">
        <v>4728</v>
      </c>
      <c r="BY6" s="0" t="s">
        <v>4729</v>
      </c>
      <c r="CF6" s="0" t="s">
        <v>158</v>
      </c>
      <c r="CK6" s="0" t="s">
        <v>158</v>
      </c>
      <c r="CL6" s="0" t="n">
        <v>74</v>
      </c>
      <c r="CM6" s="0" t="n">
        <v>25</v>
      </c>
      <c r="CN6" s="0" t="n">
        <v>20</v>
      </c>
      <c r="CO6" s="0" t="n">
        <v>8</v>
      </c>
      <c r="CP6" s="0" t="n">
        <v>5</v>
      </c>
      <c r="CQ6" s="0" t="n">
        <v>10</v>
      </c>
      <c r="CR6" s="0" t="n">
        <v>6</v>
      </c>
      <c r="CS6" s="0" t="n">
        <f aca="false">IF(R6="Y",10,0)</f>
        <v>0</v>
      </c>
      <c r="CT6" s="0" t="n">
        <v>0</v>
      </c>
      <c r="CU6" s="0" t="s">
        <v>4730</v>
      </c>
      <c r="CV6" s="0" t="s">
        <v>4703</v>
      </c>
      <c r="CW6" s="0" t="s">
        <v>4731</v>
      </c>
      <c r="CX6" s="0" t="s">
        <v>4732</v>
      </c>
      <c r="CY6" s="0" t="s">
        <v>4733</v>
      </c>
      <c r="DA6" s="0" t="s">
        <v>4620</v>
      </c>
      <c r="DB6" s="0" t="s">
        <v>4248</v>
      </c>
      <c r="DY6" s="0" t="str">
        <f aca="false">IF(ISNUMBER(MATCH(U6,{"queued","contacted","replied","call_booked","call_done","yes_in_principle","materials_sent"},0)),"Y","N")</f>
        <v>N</v>
      </c>
      <c r="DZ6" s="0" t="str">
        <f aca="false">IF(COUNTIFS($AN$2:$AN$1000,AN6,$DY$2:$DY$1000,"Y")+COUNTIFS($AN$2:$AN$1000,AN6,$T$2:$T$1000,"Y")&gt;0,"Y","N")</f>
        <v>N</v>
      </c>
      <c r="EA6" s="0" t="str">
        <f aca="false">IF(AND(U6="new",T6="N",AR6="Y",AQ6="",DZ6="N"),"Y","N")</f>
        <v>Y</v>
      </c>
      <c r="EB6" s="0" t="str">
        <f aca="false">IF(EA6&lt;&gt;"Y","N",IF(COUNTIFS($AN$2:$AN$1000,AN6,$EA$2:$EA$1000,"Y",$J$2:$J$1000,"&gt;"&amp;J6)+COUNTIFS($AN$2:$AN$1000,AN6,$EA$2:$EA$1000,"Y",$J$2:$J$1000,J6,$ED$2:$ED$1000,"&lt;"&amp;ED6)=0,"Y","N"))</f>
        <v>Y</v>
      </c>
      <c r="EC6" s="0" t="str">
        <f aca="false">IF(Y6="","N",IF(Y6&lt;=10,"Y","N"))</f>
        <v>Y</v>
      </c>
      <c r="ED6" s="0" t="n">
        <f aca="false">ROW()-1</f>
        <v>5</v>
      </c>
    </row>
    <row r="7" customFormat="false" ht="15" hidden="false" customHeight="false" outlineLevel="0" collapsed="false">
      <c r="A7" s="0" t="s">
        <v>4734</v>
      </c>
      <c r="B7" s="0" t="s">
        <v>4735</v>
      </c>
      <c r="C7" s="0" t="s">
        <v>4736</v>
      </c>
      <c r="D7" s="0" t="s">
        <v>4737</v>
      </c>
      <c r="E7" s="0" t="s">
        <v>4738</v>
      </c>
      <c r="H7" s="5" t="s">
        <v>158</v>
      </c>
      <c r="I7" s="5" t="s">
        <v>159</v>
      </c>
      <c r="J7" s="0" t="n">
        <f aca="false">IF(AU7="pass",CM7+CN7+CO7+CP7+CQ7+CR7+CS7+CT7,0)</f>
        <v>74</v>
      </c>
      <c r="K7" s="0" t="s">
        <v>4739</v>
      </c>
      <c r="M7" s="0" t="s">
        <v>4627</v>
      </c>
      <c r="N7" s="0" t="s">
        <v>4581</v>
      </c>
      <c r="O7" s="0" t="s">
        <v>4740</v>
      </c>
      <c r="P7" s="0" t="s">
        <v>4741</v>
      </c>
      <c r="Q7" s="0" t="s">
        <v>4159</v>
      </c>
      <c r="R7" s="5" t="s">
        <v>162</v>
      </c>
      <c r="S7" s="0" t="s">
        <v>163</v>
      </c>
      <c r="T7" s="5" t="s">
        <v>162</v>
      </c>
      <c r="U7" s="5" t="s">
        <v>561</v>
      </c>
      <c r="V7" s="0" t="s">
        <v>4742</v>
      </c>
      <c r="W7" s="0" t="s">
        <v>166</v>
      </c>
      <c r="X7" s="0" t="s">
        <v>4585</v>
      </c>
      <c r="Y7" s="0" t="n">
        <f aca="false">IF(EB7&lt;&gt;"Y","",COUNTIFS($EB$2:$EB$1000,"Y",$J$2:$J$1000,"&gt;"&amp;J7)+COUNTIFS($EB$2:$EB$1000,"Y",$J$2:$J$1000,J7,$ED$2:$ED$1000,"&lt;"&amp;ED7)+1)</f>
        <v>6</v>
      </c>
      <c r="Z7" s="0" t="n">
        <v>6</v>
      </c>
      <c r="AA7" s="0" t="s">
        <v>168</v>
      </c>
      <c r="AB7" s="0" t="s">
        <v>4743</v>
      </c>
      <c r="AC7" s="0" t="s">
        <v>4587</v>
      </c>
      <c r="AD7" s="0" t="s">
        <v>171</v>
      </c>
      <c r="AE7" s="0" t="s">
        <v>230</v>
      </c>
      <c r="AF7" s="0" t="s">
        <v>4744</v>
      </c>
      <c r="AG7" s="0" t="s">
        <v>174</v>
      </c>
      <c r="AH7" s="0" t="s">
        <v>4745</v>
      </c>
      <c r="AI7" s="0" t="s">
        <v>4664</v>
      </c>
      <c r="AJ7" s="0" t="s">
        <v>4746</v>
      </c>
      <c r="AK7" s="0" t="s">
        <v>4747</v>
      </c>
      <c r="AL7" s="0" t="s">
        <v>168</v>
      </c>
      <c r="AM7" s="0" t="s">
        <v>4748</v>
      </c>
      <c r="AN7" s="0" t="s">
        <v>4734</v>
      </c>
      <c r="AO7" s="5" t="s">
        <v>162</v>
      </c>
      <c r="AR7" s="0" t="str">
        <f aca="false">IF(AND(AU7="pass",AO7&lt;&gt;"Y",C7&lt;&gt;""),"Y","N")</f>
        <v>Y</v>
      </c>
      <c r="AS7" s="0" t="str">
        <f aca="false">_xlfn.TEXTJOIN("; ",TRUE(),IF(AU7&lt;&gt;"pass","gated out",""),IF(AO7="Y","on hold: "&amp;AP7,""),IF(C7="","no contact named on an opened page",""))</f>
        <v/>
      </c>
      <c r="AU7" s="0" t="s">
        <v>181</v>
      </c>
      <c r="AW7" s="0" t="s">
        <v>182</v>
      </c>
      <c r="AX7" s="0" t="s">
        <v>4594</v>
      </c>
      <c r="AY7" s="0" t="s">
        <v>4747</v>
      </c>
      <c r="AZ7" s="0" t="s">
        <v>4595</v>
      </c>
      <c r="BA7" s="0" t="s">
        <v>4596</v>
      </c>
      <c r="BB7" s="0" t="s">
        <v>163</v>
      </c>
      <c r="BD7" s="0" t="s">
        <v>168</v>
      </c>
      <c r="BE7" s="0" t="s">
        <v>4749</v>
      </c>
      <c r="BF7" s="0" t="s">
        <v>168</v>
      </c>
      <c r="BG7" s="0" t="s">
        <v>168</v>
      </c>
      <c r="BH7" s="0" t="s">
        <v>163</v>
      </c>
      <c r="BJ7" s="0" t="s">
        <v>163</v>
      </c>
      <c r="BK7" s="0" t="s">
        <v>162</v>
      </c>
      <c r="BL7" s="0" t="s">
        <v>162</v>
      </c>
      <c r="BN7" s="0" t="n">
        <v>0</v>
      </c>
      <c r="BO7" s="0" t="s">
        <v>168</v>
      </c>
      <c r="BP7" s="0" t="n">
        <v>7</v>
      </c>
      <c r="BQ7" s="0" t="s">
        <v>4750</v>
      </c>
      <c r="BR7" s="0" t="s">
        <v>4751</v>
      </c>
      <c r="BS7" s="0" t="s">
        <v>4752</v>
      </c>
      <c r="BT7" s="0" t="s">
        <v>4753</v>
      </c>
      <c r="BU7" s="0" t="s">
        <v>4694</v>
      </c>
      <c r="BV7" s="0" t="n">
        <v>2</v>
      </c>
      <c r="BX7" s="0" t="s">
        <v>4754</v>
      </c>
      <c r="BY7" s="0" t="s">
        <v>4755</v>
      </c>
      <c r="CA7" s="0" t="s">
        <v>4756</v>
      </c>
      <c r="CB7" s="0" t="s">
        <v>4757</v>
      </c>
      <c r="CC7" s="0" t="s">
        <v>4758</v>
      </c>
      <c r="CD7" s="0" t="s">
        <v>4759</v>
      </c>
      <c r="CE7" s="0" t="s">
        <v>4612</v>
      </c>
      <c r="CF7" s="0" t="s">
        <v>171</v>
      </c>
      <c r="CG7" s="0" t="s">
        <v>4760</v>
      </c>
      <c r="CK7" s="0" t="s">
        <v>158</v>
      </c>
      <c r="CL7" s="0" t="n">
        <v>74</v>
      </c>
      <c r="CM7" s="0" t="n">
        <v>25</v>
      </c>
      <c r="CN7" s="0" t="n">
        <v>20</v>
      </c>
      <c r="CO7" s="0" t="n">
        <v>8</v>
      </c>
      <c r="CP7" s="0" t="n">
        <v>5</v>
      </c>
      <c r="CQ7" s="0" t="n">
        <v>10</v>
      </c>
      <c r="CR7" s="0" t="n">
        <v>10</v>
      </c>
      <c r="CS7" s="0" t="n">
        <f aca="false">IF(R7="Y",10,0)</f>
        <v>0</v>
      </c>
      <c r="CT7" s="0" t="n">
        <v>-4</v>
      </c>
      <c r="CU7" s="0" t="s">
        <v>4761</v>
      </c>
      <c r="CV7" s="0" t="s">
        <v>4703</v>
      </c>
      <c r="CW7" s="0" t="s">
        <v>4762</v>
      </c>
      <c r="CX7" s="0" t="s">
        <v>4763</v>
      </c>
      <c r="CY7" s="0" t="s">
        <v>4764</v>
      </c>
      <c r="CZ7" s="0" t="s">
        <v>4765</v>
      </c>
      <c r="DA7" s="0" t="s">
        <v>4620</v>
      </c>
      <c r="DB7" s="0" t="s">
        <v>4766</v>
      </c>
      <c r="DC7" s="0" t="s">
        <v>230</v>
      </c>
      <c r="DD7" s="0" t="s">
        <v>4766</v>
      </c>
      <c r="DY7" s="0" t="str">
        <f aca="false">IF(ISNUMBER(MATCH(U7,{"queued","contacted","replied","call_booked","call_done","yes_in_principle","materials_sent"},0)),"Y","N")</f>
        <v>N</v>
      </c>
      <c r="DZ7" s="0" t="str">
        <f aca="false">IF(COUNTIFS($AN$2:$AN$1000,AN7,$DY$2:$DY$1000,"Y")+COUNTIFS($AN$2:$AN$1000,AN7,$T$2:$T$1000,"Y")&gt;0,"Y","N")</f>
        <v>N</v>
      </c>
      <c r="EA7" s="0" t="str">
        <f aca="false">IF(AND(U7="new",T7="N",AR7="Y",AQ7="",DZ7="N"),"Y","N")</f>
        <v>Y</v>
      </c>
      <c r="EB7" s="0" t="str">
        <f aca="false">IF(EA7&lt;&gt;"Y","N",IF(COUNTIFS($AN$2:$AN$1000,AN7,$EA$2:$EA$1000,"Y",$J$2:$J$1000,"&gt;"&amp;J7)+COUNTIFS($AN$2:$AN$1000,AN7,$EA$2:$EA$1000,"Y",$J$2:$J$1000,J7,$ED$2:$ED$1000,"&lt;"&amp;ED7)=0,"Y","N"))</f>
        <v>Y</v>
      </c>
      <c r="EC7" s="0" t="str">
        <f aca="false">IF(Y7="","N",IF(Y7&lt;=10,"Y","N"))</f>
        <v>Y</v>
      </c>
      <c r="ED7" s="0" t="n">
        <f aca="false">ROW()-1</f>
        <v>6</v>
      </c>
    </row>
    <row r="8" customFormat="false" ht="15" hidden="false" customHeight="false" outlineLevel="0" collapsed="false">
      <c r="A8" s="0" t="s">
        <v>4767</v>
      </c>
      <c r="B8" s="0" t="s">
        <v>4768</v>
      </c>
      <c r="C8" s="0" t="s">
        <v>4769</v>
      </c>
      <c r="D8" s="0" t="s">
        <v>4770</v>
      </c>
      <c r="E8" s="0" t="s">
        <v>4771</v>
      </c>
      <c r="H8" s="5" t="s">
        <v>158</v>
      </c>
      <c r="I8" s="5" t="s">
        <v>159</v>
      </c>
      <c r="J8" s="0" t="n">
        <f aca="false">IF(AU8="pass",CM8+CN8+CO8+CP8+CQ8+CR8+CS8+CT8,0)</f>
        <v>72</v>
      </c>
      <c r="K8" s="0" t="s">
        <v>4772</v>
      </c>
      <c r="M8" s="0" t="s">
        <v>4580</v>
      </c>
      <c r="N8" s="0" t="s">
        <v>4581</v>
      </c>
      <c r="O8" s="0" t="s">
        <v>4773</v>
      </c>
      <c r="P8" s="0" t="s">
        <v>4774</v>
      </c>
      <c r="Q8" s="0" t="s">
        <v>4775</v>
      </c>
      <c r="R8" s="5" t="s">
        <v>162</v>
      </c>
      <c r="S8" s="0" t="s">
        <v>163</v>
      </c>
      <c r="T8" s="5" t="s">
        <v>162</v>
      </c>
      <c r="U8" s="5" t="s">
        <v>561</v>
      </c>
      <c r="V8" s="0" t="s">
        <v>4776</v>
      </c>
      <c r="W8" s="0" t="s">
        <v>166</v>
      </c>
      <c r="X8" s="0" t="s">
        <v>4585</v>
      </c>
      <c r="Y8" s="0" t="n">
        <f aca="false">IF(EB8&lt;&gt;"Y","",COUNTIFS($EB$2:$EB$1000,"Y",$J$2:$J$1000,"&gt;"&amp;J8)+COUNTIFS($EB$2:$EB$1000,"Y",$J$2:$J$1000,J8,$ED$2:$ED$1000,"&lt;"&amp;ED8)+1)</f>
        <v>7</v>
      </c>
      <c r="Z8" s="0" t="n">
        <v>7</v>
      </c>
      <c r="AA8" s="0" t="s">
        <v>168</v>
      </c>
      <c r="AB8" s="0" t="s">
        <v>4777</v>
      </c>
      <c r="AC8" s="0" t="s">
        <v>4587</v>
      </c>
      <c r="AD8" s="0" t="s">
        <v>171</v>
      </c>
      <c r="AE8" s="0" t="s">
        <v>172</v>
      </c>
      <c r="AF8" s="0" t="s">
        <v>4776</v>
      </c>
      <c r="AG8" s="0" t="s">
        <v>174</v>
      </c>
      <c r="AH8" s="0" t="s">
        <v>4778</v>
      </c>
      <c r="AI8" s="0" t="s">
        <v>4664</v>
      </c>
      <c r="AJ8" s="0" t="s">
        <v>4634</v>
      </c>
      <c r="AK8" s="0" t="s">
        <v>4779</v>
      </c>
      <c r="AL8" s="0" t="s">
        <v>168</v>
      </c>
      <c r="AM8" s="0" t="s">
        <v>4690</v>
      </c>
      <c r="AN8" s="0" t="s">
        <v>4767</v>
      </c>
      <c r="AO8" s="5" t="s">
        <v>162</v>
      </c>
      <c r="AR8" s="0" t="str">
        <f aca="false">IF(AND(AU8="pass",AO8&lt;&gt;"Y",C8&lt;&gt;""),"Y","N")</f>
        <v>Y</v>
      </c>
      <c r="AS8" s="0" t="str">
        <f aca="false">_xlfn.TEXTJOIN("; ",TRUE(),IF(AU8&lt;&gt;"pass","gated out",""),IF(AO8="Y","on hold: "&amp;AP8,""),IF(C8="","no contact named on an opened page",""))</f>
        <v/>
      </c>
      <c r="AU8" s="0" t="s">
        <v>181</v>
      </c>
      <c r="AW8" s="0" t="s">
        <v>182</v>
      </c>
      <c r="AY8" s="0" t="s">
        <v>4779</v>
      </c>
      <c r="AZ8" s="0" t="s">
        <v>4595</v>
      </c>
      <c r="BA8" s="0" t="s">
        <v>4596</v>
      </c>
      <c r="BB8" s="0" t="s">
        <v>163</v>
      </c>
      <c r="BD8" s="0" t="s">
        <v>263</v>
      </c>
      <c r="BE8" s="0" t="s">
        <v>4780</v>
      </c>
      <c r="BF8" s="0" t="s">
        <v>168</v>
      </c>
      <c r="BG8" s="0" t="s">
        <v>168</v>
      </c>
      <c r="BH8" s="0" t="s">
        <v>163</v>
      </c>
      <c r="BJ8" s="0" t="s">
        <v>163</v>
      </c>
      <c r="BK8" s="0" t="s">
        <v>162</v>
      </c>
      <c r="BL8" s="0" t="s">
        <v>162</v>
      </c>
      <c r="BN8" s="0" t="n">
        <v>0</v>
      </c>
      <c r="BO8" s="0" t="s">
        <v>168</v>
      </c>
      <c r="BP8" s="0" t="n">
        <v>2</v>
      </c>
      <c r="BQ8" s="0" t="s">
        <v>4781</v>
      </c>
      <c r="BS8" s="0" t="s">
        <v>4692</v>
      </c>
      <c r="BT8" s="0" t="s">
        <v>4782</v>
      </c>
      <c r="BU8" s="0" t="s">
        <v>4694</v>
      </c>
      <c r="BV8" s="0" t="n">
        <v>9</v>
      </c>
      <c r="BX8" s="0" t="s">
        <v>4783</v>
      </c>
      <c r="BY8" s="0" t="s">
        <v>4784</v>
      </c>
      <c r="CF8" s="0" t="s">
        <v>158</v>
      </c>
      <c r="CK8" s="0" t="s">
        <v>158</v>
      </c>
      <c r="CL8" s="0" t="n">
        <v>72</v>
      </c>
      <c r="CM8" s="0" t="n">
        <v>25</v>
      </c>
      <c r="CN8" s="0" t="n">
        <v>20</v>
      </c>
      <c r="CO8" s="0" t="n">
        <v>8</v>
      </c>
      <c r="CP8" s="0" t="n">
        <v>5</v>
      </c>
      <c r="CQ8" s="0" t="n">
        <v>8</v>
      </c>
      <c r="CR8" s="0" t="n">
        <v>6</v>
      </c>
      <c r="CS8" s="0" t="n">
        <f aca="false">IF(R8="Y",10,0)</f>
        <v>0</v>
      </c>
      <c r="CT8" s="0" t="n">
        <v>0</v>
      </c>
      <c r="CU8" s="0" t="s">
        <v>4785</v>
      </c>
      <c r="CV8" s="0" t="s">
        <v>4703</v>
      </c>
      <c r="CW8" s="0" t="s">
        <v>4786</v>
      </c>
      <c r="CX8" s="0" t="s">
        <v>4787</v>
      </c>
      <c r="DA8" s="0" t="s">
        <v>4620</v>
      </c>
      <c r="DY8" s="0" t="str">
        <f aca="false">IF(ISNUMBER(MATCH(U8,{"queued","contacted","replied","call_booked","call_done","yes_in_principle","materials_sent"},0)),"Y","N")</f>
        <v>N</v>
      </c>
      <c r="DZ8" s="0" t="str">
        <f aca="false">IF(COUNTIFS($AN$2:$AN$1000,AN8,$DY$2:$DY$1000,"Y")+COUNTIFS($AN$2:$AN$1000,AN8,$T$2:$T$1000,"Y")&gt;0,"Y","N")</f>
        <v>N</v>
      </c>
      <c r="EA8" s="0" t="str">
        <f aca="false">IF(AND(U8="new",T8="N",AR8="Y",AQ8="",DZ8="N"),"Y","N")</f>
        <v>Y</v>
      </c>
      <c r="EB8" s="0" t="str">
        <f aca="false">IF(EA8&lt;&gt;"Y","N",IF(COUNTIFS($AN$2:$AN$1000,AN8,$EA$2:$EA$1000,"Y",$J$2:$J$1000,"&gt;"&amp;J8)+COUNTIFS($AN$2:$AN$1000,AN8,$EA$2:$EA$1000,"Y",$J$2:$J$1000,J8,$ED$2:$ED$1000,"&lt;"&amp;ED8)=0,"Y","N"))</f>
        <v>Y</v>
      </c>
      <c r="EC8" s="0" t="str">
        <f aca="false">IF(Y8="","N",IF(Y8&lt;=10,"Y","N"))</f>
        <v>Y</v>
      </c>
      <c r="ED8" s="0" t="n">
        <f aca="false">ROW()-1</f>
        <v>7</v>
      </c>
    </row>
    <row r="9" customFormat="false" ht="15" hidden="false" customHeight="false" outlineLevel="0" collapsed="false">
      <c r="A9" s="0" t="s">
        <v>4788</v>
      </c>
      <c r="B9" s="0" t="s">
        <v>4789</v>
      </c>
      <c r="C9" s="0" t="s">
        <v>4790</v>
      </c>
      <c r="D9" s="0" t="s">
        <v>4791</v>
      </c>
      <c r="E9" s="0" t="s">
        <v>4625</v>
      </c>
      <c r="H9" s="5" t="s">
        <v>158</v>
      </c>
      <c r="I9" s="5" t="s">
        <v>159</v>
      </c>
      <c r="J9" s="0" t="n">
        <f aca="false">IF(AU9="pass",CM9+CN9+CO9+CP9+CQ9+CR9+CS9+CT9,0)</f>
        <v>72</v>
      </c>
      <c r="K9" s="0" t="s">
        <v>4792</v>
      </c>
      <c r="M9" s="0" t="s">
        <v>4580</v>
      </c>
      <c r="N9" s="0" t="s">
        <v>4581</v>
      </c>
      <c r="O9" s="0" t="s">
        <v>4793</v>
      </c>
      <c r="P9" s="0" t="s">
        <v>4794</v>
      </c>
      <c r="Q9" s="0" t="s">
        <v>4795</v>
      </c>
      <c r="R9" s="5" t="s">
        <v>162</v>
      </c>
      <c r="S9" s="0" t="s">
        <v>163</v>
      </c>
      <c r="T9" s="5" t="s">
        <v>162</v>
      </c>
      <c r="U9" s="5" t="s">
        <v>561</v>
      </c>
      <c r="V9" s="0" t="s">
        <v>4796</v>
      </c>
      <c r="W9" s="0" t="s">
        <v>166</v>
      </c>
      <c r="X9" s="0" t="s">
        <v>4585</v>
      </c>
      <c r="Y9" s="0" t="n">
        <f aca="false">IF(EB9&lt;&gt;"Y","",COUNTIFS($EB$2:$EB$1000,"Y",$J$2:$J$1000,"&gt;"&amp;J9)+COUNTIFS($EB$2:$EB$1000,"Y",$J$2:$J$1000,J9,$ED$2:$ED$1000,"&lt;"&amp;ED9)+1)</f>
        <v>8</v>
      </c>
      <c r="Z9" s="0" t="n">
        <v>8</v>
      </c>
      <c r="AA9" s="0" t="s">
        <v>168</v>
      </c>
      <c r="AB9" s="0" t="s">
        <v>4797</v>
      </c>
      <c r="AC9" s="0" t="s">
        <v>4587</v>
      </c>
      <c r="AD9" s="0" t="s">
        <v>171</v>
      </c>
      <c r="AE9" s="0" t="s">
        <v>172</v>
      </c>
      <c r="AF9" s="0" t="s">
        <v>4796</v>
      </c>
      <c r="AG9" s="0" t="s">
        <v>174</v>
      </c>
      <c r="AH9" s="0" t="s">
        <v>4798</v>
      </c>
      <c r="AI9" s="0" t="s">
        <v>4722</v>
      </c>
      <c r="AJ9" s="0" t="s">
        <v>192</v>
      </c>
      <c r="AK9" s="0" t="s">
        <v>4799</v>
      </c>
      <c r="AL9" s="0" t="s">
        <v>162</v>
      </c>
      <c r="AN9" s="0" t="s">
        <v>4788</v>
      </c>
      <c r="AO9" s="5" t="s">
        <v>162</v>
      </c>
      <c r="AR9" s="0" t="str">
        <f aca="false">IF(AND(AU9="pass",AO9&lt;&gt;"Y",C9&lt;&gt;""),"Y","N")</f>
        <v>Y</v>
      </c>
      <c r="AS9" s="0" t="str">
        <f aca="false">_xlfn.TEXTJOIN("; ",TRUE(),IF(AU9&lt;&gt;"pass","gated out",""),IF(AO9="Y","on hold: "&amp;AP9,""),IF(C9="","no contact named on an opened page",""))</f>
        <v/>
      </c>
      <c r="AU9" s="0" t="s">
        <v>181</v>
      </c>
      <c r="AW9" s="0" t="s">
        <v>182</v>
      </c>
      <c r="AY9" s="0" t="s">
        <v>4799</v>
      </c>
      <c r="AZ9" s="0" t="s">
        <v>4595</v>
      </c>
      <c r="BA9" s="0" t="s">
        <v>4596</v>
      </c>
      <c r="BB9" s="0" t="s">
        <v>163</v>
      </c>
      <c r="BD9" s="0" t="s">
        <v>168</v>
      </c>
      <c r="BE9" s="0" t="s">
        <v>4800</v>
      </c>
      <c r="BF9" s="0" t="s">
        <v>163</v>
      </c>
      <c r="BG9" s="0" t="s">
        <v>168</v>
      </c>
      <c r="BH9" s="0" t="s">
        <v>163</v>
      </c>
      <c r="BJ9" s="0" t="s">
        <v>163</v>
      </c>
      <c r="BK9" s="0" t="s">
        <v>162</v>
      </c>
      <c r="BL9" s="0" t="s">
        <v>162</v>
      </c>
      <c r="BN9" s="0" t="n">
        <v>0</v>
      </c>
      <c r="BO9" s="0" t="s">
        <v>168</v>
      </c>
      <c r="BP9" s="0" t="n">
        <v>3</v>
      </c>
      <c r="BQ9" s="0" t="s">
        <v>4669</v>
      </c>
      <c r="BS9" s="0" t="s">
        <v>4801</v>
      </c>
      <c r="BT9" s="0" t="s">
        <v>4802</v>
      </c>
      <c r="BU9" s="0" t="s">
        <v>4694</v>
      </c>
      <c r="BV9" s="0" t="n">
        <v>36</v>
      </c>
      <c r="BX9" s="0" t="s">
        <v>4803</v>
      </c>
      <c r="BY9" s="0" t="s">
        <v>4804</v>
      </c>
      <c r="CA9" s="0" t="s">
        <v>4805</v>
      </c>
      <c r="CB9" s="0" t="s">
        <v>4806</v>
      </c>
      <c r="CC9" s="0" t="s">
        <v>4807</v>
      </c>
      <c r="CD9" s="0" t="s">
        <v>4625</v>
      </c>
      <c r="CE9" s="0" t="s">
        <v>4808</v>
      </c>
      <c r="CF9" s="0" t="s">
        <v>171</v>
      </c>
      <c r="CG9" s="0" t="s">
        <v>4809</v>
      </c>
      <c r="CK9" s="0" t="s">
        <v>158</v>
      </c>
      <c r="CL9" s="0" t="n">
        <v>72</v>
      </c>
      <c r="CM9" s="0" t="n">
        <v>25</v>
      </c>
      <c r="CN9" s="0" t="n">
        <v>20</v>
      </c>
      <c r="CO9" s="0" t="n">
        <v>8</v>
      </c>
      <c r="CP9" s="0" t="n">
        <v>5</v>
      </c>
      <c r="CQ9" s="0" t="n">
        <v>8</v>
      </c>
      <c r="CR9" s="0" t="n">
        <v>6</v>
      </c>
      <c r="CS9" s="0" t="n">
        <f aca="false">IF(R9="Y",10,0)</f>
        <v>0</v>
      </c>
      <c r="CT9" s="0" t="n">
        <v>0</v>
      </c>
      <c r="CU9" s="0" t="s">
        <v>4810</v>
      </c>
      <c r="CV9" s="0" t="s">
        <v>4703</v>
      </c>
      <c r="CW9" s="0" t="s">
        <v>4811</v>
      </c>
      <c r="CX9" s="0" t="s">
        <v>4812</v>
      </c>
      <c r="CY9" s="0" t="s">
        <v>4813</v>
      </c>
      <c r="CZ9" s="0" t="s">
        <v>4796</v>
      </c>
      <c r="DA9" s="0" t="s">
        <v>4620</v>
      </c>
      <c r="DC9" s="0" t="s">
        <v>172</v>
      </c>
      <c r="DY9" s="0" t="str">
        <f aca="false">IF(ISNUMBER(MATCH(U9,{"queued","contacted","replied","call_booked","call_done","yes_in_principle","materials_sent"},0)),"Y","N")</f>
        <v>N</v>
      </c>
      <c r="DZ9" s="0" t="str">
        <f aca="false">IF(COUNTIFS($AN$2:$AN$1000,AN9,$DY$2:$DY$1000,"Y")+COUNTIFS($AN$2:$AN$1000,AN9,$T$2:$T$1000,"Y")&gt;0,"Y","N")</f>
        <v>N</v>
      </c>
      <c r="EA9" s="0" t="str">
        <f aca="false">IF(AND(U9="new",T9="N",AR9="Y",AQ9="",DZ9="N"),"Y","N")</f>
        <v>Y</v>
      </c>
      <c r="EB9" s="0" t="str">
        <f aca="false">IF(EA9&lt;&gt;"Y","N",IF(COUNTIFS($AN$2:$AN$1000,AN9,$EA$2:$EA$1000,"Y",$J$2:$J$1000,"&gt;"&amp;J9)+COUNTIFS($AN$2:$AN$1000,AN9,$EA$2:$EA$1000,"Y",$J$2:$J$1000,J9,$ED$2:$ED$1000,"&lt;"&amp;ED9)=0,"Y","N"))</f>
        <v>Y</v>
      </c>
      <c r="EC9" s="0" t="str">
        <f aca="false">IF(Y9="","N",IF(Y9&lt;=10,"Y","N"))</f>
        <v>Y</v>
      </c>
      <c r="ED9" s="0" t="n">
        <f aca="false">ROW()-1</f>
        <v>8</v>
      </c>
    </row>
    <row r="10" customFormat="false" ht="15" hidden="false" customHeight="false" outlineLevel="0" collapsed="false">
      <c r="A10" s="0" t="s">
        <v>4814</v>
      </c>
      <c r="B10" s="0" t="s">
        <v>4815</v>
      </c>
      <c r="C10" s="0" t="s">
        <v>4816</v>
      </c>
      <c r="D10" s="0" t="s">
        <v>4817</v>
      </c>
      <c r="E10" s="0" t="s">
        <v>4771</v>
      </c>
      <c r="H10" s="5" t="s">
        <v>158</v>
      </c>
      <c r="I10" s="5" t="s">
        <v>159</v>
      </c>
      <c r="J10" s="0" t="n">
        <f aca="false">IF(AU10="pass",CM10+CN10+CO10+CP10+CQ10+CR10+CS10+CT10,0)</f>
        <v>71</v>
      </c>
      <c r="K10" s="0" t="s">
        <v>4818</v>
      </c>
      <c r="M10" s="0" t="s">
        <v>4580</v>
      </c>
      <c r="N10" s="0" t="s">
        <v>4581</v>
      </c>
      <c r="O10" s="0" t="s">
        <v>4819</v>
      </c>
      <c r="P10" s="0" t="s">
        <v>4820</v>
      </c>
      <c r="Q10" s="0" t="s">
        <v>4821</v>
      </c>
      <c r="R10" s="5" t="s">
        <v>162</v>
      </c>
      <c r="S10" s="0" t="s">
        <v>163</v>
      </c>
      <c r="T10" s="5" t="s">
        <v>162</v>
      </c>
      <c r="U10" s="5" t="s">
        <v>561</v>
      </c>
      <c r="V10" s="0" t="s">
        <v>4822</v>
      </c>
      <c r="W10" s="0" t="s">
        <v>166</v>
      </c>
      <c r="X10" s="0" t="s">
        <v>4585</v>
      </c>
      <c r="Y10" s="0" t="n">
        <f aca="false">IF(EB10&lt;&gt;"Y","",COUNTIFS($EB$2:$EB$1000,"Y",$J$2:$J$1000,"&gt;"&amp;J10)+COUNTIFS($EB$2:$EB$1000,"Y",$J$2:$J$1000,J10,$ED$2:$ED$1000,"&lt;"&amp;ED10)+1)</f>
        <v>9</v>
      </c>
      <c r="Z10" s="0" t="n">
        <v>9</v>
      </c>
      <c r="AA10" s="0" t="s">
        <v>168</v>
      </c>
      <c r="AB10" s="0" t="s">
        <v>4823</v>
      </c>
      <c r="AC10" s="0" t="s">
        <v>4587</v>
      </c>
      <c r="AD10" s="0" t="s">
        <v>171</v>
      </c>
      <c r="AE10" s="0" t="s">
        <v>1189</v>
      </c>
      <c r="AF10" s="0" t="s">
        <v>4824</v>
      </c>
      <c r="AG10" s="0" t="s">
        <v>174</v>
      </c>
      <c r="AH10" s="0" t="s">
        <v>4825</v>
      </c>
      <c r="AI10" s="0" t="s">
        <v>4826</v>
      </c>
      <c r="AJ10" s="0" t="s">
        <v>4634</v>
      </c>
      <c r="AK10" s="0" t="s">
        <v>4822</v>
      </c>
      <c r="AL10" s="0" t="s">
        <v>168</v>
      </c>
      <c r="AM10" s="0" t="s">
        <v>4827</v>
      </c>
      <c r="AN10" s="0" t="s">
        <v>4814</v>
      </c>
      <c r="AO10" s="5" t="s">
        <v>162</v>
      </c>
      <c r="AR10" s="0" t="str">
        <f aca="false">IF(AND(AU10="pass",AO10&lt;&gt;"Y",C10&lt;&gt;""),"Y","N")</f>
        <v>Y</v>
      </c>
      <c r="AS10" s="0" t="str">
        <f aca="false">_xlfn.TEXTJOIN("; ",TRUE(),IF(AU10&lt;&gt;"pass","gated out",""),IF(AO10="Y","on hold: "&amp;AP10,""),IF(C10="","no contact named on an opened page",""))</f>
        <v/>
      </c>
      <c r="AU10" s="0" t="s">
        <v>181</v>
      </c>
      <c r="AW10" s="0" t="s">
        <v>182</v>
      </c>
      <c r="AX10" s="0" t="s">
        <v>4828</v>
      </c>
      <c r="AY10" s="0" t="s">
        <v>4822</v>
      </c>
      <c r="AZ10" s="0" t="s">
        <v>4595</v>
      </c>
      <c r="BA10" s="0" t="s">
        <v>4596</v>
      </c>
      <c r="BB10" s="0" t="s">
        <v>4829</v>
      </c>
      <c r="BC10" s="0" t="s">
        <v>4830</v>
      </c>
      <c r="BD10" s="0" t="s">
        <v>168</v>
      </c>
      <c r="BE10" s="0" t="s">
        <v>4831</v>
      </c>
      <c r="BF10" s="0" t="s">
        <v>162</v>
      </c>
      <c r="BG10" s="0" t="s">
        <v>168</v>
      </c>
      <c r="BH10" s="0" t="s">
        <v>163</v>
      </c>
      <c r="BJ10" s="0" t="s">
        <v>163</v>
      </c>
      <c r="BK10" s="0" t="s">
        <v>162</v>
      </c>
      <c r="BL10" s="0" t="s">
        <v>162</v>
      </c>
      <c r="BN10" s="0" t="n">
        <v>0</v>
      </c>
      <c r="BO10" s="0" t="s">
        <v>168</v>
      </c>
      <c r="BP10" s="0" t="n">
        <v>2</v>
      </c>
      <c r="BQ10" s="0" t="s">
        <v>4781</v>
      </c>
      <c r="BS10" s="0" t="s">
        <v>4832</v>
      </c>
      <c r="BT10" s="0" t="s">
        <v>4833</v>
      </c>
      <c r="BU10" s="0" t="s">
        <v>4694</v>
      </c>
      <c r="BV10" s="0" t="n">
        <v>12</v>
      </c>
      <c r="BX10" s="0" t="s">
        <v>4834</v>
      </c>
      <c r="BY10" s="0" t="s">
        <v>4835</v>
      </c>
      <c r="CA10" s="0" t="s">
        <v>4836</v>
      </c>
      <c r="CB10" s="0" t="s">
        <v>4837</v>
      </c>
      <c r="CC10" s="0" t="s">
        <v>4838</v>
      </c>
      <c r="CD10" s="0" t="s">
        <v>4839</v>
      </c>
      <c r="CE10" s="0" t="s">
        <v>4612</v>
      </c>
      <c r="CF10" s="0" t="s">
        <v>171</v>
      </c>
      <c r="CG10" s="0" t="s">
        <v>4840</v>
      </c>
      <c r="CK10" s="0" t="s">
        <v>158</v>
      </c>
      <c r="CL10" s="0" t="n">
        <v>71</v>
      </c>
      <c r="CM10" s="0" t="n">
        <v>25</v>
      </c>
      <c r="CN10" s="0" t="n">
        <v>20</v>
      </c>
      <c r="CO10" s="0" t="n">
        <v>8</v>
      </c>
      <c r="CP10" s="0" t="n">
        <v>5</v>
      </c>
      <c r="CQ10" s="0" t="n">
        <v>7</v>
      </c>
      <c r="CR10" s="0" t="n">
        <v>10</v>
      </c>
      <c r="CS10" s="0" t="n">
        <f aca="false">IF(R10="Y",10,0)</f>
        <v>0</v>
      </c>
      <c r="CT10" s="0" t="n">
        <v>-4</v>
      </c>
      <c r="CU10" s="0" t="s">
        <v>163</v>
      </c>
      <c r="CV10" s="0" t="s">
        <v>4841</v>
      </c>
      <c r="CW10" s="0" t="s">
        <v>4842</v>
      </c>
      <c r="CX10" s="0" t="s">
        <v>4843</v>
      </c>
      <c r="CY10" s="0" t="s">
        <v>4844</v>
      </c>
      <c r="CZ10" s="0" t="s">
        <v>4845</v>
      </c>
      <c r="DA10" s="0" t="s">
        <v>4620</v>
      </c>
      <c r="DC10" s="0" t="s">
        <v>230</v>
      </c>
      <c r="DD10" s="0" t="s">
        <v>4846</v>
      </c>
      <c r="DY10" s="0" t="str">
        <f aca="false">IF(ISNUMBER(MATCH(U10,{"queued","contacted","replied","call_booked","call_done","yes_in_principle","materials_sent"},0)),"Y","N")</f>
        <v>N</v>
      </c>
      <c r="DZ10" s="0" t="str">
        <f aca="false">IF(COUNTIFS($AN$2:$AN$1000,AN10,$DY$2:$DY$1000,"Y")+COUNTIFS($AN$2:$AN$1000,AN10,$T$2:$T$1000,"Y")&gt;0,"Y","N")</f>
        <v>N</v>
      </c>
      <c r="EA10" s="0" t="str">
        <f aca="false">IF(AND(U10="new",T10="N",AR10="Y",AQ10="",DZ10="N"),"Y","N")</f>
        <v>Y</v>
      </c>
      <c r="EB10" s="0" t="str">
        <f aca="false">IF(EA10&lt;&gt;"Y","N",IF(COUNTIFS($AN$2:$AN$1000,AN10,$EA$2:$EA$1000,"Y",$J$2:$J$1000,"&gt;"&amp;J10)+COUNTIFS($AN$2:$AN$1000,AN10,$EA$2:$EA$1000,"Y",$J$2:$J$1000,J10,$ED$2:$ED$1000,"&lt;"&amp;ED10)=0,"Y","N"))</f>
        <v>Y</v>
      </c>
      <c r="EC10" s="0" t="str">
        <f aca="false">IF(Y10="","N",IF(Y10&lt;=10,"Y","N"))</f>
        <v>Y</v>
      </c>
      <c r="ED10" s="0" t="n">
        <f aca="false">ROW()-1</f>
        <v>9</v>
      </c>
    </row>
    <row r="11" customFormat="false" ht="15" hidden="false" customHeight="false" outlineLevel="0" collapsed="false">
      <c r="A11" s="0" t="s">
        <v>4847</v>
      </c>
      <c r="B11" s="0" t="s">
        <v>4848</v>
      </c>
      <c r="C11" s="0" t="s">
        <v>4849</v>
      </c>
      <c r="D11" s="0" t="s">
        <v>4850</v>
      </c>
      <c r="E11" s="0" t="s">
        <v>4656</v>
      </c>
      <c r="H11" s="5" t="s">
        <v>158</v>
      </c>
      <c r="I11" s="5" t="s">
        <v>159</v>
      </c>
      <c r="J11" s="0" t="n">
        <f aca="false">IF(AU11="pass",CM11+CN11+CO11+CP11+CQ11+CR11+CS11+CT11,0)</f>
        <v>70</v>
      </c>
      <c r="K11" s="0" t="s">
        <v>4851</v>
      </c>
      <c r="M11" s="0" t="s">
        <v>4580</v>
      </c>
      <c r="N11" s="0" t="s">
        <v>4581</v>
      </c>
      <c r="O11" s="0" t="s">
        <v>4852</v>
      </c>
      <c r="P11" s="0" t="s">
        <v>4853</v>
      </c>
      <c r="Q11" s="0" t="s">
        <v>4854</v>
      </c>
      <c r="R11" s="5" t="s">
        <v>162</v>
      </c>
      <c r="S11" s="0" t="s">
        <v>163</v>
      </c>
      <c r="T11" s="5" t="s">
        <v>162</v>
      </c>
      <c r="U11" s="5" t="s">
        <v>561</v>
      </c>
      <c r="V11" s="0" t="s">
        <v>4855</v>
      </c>
      <c r="W11" s="0" t="s">
        <v>166</v>
      </c>
      <c r="X11" s="0" t="s">
        <v>4585</v>
      </c>
      <c r="Y11" s="0" t="n">
        <f aca="false">IF(EB11&lt;&gt;"Y","",COUNTIFS($EB$2:$EB$1000,"Y",$J$2:$J$1000,"&gt;"&amp;J11)+COUNTIFS($EB$2:$EB$1000,"Y",$J$2:$J$1000,J11,$ED$2:$ED$1000,"&lt;"&amp;ED11)+1)</f>
        <v>10</v>
      </c>
      <c r="Z11" s="0" t="n">
        <v>10</v>
      </c>
      <c r="AA11" s="0" t="s">
        <v>168</v>
      </c>
      <c r="AB11" s="0" t="s">
        <v>4856</v>
      </c>
      <c r="AC11" s="0" t="s">
        <v>4587</v>
      </c>
      <c r="AD11" s="0" t="s">
        <v>171</v>
      </c>
      <c r="AE11" s="0" t="s">
        <v>1189</v>
      </c>
      <c r="AF11" s="0" t="s">
        <v>4857</v>
      </c>
      <c r="AG11" s="0" t="s">
        <v>174</v>
      </c>
      <c r="AH11" s="0" t="s">
        <v>4858</v>
      </c>
      <c r="AI11" s="0" t="s">
        <v>4664</v>
      </c>
      <c r="AJ11" s="0" t="s">
        <v>4859</v>
      </c>
      <c r="AK11" s="0" t="s">
        <v>4860</v>
      </c>
      <c r="AL11" s="0" t="s">
        <v>168</v>
      </c>
      <c r="AM11" s="0" t="s">
        <v>4861</v>
      </c>
      <c r="AN11" s="0" t="s">
        <v>4847</v>
      </c>
      <c r="AO11" s="5" t="s">
        <v>162</v>
      </c>
      <c r="AR11" s="0" t="str">
        <f aca="false">IF(AND(AU11="pass",AO11&lt;&gt;"Y",C11&lt;&gt;""),"Y","N")</f>
        <v>Y</v>
      </c>
      <c r="AS11" s="0" t="str">
        <f aca="false">_xlfn.TEXTJOIN("; ",TRUE(),IF(AU11&lt;&gt;"pass","gated out",""),IF(AO11="Y","on hold: "&amp;AP11,""),IF(C11="","no contact named on an opened page",""))</f>
        <v/>
      </c>
      <c r="AU11" s="0" t="s">
        <v>181</v>
      </c>
      <c r="AW11" s="0" t="s">
        <v>182</v>
      </c>
      <c r="AX11" s="0" t="s">
        <v>4594</v>
      </c>
      <c r="AY11" s="0" t="s">
        <v>4860</v>
      </c>
      <c r="AZ11" s="0" t="s">
        <v>4595</v>
      </c>
      <c r="BA11" s="0" t="s">
        <v>4596</v>
      </c>
      <c r="BB11" s="0" t="s">
        <v>163</v>
      </c>
      <c r="BD11" s="0" t="s">
        <v>168</v>
      </c>
      <c r="BE11" s="0" t="s">
        <v>4862</v>
      </c>
      <c r="BF11" s="0" t="s">
        <v>168</v>
      </c>
      <c r="BG11" s="0" t="s">
        <v>168</v>
      </c>
      <c r="BH11" s="0" t="s">
        <v>163</v>
      </c>
      <c r="BJ11" s="0" t="s">
        <v>163</v>
      </c>
      <c r="BK11" s="0" t="s">
        <v>162</v>
      </c>
      <c r="BL11" s="0" t="s">
        <v>162</v>
      </c>
      <c r="BN11" s="0" t="n">
        <v>0</v>
      </c>
      <c r="BO11" s="0" t="s">
        <v>168</v>
      </c>
      <c r="BP11" s="0" t="n">
        <v>3</v>
      </c>
      <c r="BQ11" s="0" t="s">
        <v>4669</v>
      </c>
      <c r="BR11" s="0" t="s">
        <v>4670</v>
      </c>
      <c r="BS11" s="0" t="s">
        <v>4863</v>
      </c>
      <c r="BT11" s="0" t="s">
        <v>4864</v>
      </c>
      <c r="BU11" s="0" t="s">
        <v>4694</v>
      </c>
      <c r="BV11" s="0" t="n">
        <v>241</v>
      </c>
      <c r="BX11" s="0" t="s">
        <v>4865</v>
      </c>
      <c r="BY11" s="0" t="s">
        <v>4866</v>
      </c>
      <c r="CA11" s="0" t="s">
        <v>4867</v>
      </c>
      <c r="CB11" s="0" t="s">
        <v>4868</v>
      </c>
      <c r="CC11" s="0" t="s">
        <v>4869</v>
      </c>
      <c r="CD11" s="0" t="s">
        <v>4870</v>
      </c>
      <c r="CE11" s="0" t="s">
        <v>4612</v>
      </c>
      <c r="CF11" s="0" t="s">
        <v>171</v>
      </c>
      <c r="CG11" s="0" t="s">
        <v>4871</v>
      </c>
      <c r="CK11" s="0" t="s">
        <v>158</v>
      </c>
      <c r="CL11" s="0" t="n">
        <v>70</v>
      </c>
      <c r="CM11" s="0" t="n">
        <v>25</v>
      </c>
      <c r="CN11" s="0" t="n">
        <v>20</v>
      </c>
      <c r="CO11" s="0" t="n">
        <v>4</v>
      </c>
      <c r="CP11" s="0" t="n">
        <v>5</v>
      </c>
      <c r="CQ11" s="0" t="n">
        <v>10</v>
      </c>
      <c r="CR11" s="0" t="n">
        <v>10</v>
      </c>
      <c r="CS11" s="0" t="n">
        <f aca="false">IF(R11="Y",10,0)</f>
        <v>0</v>
      </c>
      <c r="CT11" s="0" t="n">
        <v>-4</v>
      </c>
      <c r="CU11" s="0" t="s">
        <v>4872</v>
      </c>
      <c r="CV11" s="0" t="s">
        <v>4615</v>
      </c>
      <c r="CW11" s="0" t="s">
        <v>4873</v>
      </c>
      <c r="CX11" s="0" t="s">
        <v>4874</v>
      </c>
      <c r="CY11" s="0" t="s">
        <v>4875</v>
      </c>
      <c r="CZ11" s="0" t="s">
        <v>4876</v>
      </c>
      <c r="DA11" s="0" t="s">
        <v>4620</v>
      </c>
      <c r="DC11" s="0" t="s">
        <v>230</v>
      </c>
      <c r="DD11" s="0" t="s">
        <v>4766</v>
      </c>
      <c r="DY11" s="0" t="str">
        <f aca="false">IF(ISNUMBER(MATCH(U11,{"queued","contacted","replied","call_booked","call_done","yes_in_principle","materials_sent"},0)),"Y","N")</f>
        <v>N</v>
      </c>
      <c r="DZ11" s="0" t="str">
        <f aca="false">IF(COUNTIFS($AN$2:$AN$1000,AN11,$DY$2:$DY$1000,"Y")+COUNTIFS($AN$2:$AN$1000,AN11,$T$2:$T$1000,"Y")&gt;0,"Y","N")</f>
        <v>N</v>
      </c>
      <c r="EA11" s="0" t="str">
        <f aca="false">IF(AND(U11="new",T11="N",AR11="Y",AQ11="",DZ11="N"),"Y","N")</f>
        <v>Y</v>
      </c>
      <c r="EB11" s="0" t="str">
        <f aca="false">IF(EA11&lt;&gt;"Y","N",IF(COUNTIFS($AN$2:$AN$1000,AN11,$EA$2:$EA$1000,"Y",$J$2:$J$1000,"&gt;"&amp;J11)+COUNTIFS($AN$2:$AN$1000,AN11,$EA$2:$EA$1000,"Y",$J$2:$J$1000,J11,$ED$2:$ED$1000,"&lt;"&amp;ED11)=0,"Y","N"))</f>
        <v>Y</v>
      </c>
      <c r="EC11" s="0" t="str">
        <f aca="false">IF(Y11="","N",IF(Y11&lt;=10,"Y","N"))</f>
        <v>Y</v>
      </c>
      <c r="ED11" s="0" t="n">
        <f aca="false">ROW()-1</f>
        <v>10</v>
      </c>
    </row>
    <row r="12" customFormat="false" ht="15" hidden="false" customHeight="false" outlineLevel="0" collapsed="false">
      <c r="A12" s="0" t="s">
        <v>4877</v>
      </c>
      <c r="B12" s="0" t="s">
        <v>4878</v>
      </c>
      <c r="C12" s="0" t="s">
        <v>746</v>
      </c>
      <c r="D12" s="0" t="s">
        <v>4879</v>
      </c>
      <c r="E12" s="0" t="s">
        <v>4656</v>
      </c>
      <c r="F12" s="0" t="s">
        <v>4880</v>
      </c>
      <c r="H12" s="5" t="s">
        <v>158</v>
      </c>
      <c r="I12" s="5" t="s">
        <v>159</v>
      </c>
      <c r="J12" s="0" t="n">
        <f aca="false">IF(AU12="pass",CM12+CN12+CO12+CP12+CQ12+CR12+CS12+CT12,0)</f>
        <v>69</v>
      </c>
      <c r="K12" s="0" t="s">
        <v>4881</v>
      </c>
      <c r="M12" s="0" t="s">
        <v>4580</v>
      </c>
      <c r="N12" s="0" t="s">
        <v>4581</v>
      </c>
      <c r="O12" s="0" t="s">
        <v>4882</v>
      </c>
      <c r="P12" s="0" t="s">
        <v>4883</v>
      </c>
      <c r="Q12" s="0" t="s">
        <v>4884</v>
      </c>
      <c r="R12" s="5" t="s">
        <v>162</v>
      </c>
      <c r="S12" s="0" t="s">
        <v>168</v>
      </c>
      <c r="T12" s="5" t="s">
        <v>162</v>
      </c>
      <c r="U12" s="5" t="s">
        <v>561</v>
      </c>
      <c r="V12" s="0" t="s">
        <v>4885</v>
      </c>
      <c r="W12" s="0" t="s">
        <v>166</v>
      </c>
      <c r="X12" s="0" t="s">
        <v>4585</v>
      </c>
      <c r="Y12" s="0" t="n">
        <f aca="false">IF(EB12&lt;&gt;"Y","",COUNTIFS($EB$2:$EB$1000,"Y",$J$2:$J$1000,"&gt;"&amp;J12)+COUNTIFS($EB$2:$EB$1000,"Y",$J$2:$J$1000,J12,$ED$2:$ED$1000,"&lt;"&amp;ED12)+1)</f>
        <v>11</v>
      </c>
      <c r="Z12" s="0" t="n">
        <v>11</v>
      </c>
      <c r="AA12" s="0" t="s">
        <v>168</v>
      </c>
      <c r="AB12" s="0" t="s">
        <v>4886</v>
      </c>
      <c r="AC12" s="0" t="s">
        <v>4587</v>
      </c>
      <c r="AD12" s="0" t="s">
        <v>171</v>
      </c>
      <c r="AE12" s="0" t="s">
        <v>1189</v>
      </c>
      <c r="AF12" s="0" t="s">
        <v>4887</v>
      </c>
      <c r="AG12" s="0" t="s">
        <v>174</v>
      </c>
      <c r="AH12" s="0" t="s">
        <v>4888</v>
      </c>
      <c r="AI12" s="0" t="s">
        <v>4664</v>
      </c>
      <c r="AJ12" s="0" t="s">
        <v>192</v>
      </c>
      <c r="AK12" s="0" t="s">
        <v>4889</v>
      </c>
      <c r="AL12" s="0" t="s">
        <v>168</v>
      </c>
      <c r="AM12" s="0" t="s">
        <v>4890</v>
      </c>
      <c r="AN12" s="0" t="s">
        <v>4877</v>
      </c>
      <c r="AO12" s="5" t="s">
        <v>162</v>
      </c>
      <c r="AR12" s="0" t="str">
        <f aca="false">IF(AND(AU12="pass",AO12&lt;&gt;"Y",C12&lt;&gt;""),"Y","N")</f>
        <v>Y</v>
      </c>
      <c r="AS12" s="0" t="str">
        <f aca="false">_xlfn.TEXTJOIN("; ",TRUE(),IF(AU12&lt;&gt;"pass","gated out",""),IF(AO12="Y","on hold: "&amp;AP12,""),IF(C12="","no contact named on an opened page",""))</f>
        <v/>
      </c>
      <c r="AU12" s="0" t="s">
        <v>181</v>
      </c>
      <c r="AW12" s="0" t="s">
        <v>182</v>
      </c>
      <c r="AX12" s="0" t="s">
        <v>4891</v>
      </c>
      <c r="AY12" s="0" t="s">
        <v>4889</v>
      </c>
      <c r="AZ12" s="0" t="s">
        <v>4595</v>
      </c>
      <c r="BA12" s="0" t="s">
        <v>4596</v>
      </c>
      <c r="BB12" s="0" t="s">
        <v>4892</v>
      </c>
      <c r="BD12" s="0" t="s">
        <v>263</v>
      </c>
      <c r="BE12" s="0" t="s">
        <v>4893</v>
      </c>
      <c r="BF12" s="0" t="s">
        <v>168</v>
      </c>
      <c r="BG12" s="0" t="s">
        <v>168</v>
      </c>
      <c r="BH12" s="0" t="s">
        <v>163</v>
      </c>
      <c r="BJ12" s="0" t="s">
        <v>163</v>
      </c>
      <c r="BK12" s="0" t="s">
        <v>168</v>
      </c>
      <c r="BL12" s="0" t="s">
        <v>162</v>
      </c>
      <c r="BN12" s="0" t="n">
        <v>0</v>
      </c>
      <c r="BO12" s="0" t="s">
        <v>168</v>
      </c>
      <c r="BP12" s="0" t="n">
        <v>3</v>
      </c>
      <c r="BQ12" s="0" t="s">
        <v>4669</v>
      </c>
      <c r="BS12" s="0" t="s">
        <v>4894</v>
      </c>
      <c r="BT12" s="0" t="s">
        <v>4895</v>
      </c>
      <c r="BU12" s="0" t="s">
        <v>4604</v>
      </c>
      <c r="BV12" s="0" t="n">
        <v>163</v>
      </c>
      <c r="BW12" s="0" t="s">
        <v>4896</v>
      </c>
      <c r="BX12" s="0" t="s">
        <v>4897</v>
      </c>
      <c r="BY12" s="0" t="s">
        <v>4898</v>
      </c>
      <c r="BZ12" s="0" t="s">
        <v>4607</v>
      </c>
      <c r="CA12" s="0" t="s">
        <v>4899</v>
      </c>
      <c r="CE12" s="0" t="s">
        <v>4612</v>
      </c>
      <c r="CF12" s="0" t="s">
        <v>598</v>
      </c>
      <c r="CG12" s="0" t="s">
        <v>4900</v>
      </c>
      <c r="CK12" s="0" t="s">
        <v>158</v>
      </c>
      <c r="CL12" s="0" t="n">
        <v>69</v>
      </c>
      <c r="CM12" s="0" t="n">
        <v>25</v>
      </c>
      <c r="CN12" s="0" t="n">
        <v>20</v>
      </c>
      <c r="CO12" s="0" t="n">
        <v>15</v>
      </c>
      <c r="CP12" s="0" t="n">
        <v>5</v>
      </c>
      <c r="CQ12" s="0" t="n">
        <v>8</v>
      </c>
      <c r="CR12" s="0" t="n">
        <v>8</v>
      </c>
      <c r="CS12" s="0" t="n">
        <f aca="false">IF(R12="Y",10,0)</f>
        <v>0</v>
      </c>
      <c r="CT12" s="0" t="n">
        <v>-12</v>
      </c>
      <c r="CU12" s="0" t="s">
        <v>4901</v>
      </c>
      <c r="CV12" s="0" t="s">
        <v>4703</v>
      </c>
      <c r="CW12" s="0" t="s">
        <v>4902</v>
      </c>
      <c r="CX12" s="0" t="s">
        <v>4903</v>
      </c>
      <c r="CY12" s="0" t="s">
        <v>4904</v>
      </c>
      <c r="CZ12" s="0" t="s">
        <v>4905</v>
      </c>
      <c r="DA12" s="0" t="s">
        <v>4620</v>
      </c>
      <c r="DC12" s="0" t="s">
        <v>599</v>
      </c>
      <c r="DY12" s="0" t="str">
        <f aca="false">IF(ISNUMBER(MATCH(U12,{"queued","contacted","replied","call_booked","call_done","yes_in_principle","materials_sent"},0)),"Y","N")</f>
        <v>N</v>
      </c>
      <c r="DZ12" s="0" t="str">
        <f aca="false">IF(COUNTIFS($AN$2:$AN$1000,AN12,$DY$2:$DY$1000,"Y")+COUNTIFS($AN$2:$AN$1000,AN12,$T$2:$T$1000,"Y")&gt;0,"Y","N")</f>
        <v>N</v>
      </c>
      <c r="EA12" s="0" t="str">
        <f aca="false">IF(AND(U12="new",T12="N",AR12="Y",AQ12="",DZ12="N"),"Y","N")</f>
        <v>Y</v>
      </c>
      <c r="EB12" s="0" t="str">
        <f aca="false">IF(EA12&lt;&gt;"Y","N",IF(COUNTIFS($AN$2:$AN$1000,AN12,$EA$2:$EA$1000,"Y",$J$2:$J$1000,"&gt;"&amp;J12)+COUNTIFS($AN$2:$AN$1000,AN12,$EA$2:$EA$1000,"Y",$J$2:$J$1000,J12,$ED$2:$ED$1000,"&lt;"&amp;ED12)=0,"Y","N"))</f>
        <v>Y</v>
      </c>
      <c r="EC12" s="0" t="str">
        <f aca="false">IF(Y12="","N",IF(Y12&lt;=10,"Y","N"))</f>
        <v>N</v>
      </c>
      <c r="ED12" s="0" t="n">
        <f aca="false">ROW()-1</f>
        <v>11</v>
      </c>
    </row>
    <row r="13" customFormat="false" ht="15" hidden="false" customHeight="false" outlineLevel="0" collapsed="false">
      <c r="A13" s="0" t="s">
        <v>4906</v>
      </c>
      <c r="B13" s="0" t="s">
        <v>4907</v>
      </c>
      <c r="C13" s="0" t="s">
        <v>4908</v>
      </c>
      <c r="D13" s="0" t="s">
        <v>4909</v>
      </c>
      <c r="E13" s="0" t="s">
        <v>4910</v>
      </c>
      <c r="F13" s="0" t="s">
        <v>4911</v>
      </c>
      <c r="H13" s="5" t="s">
        <v>158</v>
      </c>
      <c r="I13" s="5" t="s">
        <v>159</v>
      </c>
      <c r="J13" s="0" t="n">
        <f aca="false">IF(AU13="pass",CM13+CN13+CO13+CP13+CQ13+CR13+CS13+CT13,0)</f>
        <v>68</v>
      </c>
      <c r="K13" s="0" t="s">
        <v>4912</v>
      </c>
      <c r="M13" s="0" t="s">
        <v>4580</v>
      </c>
      <c r="N13" s="0" t="s">
        <v>4581</v>
      </c>
      <c r="O13" s="0" t="s">
        <v>4913</v>
      </c>
      <c r="P13" s="0" t="s">
        <v>4914</v>
      </c>
      <c r="Q13" s="0" t="s">
        <v>4119</v>
      </c>
      <c r="R13" s="5" t="s">
        <v>162</v>
      </c>
      <c r="S13" s="0" t="s">
        <v>163</v>
      </c>
      <c r="T13" s="5" t="s">
        <v>162</v>
      </c>
      <c r="U13" s="5" t="s">
        <v>561</v>
      </c>
      <c r="V13" s="0" t="s">
        <v>4915</v>
      </c>
      <c r="W13" s="0" t="s">
        <v>166</v>
      </c>
      <c r="X13" s="0" t="s">
        <v>4585</v>
      </c>
      <c r="Y13" s="0" t="n">
        <f aca="false">IF(EB13&lt;&gt;"Y","",COUNTIFS($EB$2:$EB$1000,"Y",$J$2:$J$1000,"&gt;"&amp;J13)+COUNTIFS($EB$2:$EB$1000,"Y",$J$2:$J$1000,J13,$ED$2:$ED$1000,"&lt;"&amp;ED13)+1)</f>
        <v>12</v>
      </c>
      <c r="Z13" s="0" t="n">
        <v>12</v>
      </c>
      <c r="AA13" s="0" t="s">
        <v>168</v>
      </c>
      <c r="AB13" s="0" t="s">
        <v>4916</v>
      </c>
      <c r="AC13" s="0" t="s">
        <v>4587</v>
      </c>
      <c r="AD13" s="0" t="s">
        <v>171</v>
      </c>
      <c r="AE13" s="0" t="s">
        <v>172</v>
      </c>
      <c r="AF13" s="0" t="s">
        <v>4917</v>
      </c>
      <c r="AG13" s="0" t="s">
        <v>174</v>
      </c>
      <c r="AH13" s="0" t="s">
        <v>4918</v>
      </c>
      <c r="AI13" s="0" t="s">
        <v>4633</v>
      </c>
      <c r="AJ13" s="0" t="s">
        <v>4919</v>
      </c>
      <c r="AK13" s="0" t="s">
        <v>4915</v>
      </c>
      <c r="AL13" s="0" t="s">
        <v>168</v>
      </c>
      <c r="AM13" s="0" t="s">
        <v>4920</v>
      </c>
      <c r="AN13" s="0" t="s">
        <v>4921</v>
      </c>
      <c r="AO13" s="5" t="s">
        <v>162</v>
      </c>
      <c r="AR13" s="0" t="str">
        <f aca="false">IF(AND(AU13="pass",AO13&lt;&gt;"Y",C13&lt;&gt;""),"Y","N")</f>
        <v>Y</v>
      </c>
      <c r="AS13" s="0" t="str">
        <f aca="false">_xlfn.TEXTJOIN("; ",TRUE(),IF(AU13&lt;&gt;"pass","gated out",""),IF(AO13="Y","on hold: "&amp;AP13,""),IF(C13="","no contact named on an opened page",""))</f>
        <v/>
      </c>
      <c r="AU13" s="0" t="s">
        <v>181</v>
      </c>
      <c r="AW13" s="0" t="s">
        <v>182</v>
      </c>
      <c r="AY13" s="0" t="s">
        <v>4915</v>
      </c>
      <c r="AZ13" s="0" t="s">
        <v>4922</v>
      </c>
      <c r="BA13" s="0" t="s">
        <v>4923</v>
      </c>
      <c r="BB13" s="0" t="s">
        <v>4924</v>
      </c>
      <c r="BD13" s="0" t="s">
        <v>168</v>
      </c>
      <c r="BE13" s="0" t="s">
        <v>4925</v>
      </c>
      <c r="BF13" s="0" t="s">
        <v>168</v>
      </c>
      <c r="BG13" s="0" t="s">
        <v>162</v>
      </c>
      <c r="BH13" s="0" t="s">
        <v>163</v>
      </c>
      <c r="BJ13" s="0" t="s">
        <v>163</v>
      </c>
      <c r="BK13" s="0" t="s">
        <v>162</v>
      </c>
      <c r="BL13" s="0" t="s">
        <v>162</v>
      </c>
      <c r="BN13" s="0" t="n">
        <v>0</v>
      </c>
      <c r="BO13" s="0" t="s">
        <v>168</v>
      </c>
      <c r="BP13" s="0" t="n">
        <v>3</v>
      </c>
      <c r="BQ13" s="0" t="s">
        <v>4669</v>
      </c>
      <c r="BS13" s="0" t="s">
        <v>4926</v>
      </c>
      <c r="BT13" s="0" t="s">
        <v>4927</v>
      </c>
      <c r="BU13" s="0" t="s">
        <v>4604</v>
      </c>
      <c r="BV13" s="0" t="n">
        <v>80</v>
      </c>
      <c r="BX13" s="0" t="s">
        <v>4928</v>
      </c>
      <c r="BY13" s="0" t="s">
        <v>4929</v>
      </c>
      <c r="BZ13" s="0" t="s">
        <v>4607</v>
      </c>
      <c r="CA13" s="0" t="s">
        <v>4930</v>
      </c>
      <c r="CE13" s="0" t="s">
        <v>4612</v>
      </c>
      <c r="CF13" s="0" t="s">
        <v>598</v>
      </c>
      <c r="CG13" s="0" t="s">
        <v>4931</v>
      </c>
      <c r="CI13" s="0" t="s">
        <v>4932</v>
      </c>
      <c r="CK13" s="0" t="s">
        <v>158</v>
      </c>
      <c r="CL13" s="0" t="n">
        <v>68</v>
      </c>
      <c r="CM13" s="0" t="n">
        <v>25</v>
      </c>
      <c r="CN13" s="0" t="n">
        <v>8</v>
      </c>
      <c r="CO13" s="0" t="n">
        <v>15</v>
      </c>
      <c r="CP13" s="0" t="n">
        <v>5</v>
      </c>
      <c r="CQ13" s="0" t="n">
        <v>7</v>
      </c>
      <c r="CR13" s="0" t="n">
        <v>8</v>
      </c>
      <c r="CS13" s="0" t="n">
        <f aca="false">IF(R13="Y",10,0)</f>
        <v>0</v>
      </c>
      <c r="CT13" s="0" t="n">
        <v>0</v>
      </c>
      <c r="CU13" s="0" t="s">
        <v>163</v>
      </c>
      <c r="CV13" s="0" t="s">
        <v>4841</v>
      </c>
      <c r="CW13" s="0" t="s">
        <v>4933</v>
      </c>
      <c r="CX13" s="0" t="s">
        <v>4934</v>
      </c>
      <c r="CY13" s="0" t="s">
        <v>4935</v>
      </c>
      <c r="DA13" s="0" t="s">
        <v>4620</v>
      </c>
      <c r="DC13" s="0" t="s">
        <v>599</v>
      </c>
      <c r="DE13" s="0" t="s">
        <v>4936</v>
      </c>
      <c r="DF13" s="0" t="s">
        <v>4937</v>
      </c>
      <c r="DY13" s="0" t="str">
        <f aca="false">IF(ISNUMBER(MATCH(U13,{"queued","contacted","replied","call_booked","call_done","yes_in_principle","materials_sent"},0)),"Y","N")</f>
        <v>N</v>
      </c>
      <c r="DZ13" s="0" t="str">
        <f aca="false">IF(COUNTIFS($AN$2:$AN$1000,AN13,$DY$2:$DY$1000,"Y")+COUNTIFS($AN$2:$AN$1000,AN13,$T$2:$T$1000,"Y")&gt;0,"Y","N")</f>
        <v>N</v>
      </c>
      <c r="EA13" s="0" t="str">
        <f aca="false">IF(AND(U13="new",T13="N",AR13="Y",AQ13="",DZ13="N"),"Y","N")</f>
        <v>Y</v>
      </c>
      <c r="EB13" s="0" t="str">
        <f aca="false">IF(EA13&lt;&gt;"Y","N",IF(COUNTIFS($AN$2:$AN$1000,AN13,$EA$2:$EA$1000,"Y",$J$2:$J$1000,"&gt;"&amp;J13)+COUNTIFS($AN$2:$AN$1000,AN13,$EA$2:$EA$1000,"Y",$J$2:$J$1000,J13,$ED$2:$ED$1000,"&lt;"&amp;ED13)=0,"Y","N"))</f>
        <v>Y</v>
      </c>
      <c r="EC13" s="0" t="str">
        <f aca="false">IF(Y13="","N",IF(Y13&lt;=10,"Y","N"))</f>
        <v>N</v>
      </c>
      <c r="ED13" s="0" t="n">
        <f aca="false">ROW()-1</f>
        <v>12</v>
      </c>
    </row>
    <row r="14" customFormat="false" ht="15" hidden="false" customHeight="false" outlineLevel="0" collapsed="false">
      <c r="A14" s="0" t="s">
        <v>4938</v>
      </c>
      <c r="B14" s="0" t="s">
        <v>4939</v>
      </c>
      <c r="C14" s="0" t="s">
        <v>4940</v>
      </c>
      <c r="D14" s="0" t="s">
        <v>4941</v>
      </c>
      <c r="E14" s="0" t="s">
        <v>4625</v>
      </c>
      <c r="H14" s="5" t="s">
        <v>158</v>
      </c>
      <c r="I14" s="5" t="s">
        <v>159</v>
      </c>
      <c r="J14" s="0" t="n">
        <f aca="false">IF(AU14="pass",CM14+CN14+CO14+CP14+CQ14+CR14+CS14+CT14,0)</f>
        <v>67</v>
      </c>
      <c r="K14" s="0" t="s">
        <v>4942</v>
      </c>
      <c r="M14" s="0" t="s">
        <v>4580</v>
      </c>
      <c r="N14" s="0" t="s">
        <v>4581</v>
      </c>
      <c r="O14" s="0" t="s">
        <v>4943</v>
      </c>
      <c r="P14" s="0" t="s">
        <v>4944</v>
      </c>
      <c r="Q14" s="0" t="s">
        <v>2650</v>
      </c>
      <c r="R14" s="5" t="s">
        <v>162</v>
      </c>
      <c r="S14" s="0" t="s">
        <v>163</v>
      </c>
      <c r="T14" s="5" t="s">
        <v>162</v>
      </c>
      <c r="U14" s="5" t="s">
        <v>561</v>
      </c>
      <c r="V14" s="0" t="s">
        <v>4945</v>
      </c>
      <c r="W14" s="0" t="s">
        <v>166</v>
      </c>
      <c r="X14" s="0" t="s">
        <v>4585</v>
      </c>
      <c r="Y14" s="0" t="n">
        <f aca="false">IF(EB14&lt;&gt;"Y","",COUNTIFS($EB$2:$EB$1000,"Y",$J$2:$J$1000,"&gt;"&amp;J14)+COUNTIFS($EB$2:$EB$1000,"Y",$J$2:$J$1000,J14,$ED$2:$ED$1000,"&lt;"&amp;ED14)+1)</f>
        <v>13</v>
      </c>
      <c r="Z14" s="0" t="n">
        <v>13</v>
      </c>
      <c r="AA14" s="0" t="s">
        <v>168</v>
      </c>
      <c r="AB14" s="0" t="s">
        <v>4946</v>
      </c>
      <c r="AC14" s="0" t="s">
        <v>4587</v>
      </c>
      <c r="AD14" s="0" t="s">
        <v>171</v>
      </c>
      <c r="AE14" s="0" t="s">
        <v>1189</v>
      </c>
      <c r="AF14" s="0" t="s">
        <v>4947</v>
      </c>
      <c r="AG14" s="0" t="s">
        <v>174</v>
      </c>
      <c r="AH14" s="0" t="s">
        <v>4948</v>
      </c>
      <c r="AI14" s="0" t="s">
        <v>4826</v>
      </c>
      <c r="AJ14" s="0" t="s">
        <v>4949</v>
      </c>
      <c r="AK14" s="0" t="s">
        <v>4950</v>
      </c>
      <c r="AL14" s="0" t="s">
        <v>162</v>
      </c>
      <c r="AN14" s="0" t="s">
        <v>4938</v>
      </c>
      <c r="AO14" s="5" t="s">
        <v>162</v>
      </c>
      <c r="AR14" s="0" t="str">
        <f aca="false">IF(AND(AU14="pass",AO14&lt;&gt;"Y",C14&lt;&gt;""),"Y","N")</f>
        <v>Y</v>
      </c>
      <c r="AS14" s="0" t="str">
        <f aca="false">_xlfn.TEXTJOIN("; ",TRUE(),IF(AU14&lt;&gt;"pass","gated out",""),IF(AO14="Y","on hold: "&amp;AP14,""),IF(C14="","no contact named on an opened page",""))</f>
        <v/>
      </c>
      <c r="AU14" s="0" t="s">
        <v>181</v>
      </c>
      <c r="AW14" s="0" t="s">
        <v>182</v>
      </c>
      <c r="AY14" s="0" t="s">
        <v>4950</v>
      </c>
      <c r="AZ14" s="0" t="s">
        <v>4595</v>
      </c>
      <c r="BA14" s="0" t="s">
        <v>4951</v>
      </c>
      <c r="BB14" s="0" t="s">
        <v>4952</v>
      </c>
      <c r="BC14" s="0" t="s">
        <v>4945</v>
      </c>
      <c r="BD14" s="0" t="s">
        <v>168</v>
      </c>
      <c r="BE14" s="0" t="s">
        <v>4953</v>
      </c>
      <c r="BF14" s="0" t="s">
        <v>168</v>
      </c>
      <c r="BG14" s="0" t="s">
        <v>168</v>
      </c>
      <c r="BH14" s="0" t="s">
        <v>163</v>
      </c>
      <c r="BJ14" s="0" t="s">
        <v>163</v>
      </c>
      <c r="BK14" s="0" t="s">
        <v>162</v>
      </c>
      <c r="BL14" s="0" t="s">
        <v>162</v>
      </c>
      <c r="BN14" s="0" t="n">
        <v>0</v>
      </c>
      <c r="BO14" s="0" t="s">
        <v>168</v>
      </c>
      <c r="BP14" s="0" t="n">
        <v>6</v>
      </c>
      <c r="BQ14" s="0" t="s">
        <v>4954</v>
      </c>
      <c r="BR14" s="0" t="s">
        <v>4955</v>
      </c>
      <c r="BS14" s="0" t="s">
        <v>4956</v>
      </c>
      <c r="BT14" s="0" t="s">
        <v>4957</v>
      </c>
      <c r="BU14" s="0" t="s">
        <v>4694</v>
      </c>
      <c r="BV14" s="0" t="n">
        <v>95</v>
      </c>
      <c r="BX14" s="0" t="s">
        <v>4958</v>
      </c>
      <c r="BY14" s="0" t="s">
        <v>4959</v>
      </c>
      <c r="CA14" s="0" t="s">
        <v>4960</v>
      </c>
      <c r="CB14" s="0" t="s">
        <v>1047</v>
      </c>
      <c r="CC14" s="0" t="s">
        <v>4941</v>
      </c>
      <c r="CD14" s="0" t="s">
        <v>4625</v>
      </c>
      <c r="CE14" s="0" t="s">
        <v>4808</v>
      </c>
      <c r="CF14" s="0" t="s">
        <v>171</v>
      </c>
      <c r="CG14" s="0" t="s">
        <v>4961</v>
      </c>
      <c r="CK14" s="0" t="s">
        <v>158</v>
      </c>
      <c r="CL14" s="0" t="n">
        <v>67</v>
      </c>
      <c r="CM14" s="0" t="n">
        <v>25</v>
      </c>
      <c r="CN14" s="0" t="n">
        <v>13</v>
      </c>
      <c r="CO14" s="0" t="n">
        <v>8</v>
      </c>
      <c r="CP14" s="0" t="n">
        <v>5</v>
      </c>
      <c r="CQ14" s="0" t="n">
        <v>10</v>
      </c>
      <c r="CR14" s="0" t="n">
        <v>6</v>
      </c>
      <c r="CS14" s="0" t="n">
        <f aca="false">IF(R14="Y",10,0)</f>
        <v>0</v>
      </c>
      <c r="CT14" s="0" t="n">
        <v>0</v>
      </c>
      <c r="CU14" s="0" t="s">
        <v>4962</v>
      </c>
      <c r="CV14" s="0" t="s">
        <v>4615</v>
      </c>
      <c r="CW14" s="0" t="s">
        <v>4963</v>
      </c>
      <c r="CX14" s="0" t="s">
        <v>4964</v>
      </c>
      <c r="CY14" s="0" t="s">
        <v>4965</v>
      </c>
      <c r="CZ14" s="0" t="s">
        <v>4947</v>
      </c>
      <c r="DA14" s="0" t="s">
        <v>4620</v>
      </c>
      <c r="DC14" s="0" t="s">
        <v>1189</v>
      </c>
      <c r="DY14" s="0" t="str">
        <f aca="false">IF(ISNUMBER(MATCH(U14,{"queued","contacted","replied","call_booked","call_done","yes_in_principle","materials_sent"},0)),"Y","N")</f>
        <v>N</v>
      </c>
      <c r="DZ14" s="0" t="str">
        <f aca="false">IF(COUNTIFS($AN$2:$AN$1000,AN14,$DY$2:$DY$1000,"Y")+COUNTIFS($AN$2:$AN$1000,AN14,$T$2:$T$1000,"Y")&gt;0,"Y","N")</f>
        <v>N</v>
      </c>
      <c r="EA14" s="0" t="str">
        <f aca="false">IF(AND(U14="new",T14="N",AR14="Y",AQ14="",DZ14="N"),"Y","N")</f>
        <v>Y</v>
      </c>
      <c r="EB14" s="0" t="str">
        <f aca="false">IF(EA14&lt;&gt;"Y","N",IF(COUNTIFS($AN$2:$AN$1000,AN14,$EA$2:$EA$1000,"Y",$J$2:$J$1000,"&gt;"&amp;J14)+COUNTIFS($AN$2:$AN$1000,AN14,$EA$2:$EA$1000,"Y",$J$2:$J$1000,J14,$ED$2:$ED$1000,"&lt;"&amp;ED14)=0,"Y","N"))</f>
        <v>Y</v>
      </c>
      <c r="EC14" s="0" t="str">
        <f aca="false">IF(Y14="","N",IF(Y14&lt;=10,"Y","N"))</f>
        <v>N</v>
      </c>
      <c r="ED14" s="0" t="n">
        <f aca="false">ROW()-1</f>
        <v>13</v>
      </c>
    </row>
    <row r="15" customFormat="false" ht="15" hidden="false" customHeight="false" outlineLevel="0" collapsed="false">
      <c r="A15" s="0" t="s">
        <v>4966</v>
      </c>
      <c r="B15" s="0" t="s">
        <v>4967</v>
      </c>
      <c r="H15" s="5" t="s">
        <v>158</v>
      </c>
      <c r="I15" s="5"/>
      <c r="J15" s="0" t="n">
        <f aca="false">IF(AU15="pass",CM15+CN15+CO15+CP15+CQ15+CR15+CS15+CT15,0)</f>
        <v>66</v>
      </c>
      <c r="K15" s="0" t="s">
        <v>4968</v>
      </c>
      <c r="M15" s="0" t="s">
        <v>4580</v>
      </c>
      <c r="N15" s="0" t="s">
        <v>4581</v>
      </c>
      <c r="O15" s="0" t="s">
        <v>4969</v>
      </c>
      <c r="P15" s="0" t="s">
        <v>4970</v>
      </c>
      <c r="Q15" s="0" t="s">
        <v>4971</v>
      </c>
      <c r="R15" s="5" t="s">
        <v>162</v>
      </c>
      <c r="S15" s="0" t="s">
        <v>163</v>
      </c>
      <c r="T15" s="5" t="s">
        <v>162</v>
      </c>
      <c r="U15" s="5" t="s">
        <v>561</v>
      </c>
      <c r="V15" s="0" t="s">
        <v>4972</v>
      </c>
      <c r="W15" s="0" t="s">
        <v>166</v>
      </c>
      <c r="X15" s="0" t="s">
        <v>4585</v>
      </c>
      <c r="Y15" s="0" t="str">
        <f aca="false">IF(EB15&lt;&gt;"Y","",COUNTIFS($EB$2:$EB$1000,"Y",$J$2:$J$1000,"&gt;"&amp;J15)+COUNTIFS($EB$2:$EB$1000,"Y",$J$2:$J$1000,J15,$ED$2:$ED$1000,"&lt;"&amp;ED15)+1)</f>
        <v/>
      </c>
      <c r="Z15" s="0" t="n">
        <v>14</v>
      </c>
      <c r="AA15" s="0" t="s">
        <v>168</v>
      </c>
      <c r="AB15" s="0" t="s">
        <v>4973</v>
      </c>
      <c r="AD15" s="0" t="s">
        <v>158</v>
      </c>
      <c r="AH15" s="0" t="s">
        <v>4974</v>
      </c>
      <c r="AI15" s="0" t="s">
        <v>4975</v>
      </c>
      <c r="AJ15" s="0" t="s">
        <v>4976</v>
      </c>
      <c r="AK15" s="0" t="s">
        <v>4977</v>
      </c>
      <c r="AL15" s="0" t="s">
        <v>168</v>
      </c>
      <c r="AM15" s="0" t="s">
        <v>4978</v>
      </c>
      <c r="AN15" s="0" t="s">
        <v>4966</v>
      </c>
      <c r="AO15" s="5" t="s">
        <v>162</v>
      </c>
      <c r="AR15" s="0" t="str">
        <f aca="false">IF(AND(AU15="pass",AO15&lt;&gt;"Y",C15&lt;&gt;""),"Y","N")</f>
        <v>N</v>
      </c>
      <c r="AS15" s="0" t="str">
        <f aca="false">_xlfn.TEXTJOIN("; ",TRUE(),IF(AU15&lt;&gt;"pass","gated out",""),IF(AO15="Y","on hold: "&amp;AP15,""),IF(C15="","no contact named on an opened page",""))</f>
        <v>no contact named on an opened page</v>
      </c>
      <c r="AU15" s="0" t="s">
        <v>181</v>
      </c>
      <c r="AW15" s="0" t="s">
        <v>182</v>
      </c>
      <c r="AX15" s="0" t="s">
        <v>282</v>
      </c>
      <c r="AY15" s="0" t="s">
        <v>4977</v>
      </c>
      <c r="AZ15" s="0" t="s">
        <v>4595</v>
      </c>
      <c r="BA15" s="0" t="s">
        <v>4596</v>
      </c>
      <c r="BB15" s="0" t="s">
        <v>163</v>
      </c>
      <c r="BD15" s="0" t="s">
        <v>168</v>
      </c>
      <c r="BE15" s="0" t="s">
        <v>4979</v>
      </c>
      <c r="BF15" s="0" t="s">
        <v>168</v>
      </c>
      <c r="BG15" s="0" t="s">
        <v>168</v>
      </c>
      <c r="BH15" s="0" t="s">
        <v>163</v>
      </c>
      <c r="BJ15" s="0" t="s">
        <v>163</v>
      </c>
      <c r="BK15" s="0" t="s">
        <v>162</v>
      </c>
      <c r="BL15" s="0" t="s">
        <v>162</v>
      </c>
      <c r="BN15" s="0" t="n">
        <v>0</v>
      </c>
      <c r="BO15" s="0" t="s">
        <v>168</v>
      </c>
      <c r="BP15" s="0" t="n">
        <v>1</v>
      </c>
      <c r="BQ15" s="0" t="s">
        <v>4980</v>
      </c>
      <c r="BR15" s="0" t="s">
        <v>4670</v>
      </c>
      <c r="BS15" s="0" t="s">
        <v>4981</v>
      </c>
      <c r="BT15" s="0" t="s">
        <v>4982</v>
      </c>
      <c r="BU15" s="0" t="s">
        <v>4694</v>
      </c>
      <c r="BV15" s="0" t="n">
        <v>18</v>
      </c>
      <c r="CF15" s="0" t="s">
        <v>158</v>
      </c>
      <c r="CK15" s="0" t="s">
        <v>158</v>
      </c>
      <c r="CL15" s="0" t="n">
        <v>66</v>
      </c>
      <c r="CM15" s="0" t="n">
        <v>25</v>
      </c>
      <c r="CN15" s="0" t="n">
        <v>20</v>
      </c>
      <c r="CO15" s="0" t="n">
        <v>8</v>
      </c>
      <c r="CP15" s="0" t="n">
        <v>5</v>
      </c>
      <c r="CQ15" s="0" t="n">
        <v>10</v>
      </c>
      <c r="CR15" s="0" t="n">
        <v>0</v>
      </c>
      <c r="CS15" s="0" t="n">
        <f aca="false">IF(R15="Y",10,0)</f>
        <v>0</v>
      </c>
      <c r="CT15" s="0" t="n">
        <v>-2</v>
      </c>
      <c r="CV15" s="0" t="s">
        <v>4615</v>
      </c>
      <c r="CW15" s="0" t="s">
        <v>4983</v>
      </c>
      <c r="CX15" s="0" t="s">
        <v>4984</v>
      </c>
      <c r="CY15" s="0" t="s">
        <v>4985</v>
      </c>
      <c r="DA15" s="0" t="s">
        <v>4620</v>
      </c>
      <c r="DY15" s="0" t="str">
        <f aca="false">IF(ISNUMBER(MATCH(U15,{"queued","contacted","replied","call_booked","call_done","yes_in_principle","materials_sent"},0)),"Y","N")</f>
        <v>N</v>
      </c>
      <c r="DZ15" s="0" t="str">
        <f aca="false">IF(COUNTIFS($AN$2:$AN$1000,AN15,$DY$2:$DY$1000,"Y")+COUNTIFS($AN$2:$AN$1000,AN15,$T$2:$T$1000,"Y")&gt;0,"Y","N")</f>
        <v>N</v>
      </c>
      <c r="EA15" s="0" t="str">
        <f aca="false">IF(AND(U15="new",T15="N",AR15="Y",AQ15="",DZ15="N"),"Y","N")</f>
        <v>N</v>
      </c>
      <c r="EB15" s="0" t="str">
        <f aca="false">IF(EA15&lt;&gt;"Y","N",IF(COUNTIFS($AN$2:$AN$1000,AN15,$EA$2:$EA$1000,"Y",$J$2:$J$1000,"&gt;"&amp;J15)+COUNTIFS($AN$2:$AN$1000,AN15,$EA$2:$EA$1000,"Y",$J$2:$J$1000,J15,$ED$2:$ED$1000,"&lt;"&amp;ED15)=0,"Y","N"))</f>
        <v>N</v>
      </c>
      <c r="EC15" s="0" t="str">
        <f aca="false">IF(Y15="","N",IF(Y15&lt;=10,"Y","N"))</f>
        <v>N</v>
      </c>
      <c r="ED15" s="0" t="n">
        <f aca="false">ROW()-1</f>
        <v>14</v>
      </c>
    </row>
    <row r="16" customFormat="false" ht="15" hidden="false" customHeight="false" outlineLevel="0" collapsed="false">
      <c r="A16" s="0" t="s">
        <v>4986</v>
      </c>
      <c r="B16" s="0" t="s">
        <v>4987</v>
      </c>
      <c r="C16" s="0" t="s">
        <v>4988</v>
      </c>
      <c r="D16" s="0" t="s">
        <v>4989</v>
      </c>
      <c r="E16" s="0" t="s">
        <v>4771</v>
      </c>
      <c r="H16" s="5" t="s">
        <v>158</v>
      </c>
      <c r="I16" s="5" t="s">
        <v>159</v>
      </c>
      <c r="J16" s="0" t="n">
        <f aca="false">IF(AU16="pass",CM16+CN16+CO16+CP16+CQ16+CR16+CS16+CT16,0)</f>
        <v>65</v>
      </c>
      <c r="K16" s="0" t="s">
        <v>4990</v>
      </c>
      <c r="M16" s="0" t="s">
        <v>4580</v>
      </c>
      <c r="N16" s="0" t="s">
        <v>4581</v>
      </c>
      <c r="O16" s="0" t="s">
        <v>4991</v>
      </c>
      <c r="P16" s="0" t="s">
        <v>4992</v>
      </c>
      <c r="Q16" s="0" t="s">
        <v>4993</v>
      </c>
      <c r="R16" s="5" t="s">
        <v>162</v>
      </c>
      <c r="S16" s="0" t="s">
        <v>163</v>
      </c>
      <c r="T16" s="5" t="s">
        <v>162</v>
      </c>
      <c r="U16" s="5" t="s">
        <v>561</v>
      </c>
      <c r="V16" s="0" t="s">
        <v>4994</v>
      </c>
      <c r="W16" s="0" t="s">
        <v>166</v>
      </c>
      <c r="X16" s="0" t="s">
        <v>4585</v>
      </c>
      <c r="Y16" s="0" t="n">
        <f aca="false">IF(EB16&lt;&gt;"Y","",COUNTIFS($EB$2:$EB$1000,"Y",$J$2:$J$1000,"&gt;"&amp;J16)+COUNTIFS($EB$2:$EB$1000,"Y",$J$2:$J$1000,J16,$ED$2:$ED$1000,"&lt;"&amp;ED16)+1)</f>
        <v>14</v>
      </c>
      <c r="Z16" s="0" t="n">
        <v>15</v>
      </c>
      <c r="AA16" s="0" t="s">
        <v>168</v>
      </c>
      <c r="AB16" s="0" t="s">
        <v>4995</v>
      </c>
      <c r="AC16" s="0" t="s">
        <v>4587</v>
      </c>
      <c r="AD16" s="0" t="s">
        <v>171</v>
      </c>
      <c r="AE16" s="0" t="s">
        <v>172</v>
      </c>
      <c r="AF16" s="0" t="s">
        <v>4994</v>
      </c>
      <c r="AG16" s="0" t="s">
        <v>174</v>
      </c>
      <c r="AH16" s="0" t="s">
        <v>4996</v>
      </c>
      <c r="AI16" s="0" t="s">
        <v>4664</v>
      </c>
      <c r="AJ16" s="0" t="s">
        <v>4997</v>
      </c>
      <c r="AK16" s="0" t="s">
        <v>4998</v>
      </c>
      <c r="AL16" s="0" t="s">
        <v>168</v>
      </c>
      <c r="AM16" s="0" t="s">
        <v>4690</v>
      </c>
      <c r="AN16" s="0" t="s">
        <v>4986</v>
      </c>
      <c r="AO16" s="5" t="s">
        <v>162</v>
      </c>
      <c r="AR16" s="0" t="str">
        <f aca="false">IF(AND(AU16="pass",AO16&lt;&gt;"Y",C16&lt;&gt;""),"Y","N")</f>
        <v>Y</v>
      </c>
      <c r="AS16" s="0" t="str">
        <f aca="false">_xlfn.TEXTJOIN("; ",TRUE(),IF(AU16&lt;&gt;"pass","gated out",""),IF(AO16="Y","on hold: "&amp;AP16,""),IF(C16="","no contact named on an opened page",""))</f>
        <v/>
      </c>
      <c r="AU16" s="0" t="s">
        <v>181</v>
      </c>
      <c r="AW16" s="0" t="s">
        <v>182</v>
      </c>
      <c r="AY16" s="0" t="s">
        <v>4998</v>
      </c>
      <c r="AZ16" s="0" t="s">
        <v>4595</v>
      </c>
      <c r="BA16" s="0" t="s">
        <v>4951</v>
      </c>
      <c r="BB16" s="0" t="s">
        <v>163</v>
      </c>
      <c r="BD16" s="0" t="s">
        <v>263</v>
      </c>
      <c r="BE16" s="0" t="s">
        <v>4999</v>
      </c>
      <c r="BF16" s="0" t="s">
        <v>168</v>
      </c>
      <c r="BG16" s="0" t="s">
        <v>168</v>
      </c>
      <c r="BH16" s="0" t="s">
        <v>163</v>
      </c>
      <c r="BJ16" s="0" t="s">
        <v>163</v>
      </c>
      <c r="BK16" s="0" t="s">
        <v>162</v>
      </c>
      <c r="BL16" s="0" t="s">
        <v>162</v>
      </c>
      <c r="BN16" s="0" t="n">
        <v>0</v>
      </c>
      <c r="BO16" s="0" t="s">
        <v>168</v>
      </c>
      <c r="BP16" s="0" t="n">
        <v>3</v>
      </c>
      <c r="BQ16" s="0" t="s">
        <v>5000</v>
      </c>
      <c r="BR16" s="0" t="s">
        <v>5001</v>
      </c>
      <c r="BS16" s="0" t="s">
        <v>5002</v>
      </c>
      <c r="BT16" s="0" t="s">
        <v>5003</v>
      </c>
      <c r="BU16" s="0" t="s">
        <v>4604</v>
      </c>
      <c r="BV16" s="0" t="n">
        <v>242</v>
      </c>
      <c r="BX16" s="0" t="s">
        <v>5004</v>
      </c>
      <c r="BY16" s="0" t="s">
        <v>5005</v>
      </c>
      <c r="CA16" s="0" t="s">
        <v>5006</v>
      </c>
      <c r="CB16" s="0" t="s">
        <v>5006</v>
      </c>
      <c r="CC16" s="0" t="s">
        <v>163</v>
      </c>
      <c r="CD16" s="0" t="s">
        <v>5007</v>
      </c>
      <c r="CE16" s="0" t="s">
        <v>4808</v>
      </c>
      <c r="CF16" s="0" t="s">
        <v>5008</v>
      </c>
      <c r="CG16" s="0" t="s">
        <v>5009</v>
      </c>
      <c r="CK16" s="0" t="s">
        <v>158</v>
      </c>
      <c r="CL16" s="0" t="n">
        <v>65</v>
      </c>
      <c r="CM16" s="0" t="n">
        <v>25</v>
      </c>
      <c r="CN16" s="0" t="n">
        <v>13</v>
      </c>
      <c r="CO16" s="0" t="n">
        <v>8</v>
      </c>
      <c r="CP16" s="0" t="n">
        <v>5</v>
      </c>
      <c r="CQ16" s="0" t="n">
        <v>8</v>
      </c>
      <c r="CR16" s="0" t="n">
        <v>6</v>
      </c>
      <c r="CS16" s="0" t="n">
        <f aca="false">IF(R16="Y",10,0)</f>
        <v>0</v>
      </c>
      <c r="CT16" s="0" t="n">
        <v>0</v>
      </c>
      <c r="CU16" s="0" t="s">
        <v>5010</v>
      </c>
      <c r="CV16" s="0" t="s">
        <v>4703</v>
      </c>
      <c r="CW16" s="0" t="s">
        <v>5011</v>
      </c>
      <c r="CX16" s="0" t="s">
        <v>5012</v>
      </c>
      <c r="CY16" s="0" t="s">
        <v>5013</v>
      </c>
      <c r="CZ16" s="0" t="s">
        <v>4992</v>
      </c>
      <c r="DA16" s="0" t="s">
        <v>4620</v>
      </c>
      <c r="DB16" s="0" t="s">
        <v>4993</v>
      </c>
      <c r="DC16" s="0" t="s">
        <v>1189</v>
      </c>
      <c r="DY16" s="0" t="str">
        <f aca="false">IF(ISNUMBER(MATCH(U16,{"queued","contacted","replied","call_booked","call_done","yes_in_principle","materials_sent"},0)),"Y","N")</f>
        <v>N</v>
      </c>
      <c r="DZ16" s="0" t="str">
        <f aca="false">IF(COUNTIFS($AN$2:$AN$1000,AN16,$DY$2:$DY$1000,"Y")+COUNTIFS($AN$2:$AN$1000,AN16,$T$2:$T$1000,"Y")&gt;0,"Y","N")</f>
        <v>N</v>
      </c>
      <c r="EA16" s="0" t="str">
        <f aca="false">IF(AND(U16="new",T16="N",AR16="Y",AQ16="",DZ16="N"),"Y","N")</f>
        <v>Y</v>
      </c>
      <c r="EB16" s="0" t="str">
        <f aca="false">IF(EA16&lt;&gt;"Y","N",IF(COUNTIFS($AN$2:$AN$1000,AN16,$EA$2:$EA$1000,"Y",$J$2:$J$1000,"&gt;"&amp;J16)+COUNTIFS($AN$2:$AN$1000,AN16,$EA$2:$EA$1000,"Y",$J$2:$J$1000,J16,$ED$2:$ED$1000,"&lt;"&amp;ED16)=0,"Y","N"))</f>
        <v>Y</v>
      </c>
      <c r="EC16" s="0" t="str">
        <f aca="false">IF(Y16="","N",IF(Y16&lt;=10,"Y","N"))</f>
        <v>N</v>
      </c>
      <c r="ED16" s="0" t="n">
        <f aca="false">ROW()-1</f>
        <v>15</v>
      </c>
    </row>
    <row r="17" customFormat="false" ht="15" hidden="false" customHeight="false" outlineLevel="0" collapsed="false">
      <c r="A17" s="0" t="s">
        <v>5014</v>
      </c>
      <c r="B17" s="0" t="s">
        <v>5015</v>
      </c>
      <c r="C17" s="0" t="s">
        <v>5016</v>
      </c>
      <c r="D17" s="0" t="s">
        <v>5017</v>
      </c>
      <c r="E17" s="0" t="s">
        <v>4771</v>
      </c>
      <c r="F17" s="0" t="s">
        <v>5018</v>
      </c>
      <c r="H17" s="5" t="s">
        <v>158</v>
      </c>
      <c r="I17" s="5" t="s">
        <v>159</v>
      </c>
      <c r="J17" s="0" t="n">
        <f aca="false">IF(AU17="pass",CM17+CN17+CO17+CP17+CQ17+CR17+CS17+CT17,0)</f>
        <v>65</v>
      </c>
      <c r="K17" s="0" t="s">
        <v>5019</v>
      </c>
      <c r="M17" s="0" t="s">
        <v>5020</v>
      </c>
      <c r="N17" s="0" t="s">
        <v>5021</v>
      </c>
      <c r="O17" s="0" t="s">
        <v>5022</v>
      </c>
      <c r="P17" s="0" t="s">
        <v>5023</v>
      </c>
      <c r="Q17" s="0" t="s">
        <v>5024</v>
      </c>
      <c r="R17" s="5" t="s">
        <v>162</v>
      </c>
      <c r="S17" s="0" t="s">
        <v>168</v>
      </c>
      <c r="T17" s="5" t="s">
        <v>162</v>
      </c>
      <c r="U17" s="5" t="s">
        <v>561</v>
      </c>
      <c r="V17" s="0" t="s">
        <v>5025</v>
      </c>
      <c r="W17" s="0" t="s">
        <v>166</v>
      </c>
      <c r="X17" s="0" t="s">
        <v>4585</v>
      </c>
      <c r="Y17" s="0" t="n">
        <f aca="false">IF(EB17&lt;&gt;"Y","",COUNTIFS($EB$2:$EB$1000,"Y",$J$2:$J$1000,"&gt;"&amp;J17)+COUNTIFS($EB$2:$EB$1000,"Y",$J$2:$J$1000,J17,$ED$2:$ED$1000,"&lt;"&amp;ED17)+1)</f>
        <v>15</v>
      </c>
      <c r="Z17" s="0" t="n">
        <v>16</v>
      </c>
      <c r="AA17" s="0" t="s">
        <v>168</v>
      </c>
      <c r="AB17" s="0" t="s">
        <v>5026</v>
      </c>
      <c r="AC17" s="0" t="s">
        <v>4587</v>
      </c>
      <c r="AD17" s="0" t="s">
        <v>171</v>
      </c>
      <c r="AE17" s="0" t="s">
        <v>1189</v>
      </c>
      <c r="AF17" s="0" t="s">
        <v>5023</v>
      </c>
      <c r="AG17" s="0" t="s">
        <v>174</v>
      </c>
      <c r="AH17" s="0" t="s">
        <v>5027</v>
      </c>
      <c r="AI17" s="0" t="s">
        <v>5028</v>
      </c>
      <c r="AJ17" s="0" t="s">
        <v>5029</v>
      </c>
      <c r="AK17" s="0" t="s">
        <v>5030</v>
      </c>
      <c r="AL17" s="0" t="s">
        <v>168</v>
      </c>
      <c r="AM17" s="0" t="s">
        <v>5031</v>
      </c>
      <c r="AN17" s="0" t="s">
        <v>5014</v>
      </c>
      <c r="AO17" s="5" t="s">
        <v>162</v>
      </c>
      <c r="AR17" s="0" t="str">
        <f aca="false">IF(AND(AU17="pass",AO17&lt;&gt;"Y",C17&lt;&gt;""),"Y","N")</f>
        <v>Y</v>
      </c>
      <c r="AS17" s="0" t="str">
        <f aca="false">_xlfn.TEXTJOIN("; ",TRUE(),IF(AU17&lt;&gt;"pass","gated out",""),IF(AO17="Y","on hold: "&amp;AP17,""),IF(C17="","no contact named on an opened page",""))</f>
        <v/>
      </c>
      <c r="AU17" s="0" t="s">
        <v>181</v>
      </c>
      <c r="AW17" s="0" t="s">
        <v>182</v>
      </c>
      <c r="AX17" s="0" t="s">
        <v>4594</v>
      </c>
      <c r="AY17" s="0" t="s">
        <v>5030</v>
      </c>
      <c r="AZ17" s="0" t="s">
        <v>4595</v>
      </c>
      <c r="BA17" s="0" t="s">
        <v>4596</v>
      </c>
      <c r="BB17" s="0" t="s">
        <v>5032</v>
      </c>
      <c r="BC17" s="0" t="s">
        <v>5023</v>
      </c>
      <c r="BD17" s="0" t="s">
        <v>168</v>
      </c>
      <c r="BE17" s="0" t="s">
        <v>5033</v>
      </c>
      <c r="BF17" s="0" t="s">
        <v>168</v>
      </c>
      <c r="BG17" s="0" t="s">
        <v>168</v>
      </c>
      <c r="BH17" s="0" t="s">
        <v>163</v>
      </c>
      <c r="BJ17" s="0" t="s">
        <v>5034</v>
      </c>
      <c r="BK17" s="0" t="s">
        <v>162</v>
      </c>
      <c r="BL17" s="0" t="s">
        <v>162</v>
      </c>
      <c r="BN17" s="0" t="n">
        <v>1</v>
      </c>
      <c r="BO17" s="0" t="s">
        <v>162</v>
      </c>
      <c r="BP17" s="0" t="n">
        <v>8</v>
      </c>
      <c r="BQ17" s="0" t="s">
        <v>5035</v>
      </c>
      <c r="BR17" s="0" t="s">
        <v>5036</v>
      </c>
      <c r="BS17" s="0" t="s">
        <v>5037</v>
      </c>
      <c r="BT17" s="0" t="s">
        <v>5038</v>
      </c>
      <c r="BU17" s="0" t="s">
        <v>4604</v>
      </c>
      <c r="BV17" s="0" t="n">
        <v>158</v>
      </c>
      <c r="BW17" s="0" t="s">
        <v>5023</v>
      </c>
      <c r="BX17" s="0" t="s">
        <v>5039</v>
      </c>
      <c r="BY17" s="0" t="s">
        <v>5040</v>
      </c>
      <c r="BZ17" s="0" t="s">
        <v>4607</v>
      </c>
      <c r="CF17" s="0" t="s">
        <v>158</v>
      </c>
      <c r="CK17" s="0" t="s">
        <v>158</v>
      </c>
      <c r="CL17" s="0" t="n">
        <v>65</v>
      </c>
      <c r="CM17" s="0" t="n">
        <v>13</v>
      </c>
      <c r="CN17" s="0" t="n">
        <v>20</v>
      </c>
      <c r="CO17" s="0" t="n">
        <v>15</v>
      </c>
      <c r="CP17" s="0" t="n">
        <v>5</v>
      </c>
      <c r="CQ17" s="0" t="n">
        <v>10</v>
      </c>
      <c r="CR17" s="0" t="n">
        <v>6</v>
      </c>
      <c r="CS17" s="0" t="n">
        <f aca="false">IF(R17="Y",10,0)</f>
        <v>0</v>
      </c>
      <c r="CT17" s="0" t="n">
        <v>-4</v>
      </c>
      <c r="CV17" s="0" t="s">
        <v>4615</v>
      </c>
      <c r="CW17" s="0" t="s">
        <v>5041</v>
      </c>
      <c r="CX17" s="0" t="s">
        <v>5042</v>
      </c>
      <c r="CY17" s="0" t="s">
        <v>5043</v>
      </c>
      <c r="DA17" s="0" t="s">
        <v>4620</v>
      </c>
      <c r="DY17" s="0" t="str">
        <f aca="false">IF(ISNUMBER(MATCH(U17,{"queued","contacted","replied","call_booked","call_done","yes_in_principle","materials_sent"},0)),"Y","N")</f>
        <v>N</v>
      </c>
      <c r="DZ17" s="0" t="str">
        <f aca="false">IF(COUNTIFS($AN$2:$AN$1000,AN17,$DY$2:$DY$1000,"Y")+COUNTIFS($AN$2:$AN$1000,AN17,$T$2:$T$1000,"Y")&gt;0,"Y","N")</f>
        <v>N</v>
      </c>
      <c r="EA17" s="0" t="str">
        <f aca="false">IF(AND(U17="new",T17="N",AR17="Y",AQ17="",DZ17="N"),"Y","N")</f>
        <v>Y</v>
      </c>
      <c r="EB17" s="0" t="str">
        <f aca="false">IF(EA17&lt;&gt;"Y","N",IF(COUNTIFS($AN$2:$AN$1000,AN17,$EA$2:$EA$1000,"Y",$J$2:$J$1000,"&gt;"&amp;J17)+COUNTIFS($AN$2:$AN$1000,AN17,$EA$2:$EA$1000,"Y",$J$2:$J$1000,J17,$ED$2:$ED$1000,"&lt;"&amp;ED17)=0,"Y","N"))</f>
        <v>Y</v>
      </c>
      <c r="EC17" s="0" t="str">
        <f aca="false">IF(Y17="","N",IF(Y17&lt;=10,"Y","N"))</f>
        <v>N</v>
      </c>
      <c r="ED17" s="0" t="n">
        <f aca="false">ROW()-1</f>
        <v>16</v>
      </c>
    </row>
    <row r="18" customFormat="false" ht="15" hidden="false" customHeight="false" outlineLevel="0" collapsed="false">
      <c r="A18" s="0" t="s">
        <v>5044</v>
      </c>
      <c r="B18" s="0" t="s">
        <v>5045</v>
      </c>
      <c r="C18" s="0" t="s">
        <v>5046</v>
      </c>
      <c r="D18" s="0" t="s">
        <v>5047</v>
      </c>
      <c r="E18" s="0" t="s">
        <v>4771</v>
      </c>
      <c r="H18" s="5" t="s">
        <v>158</v>
      </c>
      <c r="I18" s="5" t="s">
        <v>159</v>
      </c>
      <c r="J18" s="0" t="n">
        <f aca="false">IF(AU18="pass",CM18+CN18+CO18+CP18+CQ18+CR18+CS18+CT18,0)</f>
        <v>64</v>
      </c>
      <c r="K18" s="0" t="s">
        <v>5048</v>
      </c>
      <c r="M18" s="0" t="s">
        <v>4580</v>
      </c>
      <c r="N18" s="0" t="s">
        <v>4581</v>
      </c>
      <c r="O18" s="0" t="s">
        <v>5049</v>
      </c>
      <c r="P18" s="0" t="s">
        <v>5050</v>
      </c>
      <c r="Q18" s="0" t="s">
        <v>548</v>
      </c>
      <c r="R18" s="5" t="s">
        <v>162</v>
      </c>
      <c r="S18" s="0" t="s">
        <v>163</v>
      </c>
      <c r="T18" s="5" t="s">
        <v>162</v>
      </c>
      <c r="U18" s="5" t="s">
        <v>561</v>
      </c>
      <c r="V18" s="0" t="s">
        <v>5051</v>
      </c>
      <c r="W18" s="0" t="s">
        <v>166</v>
      </c>
      <c r="X18" s="0" t="s">
        <v>4585</v>
      </c>
      <c r="Y18" s="0" t="n">
        <f aca="false">IF(EB18&lt;&gt;"Y","",COUNTIFS($EB$2:$EB$1000,"Y",$J$2:$J$1000,"&gt;"&amp;J18)+COUNTIFS($EB$2:$EB$1000,"Y",$J$2:$J$1000,J18,$ED$2:$ED$1000,"&lt;"&amp;ED18)+1)</f>
        <v>16</v>
      </c>
      <c r="Z18" s="0" t="n">
        <v>17</v>
      </c>
      <c r="AA18" s="0" t="s">
        <v>168</v>
      </c>
      <c r="AB18" s="0" t="s">
        <v>5052</v>
      </c>
      <c r="AC18" s="0" t="s">
        <v>4587</v>
      </c>
      <c r="AD18" s="0" t="s">
        <v>171</v>
      </c>
      <c r="AE18" s="0" t="s">
        <v>172</v>
      </c>
      <c r="AF18" s="0" t="s">
        <v>5053</v>
      </c>
      <c r="AG18" s="0" t="s">
        <v>174</v>
      </c>
      <c r="AH18" s="0" t="s">
        <v>5054</v>
      </c>
      <c r="AI18" s="0" t="s">
        <v>4633</v>
      </c>
      <c r="AJ18" s="0" t="s">
        <v>5055</v>
      </c>
      <c r="AK18" s="0" t="s">
        <v>5056</v>
      </c>
      <c r="AL18" s="0" t="s">
        <v>162</v>
      </c>
      <c r="AN18" s="0" t="s">
        <v>5044</v>
      </c>
      <c r="AO18" s="5" t="s">
        <v>162</v>
      </c>
      <c r="AR18" s="0" t="str">
        <f aca="false">IF(AND(AU18="pass",AO18&lt;&gt;"Y",C18&lt;&gt;""),"Y","N")</f>
        <v>Y</v>
      </c>
      <c r="AS18" s="0" t="str">
        <f aca="false">_xlfn.TEXTJOIN("; ",TRUE(),IF(AU18&lt;&gt;"pass","gated out",""),IF(AO18="Y","on hold: "&amp;AP18,""),IF(C18="","no contact named on an opened page",""))</f>
        <v/>
      </c>
      <c r="AU18" s="0" t="s">
        <v>181</v>
      </c>
      <c r="AW18" s="0" t="s">
        <v>182</v>
      </c>
      <c r="AY18" s="0" t="s">
        <v>5056</v>
      </c>
      <c r="AZ18" s="0" t="s">
        <v>5057</v>
      </c>
      <c r="BA18" s="0" t="s">
        <v>5058</v>
      </c>
      <c r="BB18" s="0" t="s">
        <v>163</v>
      </c>
      <c r="BD18" s="0" t="s">
        <v>168</v>
      </c>
      <c r="BE18" s="0" t="s">
        <v>5059</v>
      </c>
      <c r="BF18" s="0" t="s">
        <v>168</v>
      </c>
      <c r="BG18" s="0" t="s">
        <v>168</v>
      </c>
      <c r="BH18" s="0" t="s">
        <v>163</v>
      </c>
      <c r="BJ18" s="0" t="s">
        <v>163</v>
      </c>
      <c r="BK18" s="0" t="s">
        <v>162</v>
      </c>
      <c r="BL18" s="0" t="s">
        <v>162</v>
      </c>
      <c r="BN18" s="0" t="n">
        <v>0</v>
      </c>
      <c r="BO18" s="0" t="s">
        <v>168</v>
      </c>
      <c r="BP18" s="0" t="n">
        <v>2</v>
      </c>
      <c r="BQ18" s="0" t="s">
        <v>4781</v>
      </c>
      <c r="BS18" s="0" t="s">
        <v>5060</v>
      </c>
      <c r="BT18" s="0" t="s">
        <v>5061</v>
      </c>
      <c r="BU18" s="0" t="s">
        <v>4604</v>
      </c>
      <c r="BV18" s="0" t="n">
        <v>116</v>
      </c>
      <c r="BX18" s="0" t="s">
        <v>5062</v>
      </c>
      <c r="BY18" s="0" t="s">
        <v>5063</v>
      </c>
      <c r="CF18" s="0" t="s">
        <v>158</v>
      </c>
      <c r="CK18" s="0" t="s">
        <v>158</v>
      </c>
      <c r="CL18" s="0" t="n">
        <v>64</v>
      </c>
      <c r="CM18" s="0" t="n">
        <v>25</v>
      </c>
      <c r="CN18" s="0" t="n">
        <v>3</v>
      </c>
      <c r="CO18" s="0" t="n">
        <v>15</v>
      </c>
      <c r="CP18" s="0" t="n">
        <v>5</v>
      </c>
      <c r="CQ18" s="0" t="n">
        <v>10</v>
      </c>
      <c r="CR18" s="0" t="n">
        <v>6</v>
      </c>
      <c r="CS18" s="0" t="n">
        <f aca="false">IF(R18="Y",10,0)</f>
        <v>0</v>
      </c>
      <c r="CT18" s="0" t="n">
        <v>0</v>
      </c>
      <c r="CU18" s="0" t="s">
        <v>5064</v>
      </c>
      <c r="CV18" s="0" t="s">
        <v>4841</v>
      </c>
      <c r="CW18" s="0" t="s">
        <v>5065</v>
      </c>
      <c r="CX18" s="0" t="s">
        <v>5066</v>
      </c>
      <c r="CY18" s="0" t="s">
        <v>5067</v>
      </c>
      <c r="DA18" s="0" t="s">
        <v>4620</v>
      </c>
      <c r="DY18" s="0" t="str">
        <f aca="false">IF(ISNUMBER(MATCH(U18,{"queued","contacted","replied","call_booked","call_done","yes_in_principle","materials_sent"},0)),"Y","N")</f>
        <v>N</v>
      </c>
      <c r="DZ18" s="0" t="str">
        <f aca="false">IF(COUNTIFS($AN$2:$AN$1000,AN18,$DY$2:$DY$1000,"Y")+COUNTIFS($AN$2:$AN$1000,AN18,$T$2:$T$1000,"Y")&gt;0,"Y","N")</f>
        <v>N</v>
      </c>
      <c r="EA18" s="0" t="str">
        <f aca="false">IF(AND(U18="new",T18="N",AR18="Y",AQ18="",DZ18="N"),"Y","N")</f>
        <v>Y</v>
      </c>
      <c r="EB18" s="0" t="str">
        <f aca="false">IF(EA18&lt;&gt;"Y","N",IF(COUNTIFS($AN$2:$AN$1000,AN18,$EA$2:$EA$1000,"Y",$J$2:$J$1000,"&gt;"&amp;J18)+COUNTIFS($AN$2:$AN$1000,AN18,$EA$2:$EA$1000,"Y",$J$2:$J$1000,J18,$ED$2:$ED$1000,"&lt;"&amp;ED18)=0,"Y","N"))</f>
        <v>Y</v>
      </c>
      <c r="EC18" s="0" t="str">
        <f aca="false">IF(Y18="","N",IF(Y18&lt;=10,"Y","N"))</f>
        <v>N</v>
      </c>
      <c r="ED18" s="0" t="n">
        <f aca="false">ROW()-1</f>
        <v>17</v>
      </c>
    </row>
    <row r="19" customFormat="false" ht="15" hidden="false" customHeight="false" outlineLevel="0" collapsed="false">
      <c r="A19" s="0" t="s">
        <v>5068</v>
      </c>
      <c r="B19" s="0" t="s">
        <v>5069</v>
      </c>
      <c r="C19" s="0" t="s">
        <v>5070</v>
      </c>
      <c r="D19" s="0" t="s">
        <v>5071</v>
      </c>
      <c r="E19" s="0" t="s">
        <v>4910</v>
      </c>
      <c r="H19" s="5" t="s">
        <v>158</v>
      </c>
      <c r="I19" s="5" t="s">
        <v>159</v>
      </c>
      <c r="J19" s="0" t="n">
        <f aca="false">IF(AU19="pass",CM19+CN19+CO19+CP19+CQ19+CR19+CS19+CT19,0)</f>
        <v>64</v>
      </c>
      <c r="K19" s="0" t="s">
        <v>5072</v>
      </c>
      <c r="M19" s="0" t="s">
        <v>4580</v>
      </c>
      <c r="N19" s="0" t="s">
        <v>4581</v>
      </c>
      <c r="O19" s="0" t="s">
        <v>5073</v>
      </c>
      <c r="P19" s="0" t="s">
        <v>5074</v>
      </c>
      <c r="Q19" s="0" t="s">
        <v>2940</v>
      </c>
      <c r="R19" s="5" t="s">
        <v>162</v>
      </c>
      <c r="S19" s="0" t="s">
        <v>163</v>
      </c>
      <c r="T19" s="5" t="s">
        <v>162</v>
      </c>
      <c r="U19" s="5" t="s">
        <v>561</v>
      </c>
      <c r="V19" s="0" t="s">
        <v>5075</v>
      </c>
      <c r="W19" s="0" t="s">
        <v>166</v>
      </c>
      <c r="X19" s="0" t="s">
        <v>4585</v>
      </c>
      <c r="Y19" s="0" t="n">
        <f aca="false">IF(EB19&lt;&gt;"Y","",COUNTIFS($EB$2:$EB$1000,"Y",$J$2:$J$1000,"&gt;"&amp;J19)+COUNTIFS($EB$2:$EB$1000,"Y",$J$2:$J$1000,J19,$ED$2:$ED$1000,"&lt;"&amp;ED19)+1)</f>
        <v>17</v>
      </c>
      <c r="Z19" s="0" t="n">
        <v>18</v>
      </c>
      <c r="AA19" s="0" t="s">
        <v>168</v>
      </c>
      <c r="AB19" s="0" t="s">
        <v>5076</v>
      </c>
      <c r="AC19" s="0" t="s">
        <v>4587</v>
      </c>
      <c r="AD19" s="0" t="s">
        <v>171</v>
      </c>
      <c r="AE19" s="0" t="s">
        <v>230</v>
      </c>
      <c r="AF19" s="0" t="s">
        <v>5077</v>
      </c>
      <c r="AG19" s="0" t="s">
        <v>174</v>
      </c>
      <c r="AH19" s="0" t="s">
        <v>5078</v>
      </c>
      <c r="AI19" s="0" t="s">
        <v>5079</v>
      </c>
      <c r="AJ19" s="0" t="s">
        <v>192</v>
      </c>
      <c r="AK19" s="0" t="s">
        <v>5080</v>
      </c>
      <c r="AL19" s="0" t="s">
        <v>168</v>
      </c>
      <c r="AM19" s="0" t="s">
        <v>5081</v>
      </c>
      <c r="AN19" s="0" t="s">
        <v>5068</v>
      </c>
      <c r="AO19" s="5" t="s">
        <v>162</v>
      </c>
      <c r="AR19" s="0" t="str">
        <f aca="false">IF(AND(AU19="pass",AO19&lt;&gt;"Y",C19&lt;&gt;""),"Y","N")</f>
        <v>Y</v>
      </c>
      <c r="AS19" s="0" t="str">
        <f aca="false">_xlfn.TEXTJOIN("; ",TRUE(),IF(AU19&lt;&gt;"pass","gated out",""),IF(AO19="Y","on hold: "&amp;AP19,""),IF(C19="","no contact named on an opened page",""))</f>
        <v/>
      </c>
      <c r="AU19" s="0" t="s">
        <v>181</v>
      </c>
      <c r="AW19" s="0" t="s">
        <v>182</v>
      </c>
      <c r="AX19" s="0" t="s">
        <v>4891</v>
      </c>
      <c r="AY19" s="0" t="s">
        <v>5080</v>
      </c>
      <c r="AZ19" s="0" t="s">
        <v>4595</v>
      </c>
      <c r="BA19" s="0" t="s">
        <v>4596</v>
      </c>
      <c r="BB19" s="0" t="s">
        <v>5082</v>
      </c>
      <c r="BD19" s="0" t="s">
        <v>263</v>
      </c>
      <c r="BE19" s="0" t="s">
        <v>5083</v>
      </c>
      <c r="BF19" s="0" t="s">
        <v>168</v>
      </c>
      <c r="BG19" s="0" t="s">
        <v>168</v>
      </c>
      <c r="BH19" s="0" t="s">
        <v>163</v>
      </c>
      <c r="BJ19" s="0" t="s">
        <v>163</v>
      </c>
      <c r="BK19" s="0" t="s">
        <v>162</v>
      </c>
      <c r="BL19" s="0" t="s">
        <v>162</v>
      </c>
      <c r="BN19" s="0" t="n">
        <v>0</v>
      </c>
      <c r="BO19" s="0" t="s">
        <v>168</v>
      </c>
      <c r="BP19" s="0" t="n">
        <v>3</v>
      </c>
      <c r="BQ19" s="0" t="s">
        <v>4669</v>
      </c>
      <c r="BS19" s="0" t="s">
        <v>5084</v>
      </c>
      <c r="BT19" s="0" t="s">
        <v>5085</v>
      </c>
      <c r="BU19" s="0" t="s">
        <v>4604</v>
      </c>
      <c r="BV19" s="0" t="n">
        <v>233</v>
      </c>
      <c r="BX19" s="0" t="s">
        <v>5086</v>
      </c>
      <c r="BY19" s="0" t="s">
        <v>5087</v>
      </c>
      <c r="CA19" s="0" t="s">
        <v>5088</v>
      </c>
      <c r="CB19" s="0" t="s">
        <v>5089</v>
      </c>
      <c r="CC19" s="0" t="s">
        <v>5090</v>
      </c>
      <c r="CD19" s="0" t="s">
        <v>5091</v>
      </c>
      <c r="CE19" s="0" t="s">
        <v>4612</v>
      </c>
      <c r="CF19" s="0" t="s">
        <v>171</v>
      </c>
      <c r="CG19" s="0" t="s">
        <v>5092</v>
      </c>
      <c r="CK19" s="0" t="s">
        <v>158</v>
      </c>
      <c r="CL19" s="0" t="n">
        <v>64</v>
      </c>
      <c r="CM19" s="0" t="n">
        <v>25</v>
      </c>
      <c r="CN19" s="0" t="n">
        <v>20</v>
      </c>
      <c r="CO19" s="0" t="n">
        <v>8</v>
      </c>
      <c r="CP19" s="0" t="n">
        <v>5</v>
      </c>
      <c r="CQ19" s="0" t="n">
        <v>8</v>
      </c>
      <c r="CR19" s="0" t="n">
        <v>10</v>
      </c>
      <c r="CS19" s="0" t="n">
        <f aca="false">IF(R19="Y",10,0)</f>
        <v>0</v>
      </c>
      <c r="CT19" s="0" t="n">
        <v>-12</v>
      </c>
      <c r="CU19" s="0" t="s">
        <v>5093</v>
      </c>
      <c r="CV19" s="0" t="s">
        <v>4703</v>
      </c>
      <c r="CW19" s="0" t="s">
        <v>5094</v>
      </c>
      <c r="CX19" s="0" t="s">
        <v>5095</v>
      </c>
      <c r="CY19" s="0" t="s">
        <v>5096</v>
      </c>
      <c r="CZ19" s="0" t="s">
        <v>5097</v>
      </c>
      <c r="DA19" s="0" t="s">
        <v>4620</v>
      </c>
      <c r="DC19" s="0" t="s">
        <v>230</v>
      </c>
      <c r="DD19" s="0" t="s">
        <v>5098</v>
      </c>
      <c r="DY19" s="0" t="str">
        <f aca="false">IF(ISNUMBER(MATCH(U19,{"queued","contacted","replied","call_booked","call_done","yes_in_principle","materials_sent"},0)),"Y","N")</f>
        <v>N</v>
      </c>
      <c r="DZ19" s="0" t="str">
        <f aca="false">IF(COUNTIFS($AN$2:$AN$1000,AN19,$DY$2:$DY$1000,"Y")+COUNTIFS($AN$2:$AN$1000,AN19,$T$2:$T$1000,"Y")&gt;0,"Y","N")</f>
        <v>N</v>
      </c>
      <c r="EA19" s="0" t="str">
        <f aca="false">IF(AND(U19="new",T19="N",AR19="Y",AQ19="",DZ19="N"),"Y","N")</f>
        <v>Y</v>
      </c>
      <c r="EB19" s="0" t="str">
        <f aca="false">IF(EA19&lt;&gt;"Y","N",IF(COUNTIFS($AN$2:$AN$1000,AN19,$EA$2:$EA$1000,"Y",$J$2:$J$1000,"&gt;"&amp;J19)+COUNTIFS($AN$2:$AN$1000,AN19,$EA$2:$EA$1000,"Y",$J$2:$J$1000,J19,$ED$2:$ED$1000,"&lt;"&amp;ED19)=0,"Y","N"))</f>
        <v>Y</v>
      </c>
      <c r="EC19" s="0" t="str">
        <f aca="false">IF(Y19="","N",IF(Y19&lt;=10,"Y","N"))</f>
        <v>N</v>
      </c>
      <c r="ED19" s="0" t="n">
        <f aca="false">ROW()-1</f>
        <v>18</v>
      </c>
    </row>
    <row r="20" customFormat="false" ht="15" hidden="false" customHeight="false" outlineLevel="0" collapsed="false">
      <c r="A20" s="0" t="s">
        <v>5099</v>
      </c>
      <c r="B20" s="0" t="s">
        <v>5100</v>
      </c>
      <c r="C20" s="0" t="s">
        <v>5101</v>
      </c>
      <c r="D20" s="0" t="s">
        <v>5102</v>
      </c>
      <c r="E20" s="0" t="s">
        <v>5103</v>
      </c>
      <c r="H20" s="5" t="s">
        <v>158</v>
      </c>
      <c r="I20" s="5" t="s">
        <v>159</v>
      </c>
      <c r="J20" s="0" t="n">
        <f aca="false">IF(AU20="pass",CM20+CN20+CO20+CP20+CQ20+CR20+CS20+CT20,0)</f>
        <v>64</v>
      </c>
      <c r="K20" s="0" t="s">
        <v>5104</v>
      </c>
      <c r="M20" s="0" t="s">
        <v>4580</v>
      </c>
      <c r="N20" s="0" t="s">
        <v>4581</v>
      </c>
      <c r="R20" s="5" t="s">
        <v>162</v>
      </c>
      <c r="S20" s="0" t="s">
        <v>163</v>
      </c>
      <c r="T20" s="5" t="s">
        <v>162</v>
      </c>
      <c r="U20" s="5" t="s">
        <v>561</v>
      </c>
      <c r="V20" s="0" t="s">
        <v>5105</v>
      </c>
      <c r="W20" s="0" t="s">
        <v>166</v>
      </c>
      <c r="X20" s="0" t="s">
        <v>4585</v>
      </c>
      <c r="Y20" s="0" t="n">
        <f aca="false">IF(EB20&lt;&gt;"Y","",COUNTIFS($EB$2:$EB$1000,"Y",$J$2:$J$1000,"&gt;"&amp;J20)+COUNTIFS($EB$2:$EB$1000,"Y",$J$2:$J$1000,J20,$ED$2:$ED$1000,"&lt;"&amp;ED20)+1)</f>
        <v>18</v>
      </c>
      <c r="Z20" s="0" t="n">
        <v>19</v>
      </c>
      <c r="AA20" s="0" t="s">
        <v>168</v>
      </c>
      <c r="AB20" s="0" t="s">
        <v>5106</v>
      </c>
      <c r="AC20" s="0" t="s">
        <v>4587</v>
      </c>
      <c r="AD20" s="0" t="s">
        <v>171</v>
      </c>
      <c r="AE20" s="0" t="s">
        <v>1189</v>
      </c>
      <c r="AF20" s="0" t="s">
        <v>5107</v>
      </c>
      <c r="AG20" s="0" t="s">
        <v>174</v>
      </c>
      <c r="AH20" s="0" t="s">
        <v>5108</v>
      </c>
      <c r="AI20" s="0" t="s">
        <v>4722</v>
      </c>
      <c r="AJ20" s="0" t="s">
        <v>5109</v>
      </c>
      <c r="AK20" s="0" t="s">
        <v>5110</v>
      </c>
      <c r="AL20" s="0" t="s">
        <v>168</v>
      </c>
      <c r="AM20" s="0" t="s">
        <v>5111</v>
      </c>
      <c r="AN20" s="0" t="s">
        <v>5099</v>
      </c>
      <c r="AO20" s="5" t="s">
        <v>162</v>
      </c>
      <c r="AR20" s="0" t="str">
        <f aca="false">IF(AND(AU20="pass",AO20&lt;&gt;"Y",C20&lt;&gt;""),"Y","N")</f>
        <v>Y</v>
      </c>
      <c r="AS20" s="0" t="str">
        <f aca="false">_xlfn.TEXTJOIN("; ",TRUE(),IF(AU20&lt;&gt;"pass","gated out",""),IF(AO20="Y","on hold: "&amp;AP20,""),IF(C20="","no contact named on an opened page",""))</f>
        <v/>
      </c>
      <c r="AU20" s="0" t="s">
        <v>181</v>
      </c>
      <c r="AW20" s="0" t="s">
        <v>182</v>
      </c>
      <c r="AX20" s="0" t="s">
        <v>282</v>
      </c>
      <c r="AY20" s="0" t="s">
        <v>5112</v>
      </c>
      <c r="AZ20" s="0" t="s">
        <v>4595</v>
      </c>
      <c r="BA20" s="0" t="s">
        <v>4596</v>
      </c>
      <c r="BB20" s="0" t="s">
        <v>163</v>
      </c>
      <c r="BD20" s="0" t="s">
        <v>168</v>
      </c>
      <c r="BE20" s="0" t="s">
        <v>5113</v>
      </c>
      <c r="BF20" s="0" t="s">
        <v>168</v>
      </c>
      <c r="BG20" s="0" t="s">
        <v>168</v>
      </c>
      <c r="BH20" s="0" t="s">
        <v>163</v>
      </c>
      <c r="BJ20" s="0" t="s">
        <v>163</v>
      </c>
      <c r="BK20" s="0" t="s">
        <v>162</v>
      </c>
      <c r="BL20" s="0" t="s">
        <v>162</v>
      </c>
      <c r="BN20" s="0" t="n">
        <v>0</v>
      </c>
      <c r="BO20" s="0" t="s">
        <v>168</v>
      </c>
      <c r="BP20" s="0" t="n">
        <v>2</v>
      </c>
      <c r="BQ20" s="0" t="s">
        <v>5114</v>
      </c>
      <c r="BR20" s="0" t="s">
        <v>4670</v>
      </c>
      <c r="BS20" s="0" t="s">
        <v>5115</v>
      </c>
      <c r="BT20" s="0" t="s">
        <v>5116</v>
      </c>
      <c r="BU20" s="0" t="s">
        <v>158</v>
      </c>
      <c r="BX20" s="0" t="s">
        <v>5117</v>
      </c>
      <c r="BY20" s="0" t="s">
        <v>5118</v>
      </c>
      <c r="CA20" s="0" t="s">
        <v>5119</v>
      </c>
      <c r="CB20" s="0" t="s">
        <v>5120</v>
      </c>
      <c r="CC20" s="0" t="s">
        <v>5102</v>
      </c>
      <c r="CD20" s="0" t="s">
        <v>4625</v>
      </c>
      <c r="CE20" s="0" t="s">
        <v>4808</v>
      </c>
      <c r="CF20" s="0" t="s">
        <v>171</v>
      </c>
      <c r="CG20" s="0" t="s">
        <v>5121</v>
      </c>
      <c r="CK20" s="0" t="s">
        <v>158</v>
      </c>
      <c r="CL20" s="0" t="n">
        <v>64</v>
      </c>
      <c r="CM20" s="0" t="n">
        <v>25</v>
      </c>
      <c r="CN20" s="0" t="n">
        <v>20</v>
      </c>
      <c r="CO20" s="0" t="n">
        <v>0</v>
      </c>
      <c r="CP20" s="0" t="n">
        <v>5</v>
      </c>
      <c r="CQ20" s="0" t="n">
        <v>10</v>
      </c>
      <c r="CR20" s="0" t="n">
        <v>6</v>
      </c>
      <c r="CS20" s="0" t="n">
        <f aca="false">IF(R20="Y",10,0)</f>
        <v>0</v>
      </c>
      <c r="CT20" s="0" t="n">
        <v>-2</v>
      </c>
      <c r="CV20" s="0" t="s">
        <v>4615</v>
      </c>
      <c r="CW20" s="0" t="s">
        <v>5122</v>
      </c>
      <c r="CX20" s="0" t="s">
        <v>5123</v>
      </c>
      <c r="CY20" s="0" t="s">
        <v>5124</v>
      </c>
      <c r="CZ20" s="0" t="s">
        <v>5125</v>
      </c>
      <c r="DA20" s="0" t="s">
        <v>4620</v>
      </c>
      <c r="DB20" s="0" t="s">
        <v>5126</v>
      </c>
      <c r="DC20" s="0" t="s">
        <v>1189</v>
      </c>
      <c r="DY20" s="0" t="str">
        <f aca="false">IF(ISNUMBER(MATCH(U20,{"queued","contacted","replied","call_booked","call_done","yes_in_principle","materials_sent"},0)),"Y","N")</f>
        <v>N</v>
      </c>
      <c r="DZ20" s="0" t="str">
        <f aca="false">IF(COUNTIFS($AN$2:$AN$1000,AN20,$DY$2:$DY$1000,"Y")+COUNTIFS($AN$2:$AN$1000,AN20,$T$2:$T$1000,"Y")&gt;0,"Y","N")</f>
        <v>N</v>
      </c>
      <c r="EA20" s="0" t="str">
        <f aca="false">IF(AND(U20="new",T20="N",AR20="Y",AQ20="",DZ20="N"),"Y","N")</f>
        <v>Y</v>
      </c>
      <c r="EB20" s="0" t="str">
        <f aca="false">IF(EA20&lt;&gt;"Y","N",IF(COUNTIFS($AN$2:$AN$1000,AN20,$EA$2:$EA$1000,"Y",$J$2:$J$1000,"&gt;"&amp;J20)+COUNTIFS($AN$2:$AN$1000,AN20,$EA$2:$EA$1000,"Y",$J$2:$J$1000,J20,$ED$2:$ED$1000,"&lt;"&amp;ED20)=0,"Y","N"))</f>
        <v>Y</v>
      </c>
      <c r="EC20" s="0" t="str">
        <f aca="false">IF(Y20="","N",IF(Y20&lt;=10,"Y","N"))</f>
        <v>N</v>
      </c>
      <c r="ED20" s="0" t="n">
        <f aca="false">ROW()-1</f>
        <v>19</v>
      </c>
    </row>
    <row r="21" customFormat="false" ht="15" hidden="false" customHeight="false" outlineLevel="0" collapsed="false">
      <c r="A21" s="0" t="s">
        <v>5127</v>
      </c>
      <c r="B21" s="0" t="s">
        <v>5128</v>
      </c>
      <c r="C21" s="0" t="s">
        <v>5129</v>
      </c>
      <c r="D21" s="0" t="s">
        <v>5130</v>
      </c>
      <c r="E21" s="0" t="s">
        <v>4771</v>
      </c>
      <c r="H21" s="5" t="s">
        <v>158</v>
      </c>
      <c r="I21" s="5" t="s">
        <v>159</v>
      </c>
      <c r="J21" s="0" t="n">
        <f aca="false">IF(AU21="pass",CM21+CN21+CO21+CP21+CQ21+CR21+CS21+CT21,0)</f>
        <v>64</v>
      </c>
      <c r="K21" s="0" t="s">
        <v>5131</v>
      </c>
      <c r="M21" s="0" t="s">
        <v>5132</v>
      </c>
      <c r="N21" s="0" t="s">
        <v>5021</v>
      </c>
      <c r="O21" s="0" t="s">
        <v>5133</v>
      </c>
      <c r="P21" s="0" t="s">
        <v>5134</v>
      </c>
      <c r="Q21" s="0" t="s">
        <v>5135</v>
      </c>
      <c r="R21" s="5" t="s">
        <v>162</v>
      </c>
      <c r="S21" s="0" t="s">
        <v>168</v>
      </c>
      <c r="T21" s="5" t="s">
        <v>162</v>
      </c>
      <c r="U21" s="5" t="s">
        <v>561</v>
      </c>
      <c r="V21" s="0" t="s">
        <v>5136</v>
      </c>
      <c r="W21" s="0" t="s">
        <v>174</v>
      </c>
      <c r="X21" s="0" t="s">
        <v>4585</v>
      </c>
      <c r="Y21" s="0" t="n">
        <f aca="false">IF(EB21&lt;&gt;"Y","",COUNTIFS($EB$2:$EB$1000,"Y",$J$2:$J$1000,"&gt;"&amp;J21)+COUNTIFS($EB$2:$EB$1000,"Y",$J$2:$J$1000,J21,$ED$2:$ED$1000,"&lt;"&amp;ED21)+1)</f>
        <v>19</v>
      </c>
      <c r="Z21" s="0" t="n">
        <v>20</v>
      </c>
      <c r="AA21" s="0" t="s">
        <v>168</v>
      </c>
      <c r="AB21" s="0" t="s">
        <v>5137</v>
      </c>
      <c r="AC21" s="0" t="s">
        <v>4587</v>
      </c>
      <c r="AD21" s="0" t="s">
        <v>171</v>
      </c>
      <c r="AE21" s="0" t="s">
        <v>1189</v>
      </c>
      <c r="AF21" s="0" t="s">
        <v>5138</v>
      </c>
      <c r="AG21" s="0" t="s">
        <v>174</v>
      </c>
      <c r="AH21" s="0" t="s">
        <v>5139</v>
      </c>
      <c r="AI21" s="0" t="s">
        <v>4664</v>
      </c>
      <c r="AJ21" s="0" t="s">
        <v>163</v>
      </c>
      <c r="AK21" s="0" t="s">
        <v>5140</v>
      </c>
      <c r="AL21" s="0" t="s">
        <v>168</v>
      </c>
      <c r="AM21" s="0" t="s">
        <v>5141</v>
      </c>
      <c r="AN21" s="0" t="s">
        <v>5127</v>
      </c>
      <c r="AO21" s="5" t="s">
        <v>162</v>
      </c>
      <c r="AR21" s="0" t="str">
        <f aca="false">IF(AND(AU21="pass",AO21&lt;&gt;"Y",C21&lt;&gt;""),"Y","N")</f>
        <v>Y</v>
      </c>
      <c r="AS21" s="0" t="str">
        <f aca="false">_xlfn.TEXTJOIN("; ",TRUE(),IF(AU21&lt;&gt;"pass","gated out",""),IF(AO21="Y","on hold: "&amp;AP21,""),IF(C21="","no contact named on an opened page",""))</f>
        <v/>
      </c>
      <c r="AU21" s="0" t="s">
        <v>181</v>
      </c>
      <c r="AW21" s="0" t="s">
        <v>182</v>
      </c>
      <c r="AX21" s="0" t="s">
        <v>282</v>
      </c>
      <c r="AY21" s="0" t="s">
        <v>5140</v>
      </c>
      <c r="AZ21" s="0" t="s">
        <v>4595</v>
      </c>
      <c r="BA21" s="0" t="s">
        <v>4951</v>
      </c>
      <c r="BB21" s="0" t="s">
        <v>163</v>
      </c>
      <c r="BD21" s="0" t="s">
        <v>168</v>
      </c>
      <c r="BE21" s="0" t="s">
        <v>5142</v>
      </c>
      <c r="BF21" s="0" t="s">
        <v>168</v>
      </c>
      <c r="BG21" s="0" t="s">
        <v>168</v>
      </c>
      <c r="BH21" s="0" t="s">
        <v>163</v>
      </c>
      <c r="BJ21" s="0" t="s">
        <v>5143</v>
      </c>
      <c r="BK21" s="0" t="s">
        <v>162</v>
      </c>
      <c r="BL21" s="0" t="s">
        <v>162</v>
      </c>
      <c r="BN21" s="0" t="n">
        <v>0</v>
      </c>
      <c r="BO21" s="0" t="s">
        <v>168</v>
      </c>
      <c r="BP21" s="0" t="n">
        <v>3</v>
      </c>
      <c r="BQ21" s="0" t="s">
        <v>5144</v>
      </c>
      <c r="BS21" s="0" t="s">
        <v>5145</v>
      </c>
      <c r="BT21" s="0" t="s">
        <v>5146</v>
      </c>
      <c r="BU21" s="0" t="s">
        <v>4604</v>
      </c>
      <c r="BV21" s="0" t="n">
        <v>118</v>
      </c>
      <c r="BW21" s="0" t="s">
        <v>5134</v>
      </c>
      <c r="BX21" s="0" t="s">
        <v>5147</v>
      </c>
      <c r="BY21" s="0" t="s">
        <v>5148</v>
      </c>
      <c r="CF21" s="0" t="s">
        <v>158</v>
      </c>
      <c r="CK21" s="0" t="s">
        <v>158</v>
      </c>
      <c r="CL21" s="0" t="n">
        <v>64</v>
      </c>
      <c r="CM21" s="0" t="n">
        <v>17</v>
      </c>
      <c r="CN21" s="0" t="n">
        <v>13</v>
      </c>
      <c r="CO21" s="0" t="n">
        <v>15</v>
      </c>
      <c r="CP21" s="0" t="n">
        <v>5</v>
      </c>
      <c r="CQ21" s="0" t="n">
        <v>10</v>
      </c>
      <c r="CR21" s="0" t="n">
        <v>6</v>
      </c>
      <c r="CS21" s="0" t="n">
        <f aca="false">IF(R21="Y",10,0)</f>
        <v>0</v>
      </c>
      <c r="CT21" s="0" t="n">
        <v>-2</v>
      </c>
      <c r="CU21" s="0" t="s">
        <v>5149</v>
      </c>
      <c r="CV21" s="0" t="s">
        <v>5150</v>
      </c>
      <c r="CW21" s="0" t="s">
        <v>5151</v>
      </c>
      <c r="CX21" s="0" t="s">
        <v>5152</v>
      </c>
      <c r="DA21" s="0" t="s">
        <v>4620</v>
      </c>
      <c r="DY21" s="0" t="str">
        <f aca="false">IF(ISNUMBER(MATCH(U21,{"queued","contacted","replied","call_booked","call_done","yes_in_principle","materials_sent"},0)),"Y","N")</f>
        <v>N</v>
      </c>
      <c r="DZ21" s="0" t="str">
        <f aca="false">IF(COUNTIFS($AN$2:$AN$1000,AN21,$DY$2:$DY$1000,"Y")+COUNTIFS($AN$2:$AN$1000,AN21,$T$2:$T$1000,"Y")&gt;0,"Y","N")</f>
        <v>N</v>
      </c>
      <c r="EA21" s="0" t="str">
        <f aca="false">IF(AND(U21="new",T21="N",AR21="Y",AQ21="",DZ21="N"),"Y","N")</f>
        <v>Y</v>
      </c>
      <c r="EB21" s="0" t="str">
        <f aca="false">IF(EA21&lt;&gt;"Y","N",IF(COUNTIFS($AN$2:$AN$1000,AN21,$EA$2:$EA$1000,"Y",$J$2:$J$1000,"&gt;"&amp;J21)+COUNTIFS($AN$2:$AN$1000,AN21,$EA$2:$EA$1000,"Y",$J$2:$J$1000,J21,$ED$2:$ED$1000,"&lt;"&amp;ED21)=0,"Y","N"))</f>
        <v>Y</v>
      </c>
      <c r="EC21" s="0" t="str">
        <f aca="false">IF(Y21="","N",IF(Y21&lt;=10,"Y","N"))</f>
        <v>N</v>
      </c>
      <c r="ED21" s="0" t="n">
        <f aca="false">ROW()-1</f>
        <v>20</v>
      </c>
    </row>
    <row r="22" customFormat="false" ht="15" hidden="false" customHeight="false" outlineLevel="0" collapsed="false">
      <c r="A22" s="0" t="s">
        <v>5153</v>
      </c>
      <c r="B22" s="0" t="s">
        <v>5154</v>
      </c>
      <c r="C22" s="0" t="s">
        <v>5155</v>
      </c>
      <c r="D22" s="0" t="s">
        <v>5156</v>
      </c>
      <c r="E22" s="0" t="s">
        <v>4625</v>
      </c>
      <c r="H22" s="5" t="s">
        <v>158</v>
      </c>
      <c r="I22" s="5" t="s">
        <v>159</v>
      </c>
      <c r="J22" s="0" t="n">
        <f aca="false">IF(AU22="pass",CM22+CN22+CO22+CP22+CQ22+CR22+CS22+CT22,0)</f>
        <v>63</v>
      </c>
      <c r="K22" s="0" t="s">
        <v>5157</v>
      </c>
      <c r="M22" s="0" t="s">
        <v>4580</v>
      </c>
      <c r="N22" s="0" t="s">
        <v>4581</v>
      </c>
      <c r="O22" s="0" t="s">
        <v>5158</v>
      </c>
      <c r="P22" s="0" t="s">
        <v>5159</v>
      </c>
      <c r="Q22" s="0" t="s">
        <v>5160</v>
      </c>
      <c r="R22" s="5" t="s">
        <v>162</v>
      </c>
      <c r="S22" s="0" t="s">
        <v>163</v>
      </c>
      <c r="T22" s="5" t="s">
        <v>162</v>
      </c>
      <c r="U22" s="5" t="s">
        <v>561</v>
      </c>
      <c r="V22" s="0" t="s">
        <v>5161</v>
      </c>
      <c r="W22" s="0" t="s">
        <v>166</v>
      </c>
      <c r="X22" s="0" t="s">
        <v>4585</v>
      </c>
      <c r="Y22" s="0" t="n">
        <f aca="false">IF(EB22&lt;&gt;"Y","",COUNTIFS($EB$2:$EB$1000,"Y",$J$2:$J$1000,"&gt;"&amp;J22)+COUNTIFS($EB$2:$EB$1000,"Y",$J$2:$J$1000,J22,$ED$2:$ED$1000,"&lt;"&amp;ED22)+1)</f>
        <v>20</v>
      </c>
      <c r="Z22" s="0" t="n">
        <v>21</v>
      </c>
      <c r="AA22" s="0" t="s">
        <v>168</v>
      </c>
      <c r="AB22" s="0" t="s">
        <v>5162</v>
      </c>
      <c r="AC22" s="0" t="s">
        <v>4587</v>
      </c>
      <c r="AD22" s="0" t="s">
        <v>171</v>
      </c>
      <c r="AE22" s="0" t="s">
        <v>172</v>
      </c>
      <c r="AF22" s="0" t="s">
        <v>5161</v>
      </c>
      <c r="AG22" s="0" t="s">
        <v>174</v>
      </c>
      <c r="AH22" s="0" t="s">
        <v>5163</v>
      </c>
      <c r="AI22" s="0" t="s">
        <v>5028</v>
      </c>
      <c r="AJ22" s="0" t="s">
        <v>5164</v>
      </c>
      <c r="AK22" s="0" t="s">
        <v>5165</v>
      </c>
      <c r="AL22" s="0" t="s">
        <v>162</v>
      </c>
      <c r="AN22" s="0" t="s">
        <v>5153</v>
      </c>
      <c r="AO22" s="5" t="s">
        <v>162</v>
      </c>
      <c r="AR22" s="0" t="str">
        <f aca="false">IF(AND(AU22="pass",AO22&lt;&gt;"Y",C22&lt;&gt;""),"Y","N")</f>
        <v>Y</v>
      </c>
      <c r="AS22" s="0" t="str">
        <f aca="false">_xlfn.TEXTJOIN("; ",TRUE(),IF(AU22&lt;&gt;"pass","gated out",""),IF(AO22="Y","on hold: "&amp;AP22,""),IF(C22="","no contact named on an opened page",""))</f>
        <v/>
      </c>
      <c r="AU22" s="0" t="s">
        <v>181</v>
      </c>
      <c r="AW22" s="0" t="s">
        <v>182</v>
      </c>
      <c r="AY22" s="0" t="s">
        <v>5165</v>
      </c>
      <c r="AZ22" s="0" t="s">
        <v>4595</v>
      </c>
      <c r="BA22" s="0" t="s">
        <v>4951</v>
      </c>
      <c r="BB22" s="0" t="s">
        <v>163</v>
      </c>
      <c r="BD22" s="0" t="s">
        <v>168</v>
      </c>
      <c r="BE22" s="0" t="s">
        <v>5166</v>
      </c>
      <c r="BF22" s="0" t="s">
        <v>168</v>
      </c>
      <c r="BG22" s="0" t="s">
        <v>168</v>
      </c>
      <c r="BH22" s="0" t="s">
        <v>163</v>
      </c>
      <c r="BJ22" s="0" t="s">
        <v>163</v>
      </c>
      <c r="BK22" s="0" t="s">
        <v>162</v>
      </c>
      <c r="BL22" s="0" t="s">
        <v>162</v>
      </c>
      <c r="BN22" s="0" t="n">
        <v>0</v>
      </c>
      <c r="BO22" s="0" t="s">
        <v>168</v>
      </c>
      <c r="BP22" s="0" t="n">
        <v>3</v>
      </c>
      <c r="BQ22" s="0" t="s">
        <v>4669</v>
      </c>
      <c r="BS22" s="0" t="s">
        <v>5167</v>
      </c>
      <c r="BT22" s="0" t="s">
        <v>5168</v>
      </c>
      <c r="BU22" s="0" t="s">
        <v>4694</v>
      </c>
      <c r="BV22" s="0" t="n">
        <v>316</v>
      </c>
      <c r="BX22" s="0" t="s">
        <v>5169</v>
      </c>
      <c r="BY22" s="0" t="s">
        <v>5170</v>
      </c>
      <c r="CA22" s="0" t="s">
        <v>5171</v>
      </c>
      <c r="CB22" s="0" t="s">
        <v>5172</v>
      </c>
      <c r="CC22" s="0" t="s">
        <v>5173</v>
      </c>
      <c r="CD22" s="0" t="s">
        <v>4625</v>
      </c>
      <c r="CE22" s="0" t="s">
        <v>4808</v>
      </c>
      <c r="CF22" s="0" t="s">
        <v>171</v>
      </c>
      <c r="CG22" s="0" t="s">
        <v>5174</v>
      </c>
      <c r="CK22" s="0" t="s">
        <v>158</v>
      </c>
      <c r="CL22" s="0" t="n">
        <v>63</v>
      </c>
      <c r="CM22" s="0" t="n">
        <v>25</v>
      </c>
      <c r="CN22" s="0" t="n">
        <v>13</v>
      </c>
      <c r="CO22" s="0" t="n">
        <v>4</v>
      </c>
      <c r="CP22" s="0" t="n">
        <v>5</v>
      </c>
      <c r="CQ22" s="0" t="n">
        <v>10</v>
      </c>
      <c r="CR22" s="0" t="n">
        <v>6</v>
      </c>
      <c r="CS22" s="0" t="n">
        <f aca="false">IF(R22="Y",10,0)</f>
        <v>0</v>
      </c>
      <c r="CT22" s="0" t="n">
        <v>0</v>
      </c>
      <c r="CU22" s="0" t="s">
        <v>163</v>
      </c>
      <c r="CV22" s="0" t="s">
        <v>4841</v>
      </c>
      <c r="CW22" s="0" t="s">
        <v>5175</v>
      </c>
      <c r="CX22" s="0" t="s">
        <v>5176</v>
      </c>
      <c r="CZ22" s="0" t="s">
        <v>5161</v>
      </c>
      <c r="DA22" s="0" t="s">
        <v>4620</v>
      </c>
      <c r="DC22" s="0" t="s">
        <v>172</v>
      </c>
      <c r="DY22" s="0" t="str">
        <f aca="false">IF(ISNUMBER(MATCH(U22,{"queued","contacted","replied","call_booked","call_done","yes_in_principle","materials_sent"},0)),"Y","N")</f>
        <v>N</v>
      </c>
      <c r="DZ22" s="0" t="str">
        <f aca="false">IF(COUNTIFS($AN$2:$AN$1000,AN22,$DY$2:$DY$1000,"Y")+COUNTIFS($AN$2:$AN$1000,AN22,$T$2:$T$1000,"Y")&gt;0,"Y","N")</f>
        <v>N</v>
      </c>
      <c r="EA22" s="0" t="str">
        <f aca="false">IF(AND(U22="new",T22="N",AR22="Y",AQ22="",DZ22="N"),"Y","N")</f>
        <v>Y</v>
      </c>
      <c r="EB22" s="0" t="str">
        <f aca="false">IF(EA22&lt;&gt;"Y","N",IF(COUNTIFS($AN$2:$AN$1000,AN22,$EA$2:$EA$1000,"Y",$J$2:$J$1000,"&gt;"&amp;J22)+COUNTIFS($AN$2:$AN$1000,AN22,$EA$2:$EA$1000,"Y",$J$2:$J$1000,J22,$ED$2:$ED$1000,"&lt;"&amp;ED22)=0,"Y","N"))</f>
        <v>Y</v>
      </c>
      <c r="EC22" s="0" t="str">
        <f aca="false">IF(Y22="","N",IF(Y22&lt;=10,"Y","N"))</f>
        <v>N</v>
      </c>
      <c r="ED22" s="0" t="n">
        <f aca="false">ROW()-1</f>
        <v>21</v>
      </c>
    </row>
    <row r="23" customFormat="false" ht="15" hidden="false" customHeight="false" outlineLevel="0" collapsed="false">
      <c r="A23" s="0" t="s">
        <v>5177</v>
      </c>
      <c r="B23" s="0" t="s">
        <v>5178</v>
      </c>
      <c r="C23" s="0" t="s">
        <v>5179</v>
      </c>
      <c r="D23" s="0" t="s">
        <v>5180</v>
      </c>
      <c r="E23" s="0" t="s">
        <v>4656</v>
      </c>
      <c r="H23" s="5" t="s">
        <v>158</v>
      </c>
      <c r="I23" s="5" t="s">
        <v>159</v>
      </c>
      <c r="J23" s="0" t="n">
        <f aca="false">IF(AU23="pass",CM23+CN23+CO23+CP23+CQ23+CR23+CS23+CT23,0)</f>
        <v>62</v>
      </c>
      <c r="K23" s="0" t="s">
        <v>5181</v>
      </c>
      <c r="M23" s="0" t="s">
        <v>4580</v>
      </c>
      <c r="N23" s="0" t="s">
        <v>4581</v>
      </c>
      <c r="O23" s="0" t="s">
        <v>5182</v>
      </c>
      <c r="P23" s="0" t="s">
        <v>5183</v>
      </c>
      <c r="Q23" s="0" t="s">
        <v>2613</v>
      </c>
      <c r="R23" s="5" t="s">
        <v>162</v>
      </c>
      <c r="S23" s="0" t="s">
        <v>163</v>
      </c>
      <c r="T23" s="5" t="s">
        <v>162</v>
      </c>
      <c r="U23" s="5" t="s">
        <v>561</v>
      </c>
      <c r="V23" s="0" t="s">
        <v>5184</v>
      </c>
      <c r="W23" s="0" t="s">
        <v>166</v>
      </c>
      <c r="X23" s="0" t="s">
        <v>4585</v>
      </c>
      <c r="Y23" s="0" t="n">
        <f aca="false">IF(EB23&lt;&gt;"Y","",COUNTIFS($EB$2:$EB$1000,"Y",$J$2:$J$1000,"&gt;"&amp;J23)+COUNTIFS($EB$2:$EB$1000,"Y",$J$2:$J$1000,J23,$ED$2:$ED$1000,"&lt;"&amp;ED23)+1)</f>
        <v>21</v>
      </c>
      <c r="Z23" s="0" t="n">
        <v>22</v>
      </c>
      <c r="AA23" s="0" t="s">
        <v>168</v>
      </c>
      <c r="AB23" s="0" t="s">
        <v>5185</v>
      </c>
      <c r="AC23" s="0" t="s">
        <v>4587</v>
      </c>
      <c r="AD23" s="0" t="s">
        <v>171</v>
      </c>
      <c r="AE23" s="0" t="s">
        <v>172</v>
      </c>
      <c r="AF23" s="0" t="s">
        <v>5184</v>
      </c>
      <c r="AG23" s="0" t="s">
        <v>174</v>
      </c>
      <c r="AH23" s="0" t="s">
        <v>5186</v>
      </c>
      <c r="AI23" s="0" t="s">
        <v>4975</v>
      </c>
      <c r="AJ23" s="0" t="s">
        <v>5187</v>
      </c>
      <c r="AK23" s="0" t="s">
        <v>5188</v>
      </c>
      <c r="AL23" s="0" t="s">
        <v>168</v>
      </c>
      <c r="AM23" s="0" t="s">
        <v>5189</v>
      </c>
      <c r="AN23" s="0" t="s">
        <v>5177</v>
      </c>
      <c r="AO23" s="5" t="s">
        <v>162</v>
      </c>
      <c r="AR23" s="0" t="str">
        <f aca="false">IF(AND(AU23="pass",AO23&lt;&gt;"Y",C23&lt;&gt;""),"Y","N")</f>
        <v>Y</v>
      </c>
      <c r="AS23" s="0" t="str">
        <f aca="false">_xlfn.TEXTJOIN("; ",TRUE(),IF(AU23&lt;&gt;"pass","gated out",""),IF(AO23="Y","on hold: "&amp;AP23,""),IF(C23="","no contact named on an opened page",""))</f>
        <v/>
      </c>
      <c r="AU23" s="0" t="s">
        <v>181</v>
      </c>
      <c r="AW23" s="0" t="s">
        <v>182</v>
      </c>
      <c r="AX23" s="0" t="s">
        <v>4594</v>
      </c>
      <c r="AY23" s="0" t="s">
        <v>5188</v>
      </c>
      <c r="AZ23" s="0" t="s">
        <v>5190</v>
      </c>
      <c r="BA23" s="0" t="s">
        <v>5191</v>
      </c>
      <c r="BB23" s="0" t="s">
        <v>163</v>
      </c>
      <c r="BD23" s="0" t="s">
        <v>168</v>
      </c>
      <c r="BE23" s="0" t="s">
        <v>5192</v>
      </c>
      <c r="BF23" s="0" t="s">
        <v>168</v>
      </c>
      <c r="BG23" s="0" t="s">
        <v>168</v>
      </c>
      <c r="BH23" s="0" t="s">
        <v>163</v>
      </c>
      <c r="BJ23" s="0" t="s">
        <v>163</v>
      </c>
      <c r="BK23" s="0" t="s">
        <v>162</v>
      </c>
      <c r="BL23" s="0" t="s">
        <v>162</v>
      </c>
      <c r="BN23" s="0" t="n">
        <v>0</v>
      </c>
      <c r="BO23" s="0" t="s">
        <v>168</v>
      </c>
      <c r="BP23" s="0" t="n">
        <v>2</v>
      </c>
      <c r="BQ23" s="0" t="s">
        <v>4781</v>
      </c>
      <c r="BS23" s="0" t="s">
        <v>4981</v>
      </c>
      <c r="BT23" s="0" t="s">
        <v>5193</v>
      </c>
      <c r="BU23" s="0" t="s">
        <v>4694</v>
      </c>
      <c r="BV23" s="0" t="n">
        <v>5</v>
      </c>
      <c r="BX23" s="0" t="s">
        <v>5194</v>
      </c>
      <c r="BY23" s="0" t="s">
        <v>5195</v>
      </c>
      <c r="CA23" s="0" t="s">
        <v>5196</v>
      </c>
      <c r="CB23" s="0" t="s">
        <v>5197</v>
      </c>
      <c r="CC23" s="0" t="s">
        <v>5198</v>
      </c>
      <c r="CD23" s="0" t="s">
        <v>5199</v>
      </c>
      <c r="CE23" s="0" t="s">
        <v>4612</v>
      </c>
      <c r="CF23" s="0" t="s">
        <v>171</v>
      </c>
      <c r="CG23" s="0" t="s">
        <v>5200</v>
      </c>
      <c r="CK23" s="0" t="s">
        <v>158</v>
      </c>
      <c r="CL23" s="0" t="n">
        <v>62</v>
      </c>
      <c r="CM23" s="0" t="n">
        <v>25</v>
      </c>
      <c r="CN23" s="0" t="n">
        <v>8</v>
      </c>
      <c r="CO23" s="0" t="n">
        <v>8</v>
      </c>
      <c r="CP23" s="0" t="n">
        <v>5</v>
      </c>
      <c r="CQ23" s="0" t="n">
        <v>10</v>
      </c>
      <c r="CR23" s="0" t="n">
        <v>10</v>
      </c>
      <c r="CS23" s="0" t="n">
        <f aca="false">IF(R23="Y",10,0)</f>
        <v>0</v>
      </c>
      <c r="CT23" s="0" t="n">
        <v>-4</v>
      </c>
      <c r="CU23" s="0" t="s">
        <v>163</v>
      </c>
      <c r="CV23" s="0" t="s">
        <v>4841</v>
      </c>
      <c r="CW23" s="0" t="s">
        <v>5201</v>
      </c>
      <c r="CX23" s="0" t="s">
        <v>5202</v>
      </c>
      <c r="CY23" s="0" t="s">
        <v>5203</v>
      </c>
      <c r="CZ23" s="0" t="s">
        <v>5204</v>
      </c>
      <c r="DA23" s="0" t="s">
        <v>4620</v>
      </c>
      <c r="DC23" s="0" t="s">
        <v>230</v>
      </c>
      <c r="DD23" s="0" t="s">
        <v>5205</v>
      </c>
      <c r="DY23" s="0" t="str">
        <f aca="false">IF(ISNUMBER(MATCH(U23,{"queued","contacted","replied","call_booked","call_done","yes_in_principle","materials_sent"},0)),"Y","N")</f>
        <v>N</v>
      </c>
      <c r="DZ23" s="0" t="str">
        <f aca="false">IF(COUNTIFS($AN$2:$AN$1000,AN23,$DY$2:$DY$1000,"Y")+COUNTIFS($AN$2:$AN$1000,AN23,$T$2:$T$1000,"Y")&gt;0,"Y","N")</f>
        <v>N</v>
      </c>
      <c r="EA23" s="0" t="str">
        <f aca="false">IF(AND(U23="new",T23="N",AR23="Y",AQ23="",DZ23="N"),"Y","N")</f>
        <v>Y</v>
      </c>
      <c r="EB23" s="0" t="str">
        <f aca="false">IF(EA23&lt;&gt;"Y","N",IF(COUNTIFS($AN$2:$AN$1000,AN23,$EA$2:$EA$1000,"Y",$J$2:$J$1000,"&gt;"&amp;J23)+COUNTIFS($AN$2:$AN$1000,AN23,$EA$2:$EA$1000,"Y",$J$2:$J$1000,J23,$ED$2:$ED$1000,"&lt;"&amp;ED23)=0,"Y","N"))</f>
        <v>Y</v>
      </c>
      <c r="EC23" s="0" t="str">
        <f aca="false">IF(Y23="","N",IF(Y23&lt;=10,"Y","N"))</f>
        <v>N</v>
      </c>
      <c r="ED23" s="0" t="n">
        <f aca="false">ROW()-1</f>
        <v>22</v>
      </c>
    </row>
    <row r="24" customFormat="false" ht="15" hidden="false" customHeight="false" outlineLevel="0" collapsed="false">
      <c r="A24" s="0" t="s">
        <v>5206</v>
      </c>
      <c r="B24" s="0" t="s">
        <v>5207</v>
      </c>
      <c r="C24" s="0" t="s">
        <v>5208</v>
      </c>
      <c r="D24" s="0" t="s">
        <v>5209</v>
      </c>
      <c r="E24" s="0" t="s">
        <v>4625</v>
      </c>
      <c r="H24" s="5" t="s">
        <v>158</v>
      </c>
      <c r="I24" s="5" t="s">
        <v>159</v>
      </c>
      <c r="J24" s="0" t="n">
        <f aca="false">IF(AU24="pass",CM24+CN24+CO24+CP24+CQ24+CR24+CS24+CT24,0)</f>
        <v>62</v>
      </c>
      <c r="K24" s="0" t="s">
        <v>5210</v>
      </c>
      <c r="M24" s="0" t="s">
        <v>4580</v>
      </c>
      <c r="N24" s="0" t="s">
        <v>4581</v>
      </c>
      <c r="O24" s="0" t="s">
        <v>5211</v>
      </c>
      <c r="P24" s="0" t="s">
        <v>5212</v>
      </c>
      <c r="Q24" s="0" t="s">
        <v>5213</v>
      </c>
      <c r="R24" s="5" t="s">
        <v>162</v>
      </c>
      <c r="S24" s="0" t="s">
        <v>163</v>
      </c>
      <c r="T24" s="5" t="s">
        <v>162</v>
      </c>
      <c r="U24" s="5" t="s">
        <v>561</v>
      </c>
      <c r="V24" s="0" t="s">
        <v>5214</v>
      </c>
      <c r="W24" s="0" t="s">
        <v>166</v>
      </c>
      <c r="X24" s="0" t="s">
        <v>4585</v>
      </c>
      <c r="Y24" s="0" t="n">
        <f aca="false">IF(EB24&lt;&gt;"Y","",COUNTIFS($EB$2:$EB$1000,"Y",$J$2:$J$1000,"&gt;"&amp;J24)+COUNTIFS($EB$2:$EB$1000,"Y",$J$2:$J$1000,J24,$ED$2:$ED$1000,"&lt;"&amp;ED24)+1)</f>
        <v>22</v>
      </c>
      <c r="Z24" s="0" t="n">
        <v>23</v>
      </c>
      <c r="AA24" s="0" t="s">
        <v>168</v>
      </c>
      <c r="AB24" s="0" t="s">
        <v>5215</v>
      </c>
      <c r="AC24" s="0" t="s">
        <v>4587</v>
      </c>
      <c r="AD24" s="0" t="s">
        <v>171</v>
      </c>
      <c r="AE24" s="0" t="s">
        <v>1189</v>
      </c>
      <c r="AF24" s="0" t="s">
        <v>5216</v>
      </c>
      <c r="AG24" s="0" t="s">
        <v>174</v>
      </c>
      <c r="AH24" s="0" t="s">
        <v>5217</v>
      </c>
      <c r="AI24" s="0" t="s">
        <v>4590</v>
      </c>
      <c r="AJ24" s="0" t="s">
        <v>5218</v>
      </c>
      <c r="AK24" s="0" t="s">
        <v>5219</v>
      </c>
      <c r="AL24" s="0" t="s">
        <v>168</v>
      </c>
      <c r="AM24" s="0" t="s">
        <v>5220</v>
      </c>
      <c r="AN24" s="0" t="s">
        <v>5206</v>
      </c>
      <c r="AO24" s="5" t="s">
        <v>162</v>
      </c>
      <c r="AR24" s="0" t="str">
        <f aca="false">IF(AND(AU24="pass",AO24&lt;&gt;"Y",C24&lt;&gt;""),"Y","N")</f>
        <v>Y</v>
      </c>
      <c r="AS24" s="0" t="str">
        <f aca="false">_xlfn.TEXTJOIN("; ",TRUE(),IF(AU24&lt;&gt;"pass","gated out",""),IF(AO24="Y","on hold: "&amp;AP24,""),IF(C24="","no contact named on an opened page",""))</f>
        <v/>
      </c>
      <c r="AU24" s="0" t="s">
        <v>181</v>
      </c>
      <c r="AW24" s="0" t="s">
        <v>182</v>
      </c>
      <c r="AX24" s="0" t="s">
        <v>5221</v>
      </c>
      <c r="AY24" s="0" t="s">
        <v>5219</v>
      </c>
      <c r="AZ24" s="0" t="s">
        <v>4595</v>
      </c>
      <c r="BA24" s="0" t="s">
        <v>4596</v>
      </c>
      <c r="BB24" s="0" t="s">
        <v>163</v>
      </c>
      <c r="BD24" s="0" t="s">
        <v>168</v>
      </c>
      <c r="BE24" s="0" t="s">
        <v>5222</v>
      </c>
      <c r="BF24" s="0" t="s">
        <v>168</v>
      </c>
      <c r="BG24" s="0" t="s">
        <v>168</v>
      </c>
      <c r="BH24" s="0" t="s">
        <v>163</v>
      </c>
      <c r="BJ24" s="0" t="s">
        <v>163</v>
      </c>
      <c r="BK24" s="0" t="s">
        <v>162</v>
      </c>
      <c r="BL24" s="0" t="s">
        <v>162</v>
      </c>
      <c r="BN24" s="0" t="n">
        <v>0</v>
      </c>
      <c r="BO24" s="0" t="s">
        <v>168</v>
      </c>
      <c r="BP24" s="0" t="n">
        <v>10</v>
      </c>
      <c r="BQ24" s="0" t="s">
        <v>5223</v>
      </c>
      <c r="BR24" s="0" t="s">
        <v>4670</v>
      </c>
      <c r="BS24" s="0" t="s">
        <v>5224</v>
      </c>
      <c r="BT24" s="0" t="s">
        <v>5225</v>
      </c>
      <c r="BU24" s="0" t="s">
        <v>4604</v>
      </c>
      <c r="BV24" s="0" t="n">
        <v>208</v>
      </c>
      <c r="BX24" s="0" t="s">
        <v>5226</v>
      </c>
      <c r="BY24" s="0" t="s">
        <v>5227</v>
      </c>
      <c r="CF24" s="0" t="s">
        <v>158</v>
      </c>
      <c r="CK24" s="0" t="s">
        <v>158</v>
      </c>
      <c r="CL24" s="0" t="n">
        <v>62</v>
      </c>
      <c r="CM24" s="0" t="n">
        <v>25</v>
      </c>
      <c r="CN24" s="0" t="n">
        <v>20</v>
      </c>
      <c r="CO24" s="0" t="n">
        <v>8</v>
      </c>
      <c r="CP24" s="0" t="n">
        <v>5</v>
      </c>
      <c r="CQ24" s="0" t="n">
        <v>10</v>
      </c>
      <c r="CR24" s="0" t="n">
        <v>6</v>
      </c>
      <c r="CS24" s="0" t="n">
        <f aca="false">IF(R24="Y",10,0)</f>
        <v>0</v>
      </c>
      <c r="CT24" s="0" t="n">
        <v>-12</v>
      </c>
      <c r="CU24" s="0" t="s">
        <v>5228</v>
      </c>
      <c r="CV24" s="0" t="s">
        <v>4615</v>
      </c>
      <c r="CW24" s="0" t="s">
        <v>5229</v>
      </c>
      <c r="CX24" s="0" t="s">
        <v>5230</v>
      </c>
      <c r="CY24" s="0" t="s">
        <v>5231</v>
      </c>
      <c r="DA24" s="0" t="s">
        <v>4620</v>
      </c>
      <c r="DB24" s="0" t="s">
        <v>2092</v>
      </c>
      <c r="DE24" s="0" t="s">
        <v>5232</v>
      </c>
      <c r="DY24" s="0" t="str">
        <f aca="false">IF(ISNUMBER(MATCH(U24,{"queued","contacted","replied","call_booked","call_done","yes_in_principle","materials_sent"},0)),"Y","N")</f>
        <v>N</v>
      </c>
      <c r="DZ24" s="0" t="str">
        <f aca="false">IF(COUNTIFS($AN$2:$AN$1000,AN24,$DY$2:$DY$1000,"Y")+COUNTIFS($AN$2:$AN$1000,AN24,$T$2:$T$1000,"Y")&gt;0,"Y","N")</f>
        <v>N</v>
      </c>
      <c r="EA24" s="0" t="str">
        <f aca="false">IF(AND(U24="new",T24="N",AR24="Y",AQ24="",DZ24="N"),"Y","N")</f>
        <v>Y</v>
      </c>
      <c r="EB24" s="0" t="str">
        <f aca="false">IF(EA24&lt;&gt;"Y","N",IF(COUNTIFS($AN$2:$AN$1000,AN24,$EA$2:$EA$1000,"Y",$J$2:$J$1000,"&gt;"&amp;J24)+COUNTIFS($AN$2:$AN$1000,AN24,$EA$2:$EA$1000,"Y",$J$2:$J$1000,J24,$ED$2:$ED$1000,"&lt;"&amp;ED24)=0,"Y","N"))</f>
        <v>Y</v>
      </c>
      <c r="EC24" s="0" t="str">
        <f aca="false">IF(Y24="","N",IF(Y24&lt;=10,"Y","N"))</f>
        <v>N</v>
      </c>
      <c r="ED24" s="0" t="n">
        <f aca="false">ROW()-1</f>
        <v>23</v>
      </c>
    </row>
    <row r="25" customFormat="false" ht="15" hidden="false" customHeight="false" outlineLevel="0" collapsed="false">
      <c r="A25" s="0" t="s">
        <v>5233</v>
      </c>
      <c r="B25" s="0" t="s">
        <v>5234</v>
      </c>
      <c r="C25" s="0" t="s">
        <v>5208</v>
      </c>
      <c r="D25" s="0" t="s">
        <v>5235</v>
      </c>
      <c r="E25" s="0" t="s">
        <v>4656</v>
      </c>
      <c r="H25" s="5" t="s">
        <v>158</v>
      </c>
      <c r="I25" s="5" t="s">
        <v>159</v>
      </c>
      <c r="J25" s="0" t="n">
        <f aca="false">IF(AU25="pass",CM25+CN25+CO25+CP25+CQ25+CR25+CS25+CT25,0)</f>
        <v>62</v>
      </c>
      <c r="K25" s="0" t="s">
        <v>5236</v>
      </c>
      <c r="M25" s="0" t="s">
        <v>4580</v>
      </c>
      <c r="N25" s="0" t="s">
        <v>4581</v>
      </c>
      <c r="O25" s="0" t="s">
        <v>5237</v>
      </c>
      <c r="P25" s="0" t="s">
        <v>5238</v>
      </c>
      <c r="Q25" s="0" t="s">
        <v>5239</v>
      </c>
      <c r="R25" s="5" t="s">
        <v>162</v>
      </c>
      <c r="S25" s="0" t="s">
        <v>163</v>
      </c>
      <c r="T25" s="5" t="s">
        <v>162</v>
      </c>
      <c r="U25" s="5" t="s">
        <v>561</v>
      </c>
      <c r="V25" s="0" t="s">
        <v>5240</v>
      </c>
      <c r="W25" s="0" t="s">
        <v>166</v>
      </c>
      <c r="X25" s="0" t="s">
        <v>4585</v>
      </c>
      <c r="Y25" s="0" t="n">
        <f aca="false">IF(EB25&lt;&gt;"Y","",COUNTIFS($EB$2:$EB$1000,"Y",$J$2:$J$1000,"&gt;"&amp;J25)+COUNTIFS($EB$2:$EB$1000,"Y",$J$2:$J$1000,J25,$ED$2:$ED$1000,"&lt;"&amp;ED25)+1)</f>
        <v>23</v>
      </c>
      <c r="Z25" s="0" t="n">
        <v>24</v>
      </c>
      <c r="AA25" s="0" t="s">
        <v>168</v>
      </c>
      <c r="AB25" s="0" t="s">
        <v>5241</v>
      </c>
      <c r="AC25" s="0" t="s">
        <v>4587</v>
      </c>
      <c r="AD25" s="0" t="s">
        <v>171</v>
      </c>
      <c r="AE25" s="0" t="s">
        <v>172</v>
      </c>
      <c r="AF25" s="0" t="s">
        <v>5240</v>
      </c>
      <c r="AG25" s="0" t="s">
        <v>174</v>
      </c>
      <c r="AH25" s="0" t="s">
        <v>5242</v>
      </c>
      <c r="AI25" s="0" t="s">
        <v>4664</v>
      </c>
      <c r="AJ25" s="0" t="s">
        <v>5243</v>
      </c>
      <c r="AK25" s="0" t="s">
        <v>5244</v>
      </c>
      <c r="AL25" s="0" t="s">
        <v>168</v>
      </c>
      <c r="AM25" s="0" t="s">
        <v>4690</v>
      </c>
      <c r="AN25" s="0" t="s">
        <v>5233</v>
      </c>
      <c r="AO25" s="5" t="s">
        <v>162</v>
      </c>
      <c r="AR25" s="0" t="str">
        <f aca="false">IF(AND(AU25="pass",AO25&lt;&gt;"Y",C25&lt;&gt;""),"Y","N")</f>
        <v>Y</v>
      </c>
      <c r="AS25" s="0" t="str">
        <f aca="false">_xlfn.TEXTJOIN("; ",TRUE(),IF(AU25&lt;&gt;"pass","gated out",""),IF(AO25="Y","on hold: "&amp;AP25,""),IF(C25="","no contact named on an opened page",""))</f>
        <v/>
      </c>
      <c r="AU25" s="0" t="s">
        <v>181</v>
      </c>
      <c r="AW25" s="0" t="s">
        <v>182</v>
      </c>
      <c r="AY25" s="0" t="s">
        <v>5244</v>
      </c>
      <c r="AZ25" s="0" t="s">
        <v>5190</v>
      </c>
      <c r="BA25" s="0" t="s">
        <v>5191</v>
      </c>
      <c r="BB25" s="0" t="s">
        <v>163</v>
      </c>
      <c r="BD25" s="0" t="s">
        <v>263</v>
      </c>
      <c r="BE25" s="0" t="s">
        <v>5245</v>
      </c>
      <c r="BF25" s="0" t="s">
        <v>168</v>
      </c>
      <c r="BG25" s="0" t="s">
        <v>168</v>
      </c>
      <c r="BH25" s="0" t="s">
        <v>163</v>
      </c>
      <c r="BJ25" s="0" t="s">
        <v>163</v>
      </c>
      <c r="BK25" s="0" t="s">
        <v>162</v>
      </c>
      <c r="BL25" s="0" t="s">
        <v>162</v>
      </c>
      <c r="BN25" s="0" t="n">
        <v>0</v>
      </c>
      <c r="BO25" s="0" t="s">
        <v>168</v>
      </c>
      <c r="BP25" s="0" t="n">
        <v>3</v>
      </c>
      <c r="BQ25" s="0" t="s">
        <v>4669</v>
      </c>
      <c r="BS25" s="0" t="s">
        <v>5246</v>
      </c>
      <c r="BT25" s="0" t="s">
        <v>5247</v>
      </c>
      <c r="BU25" s="0" t="s">
        <v>4694</v>
      </c>
      <c r="BV25" s="0" t="n">
        <v>50</v>
      </c>
      <c r="BX25" s="0" t="s">
        <v>5248</v>
      </c>
      <c r="BY25" s="0" t="s">
        <v>5249</v>
      </c>
      <c r="CA25" s="0" t="s">
        <v>5250</v>
      </c>
      <c r="CE25" s="0" t="s">
        <v>4612</v>
      </c>
      <c r="CF25" s="0" t="s">
        <v>598</v>
      </c>
      <c r="CG25" s="0" t="s">
        <v>5251</v>
      </c>
      <c r="CH25" s="0" t="s">
        <v>5252</v>
      </c>
      <c r="CI25" s="0" t="s">
        <v>4932</v>
      </c>
      <c r="CK25" s="0" t="s">
        <v>158</v>
      </c>
      <c r="CL25" s="0" t="n">
        <v>62</v>
      </c>
      <c r="CM25" s="0" t="n">
        <v>25</v>
      </c>
      <c r="CN25" s="0" t="n">
        <v>8</v>
      </c>
      <c r="CO25" s="0" t="n">
        <v>8</v>
      </c>
      <c r="CP25" s="0" t="n">
        <v>5</v>
      </c>
      <c r="CQ25" s="0" t="n">
        <v>8</v>
      </c>
      <c r="CR25" s="0" t="n">
        <v>8</v>
      </c>
      <c r="CS25" s="0" t="n">
        <f aca="false">IF(R25="Y",10,0)</f>
        <v>0</v>
      </c>
      <c r="CT25" s="0" t="n">
        <v>0</v>
      </c>
      <c r="CU25" s="0" t="s">
        <v>5253</v>
      </c>
      <c r="CV25" s="0" t="s">
        <v>4703</v>
      </c>
      <c r="CW25" s="0" t="s">
        <v>5254</v>
      </c>
      <c r="CX25" s="0" t="s">
        <v>5255</v>
      </c>
      <c r="CY25" s="0" t="s">
        <v>5256</v>
      </c>
      <c r="CZ25" s="0" t="s">
        <v>5252</v>
      </c>
      <c r="DA25" s="0" t="s">
        <v>4620</v>
      </c>
      <c r="DC25" s="0" t="s">
        <v>599</v>
      </c>
      <c r="DY25" s="0" t="str">
        <f aca="false">IF(ISNUMBER(MATCH(U25,{"queued","contacted","replied","call_booked","call_done","yes_in_principle","materials_sent"},0)),"Y","N")</f>
        <v>N</v>
      </c>
      <c r="DZ25" s="0" t="str">
        <f aca="false">IF(COUNTIFS($AN$2:$AN$1000,AN25,$DY$2:$DY$1000,"Y")+COUNTIFS($AN$2:$AN$1000,AN25,$T$2:$T$1000,"Y")&gt;0,"Y","N")</f>
        <v>N</v>
      </c>
      <c r="EA25" s="0" t="str">
        <f aca="false">IF(AND(U25="new",T25="N",AR25="Y",AQ25="",DZ25="N"),"Y","N")</f>
        <v>Y</v>
      </c>
      <c r="EB25" s="0" t="str">
        <f aca="false">IF(EA25&lt;&gt;"Y","N",IF(COUNTIFS($AN$2:$AN$1000,AN25,$EA$2:$EA$1000,"Y",$J$2:$J$1000,"&gt;"&amp;J25)+COUNTIFS($AN$2:$AN$1000,AN25,$EA$2:$EA$1000,"Y",$J$2:$J$1000,J25,$ED$2:$ED$1000,"&lt;"&amp;ED25)=0,"Y","N"))</f>
        <v>Y</v>
      </c>
      <c r="EC25" s="0" t="str">
        <f aca="false">IF(Y25="","N",IF(Y25&lt;=10,"Y","N"))</f>
        <v>N</v>
      </c>
      <c r="ED25" s="0" t="n">
        <f aca="false">ROW()-1</f>
        <v>24</v>
      </c>
    </row>
    <row r="26" customFormat="false" ht="15" hidden="false" customHeight="false" outlineLevel="0" collapsed="false">
      <c r="A26" s="0" t="s">
        <v>5257</v>
      </c>
      <c r="B26" s="0" t="s">
        <v>5258</v>
      </c>
      <c r="C26" s="0" t="s">
        <v>5259</v>
      </c>
      <c r="D26" s="0" t="s">
        <v>5260</v>
      </c>
      <c r="E26" s="0" t="s">
        <v>5261</v>
      </c>
      <c r="H26" s="5" t="s">
        <v>158</v>
      </c>
      <c r="I26" s="5" t="s">
        <v>159</v>
      </c>
      <c r="J26" s="0" t="n">
        <f aca="false">IF(AU26="pass",CM26+CN26+CO26+CP26+CQ26+CR26+CS26+CT26,0)</f>
        <v>62</v>
      </c>
      <c r="K26" s="0" t="s">
        <v>5262</v>
      </c>
      <c r="M26" s="0" t="s">
        <v>4580</v>
      </c>
      <c r="N26" s="0" t="s">
        <v>4581</v>
      </c>
      <c r="R26" s="5" t="s">
        <v>162</v>
      </c>
      <c r="S26" s="0" t="s">
        <v>163</v>
      </c>
      <c r="T26" s="5" t="s">
        <v>162</v>
      </c>
      <c r="U26" s="5" t="s">
        <v>561</v>
      </c>
      <c r="V26" s="0" t="s">
        <v>5263</v>
      </c>
      <c r="W26" s="0" t="s">
        <v>166</v>
      </c>
      <c r="X26" s="0" t="s">
        <v>4585</v>
      </c>
      <c r="Y26" s="0" t="n">
        <f aca="false">IF(EB26&lt;&gt;"Y","",COUNTIFS($EB$2:$EB$1000,"Y",$J$2:$J$1000,"&gt;"&amp;J26)+COUNTIFS($EB$2:$EB$1000,"Y",$J$2:$J$1000,J26,$ED$2:$ED$1000,"&lt;"&amp;ED26)+1)</f>
        <v>24</v>
      </c>
      <c r="Z26" s="0" t="n">
        <v>25</v>
      </c>
      <c r="AA26" s="0" t="s">
        <v>168</v>
      </c>
      <c r="AB26" s="0" t="s">
        <v>5264</v>
      </c>
      <c r="AC26" s="0" t="s">
        <v>4587</v>
      </c>
      <c r="AD26" s="0" t="s">
        <v>171</v>
      </c>
      <c r="AE26" s="0" t="s">
        <v>172</v>
      </c>
      <c r="AF26" s="0" t="s">
        <v>5265</v>
      </c>
      <c r="AG26" s="0" t="s">
        <v>174</v>
      </c>
      <c r="AH26" s="0" t="s">
        <v>5266</v>
      </c>
      <c r="AI26" s="0" t="s">
        <v>4590</v>
      </c>
      <c r="AJ26" s="0" t="s">
        <v>5267</v>
      </c>
      <c r="AK26" s="0" t="s">
        <v>5268</v>
      </c>
      <c r="AL26" s="0" t="s">
        <v>168</v>
      </c>
      <c r="AM26" s="0" t="s">
        <v>5269</v>
      </c>
      <c r="AN26" s="0" t="s">
        <v>5257</v>
      </c>
      <c r="AO26" s="5" t="s">
        <v>162</v>
      </c>
      <c r="AR26" s="0" t="str">
        <f aca="false">IF(AND(AU26="pass",AO26&lt;&gt;"Y",C26&lt;&gt;""),"Y","N")</f>
        <v>Y</v>
      </c>
      <c r="AS26" s="0" t="str">
        <f aca="false">_xlfn.TEXTJOIN("; ",TRUE(),IF(AU26&lt;&gt;"pass","gated out",""),IF(AO26="Y","on hold: "&amp;AP26,""),IF(C26="","no contact named on an opened page",""))</f>
        <v/>
      </c>
      <c r="AU26" s="0" t="s">
        <v>181</v>
      </c>
      <c r="AW26" s="0" t="s">
        <v>182</v>
      </c>
      <c r="AX26" s="0" t="s">
        <v>5270</v>
      </c>
      <c r="AY26" s="0" t="s">
        <v>5268</v>
      </c>
      <c r="AZ26" s="0" t="s">
        <v>163</v>
      </c>
      <c r="BA26" s="0" t="s">
        <v>5271</v>
      </c>
      <c r="BB26" s="0" t="s">
        <v>163</v>
      </c>
      <c r="BD26" s="0" t="s">
        <v>168</v>
      </c>
      <c r="BE26" s="0" t="s">
        <v>5272</v>
      </c>
      <c r="BF26" s="0" t="s">
        <v>168</v>
      </c>
      <c r="BG26" s="0" t="s">
        <v>168</v>
      </c>
      <c r="BH26" s="0" t="s">
        <v>163</v>
      </c>
      <c r="BJ26" s="0" t="s">
        <v>163</v>
      </c>
      <c r="BK26" s="0" t="s">
        <v>162</v>
      </c>
      <c r="BL26" s="0" t="s">
        <v>162</v>
      </c>
      <c r="BN26" s="0" t="n">
        <v>0</v>
      </c>
      <c r="BO26" s="0" t="s">
        <v>168</v>
      </c>
      <c r="BP26" s="0" t="n">
        <v>3</v>
      </c>
      <c r="BQ26" s="0" t="s">
        <v>4669</v>
      </c>
      <c r="BR26" s="0" t="s">
        <v>4670</v>
      </c>
      <c r="BS26" s="0" t="s">
        <v>5273</v>
      </c>
      <c r="BT26" s="0" t="s">
        <v>5274</v>
      </c>
      <c r="BU26" s="0" t="s">
        <v>158</v>
      </c>
      <c r="BX26" s="0" t="s">
        <v>5275</v>
      </c>
      <c r="BY26" s="0" t="s">
        <v>5276</v>
      </c>
      <c r="CA26" s="0" t="s">
        <v>5277</v>
      </c>
      <c r="CB26" s="0" t="s">
        <v>5278</v>
      </c>
      <c r="CC26" s="0" t="s">
        <v>5279</v>
      </c>
      <c r="CD26" s="0" t="s">
        <v>5280</v>
      </c>
      <c r="CE26" s="0" t="s">
        <v>4612</v>
      </c>
      <c r="CF26" s="0" t="s">
        <v>171</v>
      </c>
      <c r="CG26" s="0" t="s">
        <v>5281</v>
      </c>
      <c r="CK26" s="0" t="s">
        <v>158</v>
      </c>
      <c r="CL26" s="0" t="n">
        <v>62</v>
      </c>
      <c r="CM26" s="0" t="n">
        <v>25</v>
      </c>
      <c r="CN26" s="0" t="n">
        <v>17</v>
      </c>
      <c r="CO26" s="0" t="n">
        <v>0</v>
      </c>
      <c r="CP26" s="0" t="n">
        <v>5</v>
      </c>
      <c r="CQ26" s="0" t="n">
        <v>10</v>
      </c>
      <c r="CR26" s="0" t="n">
        <v>10</v>
      </c>
      <c r="CS26" s="0" t="n">
        <f aca="false">IF(R26="Y",10,0)</f>
        <v>0</v>
      </c>
      <c r="CT26" s="0" t="n">
        <v>-5</v>
      </c>
      <c r="CU26" s="0" t="s">
        <v>5282</v>
      </c>
      <c r="CV26" s="0" t="s">
        <v>4615</v>
      </c>
      <c r="CW26" s="0" t="s">
        <v>5283</v>
      </c>
      <c r="CX26" s="0" t="s">
        <v>5284</v>
      </c>
      <c r="CY26" s="0" t="s">
        <v>5285</v>
      </c>
      <c r="CZ26" s="0" t="s">
        <v>5265</v>
      </c>
      <c r="DA26" s="0" t="s">
        <v>4620</v>
      </c>
      <c r="DC26" s="0" t="s">
        <v>172</v>
      </c>
      <c r="DY26" s="0" t="str">
        <f aca="false">IF(ISNUMBER(MATCH(U26,{"queued","contacted","replied","call_booked","call_done","yes_in_principle","materials_sent"},0)),"Y","N")</f>
        <v>N</v>
      </c>
      <c r="DZ26" s="0" t="str">
        <f aca="false">IF(COUNTIFS($AN$2:$AN$1000,AN26,$DY$2:$DY$1000,"Y")+COUNTIFS($AN$2:$AN$1000,AN26,$T$2:$T$1000,"Y")&gt;0,"Y","N")</f>
        <v>N</v>
      </c>
      <c r="EA26" s="0" t="str">
        <f aca="false">IF(AND(U26="new",T26="N",AR26="Y",AQ26="",DZ26="N"),"Y","N")</f>
        <v>Y</v>
      </c>
      <c r="EB26" s="0" t="str">
        <f aca="false">IF(EA26&lt;&gt;"Y","N",IF(COUNTIFS($AN$2:$AN$1000,AN26,$EA$2:$EA$1000,"Y",$J$2:$J$1000,"&gt;"&amp;J26)+COUNTIFS($AN$2:$AN$1000,AN26,$EA$2:$EA$1000,"Y",$J$2:$J$1000,J26,$ED$2:$ED$1000,"&lt;"&amp;ED26)=0,"Y","N"))</f>
        <v>Y</v>
      </c>
      <c r="EC26" s="0" t="str">
        <f aca="false">IF(Y26="","N",IF(Y26&lt;=10,"Y","N"))</f>
        <v>N</v>
      </c>
      <c r="ED26" s="0" t="n">
        <f aca="false">ROW()-1</f>
        <v>25</v>
      </c>
    </row>
    <row r="27" customFormat="false" ht="15" hidden="false" customHeight="false" outlineLevel="0" collapsed="false">
      <c r="A27" s="0" t="s">
        <v>5286</v>
      </c>
      <c r="B27" s="0" t="s">
        <v>5287</v>
      </c>
      <c r="C27" s="0" t="s">
        <v>1333</v>
      </c>
      <c r="D27" s="0" t="s">
        <v>5288</v>
      </c>
      <c r="E27" s="0" t="s">
        <v>4625</v>
      </c>
      <c r="F27" s="0" t="s">
        <v>5289</v>
      </c>
      <c r="H27" s="5" t="s">
        <v>158</v>
      </c>
      <c r="I27" s="5" t="s">
        <v>159</v>
      </c>
      <c r="J27" s="0" t="n">
        <f aca="false">IF(AU27="pass",CM27+CN27+CO27+CP27+CQ27+CR27+CS27+CT27,0)</f>
        <v>62</v>
      </c>
      <c r="K27" s="0" t="s">
        <v>5290</v>
      </c>
      <c r="M27" s="0" t="s">
        <v>5291</v>
      </c>
      <c r="N27" s="0" t="s">
        <v>598</v>
      </c>
      <c r="O27" s="0" t="s">
        <v>5292</v>
      </c>
      <c r="P27" s="0" t="s">
        <v>5293</v>
      </c>
      <c r="Q27" s="0" t="s">
        <v>1775</v>
      </c>
      <c r="R27" s="5" t="s">
        <v>162</v>
      </c>
      <c r="S27" s="0" t="s">
        <v>168</v>
      </c>
      <c r="T27" s="5" t="s">
        <v>162</v>
      </c>
      <c r="U27" s="5" t="s">
        <v>561</v>
      </c>
      <c r="V27" s="0" t="s">
        <v>5294</v>
      </c>
      <c r="W27" s="0" t="s">
        <v>174</v>
      </c>
      <c r="X27" s="0" t="s">
        <v>4585</v>
      </c>
      <c r="Y27" s="0" t="n">
        <f aca="false">IF(EB27&lt;&gt;"Y","",COUNTIFS($EB$2:$EB$1000,"Y",$J$2:$J$1000,"&gt;"&amp;J27)+COUNTIFS($EB$2:$EB$1000,"Y",$J$2:$J$1000,J27,$ED$2:$ED$1000,"&lt;"&amp;ED27)+1)</f>
        <v>25</v>
      </c>
      <c r="Z27" s="0" t="n">
        <v>26</v>
      </c>
      <c r="AA27" s="0" t="s">
        <v>168</v>
      </c>
      <c r="AC27" s="0" t="s">
        <v>4587</v>
      </c>
      <c r="AD27" s="0" t="s">
        <v>171</v>
      </c>
      <c r="AE27" s="0" t="s">
        <v>1189</v>
      </c>
      <c r="AF27" s="0" t="s">
        <v>5295</v>
      </c>
      <c r="AG27" s="0" t="s">
        <v>174</v>
      </c>
      <c r="AH27" s="0" t="s">
        <v>5296</v>
      </c>
      <c r="AI27" s="0" t="s">
        <v>4664</v>
      </c>
      <c r="AJ27" s="0" t="s">
        <v>5297</v>
      </c>
      <c r="AK27" s="0" t="s">
        <v>5298</v>
      </c>
      <c r="AL27" s="0" t="s">
        <v>162</v>
      </c>
      <c r="AN27" s="0" t="s">
        <v>5286</v>
      </c>
      <c r="AO27" s="5" t="s">
        <v>162</v>
      </c>
      <c r="AR27" s="0" t="str">
        <f aca="false">IF(AND(AU27="pass",AO27&lt;&gt;"Y",C27&lt;&gt;""),"Y","N")</f>
        <v>Y</v>
      </c>
      <c r="AS27" s="0" t="str">
        <f aca="false">_xlfn.TEXTJOIN("; ",TRUE(),IF(AU27&lt;&gt;"pass","gated out",""),IF(AO27="Y","on hold: "&amp;AP27,""),IF(C27="","no contact named on an opened page",""))</f>
        <v/>
      </c>
      <c r="AU27" s="0" t="s">
        <v>181</v>
      </c>
      <c r="AW27" s="0" t="s">
        <v>182</v>
      </c>
      <c r="AY27" s="0" t="s">
        <v>5298</v>
      </c>
      <c r="AZ27" s="0" t="s">
        <v>4595</v>
      </c>
      <c r="BA27" s="0" t="s">
        <v>4596</v>
      </c>
      <c r="BB27" s="0" t="s">
        <v>163</v>
      </c>
      <c r="BD27" s="0" t="s">
        <v>168</v>
      </c>
      <c r="BE27" s="0" t="s">
        <v>5299</v>
      </c>
      <c r="BF27" s="0" t="s">
        <v>168</v>
      </c>
      <c r="BG27" s="0" t="s">
        <v>168</v>
      </c>
      <c r="BH27" s="0" t="s">
        <v>163</v>
      </c>
      <c r="BJ27" s="0" t="s">
        <v>5143</v>
      </c>
      <c r="BK27" s="0" t="s">
        <v>162</v>
      </c>
      <c r="BL27" s="0" t="s">
        <v>162</v>
      </c>
      <c r="BO27" s="0" t="s">
        <v>162</v>
      </c>
      <c r="BP27" s="0" t="n">
        <v>0</v>
      </c>
      <c r="BR27" s="0" t="s">
        <v>5300</v>
      </c>
      <c r="BS27" s="0" t="s">
        <v>5301</v>
      </c>
      <c r="BT27" s="0" t="s">
        <v>5302</v>
      </c>
      <c r="BU27" s="0" t="s">
        <v>4604</v>
      </c>
      <c r="BV27" s="0" t="n">
        <v>144</v>
      </c>
      <c r="BW27" s="0" t="s">
        <v>5134</v>
      </c>
      <c r="BX27" s="0" t="s">
        <v>5303</v>
      </c>
      <c r="BY27" s="0" t="s">
        <v>5304</v>
      </c>
      <c r="BZ27" s="0" t="s">
        <v>4607</v>
      </c>
      <c r="CA27" s="0" t="s">
        <v>5305</v>
      </c>
      <c r="CB27" s="0" t="s">
        <v>5306</v>
      </c>
      <c r="CC27" s="0" t="s">
        <v>5307</v>
      </c>
      <c r="CD27" s="0" t="s">
        <v>4625</v>
      </c>
      <c r="CE27" s="0" t="s">
        <v>4808</v>
      </c>
      <c r="CF27" s="0" t="s">
        <v>171</v>
      </c>
      <c r="CG27" s="0" t="s">
        <v>5308</v>
      </c>
      <c r="CH27" s="0" t="s">
        <v>5309</v>
      </c>
      <c r="CK27" s="0" t="s">
        <v>158</v>
      </c>
      <c r="CL27" s="0" t="n">
        <v>62</v>
      </c>
      <c r="CM27" s="0" t="n">
        <v>6</v>
      </c>
      <c r="CN27" s="0" t="n">
        <v>20</v>
      </c>
      <c r="CO27" s="0" t="n">
        <v>15</v>
      </c>
      <c r="CP27" s="0" t="n">
        <v>5</v>
      </c>
      <c r="CQ27" s="0" t="n">
        <v>10</v>
      </c>
      <c r="CR27" s="0" t="n">
        <v>6</v>
      </c>
      <c r="CS27" s="0" t="n">
        <f aca="false">IF(R27="Y",10,0)</f>
        <v>0</v>
      </c>
      <c r="CT27" s="0" t="n">
        <v>0</v>
      </c>
      <c r="CU27" s="0" t="s">
        <v>5310</v>
      </c>
      <c r="CV27" s="0" t="s">
        <v>5150</v>
      </c>
      <c r="CW27" s="0" t="s">
        <v>5311</v>
      </c>
      <c r="CX27" s="0" t="s">
        <v>5312</v>
      </c>
      <c r="CZ27" s="0" t="s">
        <v>5295</v>
      </c>
      <c r="DA27" s="0" t="s">
        <v>4620</v>
      </c>
      <c r="DC27" s="0" t="s">
        <v>1189</v>
      </c>
      <c r="DY27" s="0" t="str">
        <f aca="false">IF(ISNUMBER(MATCH(U27,{"queued","contacted","replied","call_booked","call_done","yes_in_principle","materials_sent"},0)),"Y","N")</f>
        <v>N</v>
      </c>
      <c r="DZ27" s="0" t="str">
        <f aca="false">IF(COUNTIFS($AN$2:$AN$1000,AN27,$DY$2:$DY$1000,"Y")+COUNTIFS($AN$2:$AN$1000,AN27,$T$2:$T$1000,"Y")&gt;0,"Y","N")</f>
        <v>N</v>
      </c>
      <c r="EA27" s="0" t="str">
        <f aca="false">IF(AND(U27="new",T27="N",AR27="Y",AQ27="",DZ27="N"),"Y","N")</f>
        <v>Y</v>
      </c>
      <c r="EB27" s="0" t="str">
        <f aca="false">IF(EA27&lt;&gt;"Y","N",IF(COUNTIFS($AN$2:$AN$1000,AN27,$EA$2:$EA$1000,"Y",$J$2:$J$1000,"&gt;"&amp;J27)+COUNTIFS($AN$2:$AN$1000,AN27,$EA$2:$EA$1000,"Y",$J$2:$J$1000,J27,$ED$2:$ED$1000,"&lt;"&amp;ED27)=0,"Y","N"))</f>
        <v>Y</v>
      </c>
      <c r="EC27" s="0" t="str">
        <f aca="false">IF(Y27="","N",IF(Y27&lt;=10,"Y","N"))</f>
        <v>N</v>
      </c>
      <c r="ED27" s="0" t="n">
        <f aca="false">ROW()-1</f>
        <v>26</v>
      </c>
    </row>
    <row r="28" customFormat="false" ht="15" hidden="false" customHeight="false" outlineLevel="0" collapsed="false">
      <c r="A28" s="0" t="s">
        <v>5313</v>
      </c>
      <c r="B28" s="0" t="s">
        <v>5314</v>
      </c>
      <c r="C28" s="0" t="s">
        <v>486</v>
      </c>
      <c r="D28" s="0" t="s">
        <v>5315</v>
      </c>
      <c r="E28" s="0" t="s">
        <v>5316</v>
      </c>
      <c r="H28" s="5" t="s">
        <v>158</v>
      </c>
      <c r="I28" s="5" t="s">
        <v>159</v>
      </c>
      <c r="J28" s="0" t="n">
        <f aca="false">IF(AU28="pass",CM28+CN28+CO28+CP28+CQ28+CR28+CS28+CT28,0)</f>
        <v>61</v>
      </c>
      <c r="K28" s="0" t="s">
        <v>5317</v>
      </c>
      <c r="M28" s="0" t="s">
        <v>4580</v>
      </c>
      <c r="N28" s="0" t="s">
        <v>4581</v>
      </c>
      <c r="O28" s="0" t="s">
        <v>5318</v>
      </c>
      <c r="P28" s="0" t="s">
        <v>5319</v>
      </c>
      <c r="Q28" s="0" t="s">
        <v>5320</v>
      </c>
      <c r="R28" s="5" t="s">
        <v>162</v>
      </c>
      <c r="S28" s="0" t="s">
        <v>163</v>
      </c>
      <c r="T28" s="5" t="s">
        <v>162</v>
      </c>
      <c r="U28" s="5" t="s">
        <v>561</v>
      </c>
      <c r="V28" s="0" t="s">
        <v>5321</v>
      </c>
      <c r="W28" s="0" t="s">
        <v>166</v>
      </c>
      <c r="X28" s="0" t="s">
        <v>4585</v>
      </c>
      <c r="Y28" s="0" t="n">
        <f aca="false">IF(EB28&lt;&gt;"Y","",COUNTIFS($EB$2:$EB$1000,"Y",$J$2:$J$1000,"&gt;"&amp;J28)+COUNTIFS($EB$2:$EB$1000,"Y",$J$2:$J$1000,J28,$ED$2:$ED$1000,"&lt;"&amp;ED28)+1)</f>
        <v>26</v>
      </c>
      <c r="Z28" s="0" t="n">
        <v>27</v>
      </c>
      <c r="AA28" s="0" t="s">
        <v>168</v>
      </c>
      <c r="AB28" s="0" t="s">
        <v>5322</v>
      </c>
      <c r="AC28" s="0" t="s">
        <v>5323</v>
      </c>
      <c r="AD28" s="0" t="s">
        <v>171</v>
      </c>
      <c r="AE28" s="0" t="s">
        <v>1189</v>
      </c>
      <c r="AF28" s="0" t="s">
        <v>5319</v>
      </c>
      <c r="AG28" s="0" t="s">
        <v>174</v>
      </c>
      <c r="AH28" s="0" t="s">
        <v>5324</v>
      </c>
      <c r="AI28" s="0" t="s">
        <v>4633</v>
      </c>
      <c r="AJ28" s="0" t="s">
        <v>5325</v>
      </c>
      <c r="AL28" s="0" t="s">
        <v>168</v>
      </c>
      <c r="AM28" s="0" t="s">
        <v>5326</v>
      </c>
      <c r="AN28" s="0" t="s">
        <v>5313</v>
      </c>
      <c r="AO28" s="5" t="s">
        <v>162</v>
      </c>
      <c r="AR28" s="0" t="str">
        <f aca="false">IF(AND(AU28="pass",AO28&lt;&gt;"Y",C28&lt;&gt;""),"Y","N")</f>
        <v>Y</v>
      </c>
      <c r="AS28" s="0" t="str">
        <f aca="false">_xlfn.TEXTJOIN("; ",TRUE(),IF(AU28&lt;&gt;"pass","gated out",""),IF(AO28="Y","on hold: "&amp;AP28,""),IF(C28="","no contact named on an opened page",""))</f>
        <v/>
      </c>
      <c r="AU28" s="0" t="s">
        <v>181</v>
      </c>
      <c r="AW28" s="0" t="s">
        <v>182</v>
      </c>
      <c r="AX28" s="0" t="s">
        <v>282</v>
      </c>
      <c r="AY28" s="0" t="s">
        <v>5327</v>
      </c>
      <c r="AZ28" s="0" t="s">
        <v>5328</v>
      </c>
      <c r="BA28" s="0" t="s">
        <v>5329</v>
      </c>
      <c r="BB28" s="0" t="s">
        <v>163</v>
      </c>
      <c r="BD28" s="0" t="s">
        <v>168</v>
      </c>
      <c r="BE28" s="0" t="s">
        <v>5330</v>
      </c>
      <c r="BF28" s="0" t="s">
        <v>162</v>
      </c>
      <c r="BG28" s="0" t="s">
        <v>163</v>
      </c>
      <c r="BH28" s="0" t="s">
        <v>163</v>
      </c>
      <c r="BJ28" s="0" t="s">
        <v>163</v>
      </c>
      <c r="BK28" s="0" t="s">
        <v>162</v>
      </c>
      <c r="BL28" s="0" t="s">
        <v>162</v>
      </c>
      <c r="BN28" s="0" t="n">
        <v>0</v>
      </c>
      <c r="BO28" s="0" t="s">
        <v>168</v>
      </c>
      <c r="BP28" s="0" t="n">
        <v>3</v>
      </c>
      <c r="BQ28" s="0" t="s">
        <v>4669</v>
      </c>
      <c r="BS28" s="0" t="s">
        <v>4981</v>
      </c>
      <c r="BT28" s="0" t="s">
        <v>5331</v>
      </c>
      <c r="BU28" s="0" t="s">
        <v>4604</v>
      </c>
      <c r="BV28" s="0" t="n">
        <v>106</v>
      </c>
      <c r="BX28" s="0" t="s">
        <v>5332</v>
      </c>
      <c r="BY28" s="0" t="s">
        <v>5333</v>
      </c>
      <c r="CA28" s="0" t="s">
        <v>5334</v>
      </c>
      <c r="CB28" s="0" t="s">
        <v>5046</v>
      </c>
      <c r="CC28" s="0" t="s">
        <v>5335</v>
      </c>
      <c r="CD28" s="0" t="s">
        <v>5336</v>
      </c>
      <c r="CE28" s="0" t="s">
        <v>4612</v>
      </c>
      <c r="CF28" s="0" t="s">
        <v>171</v>
      </c>
      <c r="CG28" s="0" t="s">
        <v>5337</v>
      </c>
      <c r="CK28" s="0" t="s">
        <v>158</v>
      </c>
      <c r="CL28" s="0" t="n">
        <v>61</v>
      </c>
      <c r="CM28" s="0" t="n">
        <v>25</v>
      </c>
      <c r="CN28" s="0" t="n">
        <v>3</v>
      </c>
      <c r="CO28" s="0" t="n">
        <v>15</v>
      </c>
      <c r="CP28" s="0" t="n">
        <v>5</v>
      </c>
      <c r="CQ28" s="0" t="n">
        <v>5</v>
      </c>
      <c r="CR28" s="0" t="n">
        <v>10</v>
      </c>
      <c r="CS28" s="0" t="n">
        <f aca="false">IF(R28="Y",10,0)</f>
        <v>0</v>
      </c>
      <c r="CT28" s="0" t="n">
        <v>-2</v>
      </c>
      <c r="CU28" s="0" t="s">
        <v>163</v>
      </c>
      <c r="CV28" s="0" t="s">
        <v>4841</v>
      </c>
      <c r="CW28" s="0" t="s">
        <v>5338</v>
      </c>
      <c r="CX28" s="0" t="s">
        <v>5339</v>
      </c>
      <c r="CY28" s="0" t="s">
        <v>5340</v>
      </c>
      <c r="CZ28" s="0" t="s">
        <v>5341</v>
      </c>
      <c r="DA28" s="0" t="s">
        <v>4620</v>
      </c>
      <c r="DB28" s="0" t="s">
        <v>5342</v>
      </c>
      <c r="DC28" s="0" t="s">
        <v>1189</v>
      </c>
      <c r="DD28" s="0" t="s">
        <v>4766</v>
      </c>
      <c r="DY28" s="0" t="str">
        <f aca="false">IF(ISNUMBER(MATCH(U28,{"queued","contacted","replied","call_booked","call_done","yes_in_principle","materials_sent"},0)),"Y","N")</f>
        <v>N</v>
      </c>
      <c r="DZ28" s="0" t="str">
        <f aca="false">IF(COUNTIFS($AN$2:$AN$1000,AN28,$DY$2:$DY$1000,"Y")+COUNTIFS($AN$2:$AN$1000,AN28,$T$2:$T$1000,"Y")&gt;0,"Y","N")</f>
        <v>N</v>
      </c>
      <c r="EA28" s="0" t="str">
        <f aca="false">IF(AND(U28="new",T28="N",AR28="Y",AQ28="",DZ28="N"),"Y","N")</f>
        <v>Y</v>
      </c>
      <c r="EB28" s="0" t="str">
        <f aca="false">IF(EA28&lt;&gt;"Y","N",IF(COUNTIFS($AN$2:$AN$1000,AN28,$EA$2:$EA$1000,"Y",$J$2:$J$1000,"&gt;"&amp;J28)+COUNTIFS($AN$2:$AN$1000,AN28,$EA$2:$EA$1000,"Y",$J$2:$J$1000,J28,$ED$2:$ED$1000,"&lt;"&amp;ED28)=0,"Y","N"))</f>
        <v>Y</v>
      </c>
      <c r="EC28" s="0" t="str">
        <f aca="false">IF(Y28="","N",IF(Y28&lt;=10,"Y","N"))</f>
        <v>N</v>
      </c>
      <c r="ED28" s="0" t="n">
        <f aca="false">ROW()-1</f>
        <v>27</v>
      </c>
    </row>
    <row r="29" customFormat="false" ht="15" hidden="false" customHeight="false" outlineLevel="0" collapsed="false">
      <c r="A29" s="0" t="s">
        <v>5343</v>
      </c>
      <c r="B29" s="0" t="s">
        <v>5344</v>
      </c>
      <c r="C29" s="0" t="s">
        <v>5345</v>
      </c>
      <c r="D29" s="0" t="s">
        <v>5346</v>
      </c>
      <c r="E29" s="0" t="s">
        <v>5347</v>
      </c>
      <c r="H29" s="5" t="s">
        <v>158</v>
      </c>
      <c r="I29" s="5" t="s">
        <v>159</v>
      </c>
      <c r="J29" s="0" t="n">
        <f aca="false">IF(AU29="pass",CM29+CN29+CO29+CP29+CQ29+CR29+CS29+CT29,0)</f>
        <v>61</v>
      </c>
      <c r="K29" s="0" t="s">
        <v>5348</v>
      </c>
      <c r="M29" s="0" t="s">
        <v>4627</v>
      </c>
      <c r="N29" s="0" t="s">
        <v>4581</v>
      </c>
      <c r="O29" s="0" t="s">
        <v>5349</v>
      </c>
      <c r="P29" s="0" t="s">
        <v>5350</v>
      </c>
      <c r="Q29" s="0" t="s">
        <v>2158</v>
      </c>
      <c r="R29" s="5" t="s">
        <v>162</v>
      </c>
      <c r="S29" s="0" t="s">
        <v>163</v>
      </c>
      <c r="T29" s="5" t="s">
        <v>162</v>
      </c>
      <c r="U29" s="5" t="s">
        <v>561</v>
      </c>
      <c r="V29" s="0" t="s">
        <v>5351</v>
      </c>
      <c r="W29" s="0" t="s">
        <v>166</v>
      </c>
      <c r="X29" s="0" t="s">
        <v>4585</v>
      </c>
      <c r="Y29" s="0" t="n">
        <f aca="false">IF(EB29&lt;&gt;"Y","",COUNTIFS($EB$2:$EB$1000,"Y",$J$2:$J$1000,"&gt;"&amp;J29)+COUNTIFS($EB$2:$EB$1000,"Y",$J$2:$J$1000,J29,$ED$2:$ED$1000,"&lt;"&amp;ED29)+1)</f>
        <v>27</v>
      </c>
      <c r="Z29" s="0" t="n">
        <v>28</v>
      </c>
      <c r="AA29" s="0" t="s">
        <v>168</v>
      </c>
      <c r="AB29" s="0" t="s">
        <v>5352</v>
      </c>
      <c r="AC29" s="0" t="s">
        <v>4587</v>
      </c>
      <c r="AD29" s="0" t="s">
        <v>171</v>
      </c>
      <c r="AE29" s="0" t="s">
        <v>172</v>
      </c>
      <c r="AF29" s="0" t="s">
        <v>5351</v>
      </c>
      <c r="AG29" s="0" t="s">
        <v>174</v>
      </c>
      <c r="AH29" s="0" t="s">
        <v>5353</v>
      </c>
      <c r="AI29" s="0" t="s">
        <v>4633</v>
      </c>
      <c r="AJ29" s="0" t="s">
        <v>5354</v>
      </c>
      <c r="AK29" s="0" t="s">
        <v>5355</v>
      </c>
      <c r="AL29" s="0" t="s">
        <v>162</v>
      </c>
      <c r="AN29" s="0" t="s">
        <v>5343</v>
      </c>
      <c r="AO29" s="5" t="s">
        <v>162</v>
      </c>
      <c r="AR29" s="0" t="str">
        <f aca="false">IF(AND(AU29="pass",AO29&lt;&gt;"Y",C29&lt;&gt;""),"Y","N")</f>
        <v>Y</v>
      </c>
      <c r="AS29" s="0" t="str">
        <f aca="false">_xlfn.TEXTJOIN("; ",TRUE(),IF(AU29&lt;&gt;"pass","gated out",""),IF(AO29="Y","on hold: "&amp;AP29,""),IF(C29="","no contact named on an opened page",""))</f>
        <v/>
      </c>
      <c r="AU29" s="0" t="s">
        <v>181</v>
      </c>
      <c r="AW29" s="0" t="s">
        <v>182</v>
      </c>
      <c r="AY29" s="0" t="s">
        <v>5355</v>
      </c>
      <c r="AZ29" s="0" t="s">
        <v>5356</v>
      </c>
      <c r="BA29" s="0" t="s">
        <v>5329</v>
      </c>
      <c r="BB29" s="0" t="s">
        <v>163</v>
      </c>
      <c r="BD29" s="0" t="s">
        <v>168</v>
      </c>
      <c r="BE29" s="0" t="s">
        <v>5357</v>
      </c>
      <c r="BF29" s="0" t="s">
        <v>168</v>
      </c>
      <c r="BG29" s="0" t="s">
        <v>168</v>
      </c>
      <c r="BH29" s="0" t="s">
        <v>163</v>
      </c>
      <c r="BJ29" s="0" t="s">
        <v>163</v>
      </c>
      <c r="BK29" s="0" t="s">
        <v>162</v>
      </c>
      <c r="BL29" s="0" t="s">
        <v>162</v>
      </c>
      <c r="BN29" s="0" t="n">
        <v>0</v>
      </c>
      <c r="BO29" s="0" t="s">
        <v>168</v>
      </c>
      <c r="BP29" s="0" t="n">
        <v>1</v>
      </c>
      <c r="BQ29" s="0" t="s">
        <v>4637</v>
      </c>
      <c r="BS29" s="0" t="s">
        <v>5358</v>
      </c>
      <c r="BT29" s="0" t="s">
        <v>5359</v>
      </c>
      <c r="BU29" s="0" t="s">
        <v>4694</v>
      </c>
      <c r="BV29" s="0" t="n">
        <v>176</v>
      </c>
      <c r="BX29" s="0" t="s">
        <v>5360</v>
      </c>
      <c r="BY29" s="0" t="s">
        <v>5361</v>
      </c>
      <c r="CA29" s="0" t="s">
        <v>5362</v>
      </c>
      <c r="CB29" s="0" t="s">
        <v>5363</v>
      </c>
      <c r="CC29" s="0" t="s">
        <v>5364</v>
      </c>
      <c r="CD29" s="0" t="s">
        <v>5365</v>
      </c>
      <c r="CE29" s="0" t="s">
        <v>4612</v>
      </c>
      <c r="CF29" s="0" t="s">
        <v>171</v>
      </c>
      <c r="CG29" s="0" t="s">
        <v>5366</v>
      </c>
      <c r="CK29" s="0" t="s">
        <v>158</v>
      </c>
      <c r="CL29" s="0" t="n">
        <v>61</v>
      </c>
      <c r="CM29" s="0" t="n">
        <v>25</v>
      </c>
      <c r="CN29" s="0" t="n">
        <v>3</v>
      </c>
      <c r="CO29" s="0" t="n">
        <v>8</v>
      </c>
      <c r="CP29" s="0" t="n">
        <v>5</v>
      </c>
      <c r="CQ29" s="0" t="n">
        <v>10</v>
      </c>
      <c r="CR29" s="0" t="n">
        <v>10</v>
      </c>
      <c r="CS29" s="0" t="n">
        <f aca="false">IF(R29="Y",10,0)</f>
        <v>0</v>
      </c>
      <c r="CT29" s="0" t="n">
        <v>0</v>
      </c>
      <c r="CU29" s="0" t="s">
        <v>163</v>
      </c>
      <c r="CV29" s="0" t="s">
        <v>4841</v>
      </c>
      <c r="CW29" s="0" t="s">
        <v>5367</v>
      </c>
      <c r="CX29" s="0" t="s">
        <v>5368</v>
      </c>
      <c r="CY29" s="0" t="s">
        <v>5369</v>
      </c>
      <c r="CZ29" s="0" t="s">
        <v>5351</v>
      </c>
      <c r="DA29" s="0" t="s">
        <v>4620</v>
      </c>
      <c r="DC29" s="0" t="s">
        <v>172</v>
      </c>
      <c r="DD29" s="0" t="s">
        <v>5370</v>
      </c>
      <c r="DY29" s="0" t="str">
        <f aca="false">IF(ISNUMBER(MATCH(U29,{"queued","contacted","replied","call_booked","call_done","yes_in_principle","materials_sent"},0)),"Y","N")</f>
        <v>N</v>
      </c>
      <c r="DZ29" s="0" t="str">
        <f aca="false">IF(COUNTIFS($AN$2:$AN$1000,AN29,$DY$2:$DY$1000,"Y")+COUNTIFS($AN$2:$AN$1000,AN29,$T$2:$T$1000,"Y")&gt;0,"Y","N")</f>
        <v>N</v>
      </c>
      <c r="EA29" s="0" t="str">
        <f aca="false">IF(AND(U29="new",T29="N",AR29="Y",AQ29="",DZ29="N"),"Y","N")</f>
        <v>Y</v>
      </c>
      <c r="EB29" s="0" t="str">
        <f aca="false">IF(EA29&lt;&gt;"Y","N",IF(COUNTIFS($AN$2:$AN$1000,AN29,$EA$2:$EA$1000,"Y",$J$2:$J$1000,"&gt;"&amp;J29)+COUNTIFS($AN$2:$AN$1000,AN29,$EA$2:$EA$1000,"Y",$J$2:$J$1000,J29,$ED$2:$ED$1000,"&lt;"&amp;ED29)=0,"Y","N"))</f>
        <v>Y</v>
      </c>
      <c r="EC29" s="0" t="str">
        <f aca="false">IF(Y29="","N",IF(Y29&lt;=10,"Y","N"))</f>
        <v>N</v>
      </c>
      <c r="ED29" s="0" t="n">
        <f aca="false">ROW()-1</f>
        <v>28</v>
      </c>
    </row>
    <row r="30" customFormat="false" ht="15" hidden="false" customHeight="false" outlineLevel="0" collapsed="false">
      <c r="A30" s="0" t="s">
        <v>5371</v>
      </c>
      <c r="B30" s="0" t="s">
        <v>5372</v>
      </c>
      <c r="C30" s="0" t="s">
        <v>5373</v>
      </c>
      <c r="D30" s="0" t="s">
        <v>5374</v>
      </c>
      <c r="E30" s="0" t="s">
        <v>4910</v>
      </c>
      <c r="F30" s="0" t="s">
        <v>5375</v>
      </c>
      <c r="H30" s="5" t="s">
        <v>158</v>
      </c>
      <c r="I30" s="5" t="s">
        <v>159</v>
      </c>
      <c r="J30" s="0" t="n">
        <f aca="false">IF(AU30="pass",CM30+CN30+CO30+CP30+CQ30+CR30+CS30+CT30,0)</f>
        <v>60</v>
      </c>
      <c r="K30" s="0" t="s">
        <v>5376</v>
      </c>
      <c r="M30" s="0" t="s">
        <v>4580</v>
      </c>
      <c r="N30" s="0" t="s">
        <v>4581</v>
      </c>
      <c r="O30" s="0" t="s">
        <v>5377</v>
      </c>
      <c r="P30" s="0" t="s">
        <v>5378</v>
      </c>
      <c r="Q30" s="0" t="s">
        <v>2613</v>
      </c>
      <c r="R30" s="5" t="s">
        <v>162</v>
      </c>
      <c r="S30" s="0" t="s">
        <v>168</v>
      </c>
      <c r="T30" s="5" t="s">
        <v>162</v>
      </c>
      <c r="U30" s="5" t="s">
        <v>561</v>
      </c>
      <c r="V30" s="0" t="s">
        <v>5379</v>
      </c>
      <c r="W30" s="0" t="s">
        <v>166</v>
      </c>
      <c r="X30" s="0" t="s">
        <v>4585</v>
      </c>
      <c r="Y30" s="0" t="n">
        <f aca="false">IF(EB30&lt;&gt;"Y","",COUNTIFS($EB$2:$EB$1000,"Y",$J$2:$J$1000,"&gt;"&amp;J30)+COUNTIFS($EB$2:$EB$1000,"Y",$J$2:$J$1000,J30,$ED$2:$ED$1000,"&lt;"&amp;ED30)+1)</f>
        <v>28</v>
      </c>
      <c r="Z30" s="0" t="n">
        <v>29</v>
      </c>
      <c r="AA30" s="0" t="s">
        <v>168</v>
      </c>
      <c r="AB30" s="0" t="s">
        <v>5380</v>
      </c>
      <c r="AC30" s="0" t="s">
        <v>4587</v>
      </c>
      <c r="AD30" s="0" t="s">
        <v>171</v>
      </c>
      <c r="AE30" s="0" t="s">
        <v>230</v>
      </c>
      <c r="AF30" s="0" t="s">
        <v>5381</v>
      </c>
      <c r="AG30" s="0" t="s">
        <v>174</v>
      </c>
      <c r="AH30" s="0" t="s">
        <v>5382</v>
      </c>
      <c r="AI30" s="0" t="s">
        <v>5383</v>
      </c>
      <c r="AJ30" s="0" t="s">
        <v>5384</v>
      </c>
      <c r="AK30" s="0" t="s">
        <v>5379</v>
      </c>
      <c r="AL30" s="0" t="s">
        <v>168</v>
      </c>
      <c r="AM30" s="0" t="s">
        <v>5385</v>
      </c>
      <c r="AN30" s="0" t="s">
        <v>5371</v>
      </c>
      <c r="AO30" s="5" t="s">
        <v>162</v>
      </c>
      <c r="AR30" s="0" t="str">
        <f aca="false">IF(AND(AU30="pass",AO30&lt;&gt;"Y",C30&lt;&gt;""),"Y","N")</f>
        <v>Y</v>
      </c>
      <c r="AS30" s="0" t="str">
        <f aca="false">_xlfn.TEXTJOIN("; ",TRUE(),IF(AU30&lt;&gt;"pass","gated out",""),IF(AO30="Y","on hold: "&amp;AP30,""),IF(C30="","no contact named on an opened page",""))</f>
        <v/>
      </c>
      <c r="AU30" s="0" t="s">
        <v>181</v>
      </c>
      <c r="AW30" s="0" t="s">
        <v>182</v>
      </c>
      <c r="AX30" s="0" t="s">
        <v>4594</v>
      </c>
      <c r="AY30" s="0" t="s">
        <v>5379</v>
      </c>
      <c r="AZ30" s="0" t="s">
        <v>5386</v>
      </c>
      <c r="BA30" s="0" t="s">
        <v>5329</v>
      </c>
      <c r="BB30" s="0" t="s">
        <v>163</v>
      </c>
      <c r="BD30" s="0" t="s">
        <v>168</v>
      </c>
      <c r="BE30" s="0" t="s">
        <v>5387</v>
      </c>
      <c r="BF30" s="0" t="s">
        <v>168</v>
      </c>
      <c r="BG30" s="0" t="s">
        <v>168</v>
      </c>
      <c r="BH30" s="0" t="s">
        <v>163</v>
      </c>
      <c r="BJ30" s="0" t="s">
        <v>163</v>
      </c>
      <c r="BK30" s="0" t="s">
        <v>162</v>
      </c>
      <c r="BL30" s="0" t="s">
        <v>162</v>
      </c>
      <c r="BN30" s="0" t="n">
        <v>0</v>
      </c>
      <c r="BO30" s="0" t="s">
        <v>168</v>
      </c>
      <c r="BP30" s="0" t="n">
        <v>2</v>
      </c>
      <c r="BQ30" s="0" t="s">
        <v>4781</v>
      </c>
      <c r="BS30" s="0" t="s">
        <v>4981</v>
      </c>
      <c r="BT30" s="0" t="s">
        <v>5388</v>
      </c>
      <c r="BU30" s="0" t="s">
        <v>4604</v>
      </c>
      <c r="BV30" s="0" t="n">
        <v>5</v>
      </c>
      <c r="BW30" s="0" t="s">
        <v>5389</v>
      </c>
      <c r="BX30" s="0" t="s">
        <v>5390</v>
      </c>
      <c r="BY30" s="0" t="s">
        <v>5391</v>
      </c>
      <c r="BZ30" s="0" t="s">
        <v>4607</v>
      </c>
      <c r="CA30" s="0" t="s">
        <v>5392</v>
      </c>
      <c r="CB30" s="0" t="s">
        <v>5392</v>
      </c>
      <c r="CC30" s="0" t="s">
        <v>163</v>
      </c>
      <c r="CD30" s="0" t="s">
        <v>4625</v>
      </c>
      <c r="CE30" s="0" t="s">
        <v>4808</v>
      </c>
      <c r="CF30" s="0" t="s">
        <v>5008</v>
      </c>
      <c r="CG30" s="0" t="s">
        <v>5393</v>
      </c>
      <c r="CK30" s="0" t="s">
        <v>158</v>
      </c>
      <c r="CL30" s="0" t="n">
        <v>60</v>
      </c>
      <c r="CM30" s="0" t="n">
        <v>25</v>
      </c>
      <c r="CN30" s="0" t="n">
        <v>3</v>
      </c>
      <c r="CO30" s="0" t="n">
        <v>15</v>
      </c>
      <c r="CP30" s="0" t="n">
        <v>5</v>
      </c>
      <c r="CQ30" s="0" t="n">
        <v>10</v>
      </c>
      <c r="CR30" s="0" t="n">
        <v>6</v>
      </c>
      <c r="CS30" s="0" t="n">
        <f aca="false">IF(R30="Y",10,0)</f>
        <v>0</v>
      </c>
      <c r="CT30" s="0" t="n">
        <v>-4</v>
      </c>
      <c r="CU30" s="0" t="s">
        <v>163</v>
      </c>
      <c r="CV30" s="0" t="s">
        <v>4841</v>
      </c>
      <c r="CW30" s="0" t="s">
        <v>5394</v>
      </c>
      <c r="CX30" s="0" t="s">
        <v>5395</v>
      </c>
      <c r="CY30" s="0" t="s">
        <v>5396</v>
      </c>
      <c r="CZ30" s="0" t="s">
        <v>5397</v>
      </c>
      <c r="DA30" s="0" t="s">
        <v>4620</v>
      </c>
      <c r="DB30" s="0" t="s">
        <v>5398</v>
      </c>
      <c r="DC30" s="0" t="s">
        <v>172</v>
      </c>
      <c r="DY30" s="0" t="str">
        <f aca="false">IF(ISNUMBER(MATCH(U30,{"queued","contacted","replied","call_booked","call_done","yes_in_principle","materials_sent"},0)),"Y","N")</f>
        <v>N</v>
      </c>
      <c r="DZ30" s="0" t="str">
        <f aca="false">IF(COUNTIFS($AN$2:$AN$1000,AN30,$DY$2:$DY$1000,"Y")+COUNTIFS($AN$2:$AN$1000,AN30,$T$2:$T$1000,"Y")&gt;0,"Y","N")</f>
        <v>N</v>
      </c>
      <c r="EA30" s="0" t="str">
        <f aca="false">IF(AND(U30="new",T30="N",AR30="Y",AQ30="",DZ30="N"),"Y","N")</f>
        <v>Y</v>
      </c>
      <c r="EB30" s="0" t="str">
        <f aca="false">IF(EA30&lt;&gt;"Y","N",IF(COUNTIFS($AN$2:$AN$1000,AN30,$EA$2:$EA$1000,"Y",$J$2:$J$1000,"&gt;"&amp;J30)+COUNTIFS($AN$2:$AN$1000,AN30,$EA$2:$EA$1000,"Y",$J$2:$J$1000,J30,$ED$2:$ED$1000,"&lt;"&amp;ED30)=0,"Y","N"))</f>
        <v>Y</v>
      </c>
      <c r="EC30" s="0" t="str">
        <f aca="false">IF(Y30="","N",IF(Y30&lt;=10,"Y","N"))</f>
        <v>N</v>
      </c>
      <c r="ED30" s="0" t="n">
        <f aca="false">ROW()-1</f>
        <v>29</v>
      </c>
    </row>
    <row r="31" customFormat="false" ht="15" hidden="false" customHeight="false" outlineLevel="0" collapsed="false">
      <c r="A31" s="0" t="s">
        <v>5399</v>
      </c>
      <c r="B31" s="0" t="s">
        <v>5400</v>
      </c>
      <c r="C31" s="0" t="s">
        <v>5401</v>
      </c>
      <c r="D31" s="0" t="s">
        <v>5402</v>
      </c>
      <c r="E31" s="0" t="s">
        <v>4656</v>
      </c>
      <c r="H31" s="5" t="s">
        <v>158</v>
      </c>
      <c r="I31" s="5" t="s">
        <v>159</v>
      </c>
      <c r="J31" s="0" t="n">
        <f aca="false">IF(AU31="pass",CM31+CN31+CO31+CP31+CQ31+CR31+CS31+CT31,0)</f>
        <v>60</v>
      </c>
      <c r="K31" s="0" t="s">
        <v>5403</v>
      </c>
      <c r="M31" s="0" t="s">
        <v>4580</v>
      </c>
      <c r="N31" s="0" t="s">
        <v>4581</v>
      </c>
      <c r="O31" s="0" t="s">
        <v>5404</v>
      </c>
      <c r="P31" s="0" t="s">
        <v>5405</v>
      </c>
      <c r="Q31" s="0" t="s">
        <v>2389</v>
      </c>
      <c r="R31" s="5" t="s">
        <v>162</v>
      </c>
      <c r="S31" s="0" t="s">
        <v>163</v>
      </c>
      <c r="T31" s="5" t="s">
        <v>162</v>
      </c>
      <c r="U31" s="5" t="s">
        <v>561</v>
      </c>
      <c r="V31" s="0" t="s">
        <v>5406</v>
      </c>
      <c r="W31" s="0" t="s">
        <v>166</v>
      </c>
      <c r="X31" s="0" t="s">
        <v>4585</v>
      </c>
      <c r="Y31" s="0" t="n">
        <f aca="false">IF(EB31&lt;&gt;"Y","",COUNTIFS($EB$2:$EB$1000,"Y",$J$2:$J$1000,"&gt;"&amp;J31)+COUNTIFS($EB$2:$EB$1000,"Y",$J$2:$J$1000,J31,$ED$2:$ED$1000,"&lt;"&amp;ED31)+1)</f>
        <v>29</v>
      </c>
      <c r="Z31" s="0" t="n">
        <v>30</v>
      </c>
      <c r="AA31" s="0" t="s">
        <v>168</v>
      </c>
      <c r="AB31" s="0" t="s">
        <v>5407</v>
      </c>
      <c r="AC31" s="0" t="s">
        <v>4587</v>
      </c>
      <c r="AD31" s="0" t="s">
        <v>171</v>
      </c>
      <c r="AE31" s="0" t="s">
        <v>172</v>
      </c>
      <c r="AF31" s="0" t="s">
        <v>5406</v>
      </c>
      <c r="AG31" s="0" t="s">
        <v>174</v>
      </c>
      <c r="AH31" s="0" t="s">
        <v>5408</v>
      </c>
      <c r="AI31" s="0" t="s">
        <v>4664</v>
      </c>
      <c r="AJ31" s="0" t="s">
        <v>192</v>
      </c>
      <c r="AK31" s="0" t="s">
        <v>5409</v>
      </c>
      <c r="AL31" s="0" t="s">
        <v>168</v>
      </c>
      <c r="AM31" s="0" t="s">
        <v>5410</v>
      </c>
      <c r="AN31" s="0" t="s">
        <v>5399</v>
      </c>
      <c r="AO31" s="5" t="s">
        <v>162</v>
      </c>
      <c r="AR31" s="0" t="str">
        <f aca="false">IF(AND(AU31="pass",AO31&lt;&gt;"Y",C31&lt;&gt;""),"Y","N")</f>
        <v>Y</v>
      </c>
      <c r="AS31" s="0" t="str">
        <f aca="false">_xlfn.TEXTJOIN("; ",TRUE(),IF(AU31&lt;&gt;"pass","gated out",""),IF(AO31="Y","on hold: "&amp;AP31,""),IF(C31="","no contact named on an opened page",""))</f>
        <v/>
      </c>
      <c r="AU31" s="0" t="s">
        <v>181</v>
      </c>
      <c r="AW31" s="0" t="s">
        <v>182</v>
      </c>
      <c r="AX31" s="0" t="s">
        <v>5221</v>
      </c>
      <c r="AY31" s="0" t="s">
        <v>5409</v>
      </c>
      <c r="AZ31" s="0" t="s">
        <v>4595</v>
      </c>
      <c r="BA31" s="0" t="s">
        <v>4596</v>
      </c>
      <c r="BB31" s="0" t="s">
        <v>5411</v>
      </c>
      <c r="BC31" s="0" t="s">
        <v>5412</v>
      </c>
      <c r="BD31" s="0" t="s">
        <v>263</v>
      </c>
      <c r="BE31" s="0" t="s">
        <v>5413</v>
      </c>
      <c r="BF31" s="0" t="s">
        <v>168</v>
      </c>
      <c r="BG31" s="0" t="s">
        <v>168</v>
      </c>
      <c r="BH31" s="0" t="s">
        <v>163</v>
      </c>
      <c r="BJ31" s="0" t="s">
        <v>163</v>
      </c>
      <c r="BK31" s="0" t="s">
        <v>162</v>
      </c>
      <c r="BL31" s="0" t="s">
        <v>162</v>
      </c>
      <c r="BN31" s="0" t="n">
        <v>0</v>
      </c>
      <c r="BO31" s="0" t="s">
        <v>168</v>
      </c>
      <c r="BP31" s="0" t="n">
        <v>3</v>
      </c>
      <c r="BQ31" s="0" t="s">
        <v>4669</v>
      </c>
      <c r="BS31" s="0" t="s">
        <v>5414</v>
      </c>
      <c r="BT31" s="0" t="s">
        <v>5415</v>
      </c>
      <c r="BU31" s="0" t="s">
        <v>4604</v>
      </c>
      <c r="BV31" s="0" t="n">
        <v>288</v>
      </c>
      <c r="BX31" s="0" t="s">
        <v>5416</v>
      </c>
      <c r="BY31" s="0" t="s">
        <v>5417</v>
      </c>
      <c r="CA31" s="0" t="s">
        <v>5418</v>
      </c>
      <c r="CB31" s="0" t="s">
        <v>5419</v>
      </c>
      <c r="CC31" s="0" t="s">
        <v>5420</v>
      </c>
      <c r="CD31" s="0" t="s">
        <v>5261</v>
      </c>
      <c r="CE31" s="0" t="s">
        <v>4808</v>
      </c>
      <c r="CF31" s="0" t="s">
        <v>171</v>
      </c>
      <c r="CG31" s="0" t="s">
        <v>5421</v>
      </c>
      <c r="CK31" s="0" t="s">
        <v>158</v>
      </c>
      <c r="CL31" s="0" t="n">
        <v>60</v>
      </c>
      <c r="CM31" s="0" t="n">
        <v>25</v>
      </c>
      <c r="CN31" s="0" t="n">
        <v>20</v>
      </c>
      <c r="CO31" s="0" t="n">
        <v>8</v>
      </c>
      <c r="CP31" s="0" t="n">
        <v>5</v>
      </c>
      <c r="CQ31" s="0" t="n">
        <v>8</v>
      </c>
      <c r="CR31" s="0" t="n">
        <v>6</v>
      </c>
      <c r="CS31" s="0" t="n">
        <f aca="false">IF(R31="Y",10,0)</f>
        <v>0</v>
      </c>
      <c r="CT31" s="0" t="n">
        <v>-12</v>
      </c>
      <c r="CU31" s="0" t="s">
        <v>5422</v>
      </c>
      <c r="CV31" s="0" t="s">
        <v>4703</v>
      </c>
      <c r="CW31" s="0" t="s">
        <v>5423</v>
      </c>
      <c r="CX31" s="0" t="s">
        <v>5424</v>
      </c>
      <c r="CY31" s="0" t="s">
        <v>5425</v>
      </c>
      <c r="CZ31" s="0" t="s">
        <v>5426</v>
      </c>
      <c r="DA31" s="0" t="s">
        <v>4620</v>
      </c>
      <c r="DC31" s="0" t="s">
        <v>230</v>
      </c>
      <c r="DD31" s="0" t="s">
        <v>3155</v>
      </c>
      <c r="DY31" s="0" t="str">
        <f aca="false">IF(ISNUMBER(MATCH(U31,{"queued","contacted","replied","call_booked","call_done","yes_in_principle","materials_sent"},0)),"Y","N")</f>
        <v>N</v>
      </c>
      <c r="DZ31" s="0" t="str">
        <f aca="false">IF(COUNTIFS($AN$2:$AN$1000,AN31,$DY$2:$DY$1000,"Y")+COUNTIFS($AN$2:$AN$1000,AN31,$T$2:$T$1000,"Y")&gt;0,"Y","N")</f>
        <v>N</v>
      </c>
      <c r="EA31" s="0" t="str">
        <f aca="false">IF(AND(U31="new",T31="N",AR31="Y",AQ31="",DZ31="N"),"Y","N")</f>
        <v>Y</v>
      </c>
      <c r="EB31" s="0" t="str">
        <f aca="false">IF(EA31&lt;&gt;"Y","N",IF(COUNTIFS($AN$2:$AN$1000,AN31,$EA$2:$EA$1000,"Y",$J$2:$J$1000,"&gt;"&amp;J31)+COUNTIFS($AN$2:$AN$1000,AN31,$EA$2:$EA$1000,"Y",$J$2:$J$1000,J31,$ED$2:$ED$1000,"&lt;"&amp;ED31)=0,"Y","N"))</f>
        <v>Y</v>
      </c>
      <c r="EC31" s="0" t="str">
        <f aca="false">IF(Y31="","N",IF(Y31&lt;=10,"Y","N"))</f>
        <v>N</v>
      </c>
      <c r="ED31" s="0" t="n">
        <f aca="false">ROW()-1</f>
        <v>30</v>
      </c>
    </row>
    <row r="32" customFormat="false" ht="15" hidden="false" customHeight="false" outlineLevel="0" collapsed="false">
      <c r="A32" s="0" t="s">
        <v>5427</v>
      </c>
      <c r="B32" s="0" t="s">
        <v>5428</v>
      </c>
      <c r="C32" s="0" t="s">
        <v>5429</v>
      </c>
      <c r="D32" s="0" t="s">
        <v>5430</v>
      </c>
      <c r="E32" s="0" t="s">
        <v>4625</v>
      </c>
      <c r="F32" s="0" t="s">
        <v>5431</v>
      </c>
      <c r="H32" s="5" t="s">
        <v>158</v>
      </c>
      <c r="I32" s="5" t="s">
        <v>159</v>
      </c>
      <c r="J32" s="0" t="n">
        <f aca="false">IF(AU32="pass",CM32+CN32+CO32+CP32+CQ32+CR32+CS32+CT32,0)</f>
        <v>60</v>
      </c>
      <c r="K32" s="0" t="s">
        <v>5432</v>
      </c>
      <c r="M32" s="0" t="s">
        <v>4580</v>
      </c>
      <c r="N32" s="0" t="s">
        <v>4581</v>
      </c>
      <c r="O32" s="0" t="s">
        <v>5433</v>
      </c>
      <c r="P32" s="0" t="s">
        <v>5434</v>
      </c>
      <c r="Q32" s="0" t="s">
        <v>1491</v>
      </c>
      <c r="R32" s="5" t="s">
        <v>162</v>
      </c>
      <c r="S32" s="0" t="s">
        <v>163</v>
      </c>
      <c r="T32" s="5" t="s">
        <v>162</v>
      </c>
      <c r="U32" s="5" t="s">
        <v>561</v>
      </c>
      <c r="V32" s="0" t="s">
        <v>5435</v>
      </c>
      <c r="W32" s="0" t="s">
        <v>166</v>
      </c>
      <c r="X32" s="0" t="s">
        <v>4585</v>
      </c>
      <c r="Y32" s="0" t="n">
        <f aca="false">IF(EB32&lt;&gt;"Y","",COUNTIFS($EB$2:$EB$1000,"Y",$J$2:$J$1000,"&gt;"&amp;J32)+COUNTIFS($EB$2:$EB$1000,"Y",$J$2:$J$1000,J32,$ED$2:$ED$1000,"&lt;"&amp;ED32)+1)</f>
        <v>30</v>
      </c>
      <c r="Z32" s="0" t="n">
        <v>31</v>
      </c>
      <c r="AA32" s="0" t="s">
        <v>168</v>
      </c>
      <c r="AB32" s="0" t="s">
        <v>5436</v>
      </c>
      <c r="AC32" s="0" t="s">
        <v>4587</v>
      </c>
      <c r="AD32" s="0" t="s">
        <v>171</v>
      </c>
      <c r="AE32" s="0" t="s">
        <v>230</v>
      </c>
      <c r="AF32" s="0" t="s">
        <v>5437</v>
      </c>
      <c r="AG32" s="0" t="s">
        <v>174</v>
      </c>
      <c r="AH32" s="0" t="s">
        <v>5438</v>
      </c>
      <c r="AI32" s="0" t="s">
        <v>5079</v>
      </c>
      <c r="AJ32" s="0" t="s">
        <v>192</v>
      </c>
      <c r="AK32" s="0" t="s">
        <v>5439</v>
      </c>
      <c r="AL32" s="0" t="s">
        <v>168</v>
      </c>
      <c r="AM32" s="0" t="s">
        <v>5440</v>
      </c>
      <c r="AN32" s="0" t="s">
        <v>5427</v>
      </c>
      <c r="AO32" s="5" t="s">
        <v>162</v>
      </c>
      <c r="AR32" s="0" t="str">
        <f aca="false">IF(AND(AU32="pass",AO32&lt;&gt;"Y",C32&lt;&gt;""),"Y","N")</f>
        <v>Y</v>
      </c>
      <c r="AS32" s="0" t="str">
        <f aca="false">_xlfn.TEXTJOIN("; ",TRUE(),IF(AU32&lt;&gt;"pass","gated out",""),IF(AO32="Y","on hold: "&amp;AP32,""),IF(C32="","no contact named on an opened page",""))</f>
        <v/>
      </c>
      <c r="AU32" s="0" t="s">
        <v>181</v>
      </c>
      <c r="AW32" s="0" t="s">
        <v>182</v>
      </c>
      <c r="AX32" s="0" t="s">
        <v>5221</v>
      </c>
      <c r="AY32" s="0" t="s">
        <v>5439</v>
      </c>
      <c r="AZ32" s="0" t="s">
        <v>4595</v>
      </c>
      <c r="BA32" s="0" t="s">
        <v>4596</v>
      </c>
      <c r="BB32" s="0" t="s">
        <v>163</v>
      </c>
      <c r="BD32" s="0" t="s">
        <v>263</v>
      </c>
      <c r="BE32" s="0" t="s">
        <v>5441</v>
      </c>
      <c r="BF32" s="0" t="s">
        <v>163</v>
      </c>
      <c r="BG32" s="0" t="s">
        <v>168</v>
      </c>
      <c r="BH32" s="0" t="s">
        <v>163</v>
      </c>
      <c r="BJ32" s="0" t="s">
        <v>163</v>
      </c>
      <c r="BK32" s="0" t="s">
        <v>162</v>
      </c>
      <c r="BL32" s="0" t="s">
        <v>162</v>
      </c>
      <c r="BN32" s="0" t="n">
        <v>0</v>
      </c>
      <c r="BO32" s="0" t="s">
        <v>168</v>
      </c>
      <c r="BP32" s="0" t="n">
        <v>3</v>
      </c>
      <c r="BQ32" s="0" t="s">
        <v>4669</v>
      </c>
      <c r="BS32" s="0" t="s">
        <v>5442</v>
      </c>
      <c r="BT32" s="0" t="s">
        <v>5443</v>
      </c>
      <c r="BU32" s="0" t="s">
        <v>4694</v>
      </c>
      <c r="BV32" s="0" t="n">
        <v>59</v>
      </c>
      <c r="BX32" s="0" t="s">
        <v>5444</v>
      </c>
      <c r="BY32" s="0" t="s">
        <v>5445</v>
      </c>
      <c r="BZ32" s="0" t="s">
        <v>4607</v>
      </c>
      <c r="CA32" s="0" t="s">
        <v>5446</v>
      </c>
      <c r="CE32" s="0" t="s">
        <v>4612</v>
      </c>
      <c r="CF32" s="0" t="s">
        <v>598</v>
      </c>
      <c r="CG32" s="0" t="s">
        <v>5447</v>
      </c>
      <c r="CH32" s="0" t="s">
        <v>5448</v>
      </c>
      <c r="CI32" s="0" t="s">
        <v>4932</v>
      </c>
      <c r="CK32" s="0" t="s">
        <v>158</v>
      </c>
      <c r="CL32" s="0" t="n">
        <v>60</v>
      </c>
      <c r="CM32" s="0" t="n">
        <v>25</v>
      </c>
      <c r="CN32" s="0" t="n">
        <v>20</v>
      </c>
      <c r="CO32" s="0" t="n">
        <v>8</v>
      </c>
      <c r="CP32" s="0" t="n">
        <v>5</v>
      </c>
      <c r="CQ32" s="0" t="n">
        <v>6</v>
      </c>
      <c r="CR32" s="0" t="n">
        <v>8</v>
      </c>
      <c r="CS32" s="0" t="n">
        <f aca="false">IF(R32="Y",10,0)</f>
        <v>0</v>
      </c>
      <c r="CT32" s="0" t="n">
        <v>-12</v>
      </c>
      <c r="CU32" s="0" t="s">
        <v>5449</v>
      </c>
      <c r="CV32" s="0" t="s">
        <v>4703</v>
      </c>
      <c r="CW32" s="0" t="s">
        <v>5450</v>
      </c>
      <c r="CX32" s="0" t="s">
        <v>5451</v>
      </c>
      <c r="CY32" s="0" t="s">
        <v>5452</v>
      </c>
      <c r="CZ32" s="0" t="s">
        <v>5448</v>
      </c>
      <c r="DA32" s="0" t="s">
        <v>4620</v>
      </c>
      <c r="DB32" s="0" t="s">
        <v>417</v>
      </c>
      <c r="DC32" s="0" t="s">
        <v>599</v>
      </c>
      <c r="DY32" s="0" t="str">
        <f aca="false">IF(ISNUMBER(MATCH(U32,{"queued","contacted","replied","call_booked","call_done","yes_in_principle","materials_sent"},0)),"Y","N")</f>
        <v>N</v>
      </c>
      <c r="DZ32" s="0" t="str">
        <f aca="false">IF(COUNTIFS($AN$2:$AN$1000,AN32,$DY$2:$DY$1000,"Y")+COUNTIFS($AN$2:$AN$1000,AN32,$T$2:$T$1000,"Y")&gt;0,"Y","N")</f>
        <v>N</v>
      </c>
      <c r="EA32" s="0" t="str">
        <f aca="false">IF(AND(U32="new",T32="N",AR32="Y",AQ32="",DZ32="N"),"Y","N")</f>
        <v>Y</v>
      </c>
      <c r="EB32" s="0" t="str">
        <f aca="false">IF(EA32&lt;&gt;"Y","N",IF(COUNTIFS($AN$2:$AN$1000,AN32,$EA$2:$EA$1000,"Y",$J$2:$J$1000,"&gt;"&amp;J32)+COUNTIFS($AN$2:$AN$1000,AN32,$EA$2:$EA$1000,"Y",$J$2:$J$1000,J32,$ED$2:$ED$1000,"&lt;"&amp;ED32)=0,"Y","N"))</f>
        <v>Y</v>
      </c>
      <c r="EC32" s="0" t="str">
        <f aca="false">IF(Y32="","N",IF(Y32&lt;=10,"Y","N"))</f>
        <v>N</v>
      </c>
      <c r="ED32" s="0" t="n">
        <f aca="false">ROW()-1</f>
        <v>31</v>
      </c>
    </row>
    <row r="33" customFormat="false" ht="15" hidden="false" customHeight="false" outlineLevel="0" collapsed="false">
      <c r="A33" s="0" t="s">
        <v>5453</v>
      </c>
      <c r="B33" s="0" t="s">
        <v>5454</v>
      </c>
      <c r="C33" s="0" t="s">
        <v>805</v>
      </c>
      <c r="D33" s="0" t="s">
        <v>5455</v>
      </c>
      <c r="E33" s="0" t="s">
        <v>4656</v>
      </c>
      <c r="H33" s="5" t="s">
        <v>158</v>
      </c>
      <c r="I33" s="5" t="s">
        <v>159</v>
      </c>
      <c r="J33" s="0" t="n">
        <f aca="false">IF(AU33="pass",CM33+CN33+CO33+CP33+CQ33+CR33+CS33+CT33,0)</f>
        <v>60</v>
      </c>
      <c r="K33" s="0" t="s">
        <v>5456</v>
      </c>
      <c r="M33" s="0" t="s">
        <v>4580</v>
      </c>
      <c r="N33" s="0" t="s">
        <v>4581</v>
      </c>
      <c r="R33" s="5" t="s">
        <v>162</v>
      </c>
      <c r="S33" s="0" t="s">
        <v>163</v>
      </c>
      <c r="T33" s="5" t="s">
        <v>162</v>
      </c>
      <c r="U33" s="5" t="s">
        <v>561</v>
      </c>
      <c r="V33" s="0" t="s">
        <v>5457</v>
      </c>
      <c r="W33" s="0" t="s">
        <v>166</v>
      </c>
      <c r="X33" s="0" t="s">
        <v>4585</v>
      </c>
      <c r="Y33" s="0" t="n">
        <f aca="false">IF(EB33&lt;&gt;"Y","",COUNTIFS($EB$2:$EB$1000,"Y",$J$2:$J$1000,"&gt;"&amp;J33)+COUNTIFS($EB$2:$EB$1000,"Y",$J$2:$J$1000,J33,$ED$2:$ED$1000,"&lt;"&amp;ED33)+1)</f>
        <v>31</v>
      </c>
      <c r="Z33" s="0" t="n">
        <v>32</v>
      </c>
      <c r="AA33" s="0" t="s">
        <v>168</v>
      </c>
      <c r="AB33" s="0" t="s">
        <v>5458</v>
      </c>
      <c r="AC33" s="0" t="s">
        <v>4587</v>
      </c>
      <c r="AD33" s="0" t="s">
        <v>171</v>
      </c>
      <c r="AE33" s="0" t="s">
        <v>172</v>
      </c>
      <c r="AF33" s="0" t="s">
        <v>5459</v>
      </c>
      <c r="AG33" s="0" t="s">
        <v>174</v>
      </c>
      <c r="AH33" s="0" t="s">
        <v>5460</v>
      </c>
      <c r="AI33" s="0" t="s">
        <v>5461</v>
      </c>
      <c r="AJ33" s="0" t="s">
        <v>192</v>
      </c>
      <c r="AL33" s="0" t="s">
        <v>168</v>
      </c>
      <c r="AM33" s="0" t="s">
        <v>5462</v>
      </c>
      <c r="AN33" s="0" t="s">
        <v>5453</v>
      </c>
      <c r="AO33" s="5" t="s">
        <v>162</v>
      </c>
      <c r="AR33" s="0" t="str">
        <f aca="false">IF(AND(AU33="pass",AO33&lt;&gt;"Y",C33&lt;&gt;""),"Y","N")</f>
        <v>Y</v>
      </c>
      <c r="AS33" s="0" t="str">
        <f aca="false">_xlfn.TEXTJOIN("; ",TRUE(),IF(AU33&lt;&gt;"pass","gated out",""),IF(AO33="Y","on hold: "&amp;AP33,""),IF(C33="","no contact named on an opened page",""))</f>
        <v/>
      </c>
      <c r="AU33" s="0" t="s">
        <v>181</v>
      </c>
      <c r="AW33" s="0" t="s">
        <v>182</v>
      </c>
      <c r="AX33" s="0" t="s">
        <v>4594</v>
      </c>
      <c r="AY33" s="0" t="s">
        <v>5463</v>
      </c>
      <c r="AZ33" s="0" t="s">
        <v>4595</v>
      </c>
      <c r="BA33" s="0" t="s">
        <v>4596</v>
      </c>
      <c r="BB33" s="0" t="s">
        <v>163</v>
      </c>
      <c r="BD33" s="0" t="s">
        <v>168</v>
      </c>
      <c r="BE33" s="0" t="s">
        <v>5464</v>
      </c>
      <c r="BF33" s="0" t="s">
        <v>168</v>
      </c>
      <c r="BG33" s="0" t="s">
        <v>163</v>
      </c>
      <c r="BH33" s="0" t="s">
        <v>163</v>
      </c>
      <c r="BJ33" s="0" t="s">
        <v>163</v>
      </c>
      <c r="BK33" s="0" t="s">
        <v>162</v>
      </c>
      <c r="BL33" s="0" t="s">
        <v>162</v>
      </c>
      <c r="BN33" s="0" t="n">
        <v>0</v>
      </c>
      <c r="BO33" s="0" t="s">
        <v>168</v>
      </c>
      <c r="BP33" s="0" t="n">
        <v>2</v>
      </c>
      <c r="BQ33" s="0" t="s">
        <v>4781</v>
      </c>
      <c r="BS33" s="0" t="s">
        <v>4981</v>
      </c>
      <c r="BT33" s="0" t="s">
        <v>5465</v>
      </c>
      <c r="BU33" s="0" t="s">
        <v>158</v>
      </c>
      <c r="BX33" s="0" t="s">
        <v>5466</v>
      </c>
      <c r="BY33" s="0" t="s">
        <v>5467</v>
      </c>
      <c r="CF33" s="0" t="s">
        <v>158</v>
      </c>
      <c r="CK33" s="0" t="s">
        <v>158</v>
      </c>
      <c r="CL33" s="0" t="n">
        <v>60</v>
      </c>
      <c r="CM33" s="0" t="n">
        <v>25</v>
      </c>
      <c r="CN33" s="0" t="n">
        <v>20</v>
      </c>
      <c r="CO33" s="0" t="n">
        <v>0</v>
      </c>
      <c r="CP33" s="0" t="n">
        <v>5</v>
      </c>
      <c r="CQ33" s="0" t="n">
        <v>8</v>
      </c>
      <c r="CR33" s="0" t="n">
        <v>6</v>
      </c>
      <c r="CS33" s="0" t="n">
        <f aca="false">IF(R33="Y",10,0)</f>
        <v>0</v>
      </c>
      <c r="CT33" s="0" t="n">
        <v>-4</v>
      </c>
      <c r="CU33" s="0" t="s">
        <v>163</v>
      </c>
      <c r="CV33" s="0" t="s">
        <v>4841</v>
      </c>
      <c r="CW33" s="0" t="s">
        <v>5468</v>
      </c>
      <c r="CX33" s="0" t="s">
        <v>5469</v>
      </c>
      <c r="CY33" s="0" t="s">
        <v>5470</v>
      </c>
      <c r="DA33" s="0" t="s">
        <v>4620</v>
      </c>
      <c r="DB33" s="0" t="s">
        <v>5471</v>
      </c>
      <c r="DY33" s="0" t="str">
        <f aca="false">IF(ISNUMBER(MATCH(U33,{"queued","contacted","replied","call_booked","call_done","yes_in_principle","materials_sent"},0)),"Y","N")</f>
        <v>N</v>
      </c>
      <c r="DZ33" s="0" t="str">
        <f aca="false">IF(COUNTIFS($AN$2:$AN$1000,AN33,$DY$2:$DY$1000,"Y")+COUNTIFS($AN$2:$AN$1000,AN33,$T$2:$T$1000,"Y")&gt;0,"Y","N")</f>
        <v>N</v>
      </c>
      <c r="EA33" s="0" t="str">
        <f aca="false">IF(AND(U33="new",T33="N",AR33="Y",AQ33="",DZ33="N"),"Y","N")</f>
        <v>Y</v>
      </c>
      <c r="EB33" s="0" t="str">
        <f aca="false">IF(EA33&lt;&gt;"Y","N",IF(COUNTIFS($AN$2:$AN$1000,AN33,$EA$2:$EA$1000,"Y",$J$2:$J$1000,"&gt;"&amp;J33)+COUNTIFS($AN$2:$AN$1000,AN33,$EA$2:$EA$1000,"Y",$J$2:$J$1000,J33,$ED$2:$ED$1000,"&lt;"&amp;ED33)=0,"Y","N"))</f>
        <v>Y</v>
      </c>
      <c r="EC33" s="0" t="str">
        <f aca="false">IF(Y33="","N",IF(Y33&lt;=10,"Y","N"))</f>
        <v>N</v>
      </c>
      <c r="ED33" s="0" t="n">
        <f aca="false">ROW()-1</f>
        <v>32</v>
      </c>
    </row>
    <row r="34" customFormat="false" ht="15" hidden="false" customHeight="false" outlineLevel="0" collapsed="false">
      <c r="A34" s="0" t="s">
        <v>5472</v>
      </c>
      <c r="B34" s="0" t="s">
        <v>5473</v>
      </c>
      <c r="C34" s="0" t="s">
        <v>5474</v>
      </c>
      <c r="D34" s="0" t="s">
        <v>5475</v>
      </c>
      <c r="E34" s="0" t="s">
        <v>5476</v>
      </c>
      <c r="H34" s="5" t="s">
        <v>158</v>
      </c>
      <c r="I34" s="5" t="s">
        <v>159</v>
      </c>
      <c r="J34" s="0" t="n">
        <f aca="false">IF(AU34="pass",CM34+CN34+CO34+CP34+CQ34+CR34+CS34+CT34,0)</f>
        <v>59</v>
      </c>
      <c r="K34" s="0" t="s">
        <v>5477</v>
      </c>
      <c r="M34" s="0" t="s">
        <v>4580</v>
      </c>
      <c r="N34" s="0" t="s">
        <v>4581</v>
      </c>
      <c r="O34" s="0" t="s">
        <v>5478</v>
      </c>
      <c r="P34" s="0" t="s">
        <v>5479</v>
      </c>
      <c r="Q34" s="0" t="s">
        <v>5480</v>
      </c>
      <c r="R34" s="5" t="s">
        <v>162</v>
      </c>
      <c r="S34" s="0" t="s">
        <v>163</v>
      </c>
      <c r="T34" s="5" t="s">
        <v>162</v>
      </c>
      <c r="U34" s="5" t="s">
        <v>561</v>
      </c>
      <c r="V34" s="0" t="s">
        <v>5481</v>
      </c>
      <c r="W34" s="0" t="s">
        <v>166</v>
      </c>
      <c r="X34" s="0" t="s">
        <v>4585</v>
      </c>
      <c r="Y34" s="0" t="n">
        <f aca="false">IF(EB34&lt;&gt;"Y","",COUNTIFS($EB$2:$EB$1000,"Y",$J$2:$J$1000,"&gt;"&amp;J34)+COUNTIFS($EB$2:$EB$1000,"Y",$J$2:$J$1000,J34,$ED$2:$ED$1000,"&lt;"&amp;ED34)+1)</f>
        <v>32</v>
      </c>
      <c r="Z34" s="0" t="n">
        <v>33</v>
      </c>
      <c r="AA34" s="0" t="s">
        <v>168</v>
      </c>
      <c r="AB34" s="0" t="s">
        <v>5482</v>
      </c>
      <c r="AC34" s="0" t="s">
        <v>4587</v>
      </c>
      <c r="AD34" s="0" t="s">
        <v>171</v>
      </c>
      <c r="AE34" s="0" t="s">
        <v>230</v>
      </c>
      <c r="AF34" s="0" t="s">
        <v>5483</v>
      </c>
      <c r="AG34" s="0" t="s">
        <v>174</v>
      </c>
      <c r="AH34" s="0" t="s">
        <v>5484</v>
      </c>
      <c r="AI34" s="0" t="s">
        <v>5383</v>
      </c>
      <c r="AJ34" s="0" t="s">
        <v>5485</v>
      </c>
      <c r="AL34" s="0" t="s">
        <v>168</v>
      </c>
      <c r="AM34" s="0" t="s">
        <v>5486</v>
      </c>
      <c r="AN34" s="0" t="s">
        <v>5472</v>
      </c>
      <c r="AO34" s="5" t="s">
        <v>162</v>
      </c>
      <c r="AR34" s="0" t="str">
        <f aca="false">IF(AND(AU34="pass",AO34&lt;&gt;"Y",C34&lt;&gt;""),"Y","N")</f>
        <v>Y</v>
      </c>
      <c r="AS34" s="0" t="str">
        <f aca="false">_xlfn.TEXTJOIN("; ",TRUE(),IF(AU34&lt;&gt;"pass","gated out",""),IF(AO34="Y","on hold: "&amp;AP34,""),IF(C34="","no contact named on an opened page",""))</f>
        <v/>
      </c>
      <c r="AU34" s="0" t="s">
        <v>181</v>
      </c>
      <c r="AW34" s="0" t="s">
        <v>182</v>
      </c>
      <c r="AX34" s="0" t="s">
        <v>4594</v>
      </c>
      <c r="AY34" s="0" t="s">
        <v>5487</v>
      </c>
      <c r="AZ34" s="0" t="s">
        <v>5488</v>
      </c>
      <c r="BA34" s="0" t="s">
        <v>5329</v>
      </c>
      <c r="BB34" s="0" t="s">
        <v>163</v>
      </c>
      <c r="BD34" s="0" t="s">
        <v>168</v>
      </c>
      <c r="BE34" s="0" t="s">
        <v>5489</v>
      </c>
      <c r="BF34" s="0" t="s">
        <v>162</v>
      </c>
      <c r="BG34" s="0" t="s">
        <v>163</v>
      </c>
      <c r="BH34" s="0" t="s">
        <v>163</v>
      </c>
      <c r="BJ34" s="0" t="s">
        <v>163</v>
      </c>
      <c r="BK34" s="0" t="s">
        <v>162</v>
      </c>
      <c r="BL34" s="0" t="s">
        <v>162</v>
      </c>
      <c r="BN34" s="0" t="n">
        <v>0</v>
      </c>
      <c r="BO34" s="0" t="s">
        <v>168</v>
      </c>
      <c r="BP34" s="0" t="n">
        <v>3</v>
      </c>
      <c r="BQ34" s="0" t="s">
        <v>4669</v>
      </c>
      <c r="BS34" s="0" t="s">
        <v>4981</v>
      </c>
      <c r="BT34" s="0" t="s">
        <v>5490</v>
      </c>
      <c r="BU34" s="0" t="s">
        <v>4604</v>
      </c>
      <c r="BV34" s="0" t="n">
        <v>171</v>
      </c>
      <c r="BX34" s="0" t="s">
        <v>5491</v>
      </c>
      <c r="BY34" s="0" t="s">
        <v>5492</v>
      </c>
      <c r="CA34" s="0" t="s">
        <v>5493</v>
      </c>
      <c r="CB34" s="0" t="s">
        <v>5494</v>
      </c>
      <c r="CC34" s="0" t="s">
        <v>5495</v>
      </c>
      <c r="CD34" s="0" t="s">
        <v>5091</v>
      </c>
      <c r="CE34" s="0" t="s">
        <v>4612</v>
      </c>
      <c r="CF34" s="0" t="s">
        <v>171</v>
      </c>
      <c r="CG34" s="0" t="s">
        <v>5496</v>
      </c>
      <c r="CK34" s="0" t="s">
        <v>158</v>
      </c>
      <c r="CL34" s="0" t="n">
        <v>59</v>
      </c>
      <c r="CM34" s="0" t="n">
        <v>25</v>
      </c>
      <c r="CN34" s="0" t="n">
        <v>3</v>
      </c>
      <c r="CO34" s="0" t="n">
        <v>15</v>
      </c>
      <c r="CP34" s="0" t="n">
        <v>5</v>
      </c>
      <c r="CQ34" s="0" t="n">
        <v>5</v>
      </c>
      <c r="CR34" s="0" t="n">
        <v>10</v>
      </c>
      <c r="CS34" s="0" t="n">
        <f aca="false">IF(R34="Y",10,0)</f>
        <v>0</v>
      </c>
      <c r="CT34" s="0" t="n">
        <v>-4</v>
      </c>
      <c r="CU34" s="0" t="s">
        <v>163</v>
      </c>
      <c r="CV34" s="0" t="s">
        <v>4841</v>
      </c>
      <c r="CW34" s="0" t="s">
        <v>5497</v>
      </c>
      <c r="CX34" s="0" t="s">
        <v>5498</v>
      </c>
      <c r="CY34" s="0" t="s">
        <v>5499</v>
      </c>
      <c r="CZ34" s="0" t="s">
        <v>5500</v>
      </c>
      <c r="DA34" s="0" t="s">
        <v>4620</v>
      </c>
      <c r="DB34" s="0" t="s">
        <v>5501</v>
      </c>
      <c r="DC34" s="0" t="s">
        <v>230</v>
      </c>
      <c r="DD34" s="0" t="s">
        <v>5502</v>
      </c>
      <c r="DY34" s="0" t="str">
        <f aca="false">IF(ISNUMBER(MATCH(U34,{"queued","contacted","replied","call_booked","call_done","yes_in_principle","materials_sent"},0)),"Y","N")</f>
        <v>N</v>
      </c>
      <c r="DZ34" s="0" t="str">
        <f aca="false">IF(COUNTIFS($AN$2:$AN$1000,AN34,$DY$2:$DY$1000,"Y")+COUNTIFS($AN$2:$AN$1000,AN34,$T$2:$T$1000,"Y")&gt;0,"Y","N")</f>
        <v>N</v>
      </c>
      <c r="EA34" s="0" t="str">
        <f aca="false">IF(AND(U34="new",T34="N",AR34="Y",AQ34="",DZ34="N"),"Y","N")</f>
        <v>Y</v>
      </c>
      <c r="EB34" s="0" t="str">
        <f aca="false">IF(EA34&lt;&gt;"Y","N",IF(COUNTIFS($AN$2:$AN$1000,AN34,$EA$2:$EA$1000,"Y",$J$2:$J$1000,"&gt;"&amp;J34)+COUNTIFS($AN$2:$AN$1000,AN34,$EA$2:$EA$1000,"Y",$J$2:$J$1000,J34,$ED$2:$ED$1000,"&lt;"&amp;ED34)=0,"Y","N"))</f>
        <v>Y</v>
      </c>
      <c r="EC34" s="0" t="str">
        <f aca="false">IF(Y34="","N",IF(Y34&lt;=10,"Y","N"))</f>
        <v>N</v>
      </c>
      <c r="ED34" s="0" t="n">
        <f aca="false">ROW()-1</f>
        <v>33</v>
      </c>
    </row>
    <row r="35" customFormat="false" ht="15" hidden="false" customHeight="false" outlineLevel="0" collapsed="false">
      <c r="A35" s="0" t="s">
        <v>5503</v>
      </c>
      <c r="B35" s="0" t="s">
        <v>5504</v>
      </c>
      <c r="C35" s="0" t="s">
        <v>5505</v>
      </c>
      <c r="D35" s="0" t="s">
        <v>5506</v>
      </c>
      <c r="E35" s="0" t="s">
        <v>5507</v>
      </c>
      <c r="H35" s="5" t="s">
        <v>158</v>
      </c>
      <c r="I35" s="5" t="s">
        <v>159</v>
      </c>
      <c r="J35" s="0" t="n">
        <f aca="false">IF(AU35="pass",CM35+CN35+CO35+CP35+CQ35+CR35+CS35+CT35,0)</f>
        <v>59</v>
      </c>
      <c r="K35" s="0" t="s">
        <v>5508</v>
      </c>
      <c r="M35" s="0" t="s">
        <v>4580</v>
      </c>
      <c r="N35" s="0" t="s">
        <v>4581</v>
      </c>
      <c r="R35" s="5" t="s">
        <v>162</v>
      </c>
      <c r="S35" s="0" t="s">
        <v>163</v>
      </c>
      <c r="T35" s="5" t="s">
        <v>162</v>
      </c>
      <c r="U35" s="5" t="s">
        <v>561</v>
      </c>
      <c r="V35" s="0" t="s">
        <v>5509</v>
      </c>
      <c r="W35" s="0" t="s">
        <v>166</v>
      </c>
      <c r="X35" s="0" t="s">
        <v>4585</v>
      </c>
      <c r="Y35" s="0" t="n">
        <f aca="false">IF(EB35&lt;&gt;"Y","",COUNTIFS($EB$2:$EB$1000,"Y",$J$2:$J$1000,"&gt;"&amp;J35)+COUNTIFS($EB$2:$EB$1000,"Y",$J$2:$J$1000,J35,$ED$2:$ED$1000,"&lt;"&amp;ED35)+1)</f>
        <v>33</v>
      </c>
      <c r="Z35" s="0" t="n">
        <v>34</v>
      </c>
      <c r="AA35" s="0" t="s">
        <v>168</v>
      </c>
      <c r="AB35" s="0" t="s">
        <v>5510</v>
      </c>
      <c r="AC35" s="0" t="s">
        <v>4587</v>
      </c>
      <c r="AD35" s="0" t="s">
        <v>171</v>
      </c>
      <c r="AE35" s="0" t="s">
        <v>172</v>
      </c>
      <c r="AF35" s="0" t="s">
        <v>5511</v>
      </c>
      <c r="AG35" s="0" t="s">
        <v>174</v>
      </c>
      <c r="AH35" s="0" t="s">
        <v>5512</v>
      </c>
      <c r="AI35" s="0" t="s">
        <v>4664</v>
      </c>
      <c r="AJ35" s="0" t="s">
        <v>5513</v>
      </c>
      <c r="AK35" s="0" t="s">
        <v>5514</v>
      </c>
      <c r="AL35" s="0" t="s">
        <v>168</v>
      </c>
      <c r="AM35" s="0" t="s">
        <v>5515</v>
      </c>
      <c r="AN35" s="0" t="s">
        <v>5503</v>
      </c>
      <c r="AO35" s="5" t="s">
        <v>162</v>
      </c>
      <c r="AR35" s="0" t="str">
        <f aca="false">IF(AND(AU35="pass",AO35&lt;&gt;"Y",C35&lt;&gt;""),"Y","N")</f>
        <v>Y</v>
      </c>
      <c r="AS35" s="0" t="str">
        <f aca="false">_xlfn.TEXTJOIN("; ",TRUE(),IF(AU35&lt;&gt;"pass","gated out",""),IF(AO35="Y","on hold: "&amp;AP35,""),IF(C35="","no contact named on an opened page",""))</f>
        <v/>
      </c>
      <c r="AU35" s="0" t="s">
        <v>181</v>
      </c>
      <c r="AW35" s="0" t="s">
        <v>182</v>
      </c>
      <c r="AX35" s="0" t="s">
        <v>5516</v>
      </c>
      <c r="AY35" s="0" t="s">
        <v>5514</v>
      </c>
      <c r="AZ35" s="0" t="s">
        <v>4595</v>
      </c>
      <c r="BA35" s="0" t="s">
        <v>4596</v>
      </c>
      <c r="BB35" s="0" t="s">
        <v>163</v>
      </c>
      <c r="BD35" s="0" t="s">
        <v>168</v>
      </c>
      <c r="BE35" s="0" t="s">
        <v>5517</v>
      </c>
      <c r="BF35" s="0" t="s">
        <v>162</v>
      </c>
      <c r="BG35" s="0" t="s">
        <v>168</v>
      </c>
      <c r="BH35" s="0" t="s">
        <v>163</v>
      </c>
      <c r="BJ35" s="0" t="s">
        <v>163</v>
      </c>
      <c r="BK35" s="0" t="s">
        <v>168</v>
      </c>
      <c r="BL35" s="0" t="s">
        <v>162</v>
      </c>
      <c r="BN35" s="0" t="n">
        <v>0</v>
      </c>
      <c r="BO35" s="0" t="s">
        <v>168</v>
      </c>
      <c r="BP35" s="0" t="n">
        <v>6</v>
      </c>
      <c r="BQ35" s="0" t="s">
        <v>5518</v>
      </c>
      <c r="BR35" s="0" t="s">
        <v>5519</v>
      </c>
      <c r="BS35" s="0" t="s">
        <v>5520</v>
      </c>
      <c r="BT35" s="0" t="s">
        <v>5521</v>
      </c>
      <c r="BU35" s="0" t="s">
        <v>158</v>
      </c>
      <c r="BX35" s="0" t="s">
        <v>5522</v>
      </c>
      <c r="BY35" s="0" t="s">
        <v>5523</v>
      </c>
      <c r="CA35" s="0" t="s">
        <v>5524</v>
      </c>
      <c r="CB35" s="0" t="s">
        <v>5525</v>
      </c>
      <c r="CC35" s="0" t="s">
        <v>5526</v>
      </c>
      <c r="CD35" s="0" t="s">
        <v>4625</v>
      </c>
      <c r="CE35" s="0" t="s">
        <v>4808</v>
      </c>
      <c r="CF35" s="0" t="s">
        <v>171</v>
      </c>
      <c r="CG35" s="0" t="s">
        <v>5527</v>
      </c>
      <c r="CK35" s="0" t="s">
        <v>158</v>
      </c>
      <c r="CL35" s="0" t="n">
        <v>59</v>
      </c>
      <c r="CM35" s="0" t="n">
        <v>25</v>
      </c>
      <c r="CN35" s="0" t="n">
        <v>20</v>
      </c>
      <c r="CO35" s="0" t="n">
        <v>0</v>
      </c>
      <c r="CP35" s="0" t="n">
        <v>5</v>
      </c>
      <c r="CQ35" s="0" t="n">
        <v>7</v>
      </c>
      <c r="CR35" s="0" t="n">
        <v>6</v>
      </c>
      <c r="CS35" s="0" t="n">
        <f aca="false">IF(R35="Y",10,0)</f>
        <v>0</v>
      </c>
      <c r="CT35" s="0" t="n">
        <v>-4</v>
      </c>
      <c r="CU35" s="0" t="s">
        <v>5528</v>
      </c>
      <c r="CV35" s="0" t="s">
        <v>4703</v>
      </c>
      <c r="CW35" s="0" t="s">
        <v>5529</v>
      </c>
      <c r="CX35" s="0" t="s">
        <v>5530</v>
      </c>
      <c r="CY35" s="0" t="s">
        <v>5531</v>
      </c>
      <c r="CZ35" s="0" t="s">
        <v>5511</v>
      </c>
      <c r="DA35" s="0" t="s">
        <v>4620</v>
      </c>
      <c r="DC35" s="0" t="s">
        <v>172</v>
      </c>
      <c r="DY35" s="0" t="str">
        <f aca="false">IF(ISNUMBER(MATCH(U35,{"queued","contacted","replied","call_booked","call_done","yes_in_principle","materials_sent"},0)),"Y","N")</f>
        <v>N</v>
      </c>
      <c r="DZ35" s="0" t="str">
        <f aca="false">IF(COUNTIFS($AN$2:$AN$1000,AN35,$DY$2:$DY$1000,"Y")+COUNTIFS($AN$2:$AN$1000,AN35,$T$2:$T$1000,"Y")&gt;0,"Y","N")</f>
        <v>N</v>
      </c>
      <c r="EA35" s="0" t="str">
        <f aca="false">IF(AND(U35="new",T35="N",AR35="Y",AQ35="",DZ35="N"),"Y","N")</f>
        <v>Y</v>
      </c>
      <c r="EB35" s="0" t="str">
        <f aca="false">IF(EA35&lt;&gt;"Y","N",IF(COUNTIFS($AN$2:$AN$1000,AN35,$EA$2:$EA$1000,"Y",$J$2:$J$1000,"&gt;"&amp;J35)+COUNTIFS($AN$2:$AN$1000,AN35,$EA$2:$EA$1000,"Y",$J$2:$J$1000,J35,$ED$2:$ED$1000,"&lt;"&amp;ED35)=0,"Y","N"))</f>
        <v>Y</v>
      </c>
      <c r="EC35" s="0" t="str">
        <f aca="false">IF(Y35="","N",IF(Y35&lt;=10,"Y","N"))</f>
        <v>N</v>
      </c>
      <c r="ED35" s="0" t="n">
        <f aca="false">ROW()-1</f>
        <v>34</v>
      </c>
    </row>
    <row r="36" customFormat="false" ht="15" hidden="false" customHeight="false" outlineLevel="0" collapsed="false">
      <c r="A36" s="0" t="s">
        <v>5532</v>
      </c>
      <c r="B36" s="0" t="s">
        <v>5533</v>
      </c>
      <c r="C36" s="0" t="s">
        <v>5534</v>
      </c>
      <c r="D36" s="0" t="s">
        <v>5535</v>
      </c>
      <c r="E36" s="0" t="s">
        <v>4771</v>
      </c>
      <c r="H36" s="5" t="s">
        <v>158</v>
      </c>
      <c r="I36" s="5" t="s">
        <v>159</v>
      </c>
      <c r="J36" s="0" t="n">
        <f aca="false">IF(AU36="pass",CM36+CN36+CO36+CP36+CQ36+CR36+CS36+CT36,0)</f>
        <v>59</v>
      </c>
      <c r="K36" s="0" t="s">
        <v>5536</v>
      </c>
      <c r="M36" s="0" t="s">
        <v>5537</v>
      </c>
      <c r="N36" s="0" t="s">
        <v>5021</v>
      </c>
      <c r="O36" s="0" t="s">
        <v>5538</v>
      </c>
      <c r="P36" s="0" t="s">
        <v>5539</v>
      </c>
      <c r="Q36" s="0" t="s">
        <v>5540</v>
      </c>
      <c r="R36" s="5" t="s">
        <v>162</v>
      </c>
      <c r="S36" s="0" t="s">
        <v>163</v>
      </c>
      <c r="T36" s="5" t="s">
        <v>162</v>
      </c>
      <c r="U36" s="5" t="s">
        <v>561</v>
      </c>
      <c r="V36" s="0" t="s">
        <v>5541</v>
      </c>
      <c r="W36" s="0" t="s">
        <v>166</v>
      </c>
      <c r="X36" s="0" t="s">
        <v>4585</v>
      </c>
      <c r="Y36" s="0" t="n">
        <f aca="false">IF(EB36&lt;&gt;"Y","",COUNTIFS($EB$2:$EB$1000,"Y",$J$2:$J$1000,"&gt;"&amp;J36)+COUNTIFS($EB$2:$EB$1000,"Y",$J$2:$J$1000,J36,$ED$2:$ED$1000,"&lt;"&amp;ED36)+1)</f>
        <v>34</v>
      </c>
      <c r="Z36" s="0" t="n">
        <v>35</v>
      </c>
      <c r="AA36" s="0" t="s">
        <v>168</v>
      </c>
      <c r="AB36" s="0" t="s">
        <v>5542</v>
      </c>
      <c r="AC36" s="0" t="s">
        <v>4587</v>
      </c>
      <c r="AD36" s="0" t="s">
        <v>171</v>
      </c>
      <c r="AE36" s="0" t="s">
        <v>1189</v>
      </c>
      <c r="AF36" s="0" t="s">
        <v>5543</v>
      </c>
      <c r="AG36" s="0" t="s">
        <v>174</v>
      </c>
      <c r="AH36" s="0" t="s">
        <v>5544</v>
      </c>
      <c r="AI36" s="0" t="s">
        <v>4590</v>
      </c>
      <c r="AJ36" s="0" t="s">
        <v>192</v>
      </c>
      <c r="AK36" s="0" t="s">
        <v>5545</v>
      </c>
      <c r="AL36" s="0" t="s">
        <v>168</v>
      </c>
      <c r="AM36" s="0" t="s">
        <v>5546</v>
      </c>
      <c r="AN36" s="0" t="s">
        <v>5547</v>
      </c>
      <c r="AO36" s="5" t="s">
        <v>162</v>
      </c>
      <c r="AR36" s="0" t="str">
        <f aca="false">IF(AND(AU36="pass",AO36&lt;&gt;"Y",C36&lt;&gt;""),"Y","N")</f>
        <v>Y</v>
      </c>
      <c r="AS36" s="0" t="str">
        <f aca="false">_xlfn.TEXTJOIN("; ",TRUE(),IF(AU36&lt;&gt;"pass","gated out",""),IF(AO36="Y","on hold: "&amp;AP36,""),IF(C36="","no contact named on an opened page",""))</f>
        <v/>
      </c>
      <c r="AU36" s="0" t="s">
        <v>181</v>
      </c>
      <c r="AW36" s="0" t="s">
        <v>182</v>
      </c>
      <c r="AX36" s="0" t="s">
        <v>4594</v>
      </c>
      <c r="AY36" s="0" t="s">
        <v>5545</v>
      </c>
      <c r="AZ36" s="0" t="s">
        <v>4595</v>
      </c>
      <c r="BA36" s="0" t="s">
        <v>4596</v>
      </c>
      <c r="BB36" s="0" t="s">
        <v>163</v>
      </c>
      <c r="BD36" s="0" t="s">
        <v>163</v>
      </c>
      <c r="BE36" s="0" t="s">
        <v>5548</v>
      </c>
      <c r="BF36" s="0" t="s">
        <v>168</v>
      </c>
      <c r="BG36" s="0" t="s">
        <v>168</v>
      </c>
      <c r="BH36" s="0" t="s">
        <v>163</v>
      </c>
      <c r="BJ36" s="0" t="s">
        <v>5549</v>
      </c>
      <c r="BK36" s="0" t="s">
        <v>162</v>
      </c>
      <c r="BL36" s="0" t="s">
        <v>162</v>
      </c>
      <c r="BN36" s="0" t="n">
        <v>0.9</v>
      </c>
      <c r="BO36" s="0" t="s">
        <v>162</v>
      </c>
      <c r="BP36" s="0" t="n">
        <v>6</v>
      </c>
      <c r="BQ36" s="0" t="s">
        <v>5550</v>
      </c>
      <c r="BR36" s="0" t="s">
        <v>5551</v>
      </c>
      <c r="BS36" s="0" t="s">
        <v>5552</v>
      </c>
      <c r="BT36" s="0" t="s">
        <v>5553</v>
      </c>
      <c r="BU36" s="0" t="s">
        <v>4694</v>
      </c>
      <c r="BV36" s="0" t="n">
        <v>43</v>
      </c>
      <c r="BX36" s="0" t="s">
        <v>5554</v>
      </c>
      <c r="BY36" s="0" t="s">
        <v>5555</v>
      </c>
      <c r="CA36" s="0" t="s">
        <v>5556</v>
      </c>
      <c r="CB36" s="0" t="s">
        <v>5557</v>
      </c>
      <c r="CC36" s="0" t="s">
        <v>5558</v>
      </c>
      <c r="CD36" s="0" t="s">
        <v>5559</v>
      </c>
      <c r="CE36" s="0" t="s">
        <v>4612</v>
      </c>
      <c r="CF36" s="0" t="s">
        <v>171</v>
      </c>
      <c r="CG36" s="0" t="s">
        <v>5560</v>
      </c>
      <c r="CK36" s="0" t="s">
        <v>158</v>
      </c>
      <c r="CL36" s="0" t="n">
        <v>59</v>
      </c>
      <c r="CM36" s="0" t="n">
        <v>13</v>
      </c>
      <c r="CN36" s="0" t="n">
        <v>20</v>
      </c>
      <c r="CO36" s="0" t="n">
        <v>8</v>
      </c>
      <c r="CP36" s="0" t="n">
        <v>5</v>
      </c>
      <c r="CQ36" s="0" t="n">
        <v>7</v>
      </c>
      <c r="CR36" s="0" t="n">
        <v>10</v>
      </c>
      <c r="CS36" s="0" t="n">
        <f aca="false">IF(R36="Y",10,0)</f>
        <v>0</v>
      </c>
      <c r="CT36" s="0" t="n">
        <v>-4</v>
      </c>
      <c r="CU36" s="0" t="s">
        <v>5561</v>
      </c>
      <c r="CV36" s="0" t="s">
        <v>5562</v>
      </c>
      <c r="CW36" s="0" t="s">
        <v>5563</v>
      </c>
      <c r="CX36" s="0" t="s">
        <v>5564</v>
      </c>
      <c r="CY36" s="0" t="s">
        <v>5565</v>
      </c>
      <c r="CZ36" s="0" t="s">
        <v>5543</v>
      </c>
      <c r="DA36" s="0" t="s">
        <v>4620</v>
      </c>
      <c r="DC36" s="0" t="s">
        <v>1189</v>
      </c>
      <c r="DF36" s="0" t="s">
        <v>5566</v>
      </c>
      <c r="DY36" s="0" t="str">
        <f aca="false">IF(ISNUMBER(MATCH(U36,{"queued","contacted","replied","call_booked","call_done","yes_in_principle","materials_sent"},0)),"Y","N")</f>
        <v>N</v>
      </c>
      <c r="DZ36" s="0" t="str">
        <f aca="false">IF(COUNTIFS($AN$2:$AN$1000,AN36,$DY$2:$DY$1000,"Y")+COUNTIFS($AN$2:$AN$1000,AN36,$T$2:$T$1000,"Y")&gt;0,"Y","N")</f>
        <v>N</v>
      </c>
      <c r="EA36" s="0" t="str">
        <f aca="false">IF(AND(U36="new",T36="N",AR36="Y",AQ36="",DZ36="N"),"Y","N")</f>
        <v>Y</v>
      </c>
      <c r="EB36" s="0" t="str">
        <f aca="false">IF(EA36&lt;&gt;"Y","N",IF(COUNTIFS($AN$2:$AN$1000,AN36,$EA$2:$EA$1000,"Y",$J$2:$J$1000,"&gt;"&amp;J36)+COUNTIFS($AN$2:$AN$1000,AN36,$EA$2:$EA$1000,"Y",$J$2:$J$1000,J36,$ED$2:$ED$1000,"&lt;"&amp;ED36)=0,"Y","N"))</f>
        <v>Y</v>
      </c>
      <c r="EC36" s="0" t="str">
        <f aca="false">IF(Y36="","N",IF(Y36&lt;=10,"Y","N"))</f>
        <v>N</v>
      </c>
      <c r="ED36" s="0" t="n">
        <f aca="false">ROW()-1</f>
        <v>35</v>
      </c>
    </row>
    <row r="37" customFormat="false" ht="15" hidden="false" customHeight="false" outlineLevel="0" collapsed="false">
      <c r="A37" s="0" t="s">
        <v>5567</v>
      </c>
      <c r="B37" s="0" t="s">
        <v>5568</v>
      </c>
      <c r="C37" s="0" t="s">
        <v>5569</v>
      </c>
      <c r="D37" s="0" t="s">
        <v>5570</v>
      </c>
      <c r="E37" s="0" t="s">
        <v>4625</v>
      </c>
      <c r="H37" s="5" t="s">
        <v>158</v>
      </c>
      <c r="I37" s="5" t="s">
        <v>159</v>
      </c>
      <c r="J37" s="0" t="n">
        <f aca="false">IF(AU37="pass",CM37+CN37+CO37+CP37+CQ37+CR37+CS37+CT37,0)</f>
        <v>58</v>
      </c>
      <c r="K37" s="0" t="s">
        <v>5571</v>
      </c>
      <c r="M37" s="0" t="s">
        <v>4580</v>
      </c>
      <c r="N37" s="0" t="s">
        <v>4581</v>
      </c>
      <c r="O37" s="0" t="s">
        <v>5572</v>
      </c>
      <c r="P37" s="0" t="s">
        <v>5573</v>
      </c>
      <c r="Q37" s="0" t="s">
        <v>5574</v>
      </c>
      <c r="R37" s="5" t="s">
        <v>162</v>
      </c>
      <c r="S37" s="0" t="s">
        <v>163</v>
      </c>
      <c r="T37" s="5" t="s">
        <v>162</v>
      </c>
      <c r="U37" s="5" t="s">
        <v>561</v>
      </c>
      <c r="V37" s="0" t="s">
        <v>5575</v>
      </c>
      <c r="W37" s="0" t="s">
        <v>166</v>
      </c>
      <c r="X37" s="0" t="s">
        <v>4585</v>
      </c>
      <c r="Y37" s="0" t="n">
        <f aca="false">IF(EB37&lt;&gt;"Y","",COUNTIFS($EB$2:$EB$1000,"Y",$J$2:$J$1000,"&gt;"&amp;J37)+COUNTIFS($EB$2:$EB$1000,"Y",$J$2:$J$1000,J37,$ED$2:$ED$1000,"&lt;"&amp;ED37)+1)</f>
        <v>35</v>
      </c>
      <c r="Z37" s="0" t="n">
        <v>36</v>
      </c>
      <c r="AA37" s="0" t="s">
        <v>168</v>
      </c>
      <c r="AB37" s="0" t="s">
        <v>5576</v>
      </c>
      <c r="AC37" s="0" t="s">
        <v>4587</v>
      </c>
      <c r="AD37" s="0" t="s">
        <v>171</v>
      </c>
      <c r="AE37" s="0" t="s">
        <v>172</v>
      </c>
      <c r="AF37" s="0" t="s">
        <v>5575</v>
      </c>
      <c r="AG37" s="0" t="s">
        <v>174</v>
      </c>
      <c r="AH37" s="0" t="s">
        <v>5577</v>
      </c>
      <c r="AI37" s="0" t="s">
        <v>4664</v>
      </c>
      <c r="AJ37" s="0" t="s">
        <v>5578</v>
      </c>
      <c r="AK37" s="0" t="s">
        <v>5579</v>
      </c>
      <c r="AL37" s="0" t="s">
        <v>168</v>
      </c>
      <c r="AM37" s="0" t="s">
        <v>5580</v>
      </c>
      <c r="AN37" s="0" t="s">
        <v>5567</v>
      </c>
      <c r="AO37" s="5" t="s">
        <v>162</v>
      </c>
      <c r="AR37" s="0" t="str">
        <f aca="false">IF(AND(AU37="pass",AO37&lt;&gt;"Y",C37&lt;&gt;""),"Y","N")</f>
        <v>Y</v>
      </c>
      <c r="AS37" s="0" t="str">
        <f aca="false">_xlfn.TEXTJOIN("; ",TRUE(),IF(AU37&lt;&gt;"pass","gated out",""),IF(AO37="Y","on hold: "&amp;AP37,""),IF(C37="","no contact named on an opened page",""))</f>
        <v/>
      </c>
      <c r="AU37" s="0" t="s">
        <v>181</v>
      </c>
      <c r="AW37" s="0" t="s">
        <v>182</v>
      </c>
      <c r="AX37" s="0" t="s">
        <v>4594</v>
      </c>
      <c r="AY37" s="0" t="s">
        <v>5579</v>
      </c>
      <c r="AZ37" s="0" t="s">
        <v>4922</v>
      </c>
      <c r="BA37" s="0" t="s">
        <v>5191</v>
      </c>
      <c r="BB37" s="0" t="s">
        <v>163</v>
      </c>
      <c r="BD37" s="0" t="s">
        <v>168</v>
      </c>
      <c r="BE37" s="0" t="s">
        <v>5581</v>
      </c>
      <c r="BF37" s="0" t="s">
        <v>168</v>
      </c>
      <c r="BG37" s="0" t="s">
        <v>168</v>
      </c>
      <c r="BH37" s="0" t="s">
        <v>163</v>
      </c>
      <c r="BJ37" s="0" t="s">
        <v>163</v>
      </c>
      <c r="BK37" s="0" t="s">
        <v>162</v>
      </c>
      <c r="BL37" s="0" t="s">
        <v>162</v>
      </c>
      <c r="BN37" s="0" t="n">
        <v>0</v>
      </c>
      <c r="BO37" s="0" t="s">
        <v>168</v>
      </c>
      <c r="BP37" s="0" t="n">
        <v>3</v>
      </c>
      <c r="BQ37" s="0" t="s">
        <v>4669</v>
      </c>
      <c r="BS37" s="0" t="s">
        <v>4692</v>
      </c>
      <c r="BT37" s="0" t="s">
        <v>5582</v>
      </c>
      <c r="BU37" s="0" t="s">
        <v>4694</v>
      </c>
      <c r="BV37" s="0" t="n">
        <v>15</v>
      </c>
      <c r="BX37" s="0" t="s">
        <v>5583</v>
      </c>
      <c r="BY37" s="0" t="s">
        <v>5584</v>
      </c>
      <c r="CA37" s="0" t="s">
        <v>5585</v>
      </c>
      <c r="CB37" s="0" t="s">
        <v>5586</v>
      </c>
      <c r="CC37" s="0" t="s">
        <v>5587</v>
      </c>
      <c r="CD37" s="0" t="s">
        <v>4625</v>
      </c>
      <c r="CE37" s="0" t="s">
        <v>4808</v>
      </c>
      <c r="CF37" s="0" t="s">
        <v>171</v>
      </c>
      <c r="CG37" s="0" t="s">
        <v>5588</v>
      </c>
      <c r="CK37" s="0" t="s">
        <v>158</v>
      </c>
      <c r="CL37" s="0" t="n">
        <v>58</v>
      </c>
      <c r="CM37" s="0" t="n">
        <v>25</v>
      </c>
      <c r="CN37" s="0" t="n">
        <v>8</v>
      </c>
      <c r="CO37" s="0" t="n">
        <v>8</v>
      </c>
      <c r="CP37" s="0" t="n">
        <v>5</v>
      </c>
      <c r="CQ37" s="0" t="n">
        <v>10</v>
      </c>
      <c r="CR37" s="0" t="n">
        <v>6</v>
      </c>
      <c r="CS37" s="0" t="n">
        <f aca="false">IF(R37="Y",10,0)</f>
        <v>0</v>
      </c>
      <c r="CT37" s="0" t="n">
        <v>-4</v>
      </c>
      <c r="CU37" s="0" t="s">
        <v>5589</v>
      </c>
      <c r="CV37" s="0" t="s">
        <v>4703</v>
      </c>
      <c r="CW37" s="0" t="s">
        <v>5590</v>
      </c>
      <c r="CX37" s="0" t="s">
        <v>5591</v>
      </c>
      <c r="CY37" s="0" t="s">
        <v>5592</v>
      </c>
      <c r="CZ37" s="0" t="s">
        <v>5575</v>
      </c>
      <c r="DA37" s="0" t="s">
        <v>4620</v>
      </c>
      <c r="DC37" s="0" t="s">
        <v>172</v>
      </c>
      <c r="DY37" s="0" t="str">
        <f aca="false">IF(ISNUMBER(MATCH(U37,{"queued","contacted","replied","call_booked","call_done","yes_in_principle","materials_sent"},0)),"Y","N")</f>
        <v>N</v>
      </c>
      <c r="DZ37" s="0" t="str">
        <f aca="false">IF(COUNTIFS($AN$2:$AN$1000,AN37,$DY$2:$DY$1000,"Y")+COUNTIFS($AN$2:$AN$1000,AN37,$T$2:$T$1000,"Y")&gt;0,"Y","N")</f>
        <v>N</v>
      </c>
      <c r="EA37" s="0" t="str">
        <f aca="false">IF(AND(U37="new",T37="N",AR37="Y",AQ37="",DZ37="N"),"Y","N")</f>
        <v>Y</v>
      </c>
      <c r="EB37" s="0" t="str">
        <f aca="false">IF(EA37&lt;&gt;"Y","N",IF(COUNTIFS($AN$2:$AN$1000,AN37,$EA$2:$EA$1000,"Y",$J$2:$J$1000,"&gt;"&amp;J37)+COUNTIFS($AN$2:$AN$1000,AN37,$EA$2:$EA$1000,"Y",$J$2:$J$1000,J37,$ED$2:$ED$1000,"&lt;"&amp;ED37)=0,"Y","N"))</f>
        <v>Y</v>
      </c>
      <c r="EC37" s="0" t="str">
        <f aca="false">IF(Y37="","N",IF(Y37&lt;=10,"Y","N"))</f>
        <v>N</v>
      </c>
      <c r="ED37" s="0" t="n">
        <f aca="false">ROW()-1</f>
        <v>36</v>
      </c>
    </row>
    <row r="38" customFormat="false" ht="15" hidden="false" customHeight="false" outlineLevel="0" collapsed="false">
      <c r="A38" s="0" t="s">
        <v>5593</v>
      </c>
      <c r="B38" s="0" t="s">
        <v>5594</v>
      </c>
      <c r="C38" s="0" t="s">
        <v>155</v>
      </c>
      <c r="D38" s="0" t="s">
        <v>5595</v>
      </c>
      <c r="E38" s="0" t="s">
        <v>4625</v>
      </c>
      <c r="H38" s="5" t="s">
        <v>158</v>
      </c>
      <c r="I38" s="5" t="s">
        <v>159</v>
      </c>
      <c r="J38" s="0" t="n">
        <f aca="false">IF(AU38="pass",CM38+CN38+CO38+CP38+CQ38+CR38+CS38+CT38,0)</f>
        <v>57</v>
      </c>
      <c r="K38" s="0" t="s">
        <v>5596</v>
      </c>
      <c r="M38" s="0" t="s">
        <v>4580</v>
      </c>
      <c r="N38" s="0" t="s">
        <v>4581</v>
      </c>
      <c r="O38" s="0" t="s">
        <v>5597</v>
      </c>
      <c r="P38" s="0" t="s">
        <v>5598</v>
      </c>
      <c r="Q38" s="0" t="s">
        <v>2613</v>
      </c>
      <c r="R38" s="5" t="s">
        <v>162</v>
      </c>
      <c r="S38" s="0" t="s">
        <v>163</v>
      </c>
      <c r="T38" s="5" t="s">
        <v>162</v>
      </c>
      <c r="U38" s="5" t="s">
        <v>561</v>
      </c>
      <c r="V38" s="0" t="s">
        <v>5598</v>
      </c>
      <c r="W38" s="0" t="s">
        <v>174</v>
      </c>
      <c r="X38" s="0" t="s">
        <v>4585</v>
      </c>
      <c r="Y38" s="0" t="n">
        <f aca="false">IF(EB38&lt;&gt;"Y","",COUNTIFS($EB$2:$EB$1000,"Y",$J$2:$J$1000,"&gt;"&amp;J38)+COUNTIFS($EB$2:$EB$1000,"Y",$J$2:$J$1000,J38,$ED$2:$ED$1000,"&lt;"&amp;ED38)+1)</f>
        <v>36</v>
      </c>
      <c r="Z38" s="0" t="n">
        <v>37</v>
      </c>
      <c r="AA38" s="0" t="s">
        <v>168</v>
      </c>
      <c r="AB38" s="0" t="s">
        <v>5599</v>
      </c>
      <c r="AC38" s="0" t="s">
        <v>4587</v>
      </c>
      <c r="AD38" s="0" t="s">
        <v>171</v>
      </c>
      <c r="AE38" s="0" t="s">
        <v>1189</v>
      </c>
      <c r="AF38" s="0" t="s">
        <v>5600</v>
      </c>
      <c r="AG38" s="0" t="s">
        <v>174</v>
      </c>
      <c r="AH38" s="0" t="s">
        <v>5601</v>
      </c>
      <c r="AI38" s="0" t="s">
        <v>4633</v>
      </c>
      <c r="AJ38" s="0" t="s">
        <v>5602</v>
      </c>
      <c r="AK38" s="0" t="s">
        <v>5603</v>
      </c>
      <c r="AL38" s="0" t="s">
        <v>168</v>
      </c>
      <c r="AM38" s="0" t="s">
        <v>5604</v>
      </c>
      <c r="AN38" s="0" t="s">
        <v>5593</v>
      </c>
      <c r="AO38" s="5" t="s">
        <v>162</v>
      </c>
      <c r="AR38" s="0" t="str">
        <f aca="false">IF(AND(AU38="pass",AO38&lt;&gt;"Y",C38&lt;&gt;""),"Y","N")</f>
        <v>Y</v>
      </c>
      <c r="AS38" s="0" t="str">
        <f aca="false">_xlfn.TEXTJOIN("; ",TRUE(),IF(AU38&lt;&gt;"pass","gated out",""),IF(AO38="Y","on hold: "&amp;AP38,""),IF(C38="","no contact named on an opened page",""))</f>
        <v/>
      </c>
      <c r="AU38" s="0" t="s">
        <v>181</v>
      </c>
      <c r="AW38" s="0" t="s">
        <v>182</v>
      </c>
      <c r="AX38" s="0" t="s">
        <v>5605</v>
      </c>
      <c r="AY38" s="0" t="s">
        <v>5606</v>
      </c>
      <c r="AZ38" s="0" t="s">
        <v>5190</v>
      </c>
      <c r="BA38" s="0" t="s">
        <v>5191</v>
      </c>
      <c r="BB38" s="0" t="s">
        <v>163</v>
      </c>
      <c r="BD38" s="0" t="s">
        <v>168</v>
      </c>
      <c r="BE38" s="0" t="s">
        <v>5607</v>
      </c>
      <c r="BF38" s="0" t="s">
        <v>168</v>
      </c>
      <c r="BG38" s="0" t="s">
        <v>168</v>
      </c>
      <c r="BH38" s="0" t="s">
        <v>163</v>
      </c>
      <c r="BJ38" s="0" t="s">
        <v>5608</v>
      </c>
      <c r="BK38" s="0" t="s">
        <v>162</v>
      </c>
      <c r="BL38" s="0" t="s">
        <v>162</v>
      </c>
      <c r="BN38" s="0" t="n">
        <v>0</v>
      </c>
      <c r="BO38" s="0" t="s">
        <v>168</v>
      </c>
      <c r="BP38" s="0" t="n">
        <v>3</v>
      </c>
      <c r="BQ38" s="0" t="s">
        <v>4669</v>
      </c>
      <c r="BS38" s="0" t="s">
        <v>5609</v>
      </c>
      <c r="BT38" s="0" t="s">
        <v>5610</v>
      </c>
      <c r="BU38" s="0" t="s">
        <v>4604</v>
      </c>
      <c r="BV38" s="0" t="n">
        <v>5</v>
      </c>
      <c r="BX38" s="0" t="s">
        <v>5611</v>
      </c>
      <c r="BY38" s="0" t="s">
        <v>5612</v>
      </c>
      <c r="CA38" s="0" t="s">
        <v>5613</v>
      </c>
      <c r="CB38" s="0" t="s">
        <v>5614</v>
      </c>
      <c r="CC38" s="0" t="s">
        <v>5615</v>
      </c>
      <c r="CD38" s="0" t="s">
        <v>4625</v>
      </c>
      <c r="CE38" s="0" t="s">
        <v>4808</v>
      </c>
      <c r="CF38" s="0" t="s">
        <v>171</v>
      </c>
      <c r="CG38" s="0" t="s">
        <v>5616</v>
      </c>
      <c r="CK38" s="0" t="s">
        <v>158</v>
      </c>
      <c r="CL38" s="0" t="n">
        <v>57</v>
      </c>
      <c r="CM38" s="0" t="n">
        <v>25</v>
      </c>
      <c r="CN38" s="0" t="n">
        <v>8</v>
      </c>
      <c r="CO38" s="0" t="n">
        <v>15</v>
      </c>
      <c r="CP38" s="0" t="n">
        <v>5</v>
      </c>
      <c r="CQ38" s="0" t="n">
        <v>10</v>
      </c>
      <c r="CR38" s="0" t="n">
        <v>6</v>
      </c>
      <c r="CS38" s="0" t="n">
        <f aca="false">IF(R38="Y",10,0)</f>
        <v>0</v>
      </c>
      <c r="CT38" s="0" t="n">
        <v>-12</v>
      </c>
      <c r="CU38" s="0" t="s">
        <v>5617</v>
      </c>
      <c r="CV38" s="0" t="s">
        <v>5150</v>
      </c>
      <c r="CW38" s="0" t="s">
        <v>5618</v>
      </c>
      <c r="CX38" s="0" t="s">
        <v>5619</v>
      </c>
      <c r="CZ38" s="0" t="s">
        <v>5600</v>
      </c>
      <c r="DA38" s="0" t="s">
        <v>4620</v>
      </c>
      <c r="DC38" s="0" t="s">
        <v>1189</v>
      </c>
      <c r="DY38" s="0" t="str">
        <f aca="false">IF(ISNUMBER(MATCH(U38,{"queued","contacted","replied","call_booked","call_done","yes_in_principle","materials_sent"},0)),"Y","N")</f>
        <v>N</v>
      </c>
      <c r="DZ38" s="0" t="str">
        <f aca="false">IF(COUNTIFS($AN$2:$AN$1000,AN38,$DY$2:$DY$1000,"Y")+COUNTIFS($AN$2:$AN$1000,AN38,$T$2:$T$1000,"Y")&gt;0,"Y","N")</f>
        <v>N</v>
      </c>
      <c r="EA38" s="0" t="str">
        <f aca="false">IF(AND(U38="new",T38="N",AR38="Y",AQ38="",DZ38="N"),"Y","N")</f>
        <v>Y</v>
      </c>
      <c r="EB38" s="0" t="str">
        <f aca="false">IF(EA38&lt;&gt;"Y","N",IF(COUNTIFS($AN$2:$AN$1000,AN38,$EA$2:$EA$1000,"Y",$J$2:$J$1000,"&gt;"&amp;J38)+COUNTIFS($AN$2:$AN$1000,AN38,$EA$2:$EA$1000,"Y",$J$2:$J$1000,J38,$ED$2:$ED$1000,"&lt;"&amp;ED38)=0,"Y","N"))</f>
        <v>Y</v>
      </c>
      <c r="EC38" s="0" t="str">
        <f aca="false">IF(Y38="","N",IF(Y38&lt;=10,"Y","N"))</f>
        <v>N</v>
      </c>
      <c r="ED38" s="0" t="n">
        <f aca="false">ROW()-1</f>
        <v>37</v>
      </c>
    </row>
    <row r="39" customFormat="false" ht="15" hidden="false" customHeight="false" outlineLevel="0" collapsed="false">
      <c r="A39" s="0" t="s">
        <v>5620</v>
      </c>
      <c r="B39" s="0" t="s">
        <v>5621</v>
      </c>
      <c r="C39" s="0" t="s">
        <v>5622</v>
      </c>
      <c r="D39" s="0" t="s">
        <v>5623</v>
      </c>
      <c r="E39" s="0" t="s">
        <v>5624</v>
      </c>
      <c r="H39" s="5" t="s">
        <v>158</v>
      </c>
      <c r="I39" s="5" t="s">
        <v>159</v>
      </c>
      <c r="J39" s="0" t="n">
        <f aca="false">IF(AU39="pass",CM39+CN39+CO39+CP39+CQ39+CR39+CS39+CT39,0)</f>
        <v>57</v>
      </c>
      <c r="K39" s="0" t="s">
        <v>5625</v>
      </c>
      <c r="M39" s="0" t="s">
        <v>4580</v>
      </c>
      <c r="N39" s="0" t="s">
        <v>4581</v>
      </c>
      <c r="R39" s="5" t="s">
        <v>162</v>
      </c>
      <c r="S39" s="0" t="s">
        <v>163</v>
      </c>
      <c r="T39" s="5" t="s">
        <v>162</v>
      </c>
      <c r="U39" s="5" t="s">
        <v>561</v>
      </c>
      <c r="V39" s="0" t="s">
        <v>5626</v>
      </c>
      <c r="W39" s="0" t="s">
        <v>166</v>
      </c>
      <c r="X39" s="0" t="s">
        <v>4585</v>
      </c>
      <c r="Y39" s="0" t="n">
        <f aca="false">IF(EB39&lt;&gt;"Y","",COUNTIFS($EB$2:$EB$1000,"Y",$J$2:$J$1000,"&gt;"&amp;J39)+COUNTIFS($EB$2:$EB$1000,"Y",$J$2:$J$1000,J39,$ED$2:$ED$1000,"&lt;"&amp;ED39)+1)</f>
        <v>37</v>
      </c>
      <c r="Z39" s="0" t="n">
        <v>38</v>
      </c>
      <c r="AA39" s="0" t="s">
        <v>168</v>
      </c>
      <c r="AB39" s="0" t="s">
        <v>5627</v>
      </c>
      <c r="AC39" s="0" t="s">
        <v>4587</v>
      </c>
      <c r="AD39" s="0" t="s">
        <v>171</v>
      </c>
      <c r="AE39" s="0" t="s">
        <v>172</v>
      </c>
      <c r="AF39" s="0" t="s">
        <v>5626</v>
      </c>
      <c r="AG39" s="0" t="s">
        <v>174</v>
      </c>
      <c r="AH39" s="0" t="s">
        <v>5628</v>
      </c>
      <c r="AI39" s="0" t="s">
        <v>4633</v>
      </c>
      <c r="AJ39" s="0" t="s">
        <v>5629</v>
      </c>
      <c r="AL39" s="0" t="s">
        <v>168</v>
      </c>
      <c r="AM39" s="0" t="s">
        <v>5630</v>
      </c>
      <c r="AN39" s="0" t="s">
        <v>5620</v>
      </c>
      <c r="AO39" s="5" t="s">
        <v>162</v>
      </c>
      <c r="AR39" s="0" t="str">
        <f aca="false">IF(AND(AU39="pass",AO39&lt;&gt;"Y",C39&lt;&gt;""),"Y","N")</f>
        <v>Y</v>
      </c>
      <c r="AS39" s="0" t="str">
        <f aca="false">_xlfn.TEXTJOIN("; ",TRUE(),IF(AU39&lt;&gt;"pass","gated out",""),IF(AO39="Y","on hold: "&amp;AP39,""),IF(C39="","no contact named on an opened page",""))</f>
        <v/>
      </c>
      <c r="AU39" s="0" t="s">
        <v>181</v>
      </c>
      <c r="AW39" s="0" t="s">
        <v>182</v>
      </c>
      <c r="AX39" s="0" t="s">
        <v>4828</v>
      </c>
      <c r="AY39" s="0" t="s">
        <v>5631</v>
      </c>
      <c r="AZ39" s="0" t="s">
        <v>4595</v>
      </c>
      <c r="BA39" s="0" t="s">
        <v>4596</v>
      </c>
      <c r="BB39" s="0" t="s">
        <v>163</v>
      </c>
      <c r="BD39" s="0" t="s">
        <v>168</v>
      </c>
      <c r="BE39" s="0" t="s">
        <v>5632</v>
      </c>
      <c r="BF39" s="0" t="s">
        <v>162</v>
      </c>
      <c r="BG39" s="0" t="s">
        <v>163</v>
      </c>
      <c r="BH39" s="0" t="s">
        <v>163</v>
      </c>
      <c r="BJ39" s="0" t="s">
        <v>163</v>
      </c>
      <c r="BK39" s="0" t="s">
        <v>162</v>
      </c>
      <c r="BL39" s="0" t="s">
        <v>162</v>
      </c>
      <c r="BN39" s="0" t="n">
        <v>0</v>
      </c>
      <c r="BO39" s="0" t="s">
        <v>168</v>
      </c>
      <c r="BP39" s="0" t="n">
        <v>2</v>
      </c>
      <c r="BQ39" s="0" t="s">
        <v>4781</v>
      </c>
      <c r="BR39" s="0" t="s">
        <v>4670</v>
      </c>
      <c r="BS39" s="0" t="s">
        <v>5633</v>
      </c>
      <c r="BT39" s="0" t="s">
        <v>5634</v>
      </c>
      <c r="BU39" s="0" t="s">
        <v>158</v>
      </c>
      <c r="BX39" s="0" t="s">
        <v>5635</v>
      </c>
      <c r="BY39" s="0" t="s">
        <v>5636</v>
      </c>
      <c r="CA39" s="0" t="s">
        <v>5637</v>
      </c>
      <c r="CB39" s="0" t="s">
        <v>1077</v>
      </c>
      <c r="CC39" s="0" t="s">
        <v>5623</v>
      </c>
      <c r="CD39" s="0" t="s">
        <v>4625</v>
      </c>
      <c r="CE39" s="0" t="s">
        <v>4808</v>
      </c>
      <c r="CF39" s="0" t="s">
        <v>171</v>
      </c>
      <c r="CG39" s="0" t="s">
        <v>5616</v>
      </c>
      <c r="CK39" s="0" t="s">
        <v>158</v>
      </c>
      <c r="CL39" s="0" t="n">
        <v>57</v>
      </c>
      <c r="CM39" s="0" t="n">
        <v>25</v>
      </c>
      <c r="CN39" s="0" t="n">
        <v>20</v>
      </c>
      <c r="CO39" s="0" t="n">
        <v>0</v>
      </c>
      <c r="CP39" s="0" t="n">
        <v>5</v>
      </c>
      <c r="CQ39" s="0" t="n">
        <v>5</v>
      </c>
      <c r="CR39" s="0" t="n">
        <v>6</v>
      </c>
      <c r="CS39" s="0" t="n">
        <f aca="false">IF(R39="Y",10,0)</f>
        <v>0</v>
      </c>
      <c r="CT39" s="0" t="n">
        <v>-4</v>
      </c>
      <c r="CV39" s="0" t="s">
        <v>4615</v>
      </c>
      <c r="CW39" s="0" t="s">
        <v>5638</v>
      </c>
      <c r="CX39" s="0" t="s">
        <v>5639</v>
      </c>
      <c r="CY39" s="0" t="s">
        <v>5640</v>
      </c>
      <c r="CZ39" s="0" t="s">
        <v>5626</v>
      </c>
      <c r="DA39" s="0" t="s">
        <v>4620</v>
      </c>
      <c r="DC39" s="0" t="s">
        <v>172</v>
      </c>
      <c r="DY39" s="0" t="str">
        <f aca="false">IF(ISNUMBER(MATCH(U39,{"queued","contacted","replied","call_booked","call_done","yes_in_principle","materials_sent"},0)),"Y","N")</f>
        <v>N</v>
      </c>
      <c r="DZ39" s="0" t="str">
        <f aca="false">IF(COUNTIFS($AN$2:$AN$1000,AN39,$DY$2:$DY$1000,"Y")+COUNTIFS($AN$2:$AN$1000,AN39,$T$2:$T$1000,"Y")&gt;0,"Y","N")</f>
        <v>N</v>
      </c>
      <c r="EA39" s="0" t="str">
        <f aca="false">IF(AND(U39="new",T39="N",AR39="Y",AQ39="",DZ39="N"),"Y","N")</f>
        <v>Y</v>
      </c>
      <c r="EB39" s="0" t="str">
        <f aca="false">IF(EA39&lt;&gt;"Y","N",IF(COUNTIFS($AN$2:$AN$1000,AN39,$EA$2:$EA$1000,"Y",$J$2:$J$1000,"&gt;"&amp;J39)+COUNTIFS($AN$2:$AN$1000,AN39,$EA$2:$EA$1000,"Y",$J$2:$J$1000,J39,$ED$2:$ED$1000,"&lt;"&amp;ED39)=0,"Y","N"))</f>
        <v>Y</v>
      </c>
      <c r="EC39" s="0" t="str">
        <f aca="false">IF(Y39="","N",IF(Y39&lt;=10,"Y","N"))</f>
        <v>N</v>
      </c>
      <c r="ED39" s="0" t="n">
        <f aca="false">ROW()-1</f>
        <v>38</v>
      </c>
    </row>
    <row r="40" customFormat="false" ht="15" hidden="false" customHeight="false" outlineLevel="0" collapsed="false">
      <c r="A40" s="0" t="s">
        <v>5641</v>
      </c>
      <c r="B40" s="0" t="s">
        <v>5642</v>
      </c>
      <c r="C40" s="0" t="s">
        <v>5643</v>
      </c>
      <c r="D40" s="0" t="s">
        <v>5644</v>
      </c>
      <c r="E40" s="0" t="s">
        <v>4656</v>
      </c>
      <c r="H40" s="5" t="s">
        <v>158</v>
      </c>
      <c r="I40" s="5" t="s">
        <v>159</v>
      </c>
      <c r="J40" s="0" t="n">
        <f aca="false">IF(AU40="pass",CM40+CN40+CO40+CP40+CQ40+CR40+CS40+CT40,0)</f>
        <v>56</v>
      </c>
      <c r="K40" s="0" t="s">
        <v>5645</v>
      </c>
      <c r="M40" s="0" t="s">
        <v>4580</v>
      </c>
      <c r="N40" s="0" t="s">
        <v>4581</v>
      </c>
      <c r="O40" s="0" t="s">
        <v>5646</v>
      </c>
      <c r="P40" s="0" t="s">
        <v>5647</v>
      </c>
      <c r="Q40" s="0" t="s">
        <v>5648</v>
      </c>
      <c r="R40" s="5" t="s">
        <v>162</v>
      </c>
      <c r="S40" s="0" t="s">
        <v>163</v>
      </c>
      <c r="T40" s="5" t="s">
        <v>162</v>
      </c>
      <c r="U40" s="5" t="s">
        <v>561</v>
      </c>
      <c r="V40" s="0" t="s">
        <v>5649</v>
      </c>
      <c r="W40" s="0" t="s">
        <v>166</v>
      </c>
      <c r="X40" s="0" t="s">
        <v>4585</v>
      </c>
      <c r="Y40" s="0" t="n">
        <f aca="false">IF(EB40&lt;&gt;"Y","",COUNTIFS($EB$2:$EB$1000,"Y",$J$2:$J$1000,"&gt;"&amp;J40)+COUNTIFS($EB$2:$EB$1000,"Y",$J$2:$J$1000,J40,$ED$2:$ED$1000,"&lt;"&amp;ED40)+1)</f>
        <v>38</v>
      </c>
      <c r="Z40" s="0" t="n">
        <v>39</v>
      </c>
      <c r="AA40" s="0" t="s">
        <v>168</v>
      </c>
      <c r="AB40" s="0" t="s">
        <v>5650</v>
      </c>
      <c r="AC40" s="0" t="s">
        <v>4587</v>
      </c>
      <c r="AD40" s="0" t="s">
        <v>171</v>
      </c>
      <c r="AE40" s="0" t="s">
        <v>1189</v>
      </c>
      <c r="AF40" s="0" t="s">
        <v>5651</v>
      </c>
      <c r="AG40" s="0" t="s">
        <v>174</v>
      </c>
      <c r="AH40" s="0" t="s">
        <v>5652</v>
      </c>
      <c r="AI40" s="0" t="s">
        <v>5653</v>
      </c>
      <c r="AJ40" s="0" t="s">
        <v>5654</v>
      </c>
      <c r="AK40" s="0" t="s">
        <v>5655</v>
      </c>
      <c r="AL40" s="0" t="s">
        <v>168</v>
      </c>
      <c r="AM40" s="0" t="s">
        <v>5656</v>
      </c>
      <c r="AN40" s="0" t="s">
        <v>5641</v>
      </c>
      <c r="AO40" s="5" t="s">
        <v>162</v>
      </c>
      <c r="AR40" s="0" t="str">
        <f aca="false">IF(AND(AU40="pass",AO40&lt;&gt;"Y",C40&lt;&gt;""),"Y","N")</f>
        <v>Y</v>
      </c>
      <c r="AS40" s="0" t="str">
        <f aca="false">_xlfn.TEXTJOIN("; ",TRUE(),IF(AU40&lt;&gt;"pass","gated out",""),IF(AO40="Y","on hold: "&amp;AP40,""),IF(C40="","no contact named on an opened page",""))</f>
        <v/>
      </c>
      <c r="AU40" s="0" t="s">
        <v>181</v>
      </c>
      <c r="AW40" s="0" t="s">
        <v>182</v>
      </c>
      <c r="AX40" s="0" t="s">
        <v>5605</v>
      </c>
      <c r="AY40" s="0" t="s">
        <v>5655</v>
      </c>
      <c r="AZ40" s="0" t="s">
        <v>5657</v>
      </c>
      <c r="BA40" s="0" t="s">
        <v>5329</v>
      </c>
      <c r="BB40" s="0" t="s">
        <v>163</v>
      </c>
      <c r="BD40" s="0" t="s">
        <v>168</v>
      </c>
      <c r="BE40" s="0" t="s">
        <v>5658</v>
      </c>
      <c r="BF40" s="0" t="s">
        <v>168</v>
      </c>
      <c r="BG40" s="0" t="s">
        <v>168</v>
      </c>
      <c r="BH40" s="0" t="s">
        <v>163</v>
      </c>
      <c r="BJ40" s="0" t="s">
        <v>163</v>
      </c>
      <c r="BK40" s="0" t="s">
        <v>162</v>
      </c>
      <c r="BL40" s="0" t="s">
        <v>162</v>
      </c>
      <c r="BN40" s="0" t="n">
        <v>0</v>
      </c>
      <c r="BO40" s="0" t="s">
        <v>168</v>
      </c>
      <c r="BP40" s="0" t="n">
        <v>3</v>
      </c>
      <c r="BQ40" s="0" t="s">
        <v>4669</v>
      </c>
      <c r="BS40" s="0" t="s">
        <v>5659</v>
      </c>
      <c r="BT40" s="0" t="s">
        <v>5660</v>
      </c>
      <c r="BU40" s="0" t="s">
        <v>4604</v>
      </c>
      <c r="BV40" s="0" t="n">
        <v>66</v>
      </c>
      <c r="BX40" s="0" t="s">
        <v>5661</v>
      </c>
      <c r="BY40" s="0" t="s">
        <v>5662</v>
      </c>
      <c r="CA40" s="0" t="s">
        <v>5663</v>
      </c>
      <c r="CB40" s="0" t="s">
        <v>5664</v>
      </c>
      <c r="CC40" s="0" t="s">
        <v>5665</v>
      </c>
      <c r="CD40" s="0" t="s">
        <v>4700</v>
      </c>
      <c r="CE40" s="0" t="s">
        <v>4612</v>
      </c>
      <c r="CF40" s="0" t="s">
        <v>171</v>
      </c>
      <c r="CG40" s="0" t="s">
        <v>5666</v>
      </c>
      <c r="CK40" s="0" t="s">
        <v>158</v>
      </c>
      <c r="CL40" s="0" t="n">
        <v>56</v>
      </c>
      <c r="CM40" s="0" t="n">
        <v>25</v>
      </c>
      <c r="CN40" s="0" t="n">
        <v>3</v>
      </c>
      <c r="CO40" s="0" t="n">
        <v>15</v>
      </c>
      <c r="CP40" s="0" t="n">
        <v>5</v>
      </c>
      <c r="CQ40" s="0" t="n">
        <v>10</v>
      </c>
      <c r="CR40" s="0" t="n">
        <v>10</v>
      </c>
      <c r="CS40" s="0" t="n">
        <f aca="false">IF(R40="Y",10,0)</f>
        <v>0</v>
      </c>
      <c r="CT40" s="0" t="n">
        <v>-12</v>
      </c>
      <c r="CU40" s="0" t="s">
        <v>5667</v>
      </c>
      <c r="CV40" s="0" t="s">
        <v>4703</v>
      </c>
      <c r="CW40" s="0" t="s">
        <v>5668</v>
      </c>
      <c r="CX40" s="0" t="s">
        <v>5669</v>
      </c>
      <c r="CY40" s="0" t="s">
        <v>5670</v>
      </c>
      <c r="CZ40" s="0" t="s">
        <v>5671</v>
      </c>
      <c r="DA40" s="0" t="s">
        <v>4620</v>
      </c>
      <c r="DB40" s="0" t="s">
        <v>5342</v>
      </c>
      <c r="DC40" s="0" t="s">
        <v>230</v>
      </c>
      <c r="DD40" s="0" t="s">
        <v>3155</v>
      </c>
      <c r="DY40" s="0" t="str">
        <f aca="false">IF(ISNUMBER(MATCH(U40,{"queued","contacted","replied","call_booked","call_done","yes_in_principle","materials_sent"},0)),"Y","N")</f>
        <v>N</v>
      </c>
      <c r="DZ40" s="0" t="str">
        <f aca="false">IF(COUNTIFS($AN$2:$AN$1000,AN40,$DY$2:$DY$1000,"Y")+COUNTIFS($AN$2:$AN$1000,AN40,$T$2:$T$1000,"Y")&gt;0,"Y","N")</f>
        <v>N</v>
      </c>
      <c r="EA40" s="0" t="str">
        <f aca="false">IF(AND(U40="new",T40="N",AR40="Y",AQ40="",DZ40="N"),"Y","N")</f>
        <v>Y</v>
      </c>
      <c r="EB40" s="0" t="str">
        <f aca="false">IF(EA40&lt;&gt;"Y","N",IF(COUNTIFS($AN$2:$AN$1000,AN40,$EA$2:$EA$1000,"Y",$J$2:$J$1000,"&gt;"&amp;J40)+COUNTIFS($AN$2:$AN$1000,AN40,$EA$2:$EA$1000,"Y",$J$2:$J$1000,J40,$ED$2:$ED$1000,"&lt;"&amp;ED40)=0,"Y","N"))</f>
        <v>Y</v>
      </c>
      <c r="EC40" s="0" t="str">
        <f aca="false">IF(Y40="","N",IF(Y40&lt;=10,"Y","N"))</f>
        <v>N</v>
      </c>
      <c r="ED40" s="0" t="n">
        <f aca="false">ROW()-1</f>
        <v>39</v>
      </c>
    </row>
    <row r="41" customFormat="false" ht="15" hidden="false" customHeight="false" outlineLevel="0" collapsed="false">
      <c r="A41" s="0" t="s">
        <v>5672</v>
      </c>
      <c r="B41" s="0" t="s">
        <v>5673</v>
      </c>
      <c r="C41" s="0" t="s">
        <v>5674</v>
      </c>
      <c r="D41" s="0" t="s">
        <v>5675</v>
      </c>
      <c r="E41" s="0" t="s">
        <v>4771</v>
      </c>
      <c r="H41" s="5" t="s">
        <v>158</v>
      </c>
      <c r="I41" s="5" t="s">
        <v>159</v>
      </c>
      <c r="J41" s="0" t="n">
        <f aca="false">IF(AU41="pass",CM41+CN41+CO41+CP41+CQ41+CR41+CS41+CT41,0)</f>
        <v>55</v>
      </c>
      <c r="K41" s="0" t="s">
        <v>5676</v>
      </c>
      <c r="M41" s="0" t="s">
        <v>4580</v>
      </c>
      <c r="N41" s="0" t="s">
        <v>4581</v>
      </c>
      <c r="O41" s="0" t="s">
        <v>5677</v>
      </c>
      <c r="P41" s="0" t="s">
        <v>5678</v>
      </c>
      <c r="Q41" s="0" t="s">
        <v>5679</v>
      </c>
      <c r="R41" s="5" t="s">
        <v>162</v>
      </c>
      <c r="S41" s="0" t="s">
        <v>168</v>
      </c>
      <c r="T41" s="5" t="s">
        <v>162</v>
      </c>
      <c r="U41" s="5" t="s">
        <v>561</v>
      </c>
      <c r="V41" s="0" t="s">
        <v>5680</v>
      </c>
      <c r="W41" s="0" t="s">
        <v>166</v>
      </c>
      <c r="X41" s="0" t="s">
        <v>4585</v>
      </c>
      <c r="Y41" s="0" t="n">
        <f aca="false">IF(EB41&lt;&gt;"Y","",COUNTIFS($EB$2:$EB$1000,"Y",$J$2:$J$1000,"&gt;"&amp;J41)+COUNTIFS($EB$2:$EB$1000,"Y",$J$2:$J$1000,J41,$ED$2:$ED$1000,"&lt;"&amp;ED41)+1)</f>
        <v>39</v>
      </c>
      <c r="Z41" s="0" t="n">
        <v>40</v>
      </c>
      <c r="AA41" s="0" t="s">
        <v>168</v>
      </c>
      <c r="AB41" s="0" t="s">
        <v>5681</v>
      </c>
      <c r="AC41" s="0" t="s">
        <v>4587</v>
      </c>
      <c r="AD41" s="0" t="s">
        <v>171</v>
      </c>
      <c r="AE41" s="0" t="s">
        <v>1189</v>
      </c>
      <c r="AF41" s="0" t="s">
        <v>5682</v>
      </c>
      <c r="AG41" s="0" t="s">
        <v>174</v>
      </c>
      <c r="AH41" s="0" t="s">
        <v>5683</v>
      </c>
      <c r="AI41" s="0" t="s">
        <v>4722</v>
      </c>
      <c r="AJ41" s="0" t="s">
        <v>2549</v>
      </c>
      <c r="AK41" s="0" t="s">
        <v>5684</v>
      </c>
      <c r="AL41" s="0" t="s">
        <v>168</v>
      </c>
      <c r="AM41" s="0" t="s">
        <v>5685</v>
      </c>
      <c r="AN41" s="0" t="s">
        <v>5672</v>
      </c>
      <c r="AO41" s="5" t="s">
        <v>162</v>
      </c>
      <c r="AR41" s="0" t="str">
        <f aca="false">IF(AND(AU41="pass",AO41&lt;&gt;"Y",C41&lt;&gt;""),"Y","N")</f>
        <v>Y</v>
      </c>
      <c r="AS41" s="0" t="str">
        <f aca="false">_xlfn.TEXTJOIN("; ",TRUE(),IF(AU41&lt;&gt;"pass","gated out",""),IF(AO41="Y","on hold: "&amp;AP41,""),IF(C41="","no contact named on an opened page",""))</f>
        <v/>
      </c>
      <c r="AU41" s="0" t="s">
        <v>181</v>
      </c>
      <c r="AW41" s="0" t="s">
        <v>182</v>
      </c>
      <c r="AX41" s="0" t="s">
        <v>282</v>
      </c>
      <c r="AY41" s="0" t="s">
        <v>5684</v>
      </c>
      <c r="AZ41" s="0" t="s">
        <v>5657</v>
      </c>
      <c r="BA41" s="0" t="s">
        <v>5329</v>
      </c>
      <c r="BB41" s="0" t="s">
        <v>163</v>
      </c>
      <c r="BD41" s="0" t="s">
        <v>263</v>
      </c>
      <c r="BE41" s="0" t="s">
        <v>5686</v>
      </c>
      <c r="BF41" s="0" t="s">
        <v>168</v>
      </c>
      <c r="BG41" s="0" t="s">
        <v>168</v>
      </c>
      <c r="BH41" s="0" t="s">
        <v>163</v>
      </c>
      <c r="BJ41" s="0" t="s">
        <v>163</v>
      </c>
      <c r="BK41" s="0" t="s">
        <v>162</v>
      </c>
      <c r="BL41" s="0" t="s">
        <v>162</v>
      </c>
      <c r="BN41" s="0" t="n">
        <v>0</v>
      </c>
      <c r="BO41" s="0" t="s">
        <v>168</v>
      </c>
      <c r="BP41" s="0" t="n">
        <v>3</v>
      </c>
      <c r="BQ41" s="0" t="s">
        <v>4669</v>
      </c>
      <c r="BS41" s="0" t="s">
        <v>5687</v>
      </c>
      <c r="BT41" s="0" t="s">
        <v>5688</v>
      </c>
      <c r="BU41" s="0" t="s">
        <v>4604</v>
      </c>
      <c r="BV41" s="0" t="n">
        <v>211</v>
      </c>
      <c r="BW41" s="0" t="s">
        <v>5682</v>
      </c>
      <c r="BX41" s="0" t="s">
        <v>5689</v>
      </c>
      <c r="BY41" s="0" t="s">
        <v>5690</v>
      </c>
      <c r="CA41" s="0" t="s">
        <v>5691</v>
      </c>
      <c r="CE41" s="0" t="s">
        <v>4612</v>
      </c>
      <c r="CF41" s="0" t="s">
        <v>598</v>
      </c>
      <c r="CG41" s="0" t="s">
        <v>5692</v>
      </c>
      <c r="CK41" s="0" t="s">
        <v>158</v>
      </c>
      <c r="CL41" s="0" t="n">
        <v>55</v>
      </c>
      <c r="CM41" s="0" t="n">
        <v>25</v>
      </c>
      <c r="CN41" s="0" t="n">
        <v>3</v>
      </c>
      <c r="CO41" s="0" t="n">
        <v>8</v>
      </c>
      <c r="CP41" s="0" t="n">
        <v>5</v>
      </c>
      <c r="CQ41" s="0" t="n">
        <v>8</v>
      </c>
      <c r="CR41" s="0" t="n">
        <v>8</v>
      </c>
      <c r="CS41" s="0" t="n">
        <f aca="false">IF(R41="Y",10,0)</f>
        <v>0</v>
      </c>
      <c r="CT41" s="0" t="n">
        <v>-2</v>
      </c>
      <c r="CU41" s="0" t="s">
        <v>5693</v>
      </c>
      <c r="CV41" s="0" t="s">
        <v>4703</v>
      </c>
      <c r="CW41" s="0" t="s">
        <v>5694</v>
      </c>
      <c r="CX41" s="0" t="s">
        <v>5695</v>
      </c>
      <c r="CY41" s="0" t="s">
        <v>5696</v>
      </c>
      <c r="CZ41" s="0" t="s">
        <v>5697</v>
      </c>
      <c r="DA41" s="0" t="s">
        <v>4620</v>
      </c>
      <c r="DB41" s="0" t="s">
        <v>5698</v>
      </c>
      <c r="DC41" s="0" t="s">
        <v>599</v>
      </c>
      <c r="DY41" s="0" t="str">
        <f aca="false">IF(ISNUMBER(MATCH(U41,{"queued","contacted","replied","call_booked","call_done","yes_in_principle","materials_sent"},0)),"Y","N")</f>
        <v>N</v>
      </c>
      <c r="DZ41" s="0" t="str">
        <f aca="false">IF(COUNTIFS($AN$2:$AN$1000,AN41,$DY$2:$DY$1000,"Y")+COUNTIFS($AN$2:$AN$1000,AN41,$T$2:$T$1000,"Y")&gt;0,"Y","N")</f>
        <v>N</v>
      </c>
      <c r="EA41" s="0" t="str">
        <f aca="false">IF(AND(U41="new",T41="N",AR41="Y",AQ41="",DZ41="N"),"Y","N")</f>
        <v>Y</v>
      </c>
      <c r="EB41" s="0" t="str">
        <f aca="false">IF(EA41&lt;&gt;"Y","N",IF(COUNTIFS($AN$2:$AN$1000,AN41,$EA$2:$EA$1000,"Y",$J$2:$J$1000,"&gt;"&amp;J41)+COUNTIFS($AN$2:$AN$1000,AN41,$EA$2:$EA$1000,"Y",$J$2:$J$1000,J41,$ED$2:$ED$1000,"&lt;"&amp;ED41)=0,"Y","N"))</f>
        <v>Y</v>
      </c>
      <c r="EC41" s="0" t="str">
        <f aca="false">IF(Y41="","N",IF(Y41&lt;=10,"Y","N"))</f>
        <v>N</v>
      </c>
      <c r="ED41" s="0" t="n">
        <f aca="false">ROW()-1</f>
        <v>40</v>
      </c>
    </row>
    <row r="42" customFormat="false" ht="15" hidden="false" customHeight="false" outlineLevel="0" collapsed="false">
      <c r="A42" s="0" t="s">
        <v>5699</v>
      </c>
      <c r="B42" s="0" t="s">
        <v>5700</v>
      </c>
      <c r="C42" s="0" t="s">
        <v>4769</v>
      </c>
      <c r="D42" s="0" t="s">
        <v>5701</v>
      </c>
      <c r="E42" s="0" t="s">
        <v>5702</v>
      </c>
      <c r="H42" s="5" t="s">
        <v>158</v>
      </c>
      <c r="I42" s="5" t="s">
        <v>159</v>
      </c>
      <c r="J42" s="0" t="n">
        <f aca="false">IF(AU42="pass",CM42+CN42+CO42+CP42+CQ42+CR42+CS42+CT42,0)</f>
        <v>55</v>
      </c>
      <c r="K42" s="0" t="s">
        <v>5703</v>
      </c>
      <c r="M42" s="0" t="s">
        <v>4580</v>
      </c>
      <c r="N42" s="0" t="s">
        <v>4581</v>
      </c>
      <c r="O42" s="0" t="s">
        <v>5704</v>
      </c>
      <c r="P42" s="0" t="s">
        <v>5705</v>
      </c>
      <c r="Q42" s="0" t="s">
        <v>5706</v>
      </c>
      <c r="R42" s="5" t="s">
        <v>162</v>
      </c>
      <c r="S42" s="0" t="s">
        <v>163</v>
      </c>
      <c r="T42" s="5" t="s">
        <v>162</v>
      </c>
      <c r="U42" s="5" t="s">
        <v>561</v>
      </c>
      <c r="V42" s="0" t="s">
        <v>5707</v>
      </c>
      <c r="W42" s="0" t="s">
        <v>166</v>
      </c>
      <c r="X42" s="0" t="s">
        <v>4585</v>
      </c>
      <c r="Y42" s="0" t="n">
        <f aca="false">IF(EB42&lt;&gt;"Y","",COUNTIFS($EB$2:$EB$1000,"Y",$J$2:$J$1000,"&gt;"&amp;J42)+COUNTIFS($EB$2:$EB$1000,"Y",$J$2:$J$1000,J42,$ED$2:$ED$1000,"&lt;"&amp;ED42)+1)</f>
        <v>40</v>
      </c>
      <c r="Z42" s="0" t="n">
        <v>41</v>
      </c>
      <c r="AA42" s="0" t="s">
        <v>168</v>
      </c>
      <c r="AB42" s="0" t="s">
        <v>5708</v>
      </c>
      <c r="AC42" s="0" t="s">
        <v>4587</v>
      </c>
      <c r="AD42" s="0" t="s">
        <v>171</v>
      </c>
      <c r="AE42" s="0" t="s">
        <v>172</v>
      </c>
      <c r="AF42" s="0" t="s">
        <v>5707</v>
      </c>
      <c r="AG42" s="0" t="s">
        <v>174</v>
      </c>
      <c r="AH42" s="0" t="s">
        <v>5709</v>
      </c>
      <c r="AI42" s="0" t="s">
        <v>4664</v>
      </c>
      <c r="AJ42" s="0" t="s">
        <v>5710</v>
      </c>
      <c r="AK42" s="0" t="s">
        <v>5711</v>
      </c>
      <c r="AL42" s="0" t="s">
        <v>168</v>
      </c>
      <c r="AM42" s="0" t="s">
        <v>4690</v>
      </c>
      <c r="AN42" s="0" t="s">
        <v>5699</v>
      </c>
      <c r="AO42" s="5" t="s">
        <v>162</v>
      </c>
      <c r="AR42" s="0" t="str">
        <f aca="false">IF(AND(AU42="pass",AO42&lt;&gt;"Y",C42&lt;&gt;""),"Y","N")</f>
        <v>Y</v>
      </c>
      <c r="AS42" s="0" t="str">
        <f aca="false">_xlfn.TEXTJOIN("; ",TRUE(),IF(AU42&lt;&gt;"pass","gated out",""),IF(AO42="Y","on hold: "&amp;AP42,""),IF(C42="","no contact named on an opened page",""))</f>
        <v/>
      </c>
      <c r="AU42" s="0" t="s">
        <v>181</v>
      </c>
      <c r="AW42" s="0" t="s">
        <v>182</v>
      </c>
      <c r="AY42" s="0" t="s">
        <v>5711</v>
      </c>
      <c r="AZ42" s="0" t="s">
        <v>5712</v>
      </c>
      <c r="BA42" s="0" t="s">
        <v>5329</v>
      </c>
      <c r="BB42" s="0" t="s">
        <v>163</v>
      </c>
      <c r="BD42" s="0" t="s">
        <v>263</v>
      </c>
      <c r="BE42" s="0" t="s">
        <v>5713</v>
      </c>
      <c r="BF42" s="0" t="s">
        <v>168</v>
      </c>
      <c r="BG42" s="0" t="s">
        <v>168</v>
      </c>
      <c r="BH42" s="0" t="s">
        <v>163</v>
      </c>
      <c r="BJ42" s="0" t="s">
        <v>163</v>
      </c>
      <c r="BK42" s="0" t="s">
        <v>162</v>
      </c>
      <c r="BL42" s="0" t="s">
        <v>162</v>
      </c>
      <c r="BN42" s="0" t="n">
        <v>0</v>
      </c>
      <c r="BO42" s="0" t="s">
        <v>168</v>
      </c>
      <c r="BP42" s="0" t="n">
        <v>3</v>
      </c>
      <c r="BQ42" s="0" t="s">
        <v>4669</v>
      </c>
      <c r="BR42" s="0" t="s">
        <v>5714</v>
      </c>
      <c r="BS42" s="0" t="s">
        <v>5715</v>
      </c>
      <c r="BT42" s="0" t="s">
        <v>5716</v>
      </c>
      <c r="BU42" s="0" t="s">
        <v>4694</v>
      </c>
      <c r="BV42" s="0" t="n">
        <v>172</v>
      </c>
      <c r="BX42" s="0" t="s">
        <v>5717</v>
      </c>
      <c r="BY42" s="0" t="s">
        <v>5718</v>
      </c>
      <c r="CA42" s="0" t="s">
        <v>5719</v>
      </c>
      <c r="CB42" s="0" t="s">
        <v>5720</v>
      </c>
      <c r="CC42" s="0" t="s">
        <v>5701</v>
      </c>
      <c r="CD42" s="0" t="s">
        <v>5702</v>
      </c>
      <c r="CE42" s="0" t="s">
        <v>4808</v>
      </c>
      <c r="CF42" s="0" t="s">
        <v>171</v>
      </c>
      <c r="CG42" s="0" t="s">
        <v>5616</v>
      </c>
      <c r="CK42" s="0" t="s">
        <v>158</v>
      </c>
      <c r="CL42" s="0" t="n">
        <v>55</v>
      </c>
      <c r="CM42" s="0" t="n">
        <v>25</v>
      </c>
      <c r="CN42" s="0" t="n">
        <v>3</v>
      </c>
      <c r="CO42" s="0" t="n">
        <v>8</v>
      </c>
      <c r="CP42" s="0" t="n">
        <v>5</v>
      </c>
      <c r="CQ42" s="0" t="n">
        <v>8</v>
      </c>
      <c r="CR42" s="0" t="n">
        <v>6</v>
      </c>
      <c r="CS42" s="0" t="n">
        <f aca="false">IF(R42="Y",10,0)</f>
        <v>0</v>
      </c>
      <c r="CT42" s="0" t="n">
        <v>0</v>
      </c>
      <c r="CU42" s="0" t="s">
        <v>5721</v>
      </c>
      <c r="CV42" s="0" t="s">
        <v>4703</v>
      </c>
      <c r="CW42" s="0" t="s">
        <v>5722</v>
      </c>
      <c r="CX42" s="0" t="s">
        <v>5723</v>
      </c>
      <c r="CZ42" s="0" t="s">
        <v>5707</v>
      </c>
      <c r="DA42" s="0" t="s">
        <v>4620</v>
      </c>
      <c r="DB42" s="0" t="s">
        <v>5724</v>
      </c>
      <c r="DC42" s="0" t="s">
        <v>172</v>
      </c>
      <c r="DY42" s="0" t="str">
        <f aca="false">IF(ISNUMBER(MATCH(U42,{"queued","contacted","replied","call_booked","call_done","yes_in_principle","materials_sent"},0)),"Y","N")</f>
        <v>N</v>
      </c>
      <c r="DZ42" s="0" t="str">
        <f aca="false">IF(COUNTIFS($AN$2:$AN$1000,AN42,$DY$2:$DY$1000,"Y")+COUNTIFS($AN$2:$AN$1000,AN42,$T$2:$T$1000,"Y")&gt;0,"Y","N")</f>
        <v>N</v>
      </c>
      <c r="EA42" s="0" t="str">
        <f aca="false">IF(AND(U42="new",T42="N",AR42="Y",AQ42="",DZ42="N"),"Y","N")</f>
        <v>Y</v>
      </c>
      <c r="EB42" s="0" t="str">
        <f aca="false">IF(EA42&lt;&gt;"Y","N",IF(COUNTIFS($AN$2:$AN$1000,AN42,$EA$2:$EA$1000,"Y",$J$2:$J$1000,"&gt;"&amp;J42)+COUNTIFS($AN$2:$AN$1000,AN42,$EA$2:$EA$1000,"Y",$J$2:$J$1000,J42,$ED$2:$ED$1000,"&lt;"&amp;ED42)=0,"Y","N"))</f>
        <v>Y</v>
      </c>
      <c r="EC42" s="0" t="str">
        <f aca="false">IF(Y42="","N",IF(Y42&lt;=10,"Y","N"))</f>
        <v>N</v>
      </c>
      <c r="ED42" s="0" t="n">
        <f aca="false">ROW()-1</f>
        <v>41</v>
      </c>
    </row>
    <row r="43" customFormat="false" ht="15" hidden="false" customHeight="false" outlineLevel="0" collapsed="false">
      <c r="A43" s="0" t="s">
        <v>5725</v>
      </c>
      <c r="B43" s="0" t="s">
        <v>5726</v>
      </c>
      <c r="C43" s="0" t="s">
        <v>5727</v>
      </c>
      <c r="D43" s="0" t="s">
        <v>5728</v>
      </c>
      <c r="E43" s="0" t="s">
        <v>4656</v>
      </c>
      <c r="F43" s="0" t="s">
        <v>5729</v>
      </c>
      <c r="H43" s="5" t="s">
        <v>158</v>
      </c>
      <c r="I43" s="5" t="s">
        <v>159</v>
      </c>
      <c r="J43" s="0" t="n">
        <f aca="false">IF(AU43="pass",CM43+CN43+CO43+CP43+CQ43+CR43+CS43+CT43,0)</f>
        <v>55</v>
      </c>
      <c r="K43" s="0" t="s">
        <v>5730</v>
      </c>
      <c r="M43" s="0" t="s">
        <v>5291</v>
      </c>
      <c r="N43" s="0" t="s">
        <v>598</v>
      </c>
      <c r="O43" s="0" t="s">
        <v>5731</v>
      </c>
      <c r="P43" s="0" t="s">
        <v>5732</v>
      </c>
      <c r="Q43" s="0" t="s">
        <v>3102</v>
      </c>
      <c r="R43" s="5" t="s">
        <v>162</v>
      </c>
      <c r="S43" s="0" t="s">
        <v>168</v>
      </c>
      <c r="T43" s="5" t="s">
        <v>162</v>
      </c>
      <c r="U43" s="5" t="s">
        <v>561</v>
      </c>
      <c r="V43" s="0" t="s">
        <v>5733</v>
      </c>
      <c r="W43" s="0" t="s">
        <v>166</v>
      </c>
      <c r="X43" s="0" t="s">
        <v>4585</v>
      </c>
      <c r="Y43" s="0" t="n">
        <f aca="false">IF(EB43&lt;&gt;"Y","",COUNTIFS($EB$2:$EB$1000,"Y",$J$2:$J$1000,"&gt;"&amp;J43)+COUNTIFS($EB$2:$EB$1000,"Y",$J$2:$J$1000,J43,$ED$2:$ED$1000,"&lt;"&amp;ED43)+1)</f>
        <v>41</v>
      </c>
      <c r="Z43" s="0" t="n">
        <v>42</v>
      </c>
      <c r="AA43" s="0" t="s">
        <v>168</v>
      </c>
      <c r="AB43" s="0" t="s">
        <v>5734</v>
      </c>
      <c r="AC43" s="0" t="s">
        <v>4587</v>
      </c>
      <c r="AD43" s="0" t="s">
        <v>171</v>
      </c>
      <c r="AE43" s="0" t="s">
        <v>172</v>
      </c>
      <c r="AF43" s="0" t="s">
        <v>5733</v>
      </c>
      <c r="AG43" s="0" t="s">
        <v>174</v>
      </c>
      <c r="AH43" s="0" t="s">
        <v>5735</v>
      </c>
      <c r="AI43" s="0" t="s">
        <v>5736</v>
      </c>
      <c r="AJ43" s="0" t="s">
        <v>4634</v>
      </c>
      <c r="AK43" s="0" t="s">
        <v>5737</v>
      </c>
      <c r="AL43" s="0" t="s">
        <v>168</v>
      </c>
      <c r="AM43" s="0" t="s">
        <v>5738</v>
      </c>
      <c r="AN43" s="0" t="s">
        <v>5725</v>
      </c>
      <c r="AO43" s="5" t="s">
        <v>162</v>
      </c>
      <c r="AR43" s="0" t="str">
        <f aca="false">IF(AND(AU43="pass",AO43&lt;&gt;"Y",C43&lt;&gt;""),"Y","N")</f>
        <v>Y</v>
      </c>
      <c r="AS43" s="0" t="str">
        <f aca="false">_xlfn.TEXTJOIN("; ",TRUE(),IF(AU43&lt;&gt;"pass","gated out",""),IF(AO43="Y","on hold: "&amp;AP43,""),IF(C43="","no contact named on an opened page",""))</f>
        <v/>
      </c>
      <c r="AU43" s="0" t="s">
        <v>181</v>
      </c>
      <c r="AW43" s="0" t="s">
        <v>182</v>
      </c>
      <c r="AX43" s="0" t="s">
        <v>4828</v>
      </c>
      <c r="AY43" s="0" t="s">
        <v>5737</v>
      </c>
      <c r="AZ43" s="0" t="s">
        <v>4595</v>
      </c>
      <c r="BA43" s="0" t="s">
        <v>4596</v>
      </c>
      <c r="BB43" s="0" t="s">
        <v>163</v>
      </c>
      <c r="BD43" s="0" t="s">
        <v>163</v>
      </c>
      <c r="BE43" s="0" t="s">
        <v>5739</v>
      </c>
      <c r="BF43" s="0" t="s">
        <v>168</v>
      </c>
      <c r="BG43" s="0" t="s">
        <v>168</v>
      </c>
      <c r="BH43" s="0" t="s">
        <v>163</v>
      </c>
      <c r="BJ43" s="0" t="s">
        <v>5549</v>
      </c>
      <c r="BK43" s="0" t="s">
        <v>162</v>
      </c>
      <c r="BL43" s="0" t="s">
        <v>162</v>
      </c>
      <c r="BO43" s="0" t="s">
        <v>162</v>
      </c>
      <c r="BP43" s="0" t="n">
        <v>0</v>
      </c>
      <c r="BS43" s="0" t="s">
        <v>5740</v>
      </c>
      <c r="BU43" s="0" t="s">
        <v>4604</v>
      </c>
      <c r="BV43" s="0" t="n">
        <v>79</v>
      </c>
      <c r="BW43" s="0" t="s">
        <v>5732</v>
      </c>
      <c r="BX43" s="0" t="s">
        <v>5741</v>
      </c>
      <c r="BY43" s="0" t="s">
        <v>5742</v>
      </c>
      <c r="BZ43" s="0" t="s">
        <v>4607</v>
      </c>
      <c r="CA43" s="0" t="s">
        <v>5743</v>
      </c>
      <c r="CB43" s="0" t="s">
        <v>5744</v>
      </c>
      <c r="CC43" s="0" t="s">
        <v>5745</v>
      </c>
      <c r="CD43" s="0" t="s">
        <v>5746</v>
      </c>
      <c r="CE43" s="0" t="s">
        <v>4808</v>
      </c>
      <c r="CF43" s="0" t="s">
        <v>171</v>
      </c>
      <c r="CG43" s="0" t="s">
        <v>5747</v>
      </c>
      <c r="CK43" s="0" t="s">
        <v>158</v>
      </c>
      <c r="CL43" s="0" t="n">
        <v>55</v>
      </c>
      <c r="CM43" s="0" t="n">
        <v>6</v>
      </c>
      <c r="CN43" s="0" t="n">
        <v>20</v>
      </c>
      <c r="CO43" s="0" t="n">
        <v>15</v>
      </c>
      <c r="CP43" s="0" t="n">
        <v>5</v>
      </c>
      <c r="CQ43" s="0" t="n">
        <v>7</v>
      </c>
      <c r="CR43" s="0" t="n">
        <v>6</v>
      </c>
      <c r="CS43" s="0" t="n">
        <f aca="false">IF(R43="Y",10,0)</f>
        <v>0</v>
      </c>
      <c r="CT43" s="0" t="n">
        <v>-4</v>
      </c>
      <c r="CU43" s="0" t="s">
        <v>163</v>
      </c>
      <c r="CV43" s="0" t="s">
        <v>5562</v>
      </c>
      <c r="CW43" s="0" t="s">
        <v>5748</v>
      </c>
      <c r="CX43" s="0" t="s">
        <v>5749</v>
      </c>
      <c r="CY43" s="0" t="s">
        <v>5750</v>
      </c>
      <c r="CZ43" s="0" t="s">
        <v>5751</v>
      </c>
      <c r="DA43" s="0" t="s">
        <v>4620</v>
      </c>
      <c r="DC43" s="0" t="s">
        <v>230</v>
      </c>
      <c r="DD43" s="0" t="s">
        <v>5752</v>
      </c>
      <c r="DY43" s="0" t="str">
        <f aca="false">IF(ISNUMBER(MATCH(U43,{"queued","contacted","replied","call_booked","call_done","yes_in_principle","materials_sent"},0)),"Y","N")</f>
        <v>N</v>
      </c>
      <c r="DZ43" s="0" t="str">
        <f aca="false">IF(COUNTIFS($AN$2:$AN$1000,AN43,$DY$2:$DY$1000,"Y")+COUNTIFS($AN$2:$AN$1000,AN43,$T$2:$T$1000,"Y")&gt;0,"Y","N")</f>
        <v>N</v>
      </c>
      <c r="EA43" s="0" t="str">
        <f aca="false">IF(AND(U43="new",T43="N",AR43="Y",AQ43="",DZ43="N"),"Y","N")</f>
        <v>Y</v>
      </c>
      <c r="EB43" s="0" t="str">
        <f aca="false">IF(EA43&lt;&gt;"Y","N",IF(COUNTIFS($AN$2:$AN$1000,AN43,$EA$2:$EA$1000,"Y",$J$2:$J$1000,"&gt;"&amp;J43)+COUNTIFS($AN$2:$AN$1000,AN43,$EA$2:$EA$1000,"Y",$J$2:$J$1000,J43,$ED$2:$ED$1000,"&lt;"&amp;ED43)=0,"Y","N"))</f>
        <v>Y</v>
      </c>
      <c r="EC43" s="0" t="str">
        <f aca="false">IF(Y43="","N",IF(Y43&lt;=10,"Y","N"))</f>
        <v>N</v>
      </c>
      <c r="ED43" s="0" t="n">
        <f aca="false">ROW()-1</f>
        <v>42</v>
      </c>
    </row>
    <row r="44" customFormat="false" ht="15" hidden="false" customHeight="false" outlineLevel="0" collapsed="false">
      <c r="A44" s="0" t="s">
        <v>5753</v>
      </c>
      <c r="B44" s="0" t="s">
        <v>5754</v>
      </c>
      <c r="C44" s="0" t="s">
        <v>5755</v>
      </c>
      <c r="D44" s="0" t="s">
        <v>5756</v>
      </c>
      <c r="E44" s="0" t="s">
        <v>4625</v>
      </c>
      <c r="H44" s="5" t="s">
        <v>158</v>
      </c>
      <c r="I44" s="5" t="s">
        <v>159</v>
      </c>
      <c r="J44" s="0" t="n">
        <f aca="false">IF(AU44="pass",CM44+CN44+CO44+CP44+CQ44+CR44+CS44+CT44,0)</f>
        <v>55</v>
      </c>
      <c r="K44" s="0" t="s">
        <v>5757</v>
      </c>
      <c r="M44" s="0" t="s">
        <v>5291</v>
      </c>
      <c r="N44" s="0" t="s">
        <v>598</v>
      </c>
      <c r="O44" s="0" t="s">
        <v>5758</v>
      </c>
      <c r="P44" s="0" t="s">
        <v>5759</v>
      </c>
      <c r="Q44" s="0" t="s">
        <v>2158</v>
      </c>
      <c r="R44" s="5" t="s">
        <v>162</v>
      </c>
      <c r="S44" s="0" t="s">
        <v>168</v>
      </c>
      <c r="T44" s="5" t="s">
        <v>162</v>
      </c>
      <c r="U44" s="5" t="s">
        <v>561</v>
      </c>
      <c r="V44" s="0" t="s">
        <v>5760</v>
      </c>
      <c r="W44" s="0" t="s">
        <v>166</v>
      </c>
      <c r="X44" s="0" t="s">
        <v>4585</v>
      </c>
      <c r="Y44" s="0" t="n">
        <f aca="false">IF(EB44&lt;&gt;"Y","",COUNTIFS($EB$2:$EB$1000,"Y",$J$2:$J$1000,"&gt;"&amp;J44)+COUNTIFS($EB$2:$EB$1000,"Y",$J$2:$J$1000,J44,$ED$2:$ED$1000,"&lt;"&amp;ED44)+1)</f>
        <v>42</v>
      </c>
      <c r="Z44" s="0" t="n">
        <v>43</v>
      </c>
      <c r="AA44" s="0" t="s">
        <v>168</v>
      </c>
      <c r="AB44" s="0" t="s">
        <v>5761</v>
      </c>
      <c r="AC44" s="0" t="s">
        <v>4587</v>
      </c>
      <c r="AD44" s="0" t="s">
        <v>171</v>
      </c>
      <c r="AE44" s="0" t="s">
        <v>1189</v>
      </c>
      <c r="AF44" s="0" t="s">
        <v>5759</v>
      </c>
      <c r="AG44" s="0" t="s">
        <v>174</v>
      </c>
      <c r="AH44" s="0" t="s">
        <v>5762</v>
      </c>
      <c r="AI44" s="0" t="s">
        <v>5763</v>
      </c>
      <c r="AJ44" s="0" t="s">
        <v>5764</v>
      </c>
      <c r="AK44" s="0" t="s">
        <v>5765</v>
      </c>
      <c r="AL44" s="0" t="s">
        <v>168</v>
      </c>
      <c r="AM44" s="0" t="s">
        <v>5766</v>
      </c>
      <c r="AN44" s="0" t="s">
        <v>5753</v>
      </c>
      <c r="AO44" s="5" t="s">
        <v>162</v>
      </c>
      <c r="AR44" s="0" t="str">
        <f aca="false">IF(AND(AU44="pass",AO44&lt;&gt;"Y",C44&lt;&gt;""),"Y","N")</f>
        <v>Y</v>
      </c>
      <c r="AS44" s="0" t="str">
        <f aca="false">_xlfn.TEXTJOIN("; ",TRUE(),IF(AU44&lt;&gt;"pass","gated out",""),IF(AO44="Y","on hold: "&amp;AP44,""),IF(C44="","no contact named on an opened page",""))</f>
        <v/>
      </c>
      <c r="AU44" s="0" t="s">
        <v>181</v>
      </c>
      <c r="AW44" s="0" t="s">
        <v>182</v>
      </c>
      <c r="AX44" s="0" t="s">
        <v>4594</v>
      </c>
      <c r="AY44" s="0" t="s">
        <v>5765</v>
      </c>
      <c r="AZ44" s="0" t="s">
        <v>4595</v>
      </c>
      <c r="BA44" s="0" t="s">
        <v>4596</v>
      </c>
      <c r="BB44" s="0" t="s">
        <v>163</v>
      </c>
      <c r="BD44" s="0" t="s">
        <v>163</v>
      </c>
      <c r="BE44" s="0" t="s">
        <v>5767</v>
      </c>
      <c r="BF44" s="0" t="s">
        <v>168</v>
      </c>
      <c r="BG44" s="0" t="s">
        <v>168</v>
      </c>
      <c r="BH44" s="0" t="s">
        <v>163</v>
      </c>
      <c r="BJ44" s="0" t="s">
        <v>163</v>
      </c>
      <c r="BK44" s="0" t="s">
        <v>162</v>
      </c>
      <c r="BL44" s="0" t="s">
        <v>162</v>
      </c>
      <c r="BO44" s="0" t="s">
        <v>162</v>
      </c>
      <c r="BP44" s="0" t="n">
        <v>0</v>
      </c>
      <c r="BR44" s="0" t="s">
        <v>5768</v>
      </c>
      <c r="BS44" s="0" t="s">
        <v>5769</v>
      </c>
      <c r="BT44" s="0" t="s">
        <v>5759</v>
      </c>
      <c r="BU44" s="0" t="s">
        <v>4604</v>
      </c>
      <c r="BV44" s="0" t="n">
        <v>176</v>
      </c>
      <c r="BW44" s="0" t="s">
        <v>5732</v>
      </c>
      <c r="BX44" s="0" t="s">
        <v>5770</v>
      </c>
      <c r="BY44" s="0" t="s">
        <v>5771</v>
      </c>
      <c r="CF44" s="0" t="s">
        <v>158</v>
      </c>
      <c r="CK44" s="0" t="s">
        <v>158</v>
      </c>
      <c r="CL44" s="0" t="n">
        <v>55</v>
      </c>
      <c r="CM44" s="0" t="n">
        <v>6</v>
      </c>
      <c r="CN44" s="0" t="n">
        <v>20</v>
      </c>
      <c r="CO44" s="0" t="n">
        <v>15</v>
      </c>
      <c r="CP44" s="0" t="n">
        <v>5</v>
      </c>
      <c r="CQ44" s="0" t="n">
        <v>7</v>
      </c>
      <c r="CR44" s="0" t="n">
        <v>6</v>
      </c>
      <c r="CS44" s="0" t="n">
        <f aca="false">IF(R44="Y",10,0)</f>
        <v>0</v>
      </c>
      <c r="CT44" s="0" t="n">
        <v>-4</v>
      </c>
      <c r="CV44" s="0" t="s">
        <v>4615</v>
      </c>
      <c r="CW44" s="0" t="s">
        <v>5772</v>
      </c>
      <c r="CX44" s="0" t="s">
        <v>5773</v>
      </c>
      <c r="CY44" s="0" t="s">
        <v>5774</v>
      </c>
      <c r="DA44" s="0" t="s">
        <v>4620</v>
      </c>
      <c r="DY44" s="0" t="str">
        <f aca="false">IF(ISNUMBER(MATCH(U44,{"queued","contacted","replied","call_booked","call_done","yes_in_principle","materials_sent"},0)),"Y","N")</f>
        <v>N</v>
      </c>
      <c r="DZ44" s="0" t="str">
        <f aca="false">IF(COUNTIFS($AN$2:$AN$1000,AN44,$DY$2:$DY$1000,"Y")+COUNTIFS($AN$2:$AN$1000,AN44,$T$2:$T$1000,"Y")&gt;0,"Y","N")</f>
        <v>N</v>
      </c>
      <c r="EA44" s="0" t="str">
        <f aca="false">IF(AND(U44="new",T44="N",AR44="Y",AQ44="",DZ44="N"),"Y","N")</f>
        <v>Y</v>
      </c>
      <c r="EB44" s="0" t="str">
        <f aca="false">IF(EA44&lt;&gt;"Y","N",IF(COUNTIFS($AN$2:$AN$1000,AN44,$EA$2:$EA$1000,"Y",$J$2:$J$1000,"&gt;"&amp;J44)+COUNTIFS($AN$2:$AN$1000,AN44,$EA$2:$EA$1000,"Y",$J$2:$J$1000,J44,$ED$2:$ED$1000,"&lt;"&amp;ED44)=0,"Y","N"))</f>
        <v>Y</v>
      </c>
      <c r="EC44" s="0" t="str">
        <f aca="false">IF(Y44="","N",IF(Y44&lt;=10,"Y","N"))</f>
        <v>N</v>
      </c>
      <c r="ED44" s="0" t="n">
        <f aca="false">ROW()-1</f>
        <v>43</v>
      </c>
    </row>
    <row r="45" customFormat="false" ht="15" hidden="false" customHeight="false" outlineLevel="0" collapsed="false">
      <c r="A45" s="0" t="s">
        <v>5775</v>
      </c>
      <c r="B45" s="0" t="s">
        <v>5776</v>
      </c>
      <c r="C45" s="0" t="s">
        <v>5777</v>
      </c>
      <c r="D45" s="0" t="s">
        <v>5778</v>
      </c>
      <c r="E45" s="0" t="s">
        <v>4771</v>
      </c>
      <c r="F45" s="0" t="s">
        <v>5779</v>
      </c>
      <c r="H45" s="5" t="s">
        <v>158</v>
      </c>
      <c r="I45" s="5" t="s">
        <v>159</v>
      </c>
      <c r="J45" s="0" t="n">
        <f aca="false">IF(AU45="pass",CM45+CN45+CO45+CP45+CQ45+CR45+CS45+CT45,0)</f>
        <v>55</v>
      </c>
      <c r="K45" s="0" t="s">
        <v>5780</v>
      </c>
      <c r="M45" s="0" t="s">
        <v>5291</v>
      </c>
      <c r="N45" s="0" t="s">
        <v>598</v>
      </c>
      <c r="O45" s="0" t="s">
        <v>5781</v>
      </c>
      <c r="P45" s="0" t="s">
        <v>5782</v>
      </c>
      <c r="Q45" s="0" t="s">
        <v>5783</v>
      </c>
      <c r="R45" s="5" t="s">
        <v>162</v>
      </c>
      <c r="S45" s="0" t="s">
        <v>163</v>
      </c>
      <c r="T45" s="5" t="s">
        <v>162</v>
      </c>
      <c r="U45" s="5" t="s">
        <v>561</v>
      </c>
      <c r="V45" s="0" t="s">
        <v>5784</v>
      </c>
      <c r="W45" s="0" t="s">
        <v>174</v>
      </c>
      <c r="X45" s="0" t="s">
        <v>4585</v>
      </c>
      <c r="Y45" s="0" t="n">
        <f aca="false">IF(EB45&lt;&gt;"Y","",COUNTIFS($EB$2:$EB$1000,"Y",$J$2:$J$1000,"&gt;"&amp;J45)+COUNTIFS($EB$2:$EB$1000,"Y",$J$2:$J$1000,J45,$ED$2:$ED$1000,"&lt;"&amp;ED45)+1)</f>
        <v>43</v>
      </c>
      <c r="Z45" s="0" t="n">
        <v>44</v>
      </c>
      <c r="AA45" s="0" t="s">
        <v>168</v>
      </c>
      <c r="AC45" s="0" t="s">
        <v>4587</v>
      </c>
      <c r="AD45" s="0" t="s">
        <v>171</v>
      </c>
      <c r="AE45" s="0" t="s">
        <v>172</v>
      </c>
      <c r="AF45" s="0" t="s">
        <v>5785</v>
      </c>
      <c r="AG45" s="0" t="s">
        <v>174</v>
      </c>
      <c r="AH45" s="0" t="s">
        <v>5786</v>
      </c>
      <c r="AI45" s="0" t="s">
        <v>4975</v>
      </c>
      <c r="AJ45" s="0" t="s">
        <v>5787</v>
      </c>
      <c r="AK45" s="0" t="s">
        <v>5788</v>
      </c>
      <c r="AL45" s="0" t="s">
        <v>162</v>
      </c>
      <c r="AN45" s="0" t="s">
        <v>5775</v>
      </c>
      <c r="AO45" s="5" t="s">
        <v>162</v>
      </c>
      <c r="AR45" s="0" t="str">
        <f aca="false">IF(AND(AU45="pass",AO45&lt;&gt;"Y",C45&lt;&gt;""),"Y","N")</f>
        <v>Y</v>
      </c>
      <c r="AS45" s="0" t="str">
        <f aca="false">_xlfn.TEXTJOIN("; ",TRUE(),IF(AU45&lt;&gt;"pass","gated out",""),IF(AO45="Y","on hold: "&amp;AP45,""),IF(C45="","no contact named on an opened page",""))</f>
        <v/>
      </c>
      <c r="AU45" s="0" t="s">
        <v>181</v>
      </c>
      <c r="AW45" s="0" t="s">
        <v>182</v>
      </c>
      <c r="AY45" s="0" t="s">
        <v>5788</v>
      </c>
      <c r="AZ45" s="0" t="s">
        <v>4595</v>
      </c>
      <c r="BA45" s="0" t="s">
        <v>4596</v>
      </c>
      <c r="BB45" s="0" t="s">
        <v>163</v>
      </c>
      <c r="BD45" s="0" t="s">
        <v>168</v>
      </c>
      <c r="BE45" s="0" t="s">
        <v>5789</v>
      </c>
      <c r="BF45" s="0" t="s">
        <v>168</v>
      </c>
      <c r="BG45" s="0" t="s">
        <v>168</v>
      </c>
      <c r="BH45" s="0" t="s">
        <v>163</v>
      </c>
      <c r="BJ45" s="0" t="s">
        <v>5143</v>
      </c>
      <c r="BK45" s="0" t="s">
        <v>162</v>
      </c>
      <c r="BL45" s="0" t="s">
        <v>162</v>
      </c>
      <c r="BO45" s="0" t="s">
        <v>162</v>
      </c>
      <c r="BP45" s="0" t="n">
        <v>0</v>
      </c>
      <c r="BR45" s="0" t="s">
        <v>5790</v>
      </c>
      <c r="BS45" s="0" t="s">
        <v>5791</v>
      </c>
      <c r="BT45" s="0" t="s">
        <v>5792</v>
      </c>
      <c r="BU45" s="0" t="s">
        <v>4694</v>
      </c>
      <c r="BV45" s="0" t="n">
        <v>8</v>
      </c>
      <c r="BX45" s="0" t="s">
        <v>5793</v>
      </c>
      <c r="BY45" s="0" t="s">
        <v>5794</v>
      </c>
      <c r="BZ45" s="0" t="s">
        <v>4607</v>
      </c>
      <c r="CF45" s="0" t="s">
        <v>158</v>
      </c>
      <c r="CK45" s="0" t="s">
        <v>158</v>
      </c>
      <c r="CL45" s="0" t="n">
        <v>55</v>
      </c>
      <c r="CM45" s="0" t="n">
        <v>6</v>
      </c>
      <c r="CN45" s="0" t="n">
        <v>20</v>
      </c>
      <c r="CO45" s="0" t="n">
        <v>8</v>
      </c>
      <c r="CP45" s="0" t="n">
        <v>5</v>
      </c>
      <c r="CQ45" s="0" t="n">
        <v>10</v>
      </c>
      <c r="CR45" s="0" t="n">
        <v>6</v>
      </c>
      <c r="CS45" s="0" t="n">
        <f aca="false">IF(R45="Y",10,0)</f>
        <v>0</v>
      </c>
      <c r="CT45" s="0" t="n">
        <v>0</v>
      </c>
      <c r="CU45" s="0" t="s">
        <v>5795</v>
      </c>
      <c r="CV45" s="0" t="s">
        <v>5150</v>
      </c>
      <c r="CW45" s="0" t="s">
        <v>5796</v>
      </c>
      <c r="CX45" s="0" t="s">
        <v>5797</v>
      </c>
      <c r="DA45" s="0" t="s">
        <v>4620</v>
      </c>
      <c r="DY45" s="0" t="str">
        <f aca="false">IF(ISNUMBER(MATCH(U45,{"queued","contacted","replied","call_booked","call_done","yes_in_principle","materials_sent"},0)),"Y","N")</f>
        <v>N</v>
      </c>
      <c r="DZ45" s="0" t="str">
        <f aca="false">IF(COUNTIFS($AN$2:$AN$1000,AN45,$DY$2:$DY$1000,"Y")+COUNTIFS($AN$2:$AN$1000,AN45,$T$2:$T$1000,"Y")&gt;0,"Y","N")</f>
        <v>N</v>
      </c>
      <c r="EA45" s="0" t="str">
        <f aca="false">IF(AND(U45="new",T45="N",AR45="Y",AQ45="",DZ45="N"),"Y","N")</f>
        <v>Y</v>
      </c>
      <c r="EB45" s="0" t="str">
        <f aca="false">IF(EA45&lt;&gt;"Y","N",IF(COUNTIFS($AN$2:$AN$1000,AN45,$EA$2:$EA$1000,"Y",$J$2:$J$1000,"&gt;"&amp;J45)+COUNTIFS($AN$2:$AN$1000,AN45,$EA$2:$EA$1000,"Y",$J$2:$J$1000,J45,$ED$2:$ED$1000,"&lt;"&amp;ED45)=0,"Y","N"))</f>
        <v>Y</v>
      </c>
      <c r="EC45" s="0" t="str">
        <f aca="false">IF(Y45="","N",IF(Y45&lt;=10,"Y","N"))</f>
        <v>N</v>
      </c>
      <c r="ED45" s="0" t="n">
        <f aca="false">ROW()-1</f>
        <v>44</v>
      </c>
    </row>
    <row r="46" customFormat="false" ht="15" hidden="false" customHeight="false" outlineLevel="0" collapsed="false">
      <c r="A46" s="0" t="s">
        <v>5798</v>
      </c>
      <c r="B46" s="0" t="s">
        <v>5799</v>
      </c>
      <c r="C46" s="0" t="s">
        <v>5800</v>
      </c>
      <c r="D46" s="0" t="s">
        <v>5801</v>
      </c>
      <c r="E46" s="0" t="s">
        <v>5507</v>
      </c>
      <c r="F46" s="0" t="s">
        <v>5802</v>
      </c>
      <c r="H46" s="5" t="s">
        <v>158</v>
      </c>
      <c r="I46" s="5" t="s">
        <v>159</v>
      </c>
      <c r="J46" s="0" t="n">
        <f aca="false">IF(AU46="pass",CM46+CN46+CO46+CP46+CQ46+CR46+CS46+CT46,0)</f>
        <v>55</v>
      </c>
      <c r="K46" s="0" t="s">
        <v>5803</v>
      </c>
      <c r="M46" s="0" t="s">
        <v>5291</v>
      </c>
      <c r="N46" s="0" t="s">
        <v>598</v>
      </c>
      <c r="O46" s="0" t="s">
        <v>5804</v>
      </c>
      <c r="P46" s="0" t="s">
        <v>5805</v>
      </c>
      <c r="Q46" s="0" t="s">
        <v>3528</v>
      </c>
      <c r="R46" s="5" t="s">
        <v>162</v>
      </c>
      <c r="S46" s="0" t="s">
        <v>168</v>
      </c>
      <c r="T46" s="5" t="s">
        <v>162</v>
      </c>
      <c r="U46" s="5" t="s">
        <v>561</v>
      </c>
      <c r="V46" s="0" t="s">
        <v>5806</v>
      </c>
      <c r="W46" s="0" t="s">
        <v>166</v>
      </c>
      <c r="X46" s="0" t="s">
        <v>4585</v>
      </c>
      <c r="Y46" s="0" t="n">
        <f aca="false">IF(EB46&lt;&gt;"Y","",COUNTIFS($EB$2:$EB$1000,"Y",$J$2:$J$1000,"&gt;"&amp;J46)+COUNTIFS($EB$2:$EB$1000,"Y",$J$2:$J$1000,J46,$ED$2:$ED$1000,"&lt;"&amp;ED46)+1)</f>
        <v>44</v>
      </c>
      <c r="Z46" s="0" t="n">
        <v>45</v>
      </c>
      <c r="AA46" s="0" t="s">
        <v>168</v>
      </c>
      <c r="AB46" s="0" t="s">
        <v>5807</v>
      </c>
      <c r="AC46" s="0" t="s">
        <v>4587</v>
      </c>
      <c r="AD46" s="0" t="s">
        <v>171</v>
      </c>
      <c r="AE46" s="0" t="s">
        <v>230</v>
      </c>
      <c r="AF46" s="0" t="s">
        <v>5808</v>
      </c>
      <c r="AG46" s="0" t="s">
        <v>174</v>
      </c>
      <c r="AH46" s="0" t="s">
        <v>5809</v>
      </c>
      <c r="AI46" s="0" t="s">
        <v>5763</v>
      </c>
      <c r="AJ46" s="0" t="s">
        <v>4634</v>
      </c>
      <c r="AK46" s="0" t="s">
        <v>5810</v>
      </c>
      <c r="AL46" s="0" t="s">
        <v>168</v>
      </c>
      <c r="AM46" s="0" t="s">
        <v>5811</v>
      </c>
      <c r="AN46" s="0" t="s">
        <v>5798</v>
      </c>
      <c r="AO46" s="5" t="s">
        <v>162</v>
      </c>
      <c r="AR46" s="0" t="str">
        <f aca="false">IF(AND(AU46="pass",AO46&lt;&gt;"Y",C46&lt;&gt;""),"Y","N")</f>
        <v>Y</v>
      </c>
      <c r="AS46" s="0" t="str">
        <f aca="false">_xlfn.TEXTJOIN("; ",TRUE(),IF(AU46&lt;&gt;"pass","gated out",""),IF(AO46="Y","on hold: "&amp;AP46,""),IF(C46="","no contact named on an opened page",""))</f>
        <v/>
      </c>
      <c r="AU46" s="0" t="s">
        <v>181</v>
      </c>
      <c r="AW46" s="0" t="s">
        <v>182</v>
      </c>
      <c r="AX46" s="0" t="s">
        <v>4594</v>
      </c>
      <c r="AY46" s="0" t="s">
        <v>5810</v>
      </c>
      <c r="AZ46" s="0" t="s">
        <v>4595</v>
      </c>
      <c r="BA46" s="0" t="s">
        <v>4596</v>
      </c>
      <c r="BB46" s="0" t="s">
        <v>163</v>
      </c>
      <c r="BD46" s="0" t="s">
        <v>168</v>
      </c>
      <c r="BE46" s="0" t="s">
        <v>5812</v>
      </c>
      <c r="BF46" s="0" t="s">
        <v>168</v>
      </c>
      <c r="BG46" s="0" t="s">
        <v>168</v>
      </c>
      <c r="BH46" s="0" t="s">
        <v>163</v>
      </c>
      <c r="BJ46" s="0" t="s">
        <v>5549</v>
      </c>
      <c r="BK46" s="0" t="s">
        <v>162</v>
      </c>
      <c r="BL46" s="0" t="s">
        <v>162</v>
      </c>
      <c r="BO46" s="0" t="s">
        <v>162</v>
      </c>
      <c r="BP46" s="0" t="n">
        <v>0</v>
      </c>
      <c r="BS46" s="0" t="s">
        <v>5813</v>
      </c>
      <c r="BT46" s="0" t="s">
        <v>5814</v>
      </c>
      <c r="BU46" s="0" t="s">
        <v>4694</v>
      </c>
      <c r="BV46" s="0" t="n">
        <v>37</v>
      </c>
      <c r="BW46" s="0" t="s">
        <v>5815</v>
      </c>
      <c r="BX46" s="0" t="s">
        <v>5816</v>
      </c>
      <c r="BY46" s="0" t="s">
        <v>5817</v>
      </c>
      <c r="BZ46" s="0" t="s">
        <v>4607</v>
      </c>
      <c r="CA46" s="0" t="s">
        <v>5818</v>
      </c>
      <c r="CB46" s="0" t="s">
        <v>1023</v>
      </c>
      <c r="CC46" s="0" t="s">
        <v>5819</v>
      </c>
      <c r="CD46" s="0" t="s">
        <v>5820</v>
      </c>
      <c r="CE46" s="0" t="s">
        <v>4612</v>
      </c>
      <c r="CF46" s="0" t="s">
        <v>171</v>
      </c>
      <c r="CG46" s="0" t="s">
        <v>5821</v>
      </c>
      <c r="CH46" s="0" t="s">
        <v>5822</v>
      </c>
      <c r="CK46" s="0" t="s">
        <v>158</v>
      </c>
      <c r="CL46" s="0" t="n">
        <v>55</v>
      </c>
      <c r="CM46" s="0" t="n">
        <v>6</v>
      </c>
      <c r="CN46" s="0" t="n">
        <v>20</v>
      </c>
      <c r="CO46" s="0" t="n">
        <v>8</v>
      </c>
      <c r="CP46" s="0" t="n">
        <v>5</v>
      </c>
      <c r="CQ46" s="0" t="n">
        <v>10</v>
      </c>
      <c r="CR46" s="0" t="n">
        <v>10</v>
      </c>
      <c r="CS46" s="0" t="n">
        <f aca="false">IF(R46="Y",10,0)</f>
        <v>0</v>
      </c>
      <c r="CT46" s="0" t="n">
        <v>-4</v>
      </c>
      <c r="CU46" s="0" t="s">
        <v>5823</v>
      </c>
      <c r="CV46" s="0" t="s">
        <v>5562</v>
      </c>
      <c r="CW46" s="0" t="s">
        <v>5824</v>
      </c>
      <c r="CX46" s="0" t="s">
        <v>5825</v>
      </c>
      <c r="CY46" s="0" t="s">
        <v>5826</v>
      </c>
      <c r="CZ46" s="0" t="s">
        <v>5827</v>
      </c>
      <c r="DA46" s="0" t="s">
        <v>4620</v>
      </c>
      <c r="DB46" s="0" t="s">
        <v>5828</v>
      </c>
      <c r="DC46" s="0" t="s">
        <v>172</v>
      </c>
      <c r="DY46" s="0" t="str">
        <f aca="false">IF(ISNUMBER(MATCH(U46,{"queued","contacted","replied","call_booked","call_done","yes_in_principle","materials_sent"},0)),"Y","N")</f>
        <v>N</v>
      </c>
      <c r="DZ46" s="0" t="str">
        <f aca="false">IF(COUNTIFS($AN$2:$AN$1000,AN46,$DY$2:$DY$1000,"Y")+COUNTIFS($AN$2:$AN$1000,AN46,$T$2:$T$1000,"Y")&gt;0,"Y","N")</f>
        <v>N</v>
      </c>
      <c r="EA46" s="0" t="str">
        <f aca="false">IF(AND(U46="new",T46="N",AR46="Y",AQ46="",DZ46="N"),"Y","N")</f>
        <v>Y</v>
      </c>
      <c r="EB46" s="0" t="str">
        <f aca="false">IF(EA46&lt;&gt;"Y","N",IF(COUNTIFS($AN$2:$AN$1000,AN46,$EA$2:$EA$1000,"Y",$J$2:$J$1000,"&gt;"&amp;J46)+COUNTIFS($AN$2:$AN$1000,AN46,$EA$2:$EA$1000,"Y",$J$2:$J$1000,J46,$ED$2:$ED$1000,"&lt;"&amp;ED46)=0,"Y","N"))</f>
        <v>Y</v>
      </c>
      <c r="EC46" s="0" t="str">
        <f aca="false">IF(Y46="","N",IF(Y46&lt;=10,"Y","N"))</f>
        <v>N</v>
      </c>
      <c r="ED46" s="0" t="n">
        <f aca="false">ROW()-1</f>
        <v>45</v>
      </c>
    </row>
    <row r="47" customFormat="false" ht="15" hidden="false" customHeight="false" outlineLevel="0" collapsed="false">
      <c r="A47" s="0" t="s">
        <v>5829</v>
      </c>
      <c r="B47" s="0" t="s">
        <v>5830</v>
      </c>
      <c r="C47" s="0" t="s">
        <v>5831</v>
      </c>
      <c r="D47" s="0" t="s">
        <v>5832</v>
      </c>
      <c r="E47" s="0" t="s">
        <v>5507</v>
      </c>
      <c r="H47" s="5" t="s">
        <v>158</v>
      </c>
      <c r="I47" s="5" t="s">
        <v>159</v>
      </c>
      <c r="J47" s="0" t="n">
        <f aca="false">IF(AU47="pass",CM47+CN47+CO47+CP47+CQ47+CR47+CS47+CT47,0)</f>
        <v>54</v>
      </c>
      <c r="K47" s="0" t="s">
        <v>5833</v>
      </c>
      <c r="M47" s="0" t="s">
        <v>4580</v>
      </c>
      <c r="N47" s="0" t="s">
        <v>4581</v>
      </c>
      <c r="O47" s="0" t="s">
        <v>5834</v>
      </c>
      <c r="P47" s="0" t="s">
        <v>5835</v>
      </c>
      <c r="Q47" s="0" t="s">
        <v>3387</v>
      </c>
      <c r="R47" s="5" t="s">
        <v>162</v>
      </c>
      <c r="S47" s="0" t="s">
        <v>163</v>
      </c>
      <c r="T47" s="5" t="s">
        <v>162</v>
      </c>
      <c r="U47" s="5" t="s">
        <v>561</v>
      </c>
      <c r="V47" s="0" t="s">
        <v>5836</v>
      </c>
      <c r="W47" s="0" t="s">
        <v>166</v>
      </c>
      <c r="X47" s="0" t="s">
        <v>4585</v>
      </c>
      <c r="Y47" s="0" t="n">
        <f aca="false">IF(EB47&lt;&gt;"Y","",COUNTIFS($EB$2:$EB$1000,"Y",$J$2:$J$1000,"&gt;"&amp;J47)+COUNTIFS($EB$2:$EB$1000,"Y",$J$2:$J$1000,J47,$ED$2:$ED$1000,"&lt;"&amp;ED47)+1)</f>
        <v>45</v>
      </c>
      <c r="Z47" s="0" t="n">
        <v>46</v>
      </c>
      <c r="AA47" s="0" t="s">
        <v>168</v>
      </c>
      <c r="AB47" s="0" t="s">
        <v>5837</v>
      </c>
      <c r="AC47" s="0" t="s">
        <v>4587</v>
      </c>
      <c r="AD47" s="0" t="s">
        <v>171</v>
      </c>
      <c r="AE47" s="0" t="s">
        <v>230</v>
      </c>
      <c r="AF47" s="0" t="s">
        <v>5838</v>
      </c>
      <c r="AG47" s="0" t="s">
        <v>174</v>
      </c>
      <c r="AH47" s="0" t="s">
        <v>5839</v>
      </c>
      <c r="AI47" s="0" t="s">
        <v>5079</v>
      </c>
      <c r="AJ47" s="0" t="s">
        <v>5840</v>
      </c>
      <c r="AK47" s="0" t="s">
        <v>5841</v>
      </c>
      <c r="AL47" s="0" t="s">
        <v>168</v>
      </c>
      <c r="AM47" s="0" t="s">
        <v>5842</v>
      </c>
      <c r="AN47" s="0" t="s">
        <v>5829</v>
      </c>
      <c r="AO47" s="5" t="s">
        <v>162</v>
      </c>
      <c r="AR47" s="0" t="str">
        <f aca="false">IF(AND(AU47="pass",AO47&lt;&gt;"Y",C47&lt;&gt;""),"Y","N")</f>
        <v>Y</v>
      </c>
      <c r="AS47" s="0" t="str">
        <f aca="false">_xlfn.TEXTJOIN("; ",TRUE(),IF(AU47&lt;&gt;"pass","gated out",""),IF(AO47="Y","on hold: "&amp;AP47,""),IF(C47="","no contact named on an opened page",""))</f>
        <v/>
      </c>
      <c r="AU47" s="0" t="s">
        <v>181</v>
      </c>
      <c r="AW47" s="0" t="s">
        <v>182</v>
      </c>
      <c r="AX47" s="0" t="s">
        <v>5221</v>
      </c>
      <c r="AY47" s="0" t="s">
        <v>5841</v>
      </c>
      <c r="AZ47" s="0" t="s">
        <v>5712</v>
      </c>
      <c r="BA47" s="0" t="s">
        <v>5329</v>
      </c>
      <c r="BB47" s="0" t="s">
        <v>163</v>
      </c>
      <c r="BD47" s="0" t="s">
        <v>263</v>
      </c>
      <c r="BE47" s="0" t="s">
        <v>5843</v>
      </c>
      <c r="BF47" s="0" t="s">
        <v>168</v>
      </c>
      <c r="BG47" s="0" t="s">
        <v>168</v>
      </c>
      <c r="BH47" s="0" t="s">
        <v>163</v>
      </c>
      <c r="BJ47" s="0" t="s">
        <v>163</v>
      </c>
      <c r="BK47" s="0" t="s">
        <v>162</v>
      </c>
      <c r="BL47" s="0" t="s">
        <v>162</v>
      </c>
      <c r="BN47" s="0" t="n">
        <v>0</v>
      </c>
      <c r="BO47" s="0" t="s">
        <v>168</v>
      </c>
      <c r="BP47" s="0" t="n">
        <v>3</v>
      </c>
      <c r="BQ47" s="0" t="s">
        <v>4669</v>
      </c>
      <c r="BS47" s="0" t="s">
        <v>5844</v>
      </c>
      <c r="BT47" s="0" t="s">
        <v>5845</v>
      </c>
      <c r="BU47" s="0" t="s">
        <v>4604</v>
      </c>
      <c r="BV47" s="0" t="n">
        <v>137</v>
      </c>
      <c r="BX47" s="0" t="s">
        <v>5846</v>
      </c>
      <c r="BY47" s="0" t="s">
        <v>5847</v>
      </c>
      <c r="CA47" s="0" t="s">
        <v>5848</v>
      </c>
      <c r="CB47" s="0" t="s">
        <v>5849</v>
      </c>
      <c r="CC47" s="0" t="s">
        <v>5850</v>
      </c>
      <c r="CD47" s="0" t="s">
        <v>5851</v>
      </c>
      <c r="CE47" s="0" t="s">
        <v>4612</v>
      </c>
      <c r="CF47" s="0" t="s">
        <v>171</v>
      </c>
      <c r="CG47" s="0" t="s">
        <v>5852</v>
      </c>
      <c r="CK47" s="0" t="s">
        <v>158</v>
      </c>
      <c r="CL47" s="0" t="n">
        <v>54</v>
      </c>
      <c r="CM47" s="0" t="n">
        <v>25</v>
      </c>
      <c r="CN47" s="0" t="n">
        <v>3</v>
      </c>
      <c r="CO47" s="0" t="n">
        <v>15</v>
      </c>
      <c r="CP47" s="0" t="n">
        <v>5</v>
      </c>
      <c r="CQ47" s="0" t="n">
        <v>8</v>
      </c>
      <c r="CR47" s="0" t="n">
        <v>10</v>
      </c>
      <c r="CS47" s="0" t="n">
        <f aca="false">IF(R47="Y",10,0)</f>
        <v>0</v>
      </c>
      <c r="CT47" s="0" t="n">
        <v>-12</v>
      </c>
      <c r="CU47" s="0" t="s">
        <v>5853</v>
      </c>
      <c r="CV47" s="0" t="s">
        <v>4703</v>
      </c>
      <c r="CW47" s="0" t="s">
        <v>5854</v>
      </c>
      <c r="CX47" s="0" t="s">
        <v>5855</v>
      </c>
      <c r="CY47" s="0" t="s">
        <v>5856</v>
      </c>
      <c r="CZ47" s="0" t="s">
        <v>5857</v>
      </c>
      <c r="DA47" s="0" t="s">
        <v>4620</v>
      </c>
      <c r="DB47" s="0" t="s">
        <v>5858</v>
      </c>
      <c r="DC47" s="0" t="s">
        <v>230</v>
      </c>
      <c r="DD47" s="0" t="s">
        <v>5859</v>
      </c>
      <c r="DY47" s="0" t="str">
        <f aca="false">IF(ISNUMBER(MATCH(U47,{"queued","contacted","replied","call_booked","call_done","yes_in_principle","materials_sent"},0)),"Y","N")</f>
        <v>N</v>
      </c>
      <c r="DZ47" s="0" t="str">
        <f aca="false">IF(COUNTIFS($AN$2:$AN$1000,AN47,$DY$2:$DY$1000,"Y")+COUNTIFS($AN$2:$AN$1000,AN47,$T$2:$T$1000,"Y")&gt;0,"Y","N")</f>
        <v>N</v>
      </c>
      <c r="EA47" s="0" t="str">
        <f aca="false">IF(AND(U47="new",T47="N",AR47="Y",AQ47="",DZ47="N"),"Y","N")</f>
        <v>Y</v>
      </c>
      <c r="EB47" s="0" t="str">
        <f aca="false">IF(EA47&lt;&gt;"Y","N",IF(COUNTIFS($AN$2:$AN$1000,AN47,$EA$2:$EA$1000,"Y",$J$2:$J$1000,"&gt;"&amp;J47)+COUNTIFS($AN$2:$AN$1000,AN47,$EA$2:$EA$1000,"Y",$J$2:$J$1000,J47,$ED$2:$ED$1000,"&lt;"&amp;ED47)=0,"Y","N"))</f>
        <v>Y</v>
      </c>
      <c r="EC47" s="0" t="str">
        <f aca="false">IF(Y47="","N",IF(Y47&lt;=10,"Y","N"))</f>
        <v>N</v>
      </c>
      <c r="ED47" s="0" t="n">
        <f aca="false">ROW()-1</f>
        <v>46</v>
      </c>
    </row>
    <row r="48" customFormat="false" ht="15" hidden="false" customHeight="false" outlineLevel="0" collapsed="false">
      <c r="A48" s="0" t="s">
        <v>5860</v>
      </c>
      <c r="B48" s="0" t="s">
        <v>5861</v>
      </c>
      <c r="C48" s="0" t="s">
        <v>5862</v>
      </c>
      <c r="D48" s="0" t="s">
        <v>5863</v>
      </c>
      <c r="E48" s="0" t="s">
        <v>5365</v>
      </c>
      <c r="H48" s="5" t="s">
        <v>158</v>
      </c>
      <c r="I48" s="5" t="s">
        <v>159</v>
      </c>
      <c r="J48" s="0" t="n">
        <f aca="false">IF(AU48="pass",CM48+CN48+CO48+CP48+CQ48+CR48+CS48+CT48,0)</f>
        <v>54</v>
      </c>
      <c r="K48" s="0" t="s">
        <v>5864</v>
      </c>
      <c r="M48" s="0" t="s">
        <v>4580</v>
      </c>
      <c r="N48" s="0" t="s">
        <v>4581</v>
      </c>
      <c r="O48" s="0" t="s">
        <v>5865</v>
      </c>
      <c r="P48" s="0" t="s">
        <v>5866</v>
      </c>
      <c r="Q48" s="0" t="s">
        <v>1042</v>
      </c>
      <c r="R48" s="5" t="s">
        <v>162</v>
      </c>
      <c r="S48" s="0" t="s">
        <v>163</v>
      </c>
      <c r="T48" s="5" t="s">
        <v>162</v>
      </c>
      <c r="U48" s="5" t="s">
        <v>561</v>
      </c>
      <c r="V48" s="0" t="s">
        <v>5867</v>
      </c>
      <c r="W48" s="0" t="s">
        <v>166</v>
      </c>
      <c r="X48" s="0" t="s">
        <v>4585</v>
      </c>
      <c r="Y48" s="0" t="n">
        <f aca="false">IF(EB48&lt;&gt;"Y","",COUNTIFS($EB$2:$EB$1000,"Y",$J$2:$J$1000,"&gt;"&amp;J48)+COUNTIFS($EB$2:$EB$1000,"Y",$J$2:$J$1000,J48,$ED$2:$ED$1000,"&lt;"&amp;ED48)+1)</f>
        <v>46</v>
      </c>
      <c r="Z48" s="0" t="n">
        <v>47</v>
      </c>
      <c r="AA48" s="0" t="s">
        <v>168</v>
      </c>
      <c r="AB48" s="0" t="s">
        <v>5868</v>
      </c>
      <c r="AC48" s="0" t="s">
        <v>4612</v>
      </c>
      <c r="AD48" s="0" t="s">
        <v>171</v>
      </c>
      <c r="AE48" s="0" t="s">
        <v>1189</v>
      </c>
      <c r="AF48" s="0" t="s">
        <v>5869</v>
      </c>
      <c r="AG48" s="0" t="s">
        <v>174</v>
      </c>
      <c r="AH48" s="0" t="s">
        <v>5870</v>
      </c>
      <c r="AI48" s="0" t="s">
        <v>4826</v>
      </c>
      <c r="AJ48" s="0" t="s">
        <v>5871</v>
      </c>
      <c r="AK48" s="0" t="s">
        <v>5872</v>
      </c>
      <c r="AL48" s="0" t="s">
        <v>162</v>
      </c>
      <c r="AN48" s="0" t="s">
        <v>5860</v>
      </c>
      <c r="AO48" s="5" t="s">
        <v>162</v>
      </c>
      <c r="AR48" s="0" t="str">
        <f aca="false">IF(AND(AU48="pass",AO48&lt;&gt;"Y",C48&lt;&gt;""),"Y","N")</f>
        <v>Y</v>
      </c>
      <c r="AS48" s="0" t="str">
        <f aca="false">_xlfn.TEXTJOIN("; ",TRUE(),IF(AU48&lt;&gt;"pass","gated out",""),IF(AO48="Y","on hold: "&amp;AP48,""),IF(C48="","no contact named on an opened page",""))</f>
        <v/>
      </c>
      <c r="AU48" s="0" t="s">
        <v>181</v>
      </c>
      <c r="AW48" s="0" t="s">
        <v>182</v>
      </c>
      <c r="AY48" s="0" t="s">
        <v>5872</v>
      </c>
      <c r="AZ48" s="0" t="s">
        <v>5873</v>
      </c>
      <c r="BA48" s="0" t="s">
        <v>5329</v>
      </c>
      <c r="BB48" s="0" t="s">
        <v>163</v>
      </c>
      <c r="BD48" s="0" t="s">
        <v>168</v>
      </c>
      <c r="BE48" s="0" t="s">
        <v>5874</v>
      </c>
      <c r="BF48" s="0" t="s">
        <v>168</v>
      </c>
      <c r="BG48" s="0" t="s">
        <v>168</v>
      </c>
      <c r="BH48" s="0" t="s">
        <v>163</v>
      </c>
      <c r="BJ48" s="0" t="s">
        <v>163</v>
      </c>
      <c r="BK48" s="0" t="s">
        <v>162</v>
      </c>
      <c r="BL48" s="0" t="s">
        <v>162</v>
      </c>
      <c r="BN48" s="0" t="n">
        <v>0</v>
      </c>
      <c r="BO48" s="0" t="s">
        <v>168</v>
      </c>
      <c r="BP48" s="0" t="n">
        <v>3</v>
      </c>
      <c r="BQ48" s="0" t="s">
        <v>4669</v>
      </c>
      <c r="BS48" s="0" t="s">
        <v>4981</v>
      </c>
      <c r="BT48" s="0" t="s">
        <v>5875</v>
      </c>
      <c r="BU48" s="0" t="s">
        <v>4694</v>
      </c>
      <c r="BV48" s="0" t="n">
        <v>213</v>
      </c>
      <c r="BX48" s="0" t="s">
        <v>5876</v>
      </c>
      <c r="BY48" s="0" t="s">
        <v>5877</v>
      </c>
      <c r="CA48" s="0" t="s">
        <v>5878</v>
      </c>
      <c r="CB48" s="0" t="s">
        <v>5879</v>
      </c>
      <c r="CC48" s="0" t="s">
        <v>5863</v>
      </c>
      <c r="CD48" s="0" t="s">
        <v>5880</v>
      </c>
      <c r="CE48" s="0" t="s">
        <v>4808</v>
      </c>
      <c r="CF48" s="0" t="s">
        <v>171</v>
      </c>
      <c r="CG48" s="0" t="s">
        <v>5881</v>
      </c>
      <c r="CK48" s="0" t="s">
        <v>158</v>
      </c>
      <c r="CL48" s="0" t="n">
        <v>54</v>
      </c>
      <c r="CM48" s="0" t="n">
        <v>25</v>
      </c>
      <c r="CN48" s="0" t="n">
        <v>3</v>
      </c>
      <c r="CO48" s="0" t="n">
        <v>4</v>
      </c>
      <c r="CP48" s="0" t="n">
        <v>5</v>
      </c>
      <c r="CQ48" s="0" t="n">
        <v>10</v>
      </c>
      <c r="CR48" s="0" t="n">
        <v>7</v>
      </c>
      <c r="CS48" s="0" t="n">
        <f aca="false">IF(R48="Y",10,0)</f>
        <v>0</v>
      </c>
      <c r="CT48" s="0" t="n">
        <v>0</v>
      </c>
      <c r="CU48" s="0" t="s">
        <v>163</v>
      </c>
      <c r="CV48" s="0" t="s">
        <v>4841</v>
      </c>
      <c r="CW48" s="0" t="s">
        <v>5882</v>
      </c>
      <c r="CX48" s="0" t="s">
        <v>5883</v>
      </c>
      <c r="CY48" s="0" t="s">
        <v>5884</v>
      </c>
      <c r="CZ48" s="0" t="s">
        <v>5869</v>
      </c>
      <c r="DA48" s="0" t="s">
        <v>4620</v>
      </c>
      <c r="DB48" s="0" t="s">
        <v>5885</v>
      </c>
      <c r="DC48" s="0" t="s">
        <v>1189</v>
      </c>
      <c r="DY48" s="0" t="str">
        <f aca="false">IF(ISNUMBER(MATCH(U48,{"queued","contacted","replied","call_booked","call_done","yes_in_principle","materials_sent"},0)),"Y","N")</f>
        <v>N</v>
      </c>
      <c r="DZ48" s="0" t="str">
        <f aca="false">IF(COUNTIFS($AN$2:$AN$1000,AN48,$DY$2:$DY$1000,"Y")+COUNTIFS($AN$2:$AN$1000,AN48,$T$2:$T$1000,"Y")&gt;0,"Y","N")</f>
        <v>N</v>
      </c>
      <c r="EA48" s="0" t="str">
        <f aca="false">IF(AND(U48="new",T48="N",AR48="Y",AQ48="",DZ48="N"),"Y","N")</f>
        <v>Y</v>
      </c>
      <c r="EB48" s="0" t="str">
        <f aca="false">IF(EA48&lt;&gt;"Y","N",IF(COUNTIFS($AN$2:$AN$1000,AN48,$EA$2:$EA$1000,"Y",$J$2:$J$1000,"&gt;"&amp;J48)+COUNTIFS($AN$2:$AN$1000,AN48,$EA$2:$EA$1000,"Y",$J$2:$J$1000,J48,$ED$2:$ED$1000,"&lt;"&amp;ED48)=0,"Y","N"))</f>
        <v>Y</v>
      </c>
      <c r="EC48" s="0" t="str">
        <f aca="false">IF(Y48="","N",IF(Y48&lt;=10,"Y","N"))</f>
        <v>N</v>
      </c>
      <c r="ED48" s="0" t="n">
        <f aca="false">ROW()-1</f>
        <v>47</v>
      </c>
    </row>
    <row r="49" customFormat="false" ht="15" hidden="false" customHeight="false" outlineLevel="0" collapsed="false">
      <c r="A49" s="0" t="s">
        <v>5886</v>
      </c>
      <c r="B49" s="0" t="s">
        <v>5887</v>
      </c>
      <c r="C49" s="0" t="s">
        <v>5888</v>
      </c>
      <c r="D49" s="0" t="s">
        <v>5889</v>
      </c>
      <c r="E49" s="0" t="s">
        <v>4910</v>
      </c>
      <c r="H49" s="5" t="s">
        <v>158</v>
      </c>
      <c r="I49" s="5" t="s">
        <v>159</v>
      </c>
      <c r="J49" s="0" t="n">
        <f aca="false">IF(AU49="pass",CM49+CN49+CO49+CP49+CQ49+CR49+CS49+CT49,0)</f>
        <v>54</v>
      </c>
      <c r="K49" s="0" t="s">
        <v>5890</v>
      </c>
      <c r="M49" s="0" t="s">
        <v>4580</v>
      </c>
      <c r="N49" s="0" t="s">
        <v>4581</v>
      </c>
      <c r="R49" s="5" t="s">
        <v>162</v>
      </c>
      <c r="S49" s="0" t="s">
        <v>163</v>
      </c>
      <c r="T49" s="5" t="s">
        <v>162</v>
      </c>
      <c r="U49" s="5" t="s">
        <v>561</v>
      </c>
      <c r="V49" s="0" t="s">
        <v>5891</v>
      </c>
      <c r="W49" s="0" t="s">
        <v>166</v>
      </c>
      <c r="X49" s="0" t="s">
        <v>4585</v>
      </c>
      <c r="Y49" s="0" t="n">
        <f aca="false">IF(EB49&lt;&gt;"Y","",COUNTIFS($EB$2:$EB$1000,"Y",$J$2:$J$1000,"&gt;"&amp;J49)+COUNTIFS($EB$2:$EB$1000,"Y",$J$2:$J$1000,J49,$ED$2:$ED$1000,"&lt;"&amp;ED49)+1)</f>
        <v>47</v>
      </c>
      <c r="Z49" s="0" t="n">
        <v>48</v>
      </c>
      <c r="AA49" s="0" t="s">
        <v>168</v>
      </c>
      <c r="AB49" s="0" t="s">
        <v>5892</v>
      </c>
      <c r="AC49" s="0" t="s">
        <v>4587</v>
      </c>
      <c r="AD49" s="0" t="s">
        <v>171</v>
      </c>
      <c r="AE49" s="0" t="s">
        <v>172</v>
      </c>
      <c r="AF49" s="0" t="s">
        <v>5891</v>
      </c>
      <c r="AG49" s="0" t="s">
        <v>174</v>
      </c>
      <c r="AH49" s="0" t="s">
        <v>5893</v>
      </c>
      <c r="AI49" s="0" t="s">
        <v>5079</v>
      </c>
      <c r="AJ49" s="0" t="s">
        <v>5894</v>
      </c>
      <c r="AK49" s="0" t="s">
        <v>5895</v>
      </c>
      <c r="AL49" s="0" t="s">
        <v>168</v>
      </c>
      <c r="AM49" s="0" t="s">
        <v>5896</v>
      </c>
      <c r="AN49" s="0" t="s">
        <v>5886</v>
      </c>
      <c r="AO49" s="5" t="s">
        <v>162</v>
      </c>
      <c r="AR49" s="0" t="str">
        <f aca="false">IF(AND(AU49="pass",AO49&lt;&gt;"Y",C49&lt;&gt;""),"Y","N")</f>
        <v>Y</v>
      </c>
      <c r="AS49" s="0" t="str">
        <f aca="false">_xlfn.TEXTJOIN("; ",TRUE(),IF(AU49&lt;&gt;"pass","gated out",""),IF(AO49="Y","on hold: "&amp;AP49,""),IF(C49="","no contact named on an opened page",""))</f>
        <v/>
      </c>
      <c r="AU49" s="0" t="s">
        <v>181</v>
      </c>
      <c r="AW49" s="0" t="s">
        <v>182</v>
      </c>
      <c r="AX49" s="0" t="s">
        <v>4594</v>
      </c>
      <c r="AY49" s="0" t="s">
        <v>5895</v>
      </c>
      <c r="AZ49" s="0" t="s">
        <v>5190</v>
      </c>
      <c r="BA49" s="0" t="s">
        <v>5191</v>
      </c>
      <c r="BB49" s="0" t="s">
        <v>163</v>
      </c>
      <c r="BD49" s="0" t="s">
        <v>168</v>
      </c>
      <c r="BE49" s="0" t="s">
        <v>5897</v>
      </c>
      <c r="BF49" s="0" t="s">
        <v>168</v>
      </c>
      <c r="BG49" s="0" t="s">
        <v>168</v>
      </c>
      <c r="BH49" s="0" t="s">
        <v>163</v>
      </c>
      <c r="BJ49" s="0" t="s">
        <v>163</v>
      </c>
      <c r="BK49" s="0" t="s">
        <v>162</v>
      </c>
      <c r="BL49" s="0" t="s">
        <v>162</v>
      </c>
      <c r="BN49" s="0" t="n">
        <v>0</v>
      </c>
      <c r="BO49" s="0" t="s">
        <v>168</v>
      </c>
      <c r="BP49" s="0" t="n">
        <v>3</v>
      </c>
      <c r="BQ49" s="0" t="s">
        <v>4669</v>
      </c>
      <c r="BS49" s="0" t="s">
        <v>5898</v>
      </c>
      <c r="BT49" s="0" t="s">
        <v>5899</v>
      </c>
      <c r="BU49" s="0" t="s">
        <v>158</v>
      </c>
      <c r="BX49" s="0" t="s">
        <v>5900</v>
      </c>
      <c r="BY49" s="0" t="s">
        <v>5901</v>
      </c>
      <c r="CA49" s="0" t="s">
        <v>5902</v>
      </c>
      <c r="CB49" s="0" t="s">
        <v>5903</v>
      </c>
      <c r="CC49" s="0" t="s">
        <v>5904</v>
      </c>
      <c r="CD49" s="0" t="s">
        <v>5905</v>
      </c>
      <c r="CE49" s="0" t="s">
        <v>4612</v>
      </c>
      <c r="CF49" s="0" t="s">
        <v>171</v>
      </c>
      <c r="CG49" s="0" t="s">
        <v>5906</v>
      </c>
      <c r="CK49" s="0" t="s">
        <v>158</v>
      </c>
      <c r="CL49" s="0" t="n">
        <v>54</v>
      </c>
      <c r="CM49" s="0" t="n">
        <v>25</v>
      </c>
      <c r="CN49" s="0" t="n">
        <v>8</v>
      </c>
      <c r="CO49" s="0" t="n">
        <v>0</v>
      </c>
      <c r="CP49" s="0" t="n">
        <v>5</v>
      </c>
      <c r="CQ49" s="0" t="n">
        <v>10</v>
      </c>
      <c r="CR49" s="0" t="n">
        <v>10</v>
      </c>
      <c r="CS49" s="0" t="n">
        <f aca="false">IF(R49="Y",10,0)</f>
        <v>0</v>
      </c>
      <c r="CT49" s="0" t="n">
        <v>-4</v>
      </c>
      <c r="CU49" s="0" t="s">
        <v>5907</v>
      </c>
      <c r="CV49" s="0" t="s">
        <v>4703</v>
      </c>
      <c r="CW49" s="0" t="s">
        <v>5908</v>
      </c>
      <c r="CX49" s="0" t="s">
        <v>5909</v>
      </c>
      <c r="CY49" s="0" t="s">
        <v>5910</v>
      </c>
      <c r="CZ49" s="0" t="s">
        <v>5911</v>
      </c>
      <c r="DA49" s="0" t="s">
        <v>5912</v>
      </c>
      <c r="DB49" s="0" t="s">
        <v>5913</v>
      </c>
      <c r="DC49" s="0" t="s">
        <v>230</v>
      </c>
      <c r="DD49" s="0" t="s">
        <v>5913</v>
      </c>
      <c r="DY49" s="0" t="str">
        <f aca="false">IF(ISNUMBER(MATCH(U49,{"queued","contacted","replied","call_booked","call_done","yes_in_principle","materials_sent"},0)),"Y","N")</f>
        <v>N</v>
      </c>
      <c r="DZ49" s="0" t="str">
        <f aca="false">IF(COUNTIFS($AN$2:$AN$1000,AN49,$DY$2:$DY$1000,"Y")+COUNTIFS($AN$2:$AN$1000,AN49,$T$2:$T$1000,"Y")&gt;0,"Y","N")</f>
        <v>N</v>
      </c>
      <c r="EA49" s="0" t="str">
        <f aca="false">IF(AND(U49="new",T49="N",AR49="Y",AQ49="",DZ49="N"),"Y","N")</f>
        <v>Y</v>
      </c>
      <c r="EB49" s="0" t="str">
        <f aca="false">IF(EA49&lt;&gt;"Y","N",IF(COUNTIFS($AN$2:$AN$1000,AN49,$EA$2:$EA$1000,"Y",$J$2:$J$1000,"&gt;"&amp;J49)+COUNTIFS($AN$2:$AN$1000,AN49,$EA$2:$EA$1000,"Y",$J$2:$J$1000,J49,$ED$2:$ED$1000,"&lt;"&amp;ED49)=0,"Y","N"))</f>
        <v>Y</v>
      </c>
      <c r="EC49" s="0" t="str">
        <f aca="false">IF(Y49="","N",IF(Y49&lt;=10,"Y","N"))</f>
        <v>N</v>
      </c>
      <c r="ED49" s="0" t="n">
        <f aca="false">ROW()-1</f>
        <v>48</v>
      </c>
    </row>
    <row r="50" customFormat="false" ht="15" hidden="false" customHeight="false" outlineLevel="0" collapsed="false">
      <c r="A50" s="0" t="s">
        <v>5914</v>
      </c>
      <c r="B50" s="0" t="s">
        <v>5915</v>
      </c>
      <c r="C50" s="0" t="s">
        <v>5916</v>
      </c>
      <c r="D50" s="0" t="s">
        <v>5917</v>
      </c>
      <c r="E50" s="0" t="s">
        <v>4771</v>
      </c>
      <c r="H50" s="5" t="s">
        <v>158</v>
      </c>
      <c r="I50" s="5" t="s">
        <v>159</v>
      </c>
      <c r="J50" s="0" t="n">
        <f aca="false">IF(AU50="pass",CM50+CN50+CO50+CP50+CQ50+CR50+CS50+CT50,0)</f>
        <v>54</v>
      </c>
      <c r="K50" s="0" t="s">
        <v>5918</v>
      </c>
      <c r="M50" s="0" t="s">
        <v>5291</v>
      </c>
      <c r="N50" s="0" t="s">
        <v>598</v>
      </c>
      <c r="O50" s="0" t="s">
        <v>5919</v>
      </c>
      <c r="P50" s="0" t="s">
        <v>5732</v>
      </c>
      <c r="Q50" s="0" t="s">
        <v>3102</v>
      </c>
      <c r="R50" s="5" t="s">
        <v>162</v>
      </c>
      <c r="S50" s="0" t="s">
        <v>168</v>
      </c>
      <c r="T50" s="5" t="s">
        <v>162</v>
      </c>
      <c r="U50" s="5" t="s">
        <v>561</v>
      </c>
      <c r="V50" s="0" t="s">
        <v>5920</v>
      </c>
      <c r="W50" s="0" t="s">
        <v>166</v>
      </c>
      <c r="X50" s="0" t="s">
        <v>4585</v>
      </c>
      <c r="Y50" s="0" t="n">
        <f aca="false">IF(EB50&lt;&gt;"Y","",COUNTIFS($EB$2:$EB$1000,"Y",$J$2:$J$1000,"&gt;"&amp;J50)+COUNTIFS($EB$2:$EB$1000,"Y",$J$2:$J$1000,J50,$ED$2:$ED$1000,"&lt;"&amp;ED50)+1)</f>
        <v>48</v>
      </c>
      <c r="Z50" s="0" t="n">
        <v>49</v>
      </c>
      <c r="AA50" s="0" t="s">
        <v>168</v>
      </c>
      <c r="AB50" s="0" t="s">
        <v>5921</v>
      </c>
      <c r="AC50" s="0" t="s">
        <v>4587</v>
      </c>
      <c r="AD50" s="0" t="s">
        <v>171</v>
      </c>
      <c r="AE50" s="0" t="s">
        <v>1189</v>
      </c>
      <c r="AF50" s="0" t="s">
        <v>5922</v>
      </c>
      <c r="AG50" s="0" t="s">
        <v>174</v>
      </c>
      <c r="AH50" s="0" t="s">
        <v>5923</v>
      </c>
      <c r="AI50" s="0" t="s">
        <v>5924</v>
      </c>
      <c r="AJ50" s="0" t="s">
        <v>4634</v>
      </c>
      <c r="AK50" s="0" t="s">
        <v>5925</v>
      </c>
      <c r="AL50" s="0" t="s">
        <v>168</v>
      </c>
      <c r="AM50" s="0" t="s">
        <v>5926</v>
      </c>
      <c r="AN50" s="0" t="s">
        <v>5914</v>
      </c>
      <c r="AO50" s="5" t="s">
        <v>162</v>
      </c>
      <c r="AR50" s="0" t="str">
        <f aca="false">IF(AND(AU50="pass",AO50&lt;&gt;"Y",C50&lt;&gt;""),"Y","N")</f>
        <v>Y</v>
      </c>
      <c r="AS50" s="0" t="str">
        <f aca="false">_xlfn.TEXTJOIN("; ",TRUE(),IF(AU50&lt;&gt;"pass","gated out",""),IF(AO50="Y","on hold: "&amp;AP50,""),IF(C50="","no contact named on an opened page",""))</f>
        <v/>
      </c>
      <c r="AU50" s="0" t="s">
        <v>181</v>
      </c>
      <c r="AW50" s="0" t="s">
        <v>182</v>
      </c>
      <c r="AX50" s="0" t="s">
        <v>5270</v>
      </c>
      <c r="AY50" s="0" t="s">
        <v>5925</v>
      </c>
      <c r="AZ50" s="0" t="s">
        <v>4595</v>
      </c>
      <c r="BA50" s="0" t="s">
        <v>4596</v>
      </c>
      <c r="BB50" s="0" t="s">
        <v>163</v>
      </c>
      <c r="BD50" s="0" t="s">
        <v>163</v>
      </c>
      <c r="BE50" s="0" t="s">
        <v>5927</v>
      </c>
      <c r="BF50" s="0" t="s">
        <v>168</v>
      </c>
      <c r="BG50" s="0" t="s">
        <v>168</v>
      </c>
      <c r="BH50" s="0" t="s">
        <v>163</v>
      </c>
      <c r="BJ50" s="0" t="s">
        <v>5549</v>
      </c>
      <c r="BK50" s="0" t="s">
        <v>162</v>
      </c>
      <c r="BL50" s="0" t="s">
        <v>162</v>
      </c>
      <c r="BO50" s="0" t="s">
        <v>162</v>
      </c>
      <c r="BP50" s="0" t="n">
        <v>0</v>
      </c>
      <c r="BR50" s="0" t="s">
        <v>5928</v>
      </c>
      <c r="BS50" s="0" t="s">
        <v>5929</v>
      </c>
      <c r="BT50" s="0" t="s">
        <v>5930</v>
      </c>
      <c r="BU50" s="0" t="s">
        <v>4604</v>
      </c>
      <c r="BV50" s="0" t="n">
        <v>79</v>
      </c>
      <c r="BW50" s="0" t="s">
        <v>5732</v>
      </c>
      <c r="BX50" s="0" t="s">
        <v>5931</v>
      </c>
      <c r="BY50" s="0" t="s">
        <v>5932</v>
      </c>
      <c r="CF50" s="0" t="s">
        <v>158</v>
      </c>
      <c r="CK50" s="0" t="s">
        <v>158</v>
      </c>
      <c r="CL50" s="0" t="n">
        <v>54</v>
      </c>
      <c r="CM50" s="0" t="n">
        <v>6</v>
      </c>
      <c r="CN50" s="0" t="n">
        <v>20</v>
      </c>
      <c r="CO50" s="0" t="n">
        <v>15</v>
      </c>
      <c r="CP50" s="0" t="n">
        <v>5</v>
      </c>
      <c r="CQ50" s="0" t="n">
        <v>7</v>
      </c>
      <c r="CR50" s="0" t="n">
        <v>6</v>
      </c>
      <c r="CS50" s="0" t="n">
        <f aca="false">IF(R50="Y",10,0)</f>
        <v>0</v>
      </c>
      <c r="CT50" s="0" t="n">
        <v>-5</v>
      </c>
      <c r="CU50" s="0" t="s">
        <v>163</v>
      </c>
      <c r="CV50" s="0" t="s">
        <v>5562</v>
      </c>
      <c r="CW50" s="0" t="s">
        <v>5933</v>
      </c>
      <c r="CX50" s="0" t="s">
        <v>5934</v>
      </c>
      <c r="CY50" s="0" t="s">
        <v>5935</v>
      </c>
      <c r="DA50" s="0" t="s">
        <v>4620</v>
      </c>
      <c r="DY50" s="0" t="str">
        <f aca="false">IF(ISNUMBER(MATCH(U50,{"queued","contacted","replied","call_booked","call_done","yes_in_principle","materials_sent"},0)),"Y","N")</f>
        <v>N</v>
      </c>
      <c r="DZ50" s="0" t="str">
        <f aca="false">IF(COUNTIFS($AN$2:$AN$1000,AN50,$DY$2:$DY$1000,"Y")+COUNTIFS($AN$2:$AN$1000,AN50,$T$2:$T$1000,"Y")&gt;0,"Y","N")</f>
        <v>N</v>
      </c>
      <c r="EA50" s="0" t="str">
        <f aca="false">IF(AND(U50="new",T50="N",AR50="Y",AQ50="",DZ50="N"),"Y","N")</f>
        <v>Y</v>
      </c>
      <c r="EB50" s="0" t="str">
        <f aca="false">IF(EA50&lt;&gt;"Y","N",IF(COUNTIFS($AN$2:$AN$1000,AN50,$EA$2:$EA$1000,"Y",$J$2:$J$1000,"&gt;"&amp;J50)+COUNTIFS($AN$2:$AN$1000,AN50,$EA$2:$EA$1000,"Y",$J$2:$J$1000,J50,$ED$2:$ED$1000,"&lt;"&amp;ED50)=0,"Y","N"))</f>
        <v>Y</v>
      </c>
      <c r="EC50" s="0" t="str">
        <f aca="false">IF(Y50="","N",IF(Y50&lt;=10,"Y","N"))</f>
        <v>N</v>
      </c>
      <c r="ED50" s="0" t="n">
        <f aca="false">ROW()-1</f>
        <v>49</v>
      </c>
    </row>
    <row r="51" customFormat="false" ht="15" hidden="false" customHeight="false" outlineLevel="0" collapsed="false">
      <c r="A51" s="0" t="s">
        <v>5936</v>
      </c>
      <c r="B51" s="0" t="s">
        <v>5937</v>
      </c>
      <c r="C51" s="0" t="s">
        <v>5938</v>
      </c>
      <c r="D51" s="0" t="s">
        <v>5939</v>
      </c>
      <c r="E51" s="0" t="s">
        <v>4771</v>
      </c>
      <c r="H51" s="5" t="s">
        <v>158</v>
      </c>
      <c r="I51" s="5" t="s">
        <v>159</v>
      </c>
      <c r="J51" s="0" t="n">
        <f aca="false">IF(AU51="pass",CM51+CN51+CO51+CP51+CQ51+CR51+CS51+CT51,0)</f>
        <v>54</v>
      </c>
      <c r="K51" s="0" t="s">
        <v>5940</v>
      </c>
      <c r="M51" s="0" t="s">
        <v>5291</v>
      </c>
      <c r="N51" s="0" t="s">
        <v>598</v>
      </c>
      <c r="O51" s="0" t="s">
        <v>5941</v>
      </c>
      <c r="P51" s="0" t="s">
        <v>5942</v>
      </c>
      <c r="Q51" s="0" t="s">
        <v>5943</v>
      </c>
      <c r="R51" s="5" t="s">
        <v>162</v>
      </c>
      <c r="S51" s="0" t="s">
        <v>168</v>
      </c>
      <c r="T51" s="5" t="s">
        <v>162</v>
      </c>
      <c r="U51" s="5" t="s">
        <v>561</v>
      </c>
      <c r="V51" s="0" t="s">
        <v>5942</v>
      </c>
      <c r="W51" s="0" t="s">
        <v>166</v>
      </c>
      <c r="X51" s="0" t="s">
        <v>4585</v>
      </c>
      <c r="Y51" s="0" t="n">
        <f aca="false">IF(EB51&lt;&gt;"Y","",COUNTIFS($EB$2:$EB$1000,"Y",$J$2:$J$1000,"&gt;"&amp;J51)+COUNTIFS($EB$2:$EB$1000,"Y",$J$2:$J$1000,J51,$ED$2:$ED$1000,"&lt;"&amp;ED51)+1)</f>
        <v>49</v>
      </c>
      <c r="Z51" s="0" t="n">
        <v>50</v>
      </c>
      <c r="AA51" s="0" t="s">
        <v>168</v>
      </c>
      <c r="AB51" s="0" t="s">
        <v>5944</v>
      </c>
      <c r="AC51" s="0" t="s">
        <v>4587</v>
      </c>
      <c r="AD51" s="0" t="s">
        <v>171</v>
      </c>
      <c r="AE51" s="0" t="s">
        <v>1189</v>
      </c>
      <c r="AF51" s="0" t="s">
        <v>5942</v>
      </c>
      <c r="AG51" s="0" t="s">
        <v>174</v>
      </c>
      <c r="AH51" s="0" t="s">
        <v>5945</v>
      </c>
      <c r="AI51" s="0" t="s">
        <v>4975</v>
      </c>
      <c r="AJ51" s="0" t="s">
        <v>5946</v>
      </c>
      <c r="AK51" s="0" t="s">
        <v>5947</v>
      </c>
      <c r="AL51" s="0" t="s">
        <v>168</v>
      </c>
      <c r="AM51" s="0" t="s">
        <v>5948</v>
      </c>
      <c r="AN51" s="0" t="s">
        <v>5936</v>
      </c>
      <c r="AO51" s="5" t="s">
        <v>162</v>
      </c>
      <c r="AR51" s="0" t="str">
        <f aca="false">IF(AND(AU51="pass",AO51&lt;&gt;"Y",C51&lt;&gt;""),"Y","N")</f>
        <v>Y</v>
      </c>
      <c r="AS51" s="0" t="str">
        <f aca="false">_xlfn.TEXTJOIN("; ",TRUE(),IF(AU51&lt;&gt;"pass","gated out",""),IF(AO51="Y","on hold: "&amp;AP51,""),IF(C51="","no contact named on an opened page",""))</f>
        <v/>
      </c>
      <c r="AU51" s="0" t="s">
        <v>181</v>
      </c>
      <c r="AW51" s="0" t="s">
        <v>182</v>
      </c>
      <c r="AX51" s="0" t="s">
        <v>5949</v>
      </c>
      <c r="AY51" s="0" t="s">
        <v>5947</v>
      </c>
      <c r="AZ51" s="0" t="s">
        <v>4595</v>
      </c>
      <c r="BA51" s="0" t="s">
        <v>4596</v>
      </c>
      <c r="BB51" s="0" t="s">
        <v>163</v>
      </c>
      <c r="BD51" s="0" t="s">
        <v>168</v>
      </c>
      <c r="BE51" s="0" t="s">
        <v>5950</v>
      </c>
      <c r="BF51" s="0" t="s">
        <v>162</v>
      </c>
      <c r="BG51" s="0" t="s">
        <v>168</v>
      </c>
      <c r="BH51" s="0" t="s">
        <v>163</v>
      </c>
      <c r="BJ51" s="0" t="s">
        <v>5951</v>
      </c>
      <c r="BK51" s="0" t="s">
        <v>162</v>
      </c>
      <c r="BL51" s="0" t="s">
        <v>162</v>
      </c>
      <c r="BO51" s="0" t="s">
        <v>162</v>
      </c>
      <c r="BP51" s="0" t="n">
        <v>0</v>
      </c>
      <c r="BR51" s="0" t="s">
        <v>5952</v>
      </c>
      <c r="BS51" s="0" t="s">
        <v>5953</v>
      </c>
      <c r="BT51" s="0" t="s">
        <v>5942</v>
      </c>
      <c r="BU51" s="0" t="s">
        <v>4604</v>
      </c>
      <c r="BV51" s="0" t="n">
        <v>65</v>
      </c>
      <c r="BW51" s="0" t="s">
        <v>5942</v>
      </c>
      <c r="BX51" s="0" t="s">
        <v>5954</v>
      </c>
      <c r="BY51" s="0" t="s">
        <v>5955</v>
      </c>
      <c r="CF51" s="0" t="s">
        <v>158</v>
      </c>
      <c r="CK51" s="0" t="s">
        <v>158</v>
      </c>
      <c r="CL51" s="0" t="n">
        <v>54</v>
      </c>
      <c r="CM51" s="0" t="n">
        <v>6</v>
      </c>
      <c r="CN51" s="0" t="n">
        <v>20</v>
      </c>
      <c r="CO51" s="0" t="n">
        <v>15</v>
      </c>
      <c r="CP51" s="0" t="n">
        <v>5</v>
      </c>
      <c r="CQ51" s="0" t="n">
        <v>7</v>
      </c>
      <c r="CR51" s="0" t="n">
        <v>6</v>
      </c>
      <c r="CS51" s="0" t="n">
        <f aca="false">IF(R51="Y",10,0)</f>
        <v>0</v>
      </c>
      <c r="CT51" s="0" t="n">
        <v>-5</v>
      </c>
      <c r="CV51" s="0" t="s">
        <v>4615</v>
      </c>
      <c r="CW51" s="0" t="s">
        <v>5956</v>
      </c>
      <c r="CX51" s="0" t="s">
        <v>5957</v>
      </c>
      <c r="CY51" s="0" t="s">
        <v>5958</v>
      </c>
      <c r="DA51" s="0" t="s">
        <v>4620</v>
      </c>
      <c r="DY51" s="0" t="str">
        <f aca="false">IF(ISNUMBER(MATCH(U51,{"queued","contacted","replied","call_booked","call_done","yes_in_principle","materials_sent"},0)),"Y","N")</f>
        <v>N</v>
      </c>
      <c r="DZ51" s="0" t="str">
        <f aca="false">IF(COUNTIFS($AN$2:$AN$1000,AN51,$DY$2:$DY$1000,"Y")+COUNTIFS($AN$2:$AN$1000,AN51,$T$2:$T$1000,"Y")&gt;0,"Y","N")</f>
        <v>N</v>
      </c>
      <c r="EA51" s="0" t="str">
        <f aca="false">IF(AND(U51="new",T51="N",AR51="Y",AQ51="",DZ51="N"),"Y","N")</f>
        <v>Y</v>
      </c>
      <c r="EB51" s="0" t="str">
        <f aca="false">IF(EA51&lt;&gt;"Y","N",IF(COUNTIFS($AN$2:$AN$1000,AN51,$EA$2:$EA$1000,"Y",$J$2:$J$1000,"&gt;"&amp;J51)+COUNTIFS($AN$2:$AN$1000,AN51,$EA$2:$EA$1000,"Y",$J$2:$J$1000,J51,$ED$2:$ED$1000,"&lt;"&amp;ED51)=0,"Y","N"))</f>
        <v>Y</v>
      </c>
      <c r="EC51" s="0" t="str">
        <f aca="false">IF(Y51="","N",IF(Y51&lt;=10,"Y","N"))</f>
        <v>N</v>
      </c>
      <c r="ED51" s="0" t="n">
        <f aca="false">ROW()-1</f>
        <v>50</v>
      </c>
    </row>
    <row r="52" customFormat="false" ht="15" hidden="false" customHeight="false" outlineLevel="0" collapsed="false">
      <c r="A52" s="0" t="s">
        <v>5959</v>
      </c>
      <c r="B52" s="0" t="s">
        <v>5960</v>
      </c>
      <c r="C52" s="0" t="s">
        <v>5961</v>
      </c>
      <c r="D52" s="0" t="s">
        <v>5962</v>
      </c>
      <c r="E52" s="0" t="s">
        <v>5507</v>
      </c>
      <c r="H52" s="5" t="s">
        <v>158</v>
      </c>
      <c r="I52" s="5" t="s">
        <v>159</v>
      </c>
      <c r="J52" s="0" t="n">
        <f aca="false">IF(AU52="pass",CM52+CN52+CO52+CP52+CQ52+CR52+CS52+CT52,0)</f>
        <v>54</v>
      </c>
      <c r="K52" s="0" t="s">
        <v>5963</v>
      </c>
      <c r="M52" s="0" t="s">
        <v>5291</v>
      </c>
      <c r="N52" s="0" t="s">
        <v>598</v>
      </c>
      <c r="O52" s="0" t="s">
        <v>5964</v>
      </c>
      <c r="P52" s="0" t="s">
        <v>5965</v>
      </c>
      <c r="Q52" s="0" t="s">
        <v>3146</v>
      </c>
      <c r="R52" s="5" t="s">
        <v>162</v>
      </c>
      <c r="S52" s="0" t="s">
        <v>163</v>
      </c>
      <c r="T52" s="5" t="s">
        <v>162</v>
      </c>
      <c r="U52" s="5" t="s">
        <v>561</v>
      </c>
      <c r="V52" s="0" t="s">
        <v>5966</v>
      </c>
      <c r="W52" s="0" t="s">
        <v>166</v>
      </c>
      <c r="X52" s="0" t="s">
        <v>4585</v>
      </c>
      <c r="Y52" s="0" t="n">
        <f aca="false">IF(EB52&lt;&gt;"Y","",COUNTIFS($EB$2:$EB$1000,"Y",$J$2:$J$1000,"&gt;"&amp;J52)+COUNTIFS($EB$2:$EB$1000,"Y",$J$2:$J$1000,J52,$ED$2:$ED$1000,"&lt;"&amp;ED52)+1)</f>
        <v>50</v>
      </c>
      <c r="Z52" s="0" t="n">
        <v>51</v>
      </c>
      <c r="AA52" s="0" t="s">
        <v>168</v>
      </c>
      <c r="AB52" s="0" t="s">
        <v>5967</v>
      </c>
      <c r="AC52" s="0" t="s">
        <v>4587</v>
      </c>
      <c r="AD52" s="0" t="s">
        <v>171</v>
      </c>
      <c r="AE52" s="0" t="s">
        <v>1189</v>
      </c>
      <c r="AF52" s="0" t="s">
        <v>5968</v>
      </c>
      <c r="AG52" s="0" t="s">
        <v>174</v>
      </c>
      <c r="AH52" s="0" t="s">
        <v>5969</v>
      </c>
      <c r="AI52" s="0" t="s">
        <v>5736</v>
      </c>
      <c r="AJ52" s="0" t="s">
        <v>192</v>
      </c>
      <c r="AK52" s="0" t="s">
        <v>5970</v>
      </c>
      <c r="AL52" s="0" t="s">
        <v>168</v>
      </c>
      <c r="AM52" s="0" t="s">
        <v>5971</v>
      </c>
      <c r="AN52" s="0" t="s">
        <v>5959</v>
      </c>
      <c r="AO52" s="5" t="s">
        <v>162</v>
      </c>
      <c r="AR52" s="0" t="str">
        <f aca="false">IF(AND(AU52="pass",AO52&lt;&gt;"Y",C52&lt;&gt;""),"Y","N")</f>
        <v>Y</v>
      </c>
      <c r="AS52" s="0" t="str">
        <f aca="false">_xlfn.TEXTJOIN("; ",TRUE(),IF(AU52&lt;&gt;"pass","gated out",""),IF(AO52="Y","on hold: "&amp;AP52,""),IF(C52="","no contact named on an opened page",""))</f>
        <v/>
      </c>
      <c r="AU52" s="0" t="s">
        <v>181</v>
      </c>
      <c r="AW52" s="0" t="s">
        <v>182</v>
      </c>
      <c r="AX52" s="0" t="s">
        <v>5972</v>
      </c>
      <c r="AY52" s="0" t="s">
        <v>5973</v>
      </c>
      <c r="AZ52" s="0" t="s">
        <v>4595</v>
      </c>
      <c r="BA52" s="0" t="s">
        <v>4596</v>
      </c>
      <c r="BB52" s="0" t="s">
        <v>5974</v>
      </c>
      <c r="BC52" s="0" t="s">
        <v>5975</v>
      </c>
      <c r="BD52" s="0" t="s">
        <v>168</v>
      </c>
      <c r="BE52" s="0" t="s">
        <v>5976</v>
      </c>
      <c r="BF52" s="0" t="s">
        <v>168</v>
      </c>
      <c r="BG52" s="0" t="s">
        <v>168</v>
      </c>
      <c r="BH52" s="0" t="s">
        <v>163</v>
      </c>
      <c r="BJ52" s="0" t="s">
        <v>5977</v>
      </c>
      <c r="BK52" s="0" t="s">
        <v>162</v>
      </c>
      <c r="BL52" s="0" t="s">
        <v>162</v>
      </c>
      <c r="BO52" s="0" t="s">
        <v>162</v>
      </c>
      <c r="BP52" s="0" t="n">
        <v>0</v>
      </c>
      <c r="BS52" s="0" t="s">
        <v>5978</v>
      </c>
      <c r="BT52" s="0" t="s">
        <v>5979</v>
      </c>
      <c r="BU52" s="0" t="s">
        <v>4604</v>
      </c>
      <c r="BV52" s="0" t="n">
        <v>74</v>
      </c>
      <c r="BX52" s="0" t="s">
        <v>5980</v>
      </c>
      <c r="BY52" s="0" t="s">
        <v>5981</v>
      </c>
      <c r="CA52" s="0" t="s">
        <v>5982</v>
      </c>
      <c r="CB52" s="0" t="s">
        <v>252</v>
      </c>
      <c r="CC52" s="0" t="s">
        <v>5983</v>
      </c>
      <c r="CD52" s="0" t="s">
        <v>5984</v>
      </c>
      <c r="CE52" s="0" t="s">
        <v>4612</v>
      </c>
      <c r="CF52" s="0" t="s">
        <v>171</v>
      </c>
      <c r="CG52" s="0" t="s">
        <v>5985</v>
      </c>
      <c r="CK52" s="0" t="s">
        <v>158</v>
      </c>
      <c r="CL52" s="0" t="n">
        <v>54</v>
      </c>
      <c r="CM52" s="0" t="n">
        <v>6</v>
      </c>
      <c r="CN52" s="0" t="n">
        <v>20</v>
      </c>
      <c r="CO52" s="0" t="n">
        <v>15</v>
      </c>
      <c r="CP52" s="0" t="n">
        <v>5</v>
      </c>
      <c r="CQ52" s="0" t="n">
        <v>10</v>
      </c>
      <c r="CR52" s="0" t="n">
        <v>10</v>
      </c>
      <c r="CS52" s="0" t="n">
        <f aca="false">IF(R52="Y",10,0)</f>
        <v>0</v>
      </c>
      <c r="CT52" s="0" t="n">
        <v>-12</v>
      </c>
      <c r="CU52" s="0" t="s">
        <v>163</v>
      </c>
      <c r="CV52" s="0" t="s">
        <v>5562</v>
      </c>
      <c r="CW52" s="0" t="s">
        <v>5986</v>
      </c>
      <c r="CX52" s="0" t="s">
        <v>5987</v>
      </c>
      <c r="CY52" s="0" t="s">
        <v>5988</v>
      </c>
      <c r="CZ52" s="0" t="s">
        <v>5989</v>
      </c>
      <c r="DA52" s="0" t="s">
        <v>5912</v>
      </c>
      <c r="DC52" s="0" t="s">
        <v>230</v>
      </c>
      <c r="DD52" s="0" t="s">
        <v>5990</v>
      </c>
      <c r="DY52" s="0" t="str">
        <f aca="false">IF(ISNUMBER(MATCH(U52,{"queued","contacted","replied","call_booked","call_done","yes_in_principle","materials_sent"},0)),"Y","N")</f>
        <v>N</v>
      </c>
      <c r="DZ52" s="0" t="str">
        <f aca="false">IF(COUNTIFS($AN$2:$AN$1000,AN52,$DY$2:$DY$1000,"Y")+COUNTIFS($AN$2:$AN$1000,AN52,$T$2:$T$1000,"Y")&gt;0,"Y","N")</f>
        <v>N</v>
      </c>
      <c r="EA52" s="0" t="str">
        <f aca="false">IF(AND(U52="new",T52="N",AR52="Y",AQ52="",DZ52="N"),"Y","N")</f>
        <v>Y</v>
      </c>
      <c r="EB52" s="0" t="str">
        <f aca="false">IF(EA52&lt;&gt;"Y","N",IF(COUNTIFS($AN$2:$AN$1000,AN52,$EA$2:$EA$1000,"Y",$J$2:$J$1000,"&gt;"&amp;J52)+COUNTIFS($AN$2:$AN$1000,AN52,$EA$2:$EA$1000,"Y",$J$2:$J$1000,J52,$ED$2:$ED$1000,"&lt;"&amp;ED52)=0,"Y","N"))</f>
        <v>Y</v>
      </c>
      <c r="EC52" s="0" t="str">
        <f aca="false">IF(Y52="","N",IF(Y52&lt;=10,"Y","N"))</f>
        <v>N</v>
      </c>
      <c r="ED52" s="0" t="n">
        <f aca="false">ROW()-1</f>
        <v>51</v>
      </c>
    </row>
    <row r="53" customFormat="false" ht="15" hidden="false" customHeight="false" outlineLevel="0" collapsed="false">
      <c r="A53" s="0" t="s">
        <v>5991</v>
      </c>
      <c r="B53" s="0" t="s">
        <v>5992</v>
      </c>
      <c r="C53" s="0" t="s">
        <v>5993</v>
      </c>
      <c r="D53" s="0" t="s">
        <v>5994</v>
      </c>
      <c r="E53" s="0" t="s">
        <v>4771</v>
      </c>
      <c r="H53" s="5" t="s">
        <v>158</v>
      </c>
      <c r="I53" s="5" t="s">
        <v>159</v>
      </c>
      <c r="J53" s="0" t="n">
        <f aca="false">IF(AU53="pass",CM53+CN53+CO53+CP53+CQ53+CR53+CS53+CT53,0)</f>
        <v>52</v>
      </c>
      <c r="K53" s="0" t="s">
        <v>5995</v>
      </c>
      <c r="M53" s="0" t="s">
        <v>4580</v>
      </c>
      <c r="N53" s="0" t="s">
        <v>4581</v>
      </c>
      <c r="O53" s="0" t="s">
        <v>5996</v>
      </c>
      <c r="P53" s="0" t="s">
        <v>5997</v>
      </c>
      <c r="Q53" s="0" t="s">
        <v>4795</v>
      </c>
      <c r="R53" s="5" t="s">
        <v>162</v>
      </c>
      <c r="S53" s="0" t="s">
        <v>163</v>
      </c>
      <c r="T53" s="5" t="s">
        <v>162</v>
      </c>
      <c r="U53" s="5" t="s">
        <v>561</v>
      </c>
      <c r="V53" s="0" t="s">
        <v>5998</v>
      </c>
      <c r="W53" s="0" t="s">
        <v>166</v>
      </c>
      <c r="X53" s="0" t="s">
        <v>4585</v>
      </c>
      <c r="Y53" s="0" t="n">
        <f aca="false">IF(EB53&lt;&gt;"Y","",COUNTIFS($EB$2:$EB$1000,"Y",$J$2:$J$1000,"&gt;"&amp;J53)+COUNTIFS($EB$2:$EB$1000,"Y",$J$2:$J$1000,J53,$ED$2:$ED$1000,"&lt;"&amp;ED53)+1)</f>
        <v>51</v>
      </c>
      <c r="Z53" s="0" t="n">
        <v>52</v>
      </c>
      <c r="AA53" s="0" t="s">
        <v>168</v>
      </c>
      <c r="AB53" s="0" t="s">
        <v>5999</v>
      </c>
      <c r="AC53" s="0" t="s">
        <v>4587</v>
      </c>
      <c r="AD53" s="0" t="s">
        <v>171</v>
      </c>
      <c r="AE53" s="0" t="s">
        <v>172</v>
      </c>
      <c r="AF53" s="0" t="s">
        <v>5998</v>
      </c>
      <c r="AG53" s="0" t="s">
        <v>174</v>
      </c>
      <c r="AH53" s="0" t="s">
        <v>6000</v>
      </c>
      <c r="AI53" s="0" t="s">
        <v>4664</v>
      </c>
      <c r="AJ53" s="0" t="s">
        <v>5354</v>
      </c>
      <c r="AK53" s="0" t="s">
        <v>6001</v>
      </c>
      <c r="AL53" s="0" t="s">
        <v>168</v>
      </c>
      <c r="AM53" s="0" t="s">
        <v>6002</v>
      </c>
      <c r="AN53" s="0" t="s">
        <v>5991</v>
      </c>
      <c r="AO53" s="5" t="s">
        <v>162</v>
      </c>
      <c r="AR53" s="0" t="str">
        <f aca="false">IF(AND(AU53="pass",AO53&lt;&gt;"Y",C53&lt;&gt;""),"Y","N")</f>
        <v>Y</v>
      </c>
      <c r="AS53" s="0" t="str">
        <f aca="false">_xlfn.TEXTJOIN("; ",TRUE(),IF(AU53&lt;&gt;"pass","gated out",""),IF(AO53="Y","on hold: "&amp;AP53,""),IF(C53="","no contact named on an opened page",""))</f>
        <v/>
      </c>
      <c r="AU53" s="0" t="s">
        <v>181</v>
      </c>
      <c r="AW53" s="0" t="s">
        <v>182</v>
      </c>
      <c r="AX53" s="0" t="s">
        <v>5221</v>
      </c>
      <c r="AY53" s="0" t="s">
        <v>6001</v>
      </c>
      <c r="AZ53" s="0" t="s">
        <v>5356</v>
      </c>
      <c r="BA53" s="0" t="s">
        <v>5329</v>
      </c>
      <c r="BB53" s="0" t="s">
        <v>163</v>
      </c>
      <c r="BD53" s="0" t="s">
        <v>263</v>
      </c>
      <c r="BE53" s="0" t="s">
        <v>6003</v>
      </c>
      <c r="BF53" s="0" t="s">
        <v>163</v>
      </c>
      <c r="BG53" s="0" t="s">
        <v>168</v>
      </c>
      <c r="BH53" s="0" t="s">
        <v>163</v>
      </c>
      <c r="BJ53" s="0" t="s">
        <v>163</v>
      </c>
      <c r="BK53" s="0" t="s">
        <v>162</v>
      </c>
      <c r="BL53" s="0" t="s">
        <v>162</v>
      </c>
      <c r="BN53" s="0" t="n">
        <v>0</v>
      </c>
      <c r="BO53" s="0" t="s">
        <v>168</v>
      </c>
      <c r="BP53" s="0" t="n">
        <v>3</v>
      </c>
      <c r="BQ53" s="0" t="s">
        <v>4669</v>
      </c>
      <c r="BS53" s="0" t="s">
        <v>4692</v>
      </c>
      <c r="BT53" s="0" t="s">
        <v>6004</v>
      </c>
      <c r="BU53" s="0" t="s">
        <v>4604</v>
      </c>
      <c r="BV53" s="0" t="n">
        <v>36</v>
      </c>
      <c r="BX53" s="0" t="s">
        <v>6005</v>
      </c>
      <c r="BY53" s="0" t="s">
        <v>6006</v>
      </c>
      <c r="CA53" s="0" t="s">
        <v>6007</v>
      </c>
      <c r="CB53" s="0" t="s">
        <v>6008</v>
      </c>
      <c r="CC53" s="0" t="s">
        <v>6009</v>
      </c>
      <c r="CD53" s="0" t="s">
        <v>6010</v>
      </c>
      <c r="CE53" s="0" t="s">
        <v>4612</v>
      </c>
      <c r="CF53" s="0" t="s">
        <v>171</v>
      </c>
      <c r="CG53" s="0" t="s">
        <v>6011</v>
      </c>
      <c r="CK53" s="0" t="s">
        <v>158</v>
      </c>
      <c r="CL53" s="0" t="n">
        <v>52</v>
      </c>
      <c r="CM53" s="0" t="n">
        <v>25</v>
      </c>
      <c r="CN53" s="0" t="n">
        <v>3</v>
      </c>
      <c r="CO53" s="0" t="n">
        <v>15</v>
      </c>
      <c r="CP53" s="0" t="n">
        <v>5</v>
      </c>
      <c r="CQ53" s="0" t="n">
        <v>6</v>
      </c>
      <c r="CR53" s="0" t="n">
        <v>10</v>
      </c>
      <c r="CS53" s="0" t="n">
        <f aca="false">IF(R53="Y",10,0)</f>
        <v>0</v>
      </c>
      <c r="CT53" s="0" t="n">
        <v>-12</v>
      </c>
      <c r="CU53" s="0" t="s">
        <v>6012</v>
      </c>
      <c r="CV53" s="0" t="s">
        <v>4703</v>
      </c>
      <c r="CW53" s="0" t="s">
        <v>6013</v>
      </c>
      <c r="CX53" s="0" t="s">
        <v>6014</v>
      </c>
      <c r="CY53" s="0" t="s">
        <v>6015</v>
      </c>
      <c r="CZ53" s="0" t="s">
        <v>6016</v>
      </c>
      <c r="DA53" s="0" t="s">
        <v>4620</v>
      </c>
      <c r="DC53" s="0" t="s">
        <v>1189</v>
      </c>
      <c r="DY53" s="0" t="str">
        <f aca="false">IF(ISNUMBER(MATCH(U53,{"queued","contacted","replied","call_booked","call_done","yes_in_principle","materials_sent"},0)),"Y","N")</f>
        <v>N</v>
      </c>
      <c r="DZ53" s="0" t="str">
        <f aca="false">IF(COUNTIFS($AN$2:$AN$1000,AN53,$DY$2:$DY$1000,"Y")+COUNTIFS($AN$2:$AN$1000,AN53,$T$2:$T$1000,"Y")&gt;0,"Y","N")</f>
        <v>N</v>
      </c>
      <c r="EA53" s="0" t="str">
        <f aca="false">IF(AND(U53="new",T53="N",AR53="Y",AQ53="",DZ53="N"),"Y","N")</f>
        <v>Y</v>
      </c>
      <c r="EB53" s="0" t="str">
        <f aca="false">IF(EA53&lt;&gt;"Y","N",IF(COUNTIFS($AN$2:$AN$1000,AN53,$EA$2:$EA$1000,"Y",$J$2:$J$1000,"&gt;"&amp;J53)+COUNTIFS($AN$2:$AN$1000,AN53,$EA$2:$EA$1000,"Y",$J$2:$J$1000,J53,$ED$2:$ED$1000,"&lt;"&amp;ED53)=0,"Y","N"))</f>
        <v>Y</v>
      </c>
      <c r="EC53" s="0" t="str">
        <f aca="false">IF(Y53="","N",IF(Y53&lt;=10,"Y","N"))</f>
        <v>N</v>
      </c>
      <c r="ED53" s="0" t="n">
        <f aca="false">ROW()-1</f>
        <v>52</v>
      </c>
    </row>
    <row r="54" customFormat="false" ht="15" hidden="false" customHeight="false" outlineLevel="0" collapsed="false">
      <c r="A54" s="0" t="s">
        <v>6017</v>
      </c>
      <c r="B54" s="0" t="s">
        <v>6018</v>
      </c>
      <c r="C54" s="0" t="s">
        <v>6019</v>
      </c>
      <c r="D54" s="0" t="s">
        <v>6020</v>
      </c>
      <c r="E54" s="0" t="s">
        <v>4625</v>
      </c>
      <c r="H54" s="5" t="s">
        <v>158</v>
      </c>
      <c r="I54" s="5" t="s">
        <v>159</v>
      </c>
      <c r="J54" s="0" t="n">
        <f aca="false">IF(AU54="pass",CM54+CN54+CO54+CP54+CQ54+CR54+CS54+CT54,0)</f>
        <v>52</v>
      </c>
      <c r="K54" s="0" t="s">
        <v>6021</v>
      </c>
      <c r="M54" s="0" t="s">
        <v>4627</v>
      </c>
      <c r="N54" s="0" t="s">
        <v>4581</v>
      </c>
      <c r="O54" s="0" t="s">
        <v>6022</v>
      </c>
      <c r="P54" s="0" t="s">
        <v>6023</v>
      </c>
      <c r="Q54" s="0" t="s">
        <v>5540</v>
      </c>
      <c r="R54" s="5" t="s">
        <v>162</v>
      </c>
      <c r="S54" s="0" t="s">
        <v>163</v>
      </c>
      <c r="T54" s="5" t="s">
        <v>162</v>
      </c>
      <c r="U54" s="5" t="s">
        <v>561</v>
      </c>
      <c r="V54" s="0" t="s">
        <v>6024</v>
      </c>
      <c r="W54" s="0" t="s">
        <v>174</v>
      </c>
      <c r="X54" s="0" t="s">
        <v>4585</v>
      </c>
      <c r="Y54" s="0" t="n">
        <f aca="false">IF(EB54&lt;&gt;"Y","",COUNTIFS($EB$2:$EB$1000,"Y",$J$2:$J$1000,"&gt;"&amp;J54)+COUNTIFS($EB$2:$EB$1000,"Y",$J$2:$J$1000,J54,$ED$2:$ED$1000,"&lt;"&amp;ED54)+1)</f>
        <v>52</v>
      </c>
      <c r="Z54" s="0" t="n">
        <v>53</v>
      </c>
      <c r="AA54" s="0" t="s">
        <v>168</v>
      </c>
      <c r="AB54" s="0" t="s">
        <v>6025</v>
      </c>
      <c r="AC54" s="0" t="s">
        <v>4587</v>
      </c>
      <c r="AD54" s="0" t="s">
        <v>171</v>
      </c>
      <c r="AE54" s="0" t="s">
        <v>172</v>
      </c>
      <c r="AF54" s="0" t="s">
        <v>6026</v>
      </c>
      <c r="AG54" s="0" t="s">
        <v>174</v>
      </c>
      <c r="AH54" s="0" t="s">
        <v>6027</v>
      </c>
      <c r="AI54" s="0" t="s">
        <v>4664</v>
      </c>
      <c r="AJ54" s="0" t="s">
        <v>6028</v>
      </c>
      <c r="AK54" s="0" t="s">
        <v>6029</v>
      </c>
      <c r="AL54" s="0" t="s">
        <v>168</v>
      </c>
      <c r="AM54" s="0" t="s">
        <v>6030</v>
      </c>
      <c r="AN54" s="0" t="s">
        <v>6017</v>
      </c>
      <c r="AO54" s="5" t="s">
        <v>162</v>
      </c>
      <c r="AR54" s="0" t="str">
        <f aca="false">IF(AND(AU54="pass",AO54&lt;&gt;"Y",C54&lt;&gt;""),"Y","N")</f>
        <v>Y</v>
      </c>
      <c r="AS54" s="0" t="str">
        <f aca="false">_xlfn.TEXTJOIN("; ",TRUE(),IF(AU54&lt;&gt;"pass","gated out",""),IF(AO54="Y","on hold: "&amp;AP54,""),IF(C54="","no contact named on an opened page",""))</f>
        <v/>
      </c>
      <c r="AU54" s="0" t="s">
        <v>181</v>
      </c>
      <c r="AW54" s="0" t="s">
        <v>182</v>
      </c>
      <c r="AX54" s="0" t="s">
        <v>6031</v>
      </c>
      <c r="AY54" s="0" t="s">
        <v>6029</v>
      </c>
      <c r="AZ54" s="0" t="s">
        <v>6032</v>
      </c>
      <c r="BA54" s="0" t="s">
        <v>5191</v>
      </c>
      <c r="BB54" s="0" t="s">
        <v>163</v>
      </c>
      <c r="BD54" s="0" t="s">
        <v>168</v>
      </c>
      <c r="BE54" s="0" t="s">
        <v>6033</v>
      </c>
      <c r="BF54" s="0" t="s">
        <v>168</v>
      </c>
      <c r="BG54" s="0" t="s">
        <v>168</v>
      </c>
      <c r="BH54" s="0" t="s">
        <v>163</v>
      </c>
      <c r="BJ54" s="0" t="s">
        <v>5143</v>
      </c>
      <c r="BK54" s="0" t="s">
        <v>162</v>
      </c>
      <c r="BL54" s="0" t="s">
        <v>162</v>
      </c>
      <c r="BN54" s="0" t="n">
        <v>0</v>
      </c>
      <c r="BO54" s="0" t="s">
        <v>168</v>
      </c>
      <c r="BP54" s="0" t="n">
        <v>2</v>
      </c>
      <c r="BQ54" s="0" t="s">
        <v>6034</v>
      </c>
      <c r="BR54" s="0" t="s">
        <v>4670</v>
      </c>
      <c r="BS54" s="0" t="s">
        <v>6035</v>
      </c>
      <c r="BT54" s="0" t="s">
        <v>6036</v>
      </c>
      <c r="BU54" s="0" t="s">
        <v>4694</v>
      </c>
      <c r="BV54" s="0" t="n">
        <v>43</v>
      </c>
      <c r="BX54" s="0" t="s">
        <v>6037</v>
      </c>
      <c r="BY54" s="0" t="s">
        <v>6038</v>
      </c>
      <c r="CA54" s="0" t="s">
        <v>6039</v>
      </c>
      <c r="CB54" s="0" t="s">
        <v>6040</v>
      </c>
      <c r="CC54" s="0" t="s">
        <v>6020</v>
      </c>
      <c r="CD54" s="0" t="s">
        <v>4625</v>
      </c>
      <c r="CE54" s="0" t="s">
        <v>4808</v>
      </c>
      <c r="CF54" s="0" t="s">
        <v>171</v>
      </c>
      <c r="CG54" s="0" t="s">
        <v>6041</v>
      </c>
      <c r="CK54" s="0" t="s">
        <v>158</v>
      </c>
      <c r="CL54" s="0" t="n">
        <v>52</v>
      </c>
      <c r="CM54" s="0" t="n">
        <v>25</v>
      </c>
      <c r="CN54" s="0" t="n">
        <v>8</v>
      </c>
      <c r="CO54" s="0" t="n">
        <v>8</v>
      </c>
      <c r="CP54" s="0" t="n">
        <v>5</v>
      </c>
      <c r="CQ54" s="0" t="n">
        <v>10</v>
      </c>
      <c r="CR54" s="0" t="n">
        <v>6</v>
      </c>
      <c r="CS54" s="0" t="n">
        <f aca="false">IF(R54="Y",10,0)</f>
        <v>0</v>
      </c>
      <c r="CT54" s="0" t="n">
        <v>-10</v>
      </c>
      <c r="CU54" s="0" t="s">
        <v>6042</v>
      </c>
      <c r="CV54" s="0" t="s">
        <v>5150</v>
      </c>
      <c r="CW54" s="0" t="s">
        <v>6043</v>
      </c>
      <c r="CX54" s="0" t="s">
        <v>6044</v>
      </c>
      <c r="CZ54" s="0" t="s">
        <v>6026</v>
      </c>
      <c r="DA54" s="0" t="s">
        <v>5912</v>
      </c>
      <c r="DC54" s="0" t="s">
        <v>172</v>
      </c>
      <c r="DY54" s="0" t="str">
        <f aca="false">IF(ISNUMBER(MATCH(U54,{"queued","contacted","replied","call_booked","call_done","yes_in_principle","materials_sent"},0)),"Y","N")</f>
        <v>N</v>
      </c>
      <c r="DZ54" s="0" t="str">
        <f aca="false">IF(COUNTIFS($AN$2:$AN$1000,AN54,$DY$2:$DY$1000,"Y")+COUNTIFS($AN$2:$AN$1000,AN54,$T$2:$T$1000,"Y")&gt;0,"Y","N")</f>
        <v>N</v>
      </c>
      <c r="EA54" s="0" t="str">
        <f aca="false">IF(AND(U54="new",T54="N",AR54="Y",AQ54="",DZ54="N"),"Y","N")</f>
        <v>Y</v>
      </c>
      <c r="EB54" s="0" t="str">
        <f aca="false">IF(EA54&lt;&gt;"Y","N",IF(COUNTIFS($AN$2:$AN$1000,AN54,$EA$2:$EA$1000,"Y",$J$2:$J$1000,"&gt;"&amp;J54)+COUNTIFS($AN$2:$AN$1000,AN54,$EA$2:$EA$1000,"Y",$J$2:$J$1000,J54,$ED$2:$ED$1000,"&lt;"&amp;ED54)=0,"Y","N"))</f>
        <v>Y</v>
      </c>
      <c r="EC54" s="0" t="str">
        <f aca="false">IF(Y54="","N",IF(Y54&lt;=10,"Y","N"))</f>
        <v>N</v>
      </c>
      <c r="ED54" s="0" t="n">
        <f aca="false">ROW()-1</f>
        <v>53</v>
      </c>
    </row>
    <row r="55" customFormat="false" ht="15" hidden="false" customHeight="false" outlineLevel="0" collapsed="false">
      <c r="A55" s="0" t="s">
        <v>6045</v>
      </c>
      <c r="B55" s="0" t="s">
        <v>6046</v>
      </c>
      <c r="C55" s="0" t="s">
        <v>6047</v>
      </c>
      <c r="D55" s="0" t="s">
        <v>643</v>
      </c>
      <c r="E55" s="0" t="s">
        <v>4656</v>
      </c>
      <c r="H55" s="5" t="s">
        <v>158</v>
      </c>
      <c r="I55" s="5" t="s">
        <v>159</v>
      </c>
      <c r="J55" s="0" t="n">
        <f aca="false">IF(AU55="pass",CM55+CN55+CO55+CP55+CQ55+CR55+CS55+CT55,0)</f>
        <v>52</v>
      </c>
      <c r="K55" s="0" t="s">
        <v>6048</v>
      </c>
      <c r="M55" s="0" t="s">
        <v>4580</v>
      </c>
      <c r="N55" s="0" t="s">
        <v>4581</v>
      </c>
      <c r="R55" s="5" t="s">
        <v>162</v>
      </c>
      <c r="S55" s="0" t="s">
        <v>163</v>
      </c>
      <c r="T55" s="5" t="s">
        <v>162</v>
      </c>
      <c r="U55" s="5" t="s">
        <v>561</v>
      </c>
      <c r="V55" s="0" t="s">
        <v>6049</v>
      </c>
      <c r="W55" s="0" t="s">
        <v>166</v>
      </c>
      <c r="X55" s="0" t="s">
        <v>4585</v>
      </c>
      <c r="Y55" s="0" t="n">
        <f aca="false">IF(EB55&lt;&gt;"Y","",COUNTIFS($EB$2:$EB$1000,"Y",$J$2:$J$1000,"&gt;"&amp;J55)+COUNTIFS($EB$2:$EB$1000,"Y",$J$2:$J$1000,J55,$ED$2:$ED$1000,"&lt;"&amp;ED55)+1)</f>
        <v>53</v>
      </c>
      <c r="Z55" s="0" t="n">
        <v>54</v>
      </c>
      <c r="AA55" s="0" t="s">
        <v>168</v>
      </c>
      <c r="AB55" s="0" t="s">
        <v>6050</v>
      </c>
      <c r="AC55" s="0" t="s">
        <v>4587</v>
      </c>
      <c r="AD55" s="0" t="s">
        <v>171</v>
      </c>
      <c r="AE55" s="0" t="s">
        <v>172</v>
      </c>
      <c r="AF55" s="0" t="s">
        <v>6049</v>
      </c>
      <c r="AG55" s="0" t="s">
        <v>174</v>
      </c>
      <c r="AH55" s="0" t="s">
        <v>6051</v>
      </c>
      <c r="AI55" s="0" t="s">
        <v>5079</v>
      </c>
      <c r="AJ55" s="0" t="s">
        <v>6052</v>
      </c>
      <c r="AK55" s="0" t="s">
        <v>6053</v>
      </c>
      <c r="AL55" s="0" t="s">
        <v>168</v>
      </c>
      <c r="AM55" s="0" t="s">
        <v>4690</v>
      </c>
      <c r="AN55" s="0" t="s">
        <v>6045</v>
      </c>
      <c r="AO55" s="5" t="s">
        <v>162</v>
      </c>
      <c r="AR55" s="0" t="str">
        <f aca="false">IF(AND(AU55="pass",AO55&lt;&gt;"Y",C55&lt;&gt;""),"Y","N")</f>
        <v>Y</v>
      </c>
      <c r="AS55" s="0" t="str">
        <f aca="false">_xlfn.TEXTJOIN("; ",TRUE(),IF(AU55&lt;&gt;"pass","gated out",""),IF(AO55="Y","on hold: "&amp;AP55,""),IF(C55="","no contact named on an opened page",""))</f>
        <v/>
      </c>
      <c r="AU55" s="0" t="s">
        <v>181</v>
      </c>
      <c r="AW55" s="0" t="s">
        <v>182</v>
      </c>
      <c r="AY55" s="0" t="s">
        <v>6053</v>
      </c>
      <c r="AZ55" s="0" t="s">
        <v>4922</v>
      </c>
      <c r="BA55" s="0" t="s">
        <v>5191</v>
      </c>
      <c r="BB55" s="0" t="s">
        <v>163</v>
      </c>
      <c r="BD55" s="0" t="s">
        <v>263</v>
      </c>
      <c r="BE55" s="0" t="s">
        <v>6054</v>
      </c>
      <c r="BF55" s="0" t="s">
        <v>168</v>
      </c>
      <c r="BG55" s="0" t="s">
        <v>168</v>
      </c>
      <c r="BH55" s="0" t="s">
        <v>163</v>
      </c>
      <c r="BJ55" s="0" t="s">
        <v>163</v>
      </c>
      <c r="BK55" s="0" t="s">
        <v>162</v>
      </c>
      <c r="BL55" s="0" t="s">
        <v>162</v>
      </c>
      <c r="BN55" s="0" t="n">
        <v>0</v>
      </c>
      <c r="BO55" s="0" t="s">
        <v>168</v>
      </c>
      <c r="BP55" s="0" t="n">
        <v>3</v>
      </c>
      <c r="BQ55" s="0" t="s">
        <v>4669</v>
      </c>
      <c r="BS55" s="0" t="s">
        <v>6055</v>
      </c>
      <c r="BT55" s="0" t="s">
        <v>6056</v>
      </c>
      <c r="BU55" s="0" t="s">
        <v>158</v>
      </c>
      <c r="BX55" s="0" t="s">
        <v>6057</v>
      </c>
      <c r="BY55" s="0" t="s">
        <v>6058</v>
      </c>
      <c r="CF55" s="0" t="s">
        <v>158</v>
      </c>
      <c r="CK55" s="0" t="s">
        <v>158</v>
      </c>
      <c r="CL55" s="0" t="n">
        <v>52</v>
      </c>
      <c r="CM55" s="0" t="n">
        <v>25</v>
      </c>
      <c r="CN55" s="0" t="n">
        <v>8</v>
      </c>
      <c r="CO55" s="0" t="n">
        <v>0</v>
      </c>
      <c r="CP55" s="0" t="n">
        <v>5</v>
      </c>
      <c r="CQ55" s="0" t="n">
        <v>8</v>
      </c>
      <c r="CR55" s="0" t="n">
        <v>6</v>
      </c>
      <c r="CS55" s="0" t="n">
        <f aca="false">IF(R55="Y",10,0)</f>
        <v>0</v>
      </c>
      <c r="CT55" s="0" t="n">
        <v>0</v>
      </c>
      <c r="CU55" s="0" t="s">
        <v>6059</v>
      </c>
      <c r="CV55" s="0" t="s">
        <v>4703</v>
      </c>
      <c r="CW55" s="0" t="s">
        <v>6060</v>
      </c>
      <c r="CX55" s="0" t="s">
        <v>6061</v>
      </c>
      <c r="CY55" s="0" t="s">
        <v>6062</v>
      </c>
      <c r="DA55" s="0" t="s">
        <v>4620</v>
      </c>
      <c r="DY55" s="0" t="str">
        <f aca="false">IF(ISNUMBER(MATCH(U55,{"queued","contacted","replied","call_booked","call_done","yes_in_principle","materials_sent"},0)),"Y","N")</f>
        <v>N</v>
      </c>
      <c r="DZ55" s="0" t="str">
        <f aca="false">IF(COUNTIFS($AN$2:$AN$1000,AN55,$DY$2:$DY$1000,"Y")+COUNTIFS($AN$2:$AN$1000,AN55,$T$2:$T$1000,"Y")&gt;0,"Y","N")</f>
        <v>N</v>
      </c>
      <c r="EA55" s="0" t="str">
        <f aca="false">IF(AND(U55="new",T55="N",AR55="Y",AQ55="",DZ55="N"),"Y","N")</f>
        <v>Y</v>
      </c>
      <c r="EB55" s="0" t="str">
        <f aca="false">IF(EA55&lt;&gt;"Y","N",IF(COUNTIFS($AN$2:$AN$1000,AN55,$EA$2:$EA$1000,"Y",$J$2:$J$1000,"&gt;"&amp;J55)+COUNTIFS($AN$2:$AN$1000,AN55,$EA$2:$EA$1000,"Y",$J$2:$J$1000,J55,$ED$2:$ED$1000,"&lt;"&amp;ED55)=0,"Y","N"))</f>
        <v>Y</v>
      </c>
      <c r="EC55" s="0" t="str">
        <f aca="false">IF(Y55="","N",IF(Y55&lt;=10,"Y","N"))</f>
        <v>N</v>
      </c>
      <c r="ED55" s="0" t="n">
        <f aca="false">ROW()-1</f>
        <v>54</v>
      </c>
    </row>
    <row r="56" customFormat="false" ht="15" hidden="false" customHeight="false" outlineLevel="0" collapsed="false">
      <c r="A56" s="0" t="s">
        <v>6063</v>
      </c>
      <c r="B56" s="0" t="s">
        <v>6064</v>
      </c>
      <c r="C56" s="0" t="s">
        <v>6065</v>
      </c>
      <c r="D56" s="0" t="s">
        <v>6066</v>
      </c>
      <c r="E56" s="0" t="s">
        <v>6067</v>
      </c>
      <c r="H56" s="5" t="s">
        <v>158</v>
      </c>
      <c r="I56" s="5" t="s">
        <v>159</v>
      </c>
      <c r="J56" s="0" t="n">
        <f aca="false">IF(AU56="pass",CM56+CN56+CO56+CP56+CQ56+CR56+CS56+CT56,0)</f>
        <v>51</v>
      </c>
      <c r="K56" s="0" t="s">
        <v>6068</v>
      </c>
      <c r="M56" s="0" t="s">
        <v>4580</v>
      </c>
      <c r="N56" s="0" t="s">
        <v>4581</v>
      </c>
      <c r="O56" s="0" t="s">
        <v>6069</v>
      </c>
      <c r="P56" s="0" t="s">
        <v>6070</v>
      </c>
      <c r="Q56" s="0" t="s">
        <v>5540</v>
      </c>
      <c r="R56" s="5" t="s">
        <v>162</v>
      </c>
      <c r="S56" s="0" t="s">
        <v>163</v>
      </c>
      <c r="T56" s="5" t="s">
        <v>162</v>
      </c>
      <c r="U56" s="5" t="s">
        <v>561</v>
      </c>
      <c r="V56" s="0" t="s">
        <v>6071</v>
      </c>
      <c r="W56" s="0" t="s">
        <v>166</v>
      </c>
      <c r="X56" s="0" t="s">
        <v>4585</v>
      </c>
      <c r="Y56" s="0" t="n">
        <f aca="false">IF(EB56&lt;&gt;"Y","",COUNTIFS($EB$2:$EB$1000,"Y",$J$2:$J$1000,"&gt;"&amp;J56)+COUNTIFS($EB$2:$EB$1000,"Y",$J$2:$J$1000,J56,$ED$2:$ED$1000,"&lt;"&amp;ED56)+1)</f>
        <v>54</v>
      </c>
      <c r="Z56" s="0" t="n">
        <v>55</v>
      </c>
      <c r="AA56" s="0" t="s">
        <v>168</v>
      </c>
      <c r="AB56" s="0" t="s">
        <v>6072</v>
      </c>
      <c r="AC56" s="0" t="s">
        <v>4587</v>
      </c>
      <c r="AD56" s="0" t="s">
        <v>171</v>
      </c>
      <c r="AE56" s="0" t="s">
        <v>172</v>
      </c>
      <c r="AF56" s="0" t="s">
        <v>6071</v>
      </c>
      <c r="AG56" s="0" t="s">
        <v>174</v>
      </c>
      <c r="AH56" s="0" t="s">
        <v>6073</v>
      </c>
      <c r="AI56" s="0" t="s">
        <v>4664</v>
      </c>
      <c r="AJ56" s="0" t="s">
        <v>6074</v>
      </c>
      <c r="AK56" s="0" t="s">
        <v>6075</v>
      </c>
      <c r="AL56" s="0" t="s">
        <v>168</v>
      </c>
      <c r="AM56" s="0" t="s">
        <v>6076</v>
      </c>
      <c r="AN56" s="0" t="s">
        <v>6063</v>
      </c>
      <c r="AO56" s="5" t="s">
        <v>162</v>
      </c>
      <c r="AR56" s="0" t="str">
        <f aca="false">IF(AND(AU56="pass",AO56&lt;&gt;"Y",C56&lt;&gt;""),"Y","N")</f>
        <v>Y</v>
      </c>
      <c r="AS56" s="0" t="str">
        <f aca="false">_xlfn.TEXTJOIN("; ",TRUE(),IF(AU56&lt;&gt;"pass","gated out",""),IF(AO56="Y","on hold: "&amp;AP56,""),IF(C56="","no contact named on an opened page",""))</f>
        <v/>
      </c>
      <c r="AU56" s="0" t="s">
        <v>181</v>
      </c>
      <c r="AW56" s="0" t="s">
        <v>182</v>
      </c>
      <c r="AX56" s="0" t="s">
        <v>4594</v>
      </c>
      <c r="AY56" s="0" t="s">
        <v>6075</v>
      </c>
      <c r="AZ56" s="0" t="s">
        <v>6077</v>
      </c>
      <c r="BA56" s="0" t="s">
        <v>5329</v>
      </c>
      <c r="BB56" s="0" t="s">
        <v>163</v>
      </c>
      <c r="BD56" s="0" t="s">
        <v>263</v>
      </c>
      <c r="BE56" s="0" t="s">
        <v>4691</v>
      </c>
      <c r="BF56" s="0" t="s">
        <v>168</v>
      </c>
      <c r="BG56" s="0" t="s">
        <v>168</v>
      </c>
      <c r="BH56" s="0" t="s">
        <v>163</v>
      </c>
      <c r="BJ56" s="0" t="s">
        <v>163</v>
      </c>
      <c r="BK56" s="0" t="s">
        <v>162</v>
      </c>
      <c r="BL56" s="0" t="s">
        <v>162</v>
      </c>
      <c r="BN56" s="0" t="n">
        <v>0</v>
      </c>
      <c r="BO56" s="0" t="s">
        <v>168</v>
      </c>
      <c r="BP56" s="0" t="n">
        <v>2</v>
      </c>
      <c r="BQ56" s="0" t="s">
        <v>4781</v>
      </c>
      <c r="BS56" s="0" t="s">
        <v>4692</v>
      </c>
      <c r="BT56" s="0" t="s">
        <v>6078</v>
      </c>
      <c r="BU56" s="0" t="s">
        <v>4694</v>
      </c>
      <c r="BV56" s="0" t="n">
        <v>43</v>
      </c>
      <c r="BX56" s="0" t="s">
        <v>6079</v>
      </c>
      <c r="BY56" s="0" t="s">
        <v>6080</v>
      </c>
      <c r="CA56" s="0" t="s">
        <v>6081</v>
      </c>
      <c r="CB56" s="0" t="s">
        <v>6082</v>
      </c>
      <c r="CC56" s="0" t="s">
        <v>6083</v>
      </c>
      <c r="CD56" s="0" t="s">
        <v>6084</v>
      </c>
      <c r="CE56" s="0" t="s">
        <v>4808</v>
      </c>
      <c r="CF56" s="0" t="s">
        <v>171</v>
      </c>
      <c r="CG56" s="0" t="s">
        <v>6085</v>
      </c>
      <c r="CK56" s="0" t="s">
        <v>158</v>
      </c>
      <c r="CL56" s="0" t="n">
        <v>51</v>
      </c>
      <c r="CM56" s="0" t="n">
        <v>25</v>
      </c>
      <c r="CN56" s="0" t="n">
        <v>3</v>
      </c>
      <c r="CO56" s="0" t="n">
        <v>8</v>
      </c>
      <c r="CP56" s="0" t="n">
        <v>5</v>
      </c>
      <c r="CQ56" s="0" t="n">
        <v>8</v>
      </c>
      <c r="CR56" s="0" t="n">
        <v>6</v>
      </c>
      <c r="CS56" s="0" t="n">
        <f aca="false">IF(R56="Y",10,0)</f>
        <v>0</v>
      </c>
      <c r="CT56" s="0" t="n">
        <v>-4</v>
      </c>
      <c r="CU56" s="0" t="s">
        <v>6086</v>
      </c>
      <c r="CV56" s="0" t="s">
        <v>4703</v>
      </c>
      <c r="CW56" s="0" t="s">
        <v>6087</v>
      </c>
      <c r="CX56" s="0" t="s">
        <v>6088</v>
      </c>
      <c r="CZ56" s="0" t="s">
        <v>6089</v>
      </c>
      <c r="DA56" s="0" t="s">
        <v>4620</v>
      </c>
      <c r="DC56" s="0" t="s">
        <v>230</v>
      </c>
      <c r="DD56" s="0" t="s">
        <v>6090</v>
      </c>
      <c r="DY56" s="0" t="str">
        <f aca="false">IF(ISNUMBER(MATCH(U56,{"queued","contacted","replied","call_booked","call_done","yes_in_principle","materials_sent"},0)),"Y","N")</f>
        <v>N</v>
      </c>
      <c r="DZ56" s="0" t="str">
        <f aca="false">IF(COUNTIFS($AN$2:$AN$1000,AN56,$DY$2:$DY$1000,"Y")+COUNTIFS($AN$2:$AN$1000,AN56,$T$2:$T$1000,"Y")&gt;0,"Y","N")</f>
        <v>N</v>
      </c>
      <c r="EA56" s="0" t="str">
        <f aca="false">IF(AND(U56="new",T56="N",AR56="Y",AQ56="",DZ56="N"),"Y","N")</f>
        <v>Y</v>
      </c>
      <c r="EB56" s="0" t="str">
        <f aca="false">IF(EA56&lt;&gt;"Y","N",IF(COUNTIFS($AN$2:$AN$1000,AN56,$EA$2:$EA$1000,"Y",$J$2:$J$1000,"&gt;"&amp;J56)+COUNTIFS($AN$2:$AN$1000,AN56,$EA$2:$EA$1000,"Y",$J$2:$J$1000,J56,$ED$2:$ED$1000,"&lt;"&amp;ED56)=0,"Y","N"))</f>
        <v>Y</v>
      </c>
      <c r="EC56" s="0" t="str">
        <f aca="false">IF(Y56="","N",IF(Y56&lt;=10,"Y","N"))</f>
        <v>N</v>
      </c>
      <c r="ED56" s="0" t="n">
        <f aca="false">ROW()-1</f>
        <v>55</v>
      </c>
    </row>
    <row r="57" customFormat="false" ht="15" hidden="false" customHeight="false" outlineLevel="0" collapsed="false">
      <c r="A57" s="0" t="s">
        <v>6091</v>
      </c>
      <c r="B57" s="0" t="s">
        <v>6092</v>
      </c>
      <c r="C57" s="0" t="s">
        <v>5474</v>
      </c>
      <c r="D57" s="0" t="s">
        <v>6093</v>
      </c>
      <c r="E57" s="0" t="s">
        <v>4910</v>
      </c>
      <c r="H57" s="5" t="s">
        <v>158</v>
      </c>
      <c r="I57" s="5" t="s">
        <v>159</v>
      </c>
      <c r="J57" s="0" t="n">
        <f aca="false">IF(AU57="pass",CM57+CN57+CO57+CP57+CQ57+CR57+CS57+CT57,0)</f>
        <v>51</v>
      </c>
      <c r="K57" s="0" t="s">
        <v>6094</v>
      </c>
      <c r="M57" s="0" t="s">
        <v>4580</v>
      </c>
      <c r="N57" s="0" t="s">
        <v>4581</v>
      </c>
      <c r="O57" s="0" t="s">
        <v>6095</v>
      </c>
      <c r="P57" s="0" t="s">
        <v>6096</v>
      </c>
      <c r="Q57" s="0" t="s">
        <v>6097</v>
      </c>
      <c r="R57" s="5" t="s">
        <v>162</v>
      </c>
      <c r="S57" s="0" t="s">
        <v>163</v>
      </c>
      <c r="T57" s="5" t="s">
        <v>162</v>
      </c>
      <c r="U57" s="5" t="s">
        <v>561</v>
      </c>
      <c r="V57" s="0" t="s">
        <v>6098</v>
      </c>
      <c r="W57" s="0" t="s">
        <v>166</v>
      </c>
      <c r="X57" s="0" t="s">
        <v>4585</v>
      </c>
      <c r="Y57" s="0" t="n">
        <f aca="false">IF(EB57&lt;&gt;"Y","",COUNTIFS($EB$2:$EB$1000,"Y",$J$2:$J$1000,"&gt;"&amp;J57)+COUNTIFS($EB$2:$EB$1000,"Y",$J$2:$J$1000,J57,$ED$2:$ED$1000,"&lt;"&amp;ED57)+1)</f>
        <v>55</v>
      </c>
      <c r="Z57" s="0" t="n">
        <v>56</v>
      </c>
      <c r="AA57" s="0" t="s">
        <v>168</v>
      </c>
      <c r="AB57" s="0" t="s">
        <v>6099</v>
      </c>
      <c r="AC57" s="0" t="s">
        <v>4587</v>
      </c>
      <c r="AD57" s="0" t="s">
        <v>171</v>
      </c>
      <c r="AE57" s="0" t="s">
        <v>172</v>
      </c>
      <c r="AF57" s="0" t="s">
        <v>6100</v>
      </c>
      <c r="AG57" s="0" t="s">
        <v>174</v>
      </c>
      <c r="AH57" s="0" t="s">
        <v>6101</v>
      </c>
      <c r="AI57" s="0" t="s">
        <v>4722</v>
      </c>
      <c r="AJ57" s="0" t="s">
        <v>2954</v>
      </c>
      <c r="AK57" s="0" t="s">
        <v>6102</v>
      </c>
      <c r="AL57" s="0" t="s">
        <v>168</v>
      </c>
      <c r="AM57" s="0" t="s">
        <v>6103</v>
      </c>
      <c r="AN57" s="0" t="s">
        <v>6091</v>
      </c>
      <c r="AO57" s="5" t="s">
        <v>162</v>
      </c>
      <c r="AR57" s="0" t="str">
        <f aca="false">IF(AND(AU57="pass",AO57&lt;&gt;"Y",C57&lt;&gt;""),"Y","N")</f>
        <v>Y</v>
      </c>
      <c r="AS57" s="0" t="str">
        <f aca="false">_xlfn.TEXTJOIN("; ",TRUE(),IF(AU57&lt;&gt;"pass","gated out",""),IF(AO57="Y","on hold: "&amp;AP57,""),IF(C57="","no contact named on an opened page",""))</f>
        <v/>
      </c>
      <c r="AU57" s="0" t="s">
        <v>181</v>
      </c>
      <c r="AW57" s="0" t="s">
        <v>182</v>
      </c>
      <c r="AX57" s="0" t="s">
        <v>4594</v>
      </c>
      <c r="AY57" s="0" t="s">
        <v>6102</v>
      </c>
      <c r="AZ57" s="0" t="s">
        <v>5657</v>
      </c>
      <c r="BA57" s="0" t="s">
        <v>5329</v>
      </c>
      <c r="BB57" s="0" t="s">
        <v>163</v>
      </c>
      <c r="BD57" s="0" t="s">
        <v>168</v>
      </c>
      <c r="BE57" s="0" t="s">
        <v>6104</v>
      </c>
      <c r="BF57" s="0" t="s">
        <v>163</v>
      </c>
      <c r="BG57" s="0" t="s">
        <v>168</v>
      </c>
      <c r="BH57" s="0" t="s">
        <v>163</v>
      </c>
      <c r="BJ57" s="0" t="s">
        <v>163</v>
      </c>
      <c r="BK57" s="0" t="s">
        <v>162</v>
      </c>
      <c r="BL57" s="0" t="s">
        <v>162</v>
      </c>
      <c r="BN57" s="0" t="n">
        <v>0</v>
      </c>
      <c r="BO57" s="0" t="s">
        <v>168</v>
      </c>
      <c r="BP57" s="0" t="n">
        <v>3</v>
      </c>
      <c r="BQ57" s="0" t="s">
        <v>4669</v>
      </c>
      <c r="BS57" s="0" t="s">
        <v>6105</v>
      </c>
      <c r="BT57" s="0" t="s">
        <v>6106</v>
      </c>
      <c r="BU57" s="0" t="s">
        <v>4694</v>
      </c>
      <c r="BV57" s="0" t="n">
        <v>11</v>
      </c>
      <c r="BX57" s="0" t="s">
        <v>6107</v>
      </c>
      <c r="BY57" s="0" t="s">
        <v>6108</v>
      </c>
      <c r="CF57" s="0" t="s">
        <v>158</v>
      </c>
      <c r="CK57" s="0" t="s">
        <v>158</v>
      </c>
      <c r="CL57" s="0" t="n">
        <v>51</v>
      </c>
      <c r="CM57" s="0" t="n">
        <v>25</v>
      </c>
      <c r="CN57" s="0" t="n">
        <v>3</v>
      </c>
      <c r="CO57" s="0" t="n">
        <v>8</v>
      </c>
      <c r="CP57" s="0" t="n">
        <v>5</v>
      </c>
      <c r="CQ57" s="0" t="n">
        <v>8</v>
      </c>
      <c r="CR57" s="0" t="n">
        <v>6</v>
      </c>
      <c r="CS57" s="0" t="n">
        <f aca="false">IF(R57="Y",10,0)</f>
        <v>0</v>
      </c>
      <c r="CT57" s="0" t="n">
        <v>-4</v>
      </c>
      <c r="CU57" s="0" t="s">
        <v>6109</v>
      </c>
      <c r="CV57" s="0" t="s">
        <v>4703</v>
      </c>
      <c r="CW57" s="0" t="s">
        <v>6110</v>
      </c>
      <c r="CX57" s="0" t="s">
        <v>6111</v>
      </c>
      <c r="CY57" s="0" t="s">
        <v>6112</v>
      </c>
      <c r="DA57" s="0" t="s">
        <v>4620</v>
      </c>
      <c r="DB57" s="0" t="s">
        <v>6113</v>
      </c>
      <c r="DY57" s="0" t="str">
        <f aca="false">IF(ISNUMBER(MATCH(U57,{"queued","contacted","replied","call_booked","call_done","yes_in_principle","materials_sent"},0)),"Y","N")</f>
        <v>N</v>
      </c>
      <c r="DZ57" s="0" t="str">
        <f aca="false">IF(COUNTIFS($AN$2:$AN$1000,AN57,$DY$2:$DY$1000,"Y")+COUNTIFS($AN$2:$AN$1000,AN57,$T$2:$T$1000,"Y")&gt;0,"Y","N")</f>
        <v>N</v>
      </c>
      <c r="EA57" s="0" t="str">
        <f aca="false">IF(AND(U57="new",T57="N",AR57="Y",AQ57="",DZ57="N"),"Y","N")</f>
        <v>Y</v>
      </c>
      <c r="EB57" s="0" t="str">
        <f aca="false">IF(EA57&lt;&gt;"Y","N",IF(COUNTIFS($AN$2:$AN$1000,AN57,$EA$2:$EA$1000,"Y",$J$2:$J$1000,"&gt;"&amp;J57)+COUNTIFS($AN$2:$AN$1000,AN57,$EA$2:$EA$1000,"Y",$J$2:$J$1000,J57,$ED$2:$ED$1000,"&lt;"&amp;ED57)=0,"Y","N"))</f>
        <v>Y</v>
      </c>
      <c r="EC57" s="0" t="str">
        <f aca="false">IF(Y57="","N",IF(Y57&lt;=10,"Y","N"))</f>
        <v>N</v>
      </c>
      <c r="ED57" s="0" t="n">
        <f aca="false">ROW()-1</f>
        <v>56</v>
      </c>
    </row>
    <row r="58" customFormat="false" ht="15" hidden="false" customHeight="false" outlineLevel="0" collapsed="false">
      <c r="A58" s="0" t="s">
        <v>6114</v>
      </c>
      <c r="B58" s="0" t="s">
        <v>6115</v>
      </c>
      <c r="C58" s="0" t="s">
        <v>6116</v>
      </c>
      <c r="D58" s="0" t="s">
        <v>6117</v>
      </c>
      <c r="E58" s="0" t="s">
        <v>4625</v>
      </c>
      <c r="H58" s="5" t="s">
        <v>158</v>
      </c>
      <c r="I58" s="5" t="s">
        <v>159</v>
      </c>
      <c r="J58" s="0" t="n">
        <f aca="false">IF(AU58="pass",CM58+CN58+CO58+CP58+CQ58+CR58+CS58+CT58,0)</f>
        <v>51</v>
      </c>
      <c r="K58" s="0" t="s">
        <v>6118</v>
      </c>
      <c r="M58" s="0" t="s">
        <v>5291</v>
      </c>
      <c r="N58" s="0" t="s">
        <v>598</v>
      </c>
      <c r="O58" s="0" t="s">
        <v>6119</v>
      </c>
      <c r="P58" s="0" t="s">
        <v>6120</v>
      </c>
      <c r="Q58" s="0" t="s">
        <v>5574</v>
      </c>
      <c r="R58" s="5" t="s">
        <v>162</v>
      </c>
      <c r="S58" s="0" t="s">
        <v>168</v>
      </c>
      <c r="T58" s="5" t="s">
        <v>162</v>
      </c>
      <c r="U58" s="5" t="s">
        <v>561</v>
      </c>
      <c r="V58" s="0" t="s">
        <v>6121</v>
      </c>
      <c r="W58" s="0" t="s">
        <v>166</v>
      </c>
      <c r="X58" s="0" t="s">
        <v>4585</v>
      </c>
      <c r="Y58" s="0" t="n">
        <f aca="false">IF(EB58&lt;&gt;"Y","",COUNTIFS($EB$2:$EB$1000,"Y",$J$2:$J$1000,"&gt;"&amp;J58)+COUNTIFS($EB$2:$EB$1000,"Y",$J$2:$J$1000,J58,$ED$2:$ED$1000,"&lt;"&amp;ED58)+1)</f>
        <v>56</v>
      </c>
      <c r="Z58" s="0" t="n">
        <v>57</v>
      </c>
      <c r="AA58" s="0" t="s">
        <v>168</v>
      </c>
      <c r="AB58" s="0" t="s">
        <v>6122</v>
      </c>
      <c r="AC58" s="0" t="s">
        <v>4587</v>
      </c>
      <c r="AD58" s="0" t="s">
        <v>171</v>
      </c>
      <c r="AE58" s="0" t="s">
        <v>1189</v>
      </c>
      <c r="AF58" s="0" t="s">
        <v>6120</v>
      </c>
      <c r="AG58" s="0" t="s">
        <v>174</v>
      </c>
      <c r="AH58" s="0" t="s">
        <v>6123</v>
      </c>
      <c r="AI58" s="0" t="s">
        <v>5079</v>
      </c>
      <c r="AJ58" s="0" t="s">
        <v>6124</v>
      </c>
      <c r="AK58" s="0" t="s">
        <v>6125</v>
      </c>
      <c r="AL58" s="0" t="s">
        <v>168</v>
      </c>
      <c r="AM58" s="0" t="s">
        <v>6126</v>
      </c>
      <c r="AN58" s="0" t="s">
        <v>6114</v>
      </c>
      <c r="AO58" s="5" t="s">
        <v>162</v>
      </c>
      <c r="AR58" s="0" t="str">
        <f aca="false">IF(AND(AU58="pass",AO58&lt;&gt;"Y",C58&lt;&gt;""),"Y","N")</f>
        <v>Y</v>
      </c>
      <c r="AS58" s="0" t="str">
        <f aca="false">_xlfn.TEXTJOIN("; ",TRUE(),IF(AU58&lt;&gt;"pass","gated out",""),IF(AO58="Y","on hold: "&amp;AP58,""),IF(C58="","no contact named on an opened page",""))</f>
        <v/>
      </c>
      <c r="AU58" s="0" t="s">
        <v>181</v>
      </c>
      <c r="AW58" s="0" t="s">
        <v>182</v>
      </c>
      <c r="AX58" s="0" t="s">
        <v>6127</v>
      </c>
      <c r="AY58" s="0" t="s">
        <v>6125</v>
      </c>
      <c r="AZ58" s="0" t="s">
        <v>4595</v>
      </c>
      <c r="BA58" s="0" t="s">
        <v>5271</v>
      </c>
      <c r="BB58" s="0" t="s">
        <v>6128</v>
      </c>
      <c r="BC58" s="0" t="s">
        <v>6120</v>
      </c>
      <c r="BD58" s="0" t="s">
        <v>163</v>
      </c>
      <c r="BE58" s="0" t="s">
        <v>6129</v>
      </c>
      <c r="BF58" s="0" t="s">
        <v>168</v>
      </c>
      <c r="BG58" s="0" t="s">
        <v>168</v>
      </c>
      <c r="BH58" s="0" t="s">
        <v>163</v>
      </c>
      <c r="BJ58" s="0" t="s">
        <v>6130</v>
      </c>
      <c r="BK58" s="0" t="s">
        <v>162</v>
      </c>
      <c r="BL58" s="0" t="s">
        <v>162</v>
      </c>
      <c r="BO58" s="0" t="s">
        <v>162</v>
      </c>
      <c r="BP58" s="0" t="n">
        <v>0</v>
      </c>
      <c r="BS58" s="0" t="s">
        <v>6131</v>
      </c>
      <c r="BT58" s="0" t="s">
        <v>6132</v>
      </c>
      <c r="BU58" s="0" t="s">
        <v>4604</v>
      </c>
      <c r="BV58" s="0" t="n">
        <v>15</v>
      </c>
      <c r="BW58" s="0" t="s">
        <v>6120</v>
      </c>
      <c r="BX58" s="0" t="s">
        <v>6133</v>
      </c>
      <c r="BY58" s="0" t="s">
        <v>6134</v>
      </c>
      <c r="CA58" s="0" t="s">
        <v>6135</v>
      </c>
      <c r="CE58" s="0" t="s">
        <v>4808</v>
      </c>
      <c r="CF58" s="0" t="s">
        <v>598</v>
      </c>
      <c r="CG58" s="0" t="s">
        <v>6136</v>
      </c>
      <c r="CK58" s="0" t="s">
        <v>158</v>
      </c>
      <c r="CL58" s="0" t="n">
        <v>51</v>
      </c>
      <c r="CM58" s="0" t="n">
        <v>6</v>
      </c>
      <c r="CN58" s="0" t="n">
        <v>17</v>
      </c>
      <c r="CO58" s="0" t="n">
        <v>15</v>
      </c>
      <c r="CP58" s="0" t="n">
        <v>5</v>
      </c>
      <c r="CQ58" s="0" t="n">
        <v>7</v>
      </c>
      <c r="CR58" s="0" t="n">
        <v>6</v>
      </c>
      <c r="CS58" s="0" t="n">
        <f aca="false">IF(R58="Y",10,0)</f>
        <v>0</v>
      </c>
      <c r="CT58" s="0" t="n">
        <v>-5</v>
      </c>
      <c r="CU58" s="0" t="s">
        <v>6137</v>
      </c>
      <c r="CV58" s="0" t="s">
        <v>4615</v>
      </c>
      <c r="CW58" s="0" t="s">
        <v>6138</v>
      </c>
      <c r="CX58" s="0" t="s">
        <v>6139</v>
      </c>
      <c r="CY58" s="0" t="s">
        <v>6140</v>
      </c>
      <c r="CZ58" s="0" t="s">
        <v>6141</v>
      </c>
      <c r="DA58" s="0" t="s">
        <v>4620</v>
      </c>
      <c r="DC58" s="0" t="s">
        <v>599</v>
      </c>
      <c r="DY58" s="0" t="str">
        <f aca="false">IF(ISNUMBER(MATCH(U58,{"queued","contacted","replied","call_booked","call_done","yes_in_principle","materials_sent"},0)),"Y","N")</f>
        <v>N</v>
      </c>
      <c r="DZ58" s="0" t="str">
        <f aca="false">IF(COUNTIFS($AN$2:$AN$1000,AN58,$DY$2:$DY$1000,"Y")+COUNTIFS($AN$2:$AN$1000,AN58,$T$2:$T$1000,"Y")&gt;0,"Y","N")</f>
        <v>N</v>
      </c>
      <c r="EA58" s="0" t="str">
        <f aca="false">IF(AND(U58="new",T58="N",AR58="Y",AQ58="",DZ58="N"),"Y","N")</f>
        <v>Y</v>
      </c>
      <c r="EB58" s="0" t="str">
        <f aca="false">IF(EA58&lt;&gt;"Y","N",IF(COUNTIFS($AN$2:$AN$1000,AN58,$EA$2:$EA$1000,"Y",$J$2:$J$1000,"&gt;"&amp;J58)+COUNTIFS($AN$2:$AN$1000,AN58,$EA$2:$EA$1000,"Y",$J$2:$J$1000,J58,$ED$2:$ED$1000,"&lt;"&amp;ED58)=0,"Y","N"))</f>
        <v>Y</v>
      </c>
      <c r="EC58" s="0" t="str">
        <f aca="false">IF(Y58="","N",IF(Y58&lt;=10,"Y","N"))</f>
        <v>N</v>
      </c>
      <c r="ED58" s="0" t="n">
        <f aca="false">ROW()-1</f>
        <v>57</v>
      </c>
    </row>
    <row r="59" customFormat="false" ht="15" hidden="false" customHeight="false" outlineLevel="0" collapsed="false">
      <c r="A59" s="0" t="s">
        <v>6142</v>
      </c>
      <c r="B59" s="0" t="s">
        <v>6143</v>
      </c>
      <c r="C59" s="0" t="s">
        <v>6144</v>
      </c>
      <c r="D59" s="0" t="s">
        <v>6145</v>
      </c>
      <c r="E59" s="0" t="s">
        <v>4656</v>
      </c>
      <c r="H59" s="5" t="s">
        <v>158</v>
      </c>
      <c r="I59" s="5" t="s">
        <v>159</v>
      </c>
      <c r="J59" s="0" t="n">
        <f aca="false">IF(AU59="pass",CM59+CN59+CO59+CP59+CQ59+CR59+CS59+CT59,0)</f>
        <v>50</v>
      </c>
      <c r="K59" s="0" t="s">
        <v>6146</v>
      </c>
      <c r="M59" s="0" t="s">
        <v>4580</v>
      </c>
      <c r="N59" s="0" t="s">
        <v>4581</v>
      </c>
      <c r="O59" s="0" t="s">
        <v>6147</v>
      </c>
      <c r="P59" s="0" t="s">
        <v>6148</v>
      </c>
      <c r="Q59" s="0" t="s">
        <v>4884</v>
      </c>
      <c r="R59" s="5" t="s">
        <v>162</v>
      </c>
      <c r="S59" s="0" t="s">
        <v>163</v>
      </c>
      <c r="T59" s="5" t="s">
        <v>162</v>
      </c>
      <c r="U59" s="5" t="s">
        <v>561</v>
      </c>
      <c r="V59" s="0" t="s">
        <v>6149</v>
      </c>
      <c r="W59" s="0" t="s">
        <v>166</v>
      </c>
      <c r="X59" s="0" t="s">
        <v>4585</v>
      </c>
      <c r="Y59" s="0" t="n">
        <f aca="false">IF(EB59&lt;&gt;"Y","",COUNTIFS($EB$2:$EB$1000,"Y",$J$2:$J$1000,"&gt;"&amp;J59)+COUNTIFS($EB$2:$EB$1000,"Y",$J$2:$J$1000,J59,$ED$2:$ED$1000,"&lt;"&amp;ED59)+1)</f>
        <v>57</v>
      </c>
      <c r="Z59" s="0" t="n">
        <v>58</v>
      </c>
      <c r="AA59" s="0" t="s">
        <v>168</v>
      </c>
      <c r="AB59" s="0" t="s">
        <v>6150</v>
      </c>
      <c r="AC59" s="0" t="s">
        <v>4587</v>
      </c>
      <c r="AD59" s="0" t="s">
        <v>171</v>
      </c>
      <c r="AE59" s="0" t="s">
        <v>172</v>
      </c>
      <c r="AF59" s="0" t="s">
        <v>6149</v>
      </c>
      <c r="AG59" s="0" t="s">
        <v>174</v>
      </c>
      <c r="AH59" s="0" t="s">
        <v>6151</v>
      </c>
      <c r="AI59" s="0" t="s">
        <v>4722</v>
      </c>
      <c r="AJ59" s="0" t="s">
        <v>6152</v>
      </c>
      <c r="AK59" s="0" t="s">
        <v>6153</v>
      </c>
      <c r="AL59" s="0" t="s">
        <v>168</v>
      </c>
      <c r="AM59" s="0" t="s">
        <v>6154</v>
      </c>
      <c r="AN59" s="0" t="s">
        <v>6142</v>
      </c>
      <c r="AO59" s="5" t="s">
        <v>162</v>
      </c>
      <c r="AR59" s="0" t="str">
        <f aca="false">IF(AND(AU59="pass",AO59&lt;&gt;"Y",C59&lt;&gt;""),"Y","N")</f>
        <v>Y</v>
      </c>
      <c r="AS59" s="0" t="str">
        <f aca="false">_xlfn.TEXTJOIN("; ",TRUE(),IF(AU59&lt;&gt;"pass","gated out",""),IF(AO59="Y","on hold: "&amp;AP59,""),IF(C59="","no contact named on an opened page",""))</f>
        <v/>
      </c>
      <c r="AU59" s="0" t="s">
        <v>181</v>
      </c>
      <c r="AW59" s="0" t="s">
        <v>182</v>
      </c>
      <c r="AX59" s="0" t="s">
        <v>5605</v>
      </c>
      <c r="AY59" s="0" t="s">
        <v>6153</v>
      </c>
      <c r="AZ59" s="0" t="s">
        <v>6155</v>
      </c>
      <c r="BA59" s="0" t="s">
        <v>4923</v>
      </c>
      <c r="BB59" s="0" t="s">
        <v>163</v>
      </c>
      <c r="BD59" s="0" t="s">
        <v>168</v>
      </c>
      <c r="BE59" s="0" t="s">
        <v>6156</v>
      </c>
      <c r="BF59" s="0" t="s">
        <v>168</v>
      </c>
      <c r="BG59" s="0" t="s">
        <v>168</v>
      </c>
      <c r="BH59" s="0" t="s">
        <v>163</v>
      </c>
      <c r="BJ59" s="0" t="s">
        <v>163</v>
      </c>
      <c r="BK59" s="0" t="s">
        <v>162</v>
      </c>
      <c r="BL59" s="0" t="s">
        <v>162</v>
      </c>
      <c r="BN59" s="0" t="n">
        <v>0</v>
      </c>
      <c r="BO59" s="0" t="s">
        <v>168</v>
      </c>
      <c r="BP59" s="0" t="n">
        <v>3</v>
      </c>
      <c r="BQ59" s="0" t="s">
        <v>4669</v>
      </c>
      <c r="BS59" s="0" t="s">
        <v>6157</v>
      </c>
      <c r="BT59" s="0" t="s">
        <v>6158</v>
      </c>
      <c r="BU59" s="0" t="s">
        <v>4694</v>
      </c>
      <c r="BV59" s="0" t="n">
        <v>163</v>
      </c>
      <c r="BX59" s="0" t="s">
        <v>6159</v>
      </c>
      <c r="BY59" s="0" t="s">
        <v>5195</v>
      </c>
      <c r="CF59" s="0" t="s">
        <v>158</v>
      </c>
      <c r="CK59" s="0" t="s">
        <v>158</v>
      </c>
      <c r="CL59" s="0" t="n">
        <v>50</v>
      </c>
      <c r="CM59" s="0" t="n">
        <v>25</v>
      </c>
      <c r="CN59" s="0" t="n">
        <v>8</v>
      </c>
      <c r="CO59" s="0" t="n">
        <v>8</v>
      </c>
      <c r="CP59" s="0" t="n">
        <v>5</v>
      </c>
      <c r="CQ59" s="0" t="n">
        <v>10</v>
      </c>
      <c r="CR59" s="0" t="n">
        <v>6</v>
      </c>
      <c r="CS59" s="0" t="n">
        <f aca="false">IF(R59="Y",10,0)</f>
        <v>0</v>
      </c>
      <c r="CT59" s="0" t="n">
        <v>-12</v>
      </c>
      <c r="CU59" s="0" t="s">
        <v>6160</v>
      </c>
      <c r="CV59" s="0" t="s">
        <v>4703</v>
      </c>
      <c r="CW59" s="0" t="s">
        <v>6161</v>
      </c>
      <c r="CX59" s="0" t="s">
        <v>6162</v>
      </c>
      <c r="CY59" s="0" t="s">
        <v>6163</v>
      </c>
      <c r="DA59" s="0" t="s">
        <v>4620</v>
      </c>
      <c r="DY59" s="0" t="str">
        <f aca="false">IF(ISNUMBER(MATCH(U59,{"queued","contacted","replied","call_booked","call_done","yes_in_principle","materials_sent"},0)),"Y","N")</f>
        <v>N</v>
      </c>
      <c r="DZ59" s="0" t="str">
        <f aca="false">IF(COUNTIFS($AN$2:$AN$1000,AN59,$DY$2:$DY$1000,"Y")+COUNTIFS($AN$2:$AN$1000,AN59,$T$2:$T$1000,"Y")&gt;0,"Y","N")</f>
        <v>N</v>
      </c>
      <c r="EA59" s="0" t="str">
        <f aca="false">IF(AND(U59="new",T59="N",AR59="Y",AQ59="",DZ59="N"),"Y","N")</f>
        <v>Y</v>
      </c>
      <c r="EB59" s="0" t="str">
        <f aca="false">IF(EA59&lt;&gt;"Y","N",IF(COUNTIFS($AN$2:$AN$1000,AN59,$EA$2:$EA$1000,"Y",$J$2:$J$1000,"&gt;"&amp;J59)+COUNTIFS($AN$2:$AN$1000,AN59,$EA$2:$EA$1000,"Y",$J$2:$J$1000,J59,$ED$2:$ED$1000,"&lt;"&amp;ED59)=0,"Y","N"))</f>
        <v>Y</v>
      </c>
      <c r="EC59" s="0" t="str">
        <f aca="false">IF(Y59="","N",IF(Y59&lt;=10,"Y","N"))</f>
        <v>N</v>
      </c>
      <c r="ED59" s="0" t="n">
        <f aca="false">ROW()-1</f>
        <v>58</v>
      </c>
    </row>
    <row r="60" customFormat="false" ht="15" hidden="false" customHeight="false" outlineLevel="0" collapsed="false">
      <c r="A60" s="0" t="s">
        <v>6164</v>
      </c>
      <c r="B60" s="0" t="s">
        <v>6165</v>
      </c>
      <c r="C60" s="0" t="s">
        <v>5744</v>
      </c>
      <c r="D60" s="0" t="s">
        <v>6166</v>
      </c>
      <c r="E60" s="0" t="s">
        <v>4625</v>
      </c>
      <c r="H60" s="5" t="s">
        <v>158</v>
      </c>
      <c r="I60" s="5" t="s">
        <v>159</v>
      </c>
      <c r="J60" s="0" t="n">
        <f aca="false">IF(AU60="pass",CM60+CN60+CO60+CP60+CQ60+CR60+CS60+CT60,0)</f>
        <v>50</v>
      </c>
      <c r="K60" s="0" t="s">
        <v>6167</v>
      </c>
      <c r="M60" s="0" t="s">
        <v>4580</v>
      </c>
      <c r="N60" s="0" t="s">
        <v>4581</v>
      </c>
      <c r="O60" s="0" t="s">
        <v>6168</v>
      </c>
      <c r="P60" s="0" t="s">
        <v>6169</v>
      </c>
      <c r="Q60" s="0" t="s">
        <v>6170</v>
      </c>
      <c r="R60" s="5" t="s">
        <v>162</v>
      </c>
      <c r="S60" s="0" t="s">
        <v>163</v>
      </c>
      <c r="T60" s="5" t="s">
        <v>162</v>
      </c>
      <c r="U60" s="5" t="s">
        <v>561</v>
      </c>
      <c r="V60" s="0" t="s">
        <v>6171</v>
      </c>
      <c r="W60" s="0" t="s">
        <v>166</v>
      </c>
      <c r="X60" s="0" t="s">
        <v>4585</v>
      </c>
      <c r="Y60" s="0" t="n">
        <f aca="false">IF(EB60&lt;&gt;"Y","",COUNTIFS($EB$2:$EB$1000,"Y",$J$2:$J$1000,"&gt;"&amp;J60)+COUNTIFS($EB$2:$EB$1000,"Y",$J$2:$J$1000,J60,$ED$2:$ED$1000,"&lt;"&amp;ED60)+1)</f>
        <v>58</v>
      </c>
      <c r="Z60" s="0" t="n">
        <v>59</v>
      </c>
      <c r="AA60" s="0" t="s">
        <v>168</v>
      </c>
      <c r="AB60" s="0" t="s">
        <v>6172</v>
      </c>
      <c r="AC60" s="0" t="s">
        <v>4587</v>
      </c>
      <c r="AD60" s="0" t="s">
        <v>171</v>
      </c>
      <c r="AE60" s="0" t="s">
        <v>1189</v>
      </c>
      <c r="AF60" s="0" t="s">
        <v>6173</v>
      </c>
      <c r="AG60" s="0" t="s">
        <v>174</v>
      </c>
      <c r="AH60" s="0" t="s">
        <v>6174</v>
      </c>
      <c r="AI60" s="0" t="s">
        <v>4664</v>
      </c>
      <c r="AJ60" s="0" t="s">
        <v>5187</v>
      </c>
      <c r="AK60" s="0" t="s">
        <v>6175</v>
      </c>
      <c r="AL60" s="0" t="s">
        <v>168</v>
      </c>
      <c r="AM60" s="0" t="s">
        <v>6176</v>
      </c>
      <c r="AN60" s="0" t="s">
        <v>6164</v>
      </c>
      <c r="AO60" s="5" t="s">
        <v>162</v>
      </c>
      <c r="AR60" s="0" t="str">
        <f aca="false">IF(AND(AU60="pass",AO60&lt;&gt;"Y",C60&lt;&gt;""),"Y","N")</f>
        <v>Y</v>
      </c>
      <c r="AS60" s="0" t="str">
        <f aca="false">_xlfn.TEXTJOIN("; ",TRUE(),IF(AU60&lt;&gt;"pass","gated out",""),IF(AO60="Y","on hold: "&amp;AP60,""),IF(C60="","no contact named on an opened page",""))</f>
        <v/>
      </c>
      <c r="AU60" s="0" t="s">
        <v>181</v>
      </c>
      <c r="AW60" s="0" t="s">
        <v>182</v>
      </c>
      <c r="AX60" s="0" t="s">
        <v>5605</v>
      </c>
      <c r="AY60" s="0" t="s">
        <v>6175</v>
      </c>
      <c r="AZ60" s="0" t="s">
        <v>5190</v>
      </c>
      <c r="BA60" s="0" t="s">
        <v>5191</v>
      </c>
      <c r="BB60" s="0" t="s">
        <v>163</v>
      </c>
      <c r="BD60" s="0" t="s">
        <v>168</v>
      </c>
      <c r="BE60" s="0" t="s">
        <v>6177</v>
      </c>
      <c r="BF60" s="0" t="s">
        <v>168</v>
      </c>
      <c r="BG60" s="0" t="s">
        <v>168</v>
      </c>
      <c r="BH60" s="0" t="s">
        <v>163</v>
      </c>
      <c r="BJ60" s="0" t="s">
        <v>163</v>
      </c>
      <c r="BK60" s="0" t="s">
        <v>162</v>
      </c>
      <c r="BL60" s="0" t="s">
        <v>162</v>
      </c>
      <c r="BN60" s="0" t="n">
        <v>0</v>
      </c>
      <c r="BO60" s="0" t="s">
        <v>168</v>
      </c>
      <c r="BP60" s="0" t="n">
        <v>3</v>
      </c>
      <c r="BQ60" s="0" t="s">
        <v>4669</v>
      </c>
      <c r="BS60" s="0" t="s">
        <v>6178</v>
      </c>
      <c r="BT60" s="0" t="s">
        <v>6179</v>
      </c>
      <c r="BU60" s="0" t="s">
        <v>4604</v>
      </c>
      <c r="BV60" s="0" t="n">
        <v>220</v>
      </c>
      <c r="BX60" s="0" t="s">
        <v>6180</v>
      </c>
      <c r="BY60" s="0" t="s">
        <v>6181</v>
      </c>
      <c r="CA60" s="0" t="s">
        <v>6182</v>
      </c>
      <c r="CB60" s="0" t="s">
        <v>4623</v>
      </c>
      <c r="CC60" s="0" t="s">
        <v>1358</v>
      </c>
      <c r="CD60" s="0" t="s">
        <v>5316</v>
      </c>
      <c r="CE60" s="0" t="s">
        <v>4808</v>
      </c>
      <c r="CF60" s="0" t="s">
        <v>171</v>
      </c>
      <c r="CG60" s="0" t="s">
        <v>6183</v>
      </c>
      <c r="CK60" s="0" t="s">
        <v>158</v>
      </c>
      <c r="CL60" s="0" t="n">
        <v>50</v>
      </c>
      <c r="CM60" s="0" t="n">
        <v>25</v>
      </c>
      <c r="CN60" s="0" t="n">
        <v>8</v>
      </c>
      <c r="CO60" s="0" t="n">
        <v>8</v>
      </c>
      <c r="CP60" s="0" t="n">
        <v>5</v>
      </c>
      <c r="CQ60" s="0" t="n">
        <v>10</v>
      </c>
      <c r="CR60" s="0" t="n">
        <v>6</v>
      </c>
      <c r="CS60" s="0" t="n">
        <f aca="false">IF(R60="Y",10,0)</f>
        <v>0</v>
      </c>
      <c r="CT60" s="0" t="n">
        <v>-12</v>
      </c>
      <c r="CU60" s="0" t="s">
        <v>6184</v>
      </c>
      <c r="CV60" s="0" t="s">
        <v>4703</v>
      </c>
      <c r="CW60" s="0" t="s">
        <v>6185</v>
      </c>
      <c r="CX60" s="0" t="s">
        <v>6186</v>
      </c>
      <c r="CY60" s="0" t="s">
        <v>6187</v>
      </c>
      <c r="CZ60" s="0" t="s">
        <v>6173</v>
      </c>
      <c r="DA60" s="0" t="s">
        <v>5912</v>
      </c>
      <c r="DC60" s="0" t="s">
        <v>1189</v>
      </c>
      <c r="DY60" s="0" t="str">
        <f aca="false">IF(ISNUMBER(MATCH(U60,{"queued","contacted","replied","call_booked","call_done","yes_in_principle","materials_sent"},0)),"Y","N")</f>
        <v>N</v>
      </c>
      <c r="DZ60" s="0" t="str">
        <f aca="false">IF(COUNTIFS($AN$2:$AN$1000,AN60,$DY$2:$DY$1000,"Y")+COUNTIFS($AN$2:$AN$1000,AN60,$T$2:$T$1000,"Y")&gt;0,"Y","N")</f>
        <v>N</v>
      </c>
      <c r="EA60" s="0" t="str">
        <f aca="false">IF(AND(U60="new",T60="N",AR60="Y",AQ60="",DZ60="N"),"Y","N")</f>
        <v>Y</v>
      </c>
      <c r="EB60" s="0" t="str">
        <f aca="false">IF(EA60&lt;&gt;"Y","N",IF(COUNTIFS($AN$2:$AN$1000,AN60,$EA$2:$EA$1000,"Y",$J$2:$J$1000,"&gt;"&amp;J60)+COUNTIFS($AN$2:$AN$1000,AN60,$EA$2:$EA$1000,"Y",$J$2:$J$1000,J60,$ED$2:$ED$1000,"&lt;"&amp;ED60)=0,"Y","N"))</f>
        <v>Y</v>
      </c>
      <c r="EC60" s="0" t="str">
        <f aca="false">IF(Y60="","N",IF(Y60&lt;=10,"Y","N"))</f>
        <v>N</v>
      </c>
      <c r="ED60" s="0" t="n">
        <f aca="false">ROW()-1</f>
        <v>59</v>
      </c>
    </row>
    <row r="61" customFormat="false" ht="15" hidden="false" customHeight="false" outlineLevel="0" collapsed="false">
      <c r="A61" s="0" t="s">
        <v>6188</v>
      </c>
      <c r="B61" s="0" t="s">
        <v>6189</v>
      </c>
      <c r="C61" s="0" t="s">
        <v>6190</v>
      </c>
      <c r="D61" s="0" t="s">
        <v>6191</v>
      </c>
      <c r="E61" s="0" t="s">
        <v>4625</v>
      </c>
      <c r="F61" s="0" t="s">
        <v>6192</v>
      </c>
      <c r="H61" s="5" t="s">
        <v>158</v>
      </c>
      <c r="I61" s="5" t="s">
        <v>159</v>
      </c>
      <c r="J61" s="0" t="n">
        <f aca="false">IF(AU61="pass",CM61+CN61+CO61+CP61+CQ61+CR61+CS61+CT61,0)</f>
        <v>50</v>
      </c>
      <c r="K61" s="0" t="s">
        <v>6193</v>
      </c>
      <c r="M61" s="0" t="s">
        <v>5291</v>
      </c>
      <c r="N61" s="0" t="s">
        <v>598</v>
      </c>
      <c r="O61" s="0" t="s">
        <v>6194</v>
      </c>
      <c r="P61" s="0" t="s">
        <v>6195</v>
      </c>
      <c r="Q61" s="0" t="s">
        <v>5320</v>
      </c>
      <c r="R61" s="5" t="s">
        <v>162</v>
      </c>
      <c r="S61" s="0" t="s">
        <v>168</v>
      </c>
      <c r="T61" s="5" t="s">
        <v>162</v>
      </c>
      <c r="U61" s="5" t="s">
        <v>561</v>
      </c>
      <c r="V61" s="0" t="s">
        <v>6196</v>
      </c>
      <c r="W61" s="0" t="s">
        <v>166</v>
      </c>
      <c r="X61" s="0" t="s">
        <v>4585</v>
      </c>
      <c r="Y61" s="0" t="n">
        <f aca="false">IF(EB61&lt;&gt;"Y","",COUNTIFS($EB$2:$EB$1000,"Y",$J$2:$J$1000,"&gt;"&amp;J61)+COUNTIFS($EB$2:$EB$1000,"Y",$J$2:$J$1000,J61,$ED$2:$ED$1000,"&lt;"&amp;ED61)+1)</f>
        <v>59</v>
      </c>
      <c r="Z61" s="0" t="n">
        <v>60</v>
      </c>
      <c r="AA61" s="0" t="s">
        <v>168</v>
      </c>
      <c r="AC61" s="0" t="s">
        <v>4587</v>
      </c>
      <c r="AD61" s="0" t="s">
        <v>171</v>
      </c>
      <c r="AE61" s="0" t="s">
        <v>1189</v>
      </c>
      <c r="AF61" s="0" t="s">
        <v>6197</v>
      </c>
      <c r="AG61" s="0" t="s">
        <v>174</v>
      </c>
      <c r="AH61" s="0" t="s">
        <v>6198</v>
      </c>
      <c r="AI61" s="0" t="s">
        <v>4826</v>
      </c>
      <c r="AJ61" s="0" t="s">
        <v>6199</v>
      </c>
      <c r="AK61" s="0" t="s">
        <v>6200</v>
      </c>
      <c r="AL61" s="0" t="s">
        <v>162</v>
      </c>
      <c r="AN61" s="0" t="s">
        <v>6188</v>
      </c>
      <c r="AO61" s="5" t="s">
        <v>162</v>
      </c>
      <c r="AR61" s="0" t="str">
        <f aca="false">IF(AND(AU61="pass",AO61&lt;&gt;"Y",C61&lt;&gt;""),"Y","N")</f>
        <v>Y</v>
      </c>
      <c r="AS61" s="0" t="str">
        <f aca="false">_xlfn.TEXTJOIN("; ",TRUE(),IF(AU61&lt;&gt;"pass","gated out",""),IF(AO61="Y","on hold: "&amp;AP61,""),IF(C61="","no contact named on an opened page",""))</f>
        <v/>
      </c>
      <c r="AU61" s="0" t="s">
        <v>181</v>
      </c>
      <c r="AW61" s="0" t="s">
        <v>182</v>
      </c>
      <c r="AY61" s="0" t="s">
        <v>6200</v>
      </c>
      <c r="AZ61" s="0" t="s">
        <v>5190</v>
      </c>
      <c r="BA61" s="0" t="s">
        <v>4923</v>
      </c>
      <c r="BB61" s="0" t="s">
        <v>163</v>
      </c>
      <c r="BD61" s="0" t="s">
        <v>168</v>
      </c>
      <c r="BE61" s="0" t="s">
        <v>6201</v>
      </c>
      <c r="BF61" s="0" t="s">
        <v>168</v>
      </c>
      <c r="BG61" s="0" t="s">
        <v>168</v>
      </c>
      <c r="BH61" s="0" t="s">
        <v>163</v>
      </c>
      <c r="BJ61" s="0" t="s">
        <v>163</v>
      </c>
      <c r="BK61" s="0" t="s">
        <v>162</v>
      </c>
      <c r="BL61" s="0" t="s">
        <v>162</v>
      </c>
      <c r="BO61" s="0" t="s">
        <v>162</v>
      </c>
      <c r="BP61" s="0" t="n">
        <v>0</v>
      </c>
      <c r="BS61" s="0" t="s">
        <v>6202</v>
      </c>
      <c r="BT61" s="0" t="s">
        <v>6203</v>
      </c>
      <c r="BU61" s="0" t="s">
        <v>4604</v>
      </c>
      <c r="BV61" s="0" t="n">
        <v>106</v>
      </c>
      <c r="BW61" s="0" t="s">
        <v>6197</v>
      </c>
      <c r="BX61" s="0" t="s">
        <v>6204</v>
      </c>
      <c r="BY61" s="0" t="s">
        <v>6205</v>
      </c>
      <c r="BZ61" s="0" t="s">
        <v>4607</v>
      </c>
      <c r="CA61" s="0" t="s">
        <v>6206</v>
      </c>
      <c r="CB61" s="0" t="s">
        <v>542</v>
      </c>
      <c r="CC61" s="0" t="s">
        <v>6207</v>
      </c>
      <c r="CD61" s="0" t="s">
        <v>5316</v>
      </c>
      <c r="CE61" s="0" t="s">
        <v>4808</v>
      </c>
      <c r="CF61" s="0" t="s">
        <v>171</v>
      </c>
      <c r="CG61" s="0" t="s">
        <v>6208</v>
      </c>
      <c r="CK61" s="0" t="s">
        <v>158</v>
      </c>
      <c r="CL61" s="0" t="n">
        <v>50</v>
      </c>
      <c r="CM61" s="0" t="n">
        <v>6</v>
      </c>
      <c r="CN61" s="0" t="n">
        <v>8</v>
      </c>
      <c r="CO61" s="0" t="n">
        <v>15</v>
      </c>
      <c r="CP61" s="0" t="n">
        <v>5</v>
      </c>
      <c r="CQ61" s="0" t="n">
        <v>10</v>
      </c>
      <c r="CR61" s="0" t="n">
        <v>6</v>
      </c>
      <c r="CS61" s="0" t="n">
        <f aca="false">IF(R61="Y",10,0)</f>
        <v>0</v>
      </c>
      <c r="CT61" s="0" t="n">
        <v>0</v>
      </c>
      <c r="CU61" s="0" t="s">
        <v>163</v>
      </c>
      <c r="CV61" s="0" t="s">
        <v>4841</v>
      </c>
      <c r="CW61" s="0" t="s">
        <v>6209</v>
      </c>
      <c r="CX61" s="0" t="s">
        <v>6210</v>
      </c>
      <c r="CY61" s="0" t="s">
        <v>6211</v>
      </c>
      <c r="CZ61" s="0" t="s">
        <v>6212</v>
      </c>
      <c r="DA61" s="0" t="s">
        <v>4620</v>
      </c>
      <c r="DB61" s="0" t="s">
        <v>6213</v>
      </c>
      <c r="DC61" s="0" t="s">
        <v>1189</v>
      </c>
      <c r="DY61" s="0" t="str">
        <f aca="false">IF(ISNUMBER(MATCH(U61,{"queued","contacted","replied","call_booked","call_done","yes_in_principle","materials_sent"},0)),"Y","N")</f>
        <v>N</v>
      </c>
      <c r="DZ61" s="0" t="str">
        <f aca="false">IF(COUNTIFS($AN$2:$AN$1000,AN61,$DY$2:$DY$1000,"Y")+COUNTIFS($AN$2:$AN$1000,AN61,$T$2:$T$1000,"Y")&gt;0,"Y","N")</f>
        <v>N</v>
      </c>
      <c r="EA61" s="0" t="str">
        <f aca="false">IF(AND(U61="new",T61="N",AR61="Y",AQ61="",DZ61="N"),"Y","N")</f>
        <v>Y</v>
      </c>
      <c r="EB61" s="0" t="str">
        <f aca="false">IF(EA61&lt;&gt;"Y","N",IF(COUNTIFS($AN$2:$AN$1000,AN61,$EA$2:$EA$1000,"Y",$J$2:$J$1000,"&gt;"&amp;J61)+COUNTIFS($AN$2:$AN$1000,AN61,$EA$2:$EA$1000,"Y",$J$2:$J$1000,J61,$ED$2:$ED$1000,"&lt;"&amp;ED61)=0,"Y","N"))</f>
        <v>Y</v>
      </c>
      <c r="EC61" s="0" t="str">
        <f aca="false">IF(Y61="","N",IF(Y61&lt;=10,"Y","N"))</f>
        <v>N</v>
      </c>
      <c r="ED61" s="0" t="n">
        <f aca="false">ROW()-1</f>
        <v>60</v>
      </c>
    </row>
    <row r="62" customFormat="false" ht="15" hidden="false" customHeight="false" outlineLevel="0" collapsed="false">
      <c r="A62" s="0" t="s">
        <v>6214</v>
      </c>
      <c r="B62" s="0" t="s">
        <v>6215</v>
      </c>
      <c r="C62" s="0" t="s">
        <v>6216</v>
      </c>
      <c r="D62" s="0" t="s">
        <v>6217</v>
      </c>
      <c r="E62" s="0" t="s">
        <v>4656</v>
      </c>
      <c r="H62" s="5" t="s">
        <v>158</v>
      </c>
      <c r="I62" s="5" t="s">
        <v>159</v>
      </c>
      <c r="J62" s="0" t="n">
        <f aca="false">IF(AU62="pass",CM62+CN62+CO62+CP62+CQ62+CR62+CS62+CT62,0)</f>
        <v>49</v>
      </c>
      <c r="K62" s="0" t="s">
        <v>6218</v>
      </c>
      <c r="M62" s="0" t="s">
        <v>4580</v>
      </c>
      <c r="N62" s="0" t="s">
        <v>4581</v>
      </c>
      <c r="O62" s="0" t="s">
        <v>6219</v>
      </c>
      <c r="P62" s="0" t="s">
        <v>6220</v>
      </c>
      <c r="Q62" s="0" t="s">
        <v>2923</v>
      </c>
      <c r="R62" s="5" t="s">
        <v>162</v>
      </c>
      <c r="S62" s="0" t="s">
        <v>163</v>
      </c>
      <c r="T62" s="5" t="s">
        <v>162</v>
      </c>
      <c r="U62" s="5" t="s">
        <v>561</v>
      </c>
      <c r="V62" s="0" t="s">
        <v>6220</v>
      </c>
      <c r="W62" s="0" t="s">
        <v>166</v>
      </c>
      <c r="X62" s="0" t="s">
        <v>4585</v>
      </c>
      <c r="Y62" s="0" t="n">
        <f aca="false">IF(EB62&lt;&gt;"Y","",COUNTIFS($EB$2:$EB$1000,"Y",$J$2:$J$1000,"&gt;"&amp;J62)+COUNTIFS($EB$2:$EB$1000,"Y",$J$2:$J$1000,J62,$ED$2:$ED$1000,"&lt;"&amp;ED62)+1)</f>
        <v>60</v>
      </c>
      <c r="Z62" s="0" t="n">
        <v>61</v>
      </c>
      <c r="AA62" s="0" t="s">
        <v>162</v>
      </c>
      <c r="AB62" s="0" t="s">
        <v>6221</v>
      </c>
      <c r="AC62" s="0" t="s">
        <v>4587</v>
      </c>
      <c r="AD62" s="0" t="s">
        <v>171</v>
      </c>
      <c r="AE62" s="0" t="s">
        <v>1189</v>
      </c>
      <c r="AF62" s="0" t="s">
        <v>6222</v>
      </c>
      <c r="AG62" s="0" t="s">
        <v>166</v>
      </c>
      <c r="AH62" s="0" t="s">
        <v>6223</v>
      </c>
      <c r="AI62" s="0" t="s">
        <v>4722</v>
      </c>
      <c r="AJ62" s="0" t="s">
        <v>5354</v>
      </c>
      <c r="AK62" s="0" t="s">
        <v>6224</v>
      </c>
      <c r="AL62" s="0" t="s">
        <v>168</v>
      </c>
      <c r="AM62" s="0" t="s">
        <v>6225</v>
      </c>
      <c r="AN62" s="0" t="s">
        <v>6214</v>
      </c>
      <c r="AO62" s="5" t="s">
        <v>162</v>
      </c>
      <c r="AR62" s="0" t="str">
        <f aca="false">IF(AND(AU62="pass",AO62&lt;&gt;"Y",C62&lt;&gt;""),"Y","N")</f>
        <v>Y</v>
      </c>
      <c r="AS62" s="0" t="str">
        <f aca="false">_xlfn.TEXTJOIN("; ",TRUE(),IF(AU62&lt;&gt;"pass","gated out",""),IF(AO62="Y","on hold: "&amp;AP62,""),IF(C62="","no contact named on an opened page",""))</f>
        <v/>
      </c>
      <c r="AU62" s="0" t="s">
        <v>181</v>
      </c>
      <c r="AW62" s="0" t="s">
        <v>182</v>
      </c>
      <c r="AX62" s="0" t="s">
        <v>4594</v>
      </c>
      <c r="AY62" s="0" t="s">
        <v>6224</v>
      </c>
      <c r="AZ62" s="0" t="s">
        <v>5356</v>
      </c>
      <c r="BA62" s="0" t="s">
        <v>5329</v>
      </c>
      <c r="BB62" s="0" t="s">
        <v>163</v>
      </c>
      <c r="BD62" s="0" t="s">
        <v>168</v>
      </c>
      <c r="BE62" s="0" t="s">
        <v>6226</v>
      </c>
      <c r="BF62" s="0" t="s">
        <v>168</v>
      </c>
      <c r="BG62" s="0" t="s">
        <v>168</v>
      </c>
      <c r="BH62" s="0" t="s">
        <v>163</v>
      </c>
      <c r="BJ62" s="0" t="s">
        <v>163</v>
      </c>
      <c r="BK62" s="0" t="s">
        <v>162</v>
      </c>
      <c r="BL62" s="0" t="s">
        <v>162</v>
      </c>
      <c r="BN62" s="0" t="n">
        <v>0</v>
      </c>
      <c r="BO62" s="0" t="s">
        <v>168</v>
      </c>
      <c r="BP62" s="0" t="n">
        <v>3</v>
      </c>
      <c r="BQ62" s="0" t="s">
        <v>4669</v>
      </c>
      <c r="BS62" s="0" t="s">
        <v>6227</v>
      </c>
      <c r="BT62" s="0" t="s">
        <v>6228</v>
      </c>
      <c r="BU62" s="0" t="s">
        <v>4694</v>
      </c>
      <c r="BV62" s="0" t="n">
        <v>275</v>
      </c>
      <c r="BX62" s="0" t="s">
        <v>6229</v>
      </c>
      <c r="CF62" s="0" t="s">
        <v>158</v>
      </c>
      <c r="CK62" s="0" t="s">
        <v>158</v>
      </c>
      <c r="CL62" s="0" t="n">
        <v>49</v>
      </c>
      <c r="CM62" s="0" t="n">
        <v>25</v>
      </c>
      <c r="CN62" s="0" t="n">
        <v>3</v>
      </c>
      <c r="CO62" s="0" t="n">
        <v>4</v>
      </c>
      <c r="CP62" s="0" t="n">
        <v>5</v>
      </c>
      <c r="CQ62" s="0" t="n">
        <v>10</v>
      </c>
      <c r="CR62" s="0" t="n">
        <v>6</v>
      </c>
      <c r="CS62" s="0" t="n">
        <f aca="false">IF(R62="Y",10,0)</f>
        <v>0</v>
      </c>
      <c r="CT62" s="0" t="n">
        <v>-4</v>
      </c>
      <c r="CU62" s="0" t="s">
        <v>6230</v>
      </c>
      <c r="CV62" s="0" t="s">
        <v>4703</v>
      </c>
      <c r="CW62" s="0" t="s">
        <v>6231</v>
      </c>
      <c r="CX62" s="0" t="s">
        <v>6232</v>
      </c>
      <c r="CY62" s="0" t="s">
        <v>6233</v>
      </c>
      <c r="DA62" s="0" t="s">
        <v>6234</v>
      </c>
      <c r="DY62" s="0" t="str">
        <f aca="false">IF(ISNUMBER(MATCH(U62,{"queued","contacted","replied","call_booked","call_done","yes_in_principle","materials_sent"},0)),"Y","N")</f>
        <v>N</v>
      </c>
      <c r="DZ62" s="0" t="str">
        <f aca="false">IF(COUNTIFS($AN$2:$AN$1000,AN62,$DY$2:$DY$1000,"Y")+COUNTIFS($AN$2:$AN$1000,AN62,$T$2:$T$1000,"Y")&gt;0,"Y","N")</f>
        <v>N</v>
      </c>
      <c r="EA62" s="0" t="str">
        <f aca="false">IF(AND(U62="new",T62="N",AR62="Y",AQ62="",DZ62="N"),"Y","N")</f>
        <v>Y</v>
      </c>
      <c r="EB62" s="0" t="str">
        <f aca="false">IF(EA62&lt;&gt;"Y","N",IF(COUNTIFS($AN$2:$AN$1000,AN62,$EA$2:$EA$1000,"Y",$J$2:$J$1000,"&gt;"&amp;J62)+COUNTIFS($AN$2:$AN$1000,AN62,$EA$2:$EA$1000,"Y",$J$2:$J$1000,J62,$ED$2:$ED$1000,"&lt;"&amp;ED62)=0,"Y","N"))</f>
        <v>Y</v>
      </c>
      <c r="EC62" s="0" t="str">
        <f aca="false">IF(Y62="","N",IF(Y62&lt;=10,"Y","N"))</f>
        <v>N</v>
      </c>
      <c r="ED62" s="0" t="n">
        <f aca="false">ROW()-1</f>
        <v>61</v>
      </c>
    </row>
    <row r="63" customFormat="false" ht="15" hidden="false" customHeight="false" outlineLevel="0" collapsed="false">
      <c r="A63" s="0" t="s">
        <v>6235</v>
      </c>
      <c r="B63" s="0" t="s">
        <v>6236</v>
      </c>
      <c r="C63" s="0" t="s">
        <v>6237</v>
      </c>
      <c r="D63" s="0" t="s">
        <v>6238</v>
      </c>
      <c r="E63" s="0" t="s">
        <v>6239</v>
      </c>
      <c r="H63" s="5" t="s">
        <v>158</v>
      </c>
      <c r="I63" s="5" t="s">
        <v>159</v>
      </c>
      <c r="J63" s="0" t="n">
        <f aca="false">IF(AU63="pass",CM63+CN63+CO63+CP63+CQ63+CR63+CS63+CT63,0)</f>
        <v>49</v>
      </c>
      <c r="K63" s="0" t="s">
        <v>6240</v>
      </c>
      <c r="M63" s="0" t="s">
        <v>6241</v>
      </c>
      <c r="N63" s="0" t="s">
        <v>5021</v>
      </c>
      <c r="O63" s="0" t="s">
        <v>6242</v>
      </c>
      <c r="P63" s="0" t="s">
        <v>6243</v>
      </c>
      <c r="Q63" s="0" t="s">
        <v>6244</v>
      </c>
      <c r="R63" s="5" t="s">
        <v>162</v>
      </c>
      <c r="S63" s="0" t="s">
        <v>163</v>
      </c>
      <c r="T63" s="5" t="s">
        <v>162</v>
      </c>
      <c r="U63" s="5" t="s">
        <v>561</v>
      </c>
      <c r="V63" s="0" t="s">
        <v>6245</v>
      </c>
      <c r="W63" s="0" t="s">
        <v>166</v>
      </c>
      <c r="X63" s="0" t="s">
        <v>4585</v>
      </c>
      <c r="Y63" s="0" t="n">
        <f aca="false">IF(EB63&lt;&gt;"Y","",COUNTIFS($EB$2:$EB$1000,"Y",$J$2:$J$1000,"&gt;"&amp;J63)+COUNTIFS($EB$2:$EB$1000,"Y",$J$2:$J$1000,J63,$ED$2:$ED$1000,"&lt;"&amp;ED63)+1)</f>
        <v>61</v>
      </c>
      <c r="Z63" s="0" t="n">
        <v>62</v>
      </c>
      <c r="AA63" s="0" t="s">
        <v>162</v>
      </c>
      <c r="AB63" s="0" t="s">
        <v>6246</v>
      </c>
      <c r="AC63" s="0" t="s">
        <v>4587</v>
      </c>
      <c r="AD63" s="0" t="s">
        <v>171</v>
      </c>
      <c r="AE63" s="0" t="s">
        <v>1189</v>
      </c>
      <c r="AF63" s="0" t="s">
        <v>6243</v>
      </c>
      <c r="AG63" s="0" t="s">
        <v>166</v>
      </c>
      <c r="AH63" s="0" t="s">
        <v>6247</v>
      </c>
      <c r="AI63" s="0" t="s">
        <v>5924</v>
      </c>
      <c r="AJ63" s="0" t="s">
        <v>4634</v>
      </c>
      <c r="AK63" s="0" t="s">
        <v>6248</v>
      </c>
      <c r="AL63" s="0" t="s">
        <v>168</v>
      </c>
      <c r="AM63" s="0" t="s">
        <v>6249</v>
      </c>
      <c r="AN63" s="0" t="s">
        <v>6235</v>
      </c>
      <c r="AO63" s="5" t="s">
        <v>162</v>
      </c>
      <c r="AR63" s="0" t="str">
        <f aca="false">IF(AND(AU63="pass",AO63&lt;&gt;"Y",C63&lt;&gt;""),"Y","N")</f>
        <v>Y</v>
      </c>
      <c r="AS63" s="0" t="str">
        <f aca="false">_xlfn.TEXTJOIN("; ",TRUE(),IF(AU63&lt;&gt;"pass","gated out",""),IF(AO63="Y","on hold: "&amp;AP63,""),IF(C63="","no contact named on an opened page",""))</f>
        <v/>
      </c>
      <c r="AU63" s="0" t="s">
        <v>181</v>
      </c>
      <c r="AW63" s="0" t="s">
        <v>182</v>
      </c>
      <c r="AX63" s="0" t="s">
        <v>6250</v>
      </c>
      <c r="AY63" s="0" t="s">
        <v>6248</v>
      </c>
      <c r="AZ63" s="0" t="s">
        <v>4595</v>
      </c>
      <c r="BA63" s="0" t="s">
        <v>4596</v>
      </c>
      <c r="BB63" s="0" t="s">
        <v>163</v>
      </c>
      <c r="BD63" s="0" t="s">
        <v>163</v>
      </c>
      <c r="BE63" s="0" t="s">
        <v>6251</v>
      </c>
      <c r="BF63" s="0" t="s">
        <v>168</v>
      </c>
      <c r="BG63" s="0" t="s">
        <v>168</v>
      </c>
      <c r="BH63" s="0" t="s">
        <v>163</v>
      </c>
      <c r="BJ63" s="0" t="s">
        <v>5549</v>
      </c>
      <c r="BK63" s="0" t="s">
        <v>162</v>
      </c>
      <c r="BL63" s="0" t="s">
        <v>162</v>
      </c>
      <c r="BN63" s="0" t="n">
        <v>0</v>
      </c>
      <c r="BO63" s="0" t="s">
        <v>168</v>
      </c>
      <c r="BP63" s="0" t="n">
        <v>2</v>
      </c>
      <c r="BQ63" s="0" t="s">
        <v>6252</v>
      </c>
      <c r="BS63" s="0" t="s">
        <v>6253</v>
      </c>
      <c r="BT63" s="0" t="s">
        <v>6254</v>
      </c>
      <c r="BU63" s="0" t="s">
        <v>4604</v>
      </c>
      <c r="BV63" s="0" t="n">
        <v>178</v>
      </c>
      <c r="BX63" s="0" t="s">
        <v>6255</v>
      </c>
      <c r="CA63" s="0" t="s">
        <v>6256</v>
      </c>
      <c r="CB63" s="0" t="s">
        <v>6257</v>
      </c>
      <c r="CC63" s="0" t="s">
        <v>6258</v>
      </c>
      <c r="CD63" s="0" t="s">
        <v>6259</v>
      </c>
      <c r="CE63" s="0" t="s">
        <v>6260</v>
      </c>
      <c r="CF63" s="0" t="s">
        <v>171</v>
      </c>
      <c r="CG63" s="0" t="s">
        <v>6261</v>
      </c>
      <c r="CK63" s="0" t="s">
        <v>158</v>
      </c>
      <c r="CL63" s="0" t="n">
        <v>49</v>
      </c>
      <c r="CM63" s="0" t="n">
        <v>17</v>
      </c>
      <c r="CN63" s="0" t="n">
        <v>20</v>
      </c>
      <c r="CO63" s="0" t="n">
        <v>15</v>
      </c>
      <c r="CP63" s="0" t="n">
        <v>5</v>
      </c>
      <c r="CQ63" s="0" t="n">
        <v>7</v>
      </c>
      <c r="CR63" s="0" t="n">
        <v>10</v>
      </c>
      <c r="CS63" s="0" t="n">
        <f aca="false">IF(R63="Y",10,0)</f>
        <v>0</v>
      </c>
      <c r="CT63" s="0" t="n">
        <v>-25</v>
      </c>
      <c r="CU63" s="0" t="s">
        <v>6262</v>
      </c>
      <c r="CV63" s="0" t="s">
        <v>5562</v>
      </c>
      <c r="CW63" s="0" t="s">
        <v>6263</v>
      </c>
      <c r="CX63" s="0" t="s">
        <v>6264</v>
      </c>
      <c r="CY63" s="0" t="s">
        <v>6265</v>
      </c>
      <c r="CZ63" s="0" t="s">
        <v>6243</v>
      </c>
      <c r="DA63" s="0" t="s">
        <v>6234</v>
      </c>
      <c r="DC63" s="0" t="s">
        <v>1189</v>
      </c>
      <c r="DY63" s="0" t="str">
        <f aca="false">IF(ISNUMBER(MATCH(U63,{"queued","contacted","replied","call_booked","call_done","yes_in_principle","materials_sent"},0)),"Y","N")</f>
        <v>N</v>
      </c>
      <c r="DZ63" s="0" t="str">
        <f aca="false">IF(COUNTIFS($AN$2:$AN$1000,AN63,$DY$2:$DY$1000,"Y")+COUNTIFS($AN$2:$AN$1000,AN63,$T$2:$T$1000,"Y")&gt;0,"Y","N")</f>
        <v>N</v>
      </c>
      <c r="EA63" s="0" t="str">
        <f aca="false">IF(AND(U63="new",T63="N",AR63="Y",AQ63="",DZ63="N"),"Y","N")</f>
        <v>Y</v>
      </c>
      <c r="EB63" s="0" t="str">
        <f aca="false">IF(EA63&lt;&gt;"Y","N",IF(COUNTIFS($AN$2:$AN$1000,AN63,$EA$2:$EA$1000,"Y",$J$2:$J$1000,"&gt;"&amp;J63)+COUNTIFS($AN$2:$AN$1000,AN63,$EA$2:$EA$1000,"Y",$J$2:$J$1000,J63,$ED$2:$ED$1000,"&lt;"&amp;ED63)=0,"Y","N"))</f>
        <v>Y</v>
      </c>
      <c r="EC63" s="0" t="str">
        <f aca="false">IF(Y63="","N",IF(Y63&lt;=10,"Y","N"))</f>
        <v>N</v>
      </c>
      <c r="ED63" s="0" t="n">
        <f aca="false">ROW()-1</f>
        <v>62</v>
      </c>
    </row>
    <row r="64" customFormat="false" ht="15" hidden="false" customHeight="false" outlineLevel="0" collapsed="false">
      <c r="A64" s="0" t="s">
        <v>6266</v>
      </c>
      <c r="B64" s="0" t="s">
        <v>6267</v>
      </c>
      <c r="C64" s="0" t="s">
        <v>6268</v>
      </c>
      <c r="D64" s="0" t="s">
        <v>163</v>
      </c>
      <c r="E64" s="0" t="s">
        <v>6269</v>
      </c>
      <c r="H64" s="5" t="s">
        <v>158</v>
      </c>
      <c r="I64" s="5" t="s">
        <v>159</v>
      </c>
      <c r="J64" s="0" t="n">
        <f aca="false">IF(AU64="pass",CM64+CN64+CO64+CP64+CQ64+CR64+CS64+CT64,0)</f>
        <v>49</v>
      </c>
      <c r="K64" s="0" t="s">
        <v>6270</v>
      </c>
      <c r="M64" s="0" t="s">
        <v>6271</v>
      </c>
      <c r="N64" s="0" t="s">
        <v>5021</v>
      </c>
      <c r="O64" s="0" t="s">
        <v>6272</v>
      </c>
      <c r="P64" s="0" t="s">
        <v>6273</v>
      </c>
      <c r="Q64" s="0" t="s">
        <v>3863</v>
      </c>
      <c r="R64" s="5" t="s">
        <v>162</v>
      </c>
      <c r="S64" s="0" t="s">
        <v>163</v>
      </c>
      <c r="T64" s="5" t="s">
        <v>162</v>
      </c>
      <c r="U64" s="5" t="s">
        <v>561</v>
      </c>
      <c r="V64" s="0" t="s">
        <v>6274</v>
      </c>
      <c r="W64" s="0" t="s">
        <v>166</v>
      </c>
      <c r="X64" s="0" t="s">
        <v>4585</v>
      </c>
      <c r="Y64" s="0" t="n">
        <f aca="false">IF(EB64&lt;&gt;"Y","",COUNTIFS($EB$2:$EB$1000,"Y",$J$2:$J$1000,"&gt;"&amp;J64)+COUNTIFS($EB$2:$EB$1000,"Y",$J$2:$J$1000,J64,$ED$2:$ED$1000,"&lt;"&amp;ED64)+1)</f>
        <v>62</v>
      </c>
      <c r="Z64" s="0" t="n">
        <v>63</v>
      </c>
      <c r="AA64" s="0" t="s">
        <v>162</v>
      </c>
      <c r="AB64" s="0" t="s">
        <v>6275</v>
      </c>
      <c r="AC64" s="0" t="s">
        <v>4587</v>
      </c>
      <c r="AD64" s="0" t="s">
        <v>5008</v>
      </c>
      <c r="AE64" s="0" t="s">
        <v>163</v>
      </c>
      <c r="AG64" s="0" t="s">
        <v>166</v>
      </c>
      <c r="AH64" s="0" t="s">
        <v>6276</v>
      </c>
      <c r="AI64" s="0" t="s">
        <v>4826</v>
      </c>
      <c r="AJ64" s="0" t="s">
        <v>6277</v>
      </c>
      <c r="AK64" s="0" t="s">
        <v>6278</v>
      </c>
      <c r="AL64" s="0" t="s">
        <v>162</v>
      </c>
      <c r="AN64" s="0" t="s">
        <v>6266</v>
      </c>
      <c r="AO64" s="5" t="s">
        <v>162</v>
      </c>
      <c r="AR64" s="0" t="str">
        <f aca="false">IF(AND(AU64="pass",AO64&lt;&gt;"Y",C64&lt;&gt;""),"Y","N")</f>
        <v>Y</v>
      </c>
      <c r="AS64" s="0" t="str">
        <f aca="false">_xlfn.TEXTJOIN("; ",TRUE(),IF(AU64&lt;&gt;"pass","gated out",""),IF(AO64="Y","on hold: "&amp;AP64,""),IF(C64="","no contact named on an opened page",""))</f>
        <v/>
      </c>
      <c r="AU64" s="0" t="s">
        <v>181</v>
      </c>
      <c r="AW64" s="0" t="s">
        <v>182</v>
      </c>
      <c r="AY64" s="0" t="s">
        <v>6278</v>
      </c>
      <c r="AZ64" s="0" t="s">
        <v>4922</v>
      </c>
      <c r="BA64" s="0" t="s">
        <v>5191</v>
      </c>
      <c r="BB64" s="0" t="s">
        <v>163</v>
      </c>
      <c r="BD64" s="0" t="s">
        <v>168</v>
      </c>
      <c r="BE64" s="0" t="s">
        <v>6279</v>
      </c>
      <c r="BF64" s="0" t="s">
        <v>163</v>
      </c>
      <c r="BG64" s="0" t="s">
        <v>168</v>
      </c>
      <c r="BH64" s="0" t="s">
        <v>163</v>
      </c>
      <c r="BJ64" s="0" t="s">
        <v>163</v>
      </c>
      <c r="BK64" s="0" t="s">
        <v>162</v>
      </c>
      <c r="BL64" s="0" t="s">
        <v>162</v>
      </c>
      <c r="BN64" s="0" t="n">
        <v>0</v>
      </c>
      <c r="BO64" s="0" t="s">
        <v>168</v>
      </c>
      <c r="BP64" s="0" t="n">
        <v>1</v>
      </c>
      <c r="BQ64" s="0" t="s">
        <v>6280</v>
      </c>
      <c r="BS64" s="0" t="s">
        <v>6281</v>
      </c>
      <c r="BT64" s="0" t="s">
        <v>6282</v>
      </c>
      <c r="BU64" s="0" t="s">
        <v>4694</v>
      </c>
      <c r="BV64" s="0" t="n">
        <v>4</v>
      </c>
      <c r="BX64" s="0" t="s">
        <v>6268</v>
      </c>
      <c r="BY64" s="0" t="s">
        <v>6283</v>
      </c>
      <c r="CF64" s="0" t="s">
        <v>158</v>
      </c>
      <c r="CK64" s="0" t="s">
        <v>158</v>
      </c>
      <c r="CL64" s="0" t="n">
        <v>49</v>
      </c>
      <c r="CM64" s="0" t="n">
        <v>17</v>
      </c>
      <c r="CN64" s="0" t="n">
        <v>8</v>
      </c>
      <c r="CO64" s="0" t="n">
        <v>8</v>
      </c>
      <c r="CP64" s="0" t="n">
        <v>5</v>
      </c>
      <c r="CQ64" s="0" t="n">
        <v>8</v>
      </c>
      <c r="CR64" s="0" t="n">
        <v>3</v>
      </c>
      <c r="CS64" s="0" t="n">
        <f aca="false">IF(R64="Y",10,0)</f>
        <v>0</v>
      </c>
      <c r="CT64" s="0" t="n">
        <v>0</v>
      </c>
      <c r="CU64" s="0" t="s">
        <v>6284</v>
      </c>
      <c r="CV64" s="0" t="s">
        <v>4841</v>
      </c>
      <c r="CW64" s="0" t="s">
        <v>6285</v>
      </c>
      <c r="CX64" s="0" t="s">
        <v>6286</v>
      </c>
      <c r="DA64" s="0" t="s">
        <v>6234</v>
      </c>
      <c r="DY64" s="0" t="str">
        <f aca="false">IF(ISNUMBER(MATCH(U64,{"queued","contacted","replied","call_booked","call_done","yes_in_principle","materials_sent"},0)),"Y","N")</f>
        <v>N</v>
      </c>
      <c r="DZ64" s="0" t="str">
        <f aca="false">IF(COUNTIFS($AN$2:$AN$1000,AN64,$DY$2:$DY$1000,"Y")+COUNTIFS($AN$2:$AN$1000,AN64,$T$2:$T$1000,"Y")&gt;0,"Y","N")</f>
        <v>N</v>
      </c>
      <c r="EA64" s="0" t="str">
        <f aca="false">IF(AND(U64="new",T64="N",AR64="Y",AQ64="",DZ64="N"),"Y","N")</f>
        <v>Y</v>
      </c>
      <c r="EB64" s="0" t="str">
        <f aca="false">IF(EA64&lt;&gt;"Y","N",IF(COUNTIFS($AN$2:$AN$1000,AN64,$EA$2:$EA$1000,"Y",$J$2:$J$1000,"&gt;"&amp;J64)+COUNTIFS($AN$2:$AN$1000,AN64,$EA$2:$EA$1000,"Y",$J$2:$J$1000,J64,$ED$2:$ED$1000,"&lt;"&amp;ED64)=0,"Y","N"))</f>
        <v>Y</v>
      </c>
      <c r="EC64" s="0" t="str">
        <f aca="false">IF(Y64="","N",IF(Y64&lt;=10,"Y","N"))</f>
        <v>N</v>
      </c>
      <c r="ED64" s="0" t="n">
        <f aca="false">ROW()-1</f>
        <v>63</v>
      </c>
    </row>
    <row r="65" customFormat="false" ht="15" hidden="false" customHeight="false" outlineLevel="0" collapsed="false">
      <c r="A65" s="0" t="s">
        <v>6287</v>
      </c>
      <c r="B65" s="0" t="s">
        <v>6288</v>
      </c>
      <c r="C65" s="0" t="s">
        <v>6289</v>
      </c>
      <c r="D65" s="0" t="s">
        <v>6290</v>
      </c>
      <c r="E65" s="0" t="s">
        <v>4656</v>
      </c>
      <c r="H65" s="5" t="s">
        <v>158</v>
      </c>
      <c r="I65" s="5" t="s">
        <v>159</v>
      </c>
      <c r="J65" s="0" t="n">
        <f aca="false">IF(AU65="pass",CM65+CN65+CO65+CP65+CQ65+CR65+CS65+CT65,0)</f>
        <v>49</v>
      </c>
      <c r="K65" s="0" t="s">
        <v>6291</v>
      </c>
      <c r="M65" s="0" t="s">
        <v>5291</v>
      </c>
      <c r="N65" s="0" t="s">
        <v>598</v>
      </c>
      <c r="O65" s="0" t="s">
        <v>6292</v>
      </c>
      <c r="P65" s="0" t="s">
        <v>6293</v>
      </c>
      <c r="Q65" s="0" t="s">
        <v>6294</v>
      </c>
      <c r="R65" s="5" t="s">
        <v>162</v>
      </c>
      <c r="S65" s="0" t="s">
        <v>168</v>
      </c>
      <c r="T65" s="5" t="s">
        <v>162</v>
      </c>
      <c r="U65" s="5" t="s">
        <v>561</v>
      </c>
      <c r="V65" s="0" t="s">
        <v>6293</v>
      </c>
      <c r="W65" s="0" t="s">
        <v>166</v>
      </c>
      <c r="X65" s="0" t="s">
        <v>4585</v>
      </c>
      <c r="Y65" s="0" t="n">
        <f aca="false">IF(EB65&lt;&gt;"Y","",COUNTIFS($EB$2:$EB$1000,"Y",$J$2:$J$1000,"&gt;"&amp;J65)+COUNTIFS($EB$2:$EB$1000,"Y",$J$2:$J$1000,J65,$ED$2:$ED$1000,"&lt;"&amp;ED65)+1)</f>
        <v>63</v>
      </c>
      <c r="Z65" s="0" t="n">
        <v>64</v>
      </c>
      <c r="AA65" s="0" t="s">
        <v>162</v>
      </c>
      <c r="AB65" s="0" t="s">
        <v>6295</v>
      </c>
      <c r="AC65" s="0" t="s">
        <v>4587</v>
      </c>
      <c r="AD65" s="0" t="s">
        <v>171</v>
      </c>
      <c r="AE65" s="0" t="s">
        <v>1189</v>
      </c>
      <c r="AF65" s="0" t="s">
        <v>6293</v>
      </c>
      <c r="AG65" s="0" t="s">
        <v>166</v>
      </c>
      <c r="AH65" s="0" t="s">
        <v>6296</v>
      </c>
      <c r="AI65" s="0" t="s">
        <v>4975</v>
      </c>
      <c r="AJ65" s="0" t="s">
        <v>6297</v>
      </c>
      <c r="AK65" s="0" t="s">
        <v>6298</v>
      </c>
      <c r="AL65" s="0" t="s">
        <v>162</v>
      </c>
      <c r="AN65" s="0" t="s">
        <v>6287</v>
      </c>
      <c r="AO65" s="5" t="s">
        <v>162</v>
      </c>
      <c r="AR65" s="0" t="str">
        <f aca="false">IF(AND(AU65="pass",AO65&lt;&gt;"Y",C65&lt;&gt;""),"Y","N")</f>
        <v>Y</v>
      </c>
      <c r="AS65" s="0" t="str">
        <f aca="false">_xlfn.TEXTJOIN("; ",TRUE(),IF(AU65&lt;&gt;"pass","gated out",""),IF(AO65="Y","on hold: "&amp;AP65,""),IF(C65="","no contact named on an opened page",""))</f>
        <v/>
      </c>
      <c r="AU65" s="0" t="s">
        <v>181</v>
      </c>
      <c r="AW65" s="0" t="s">
        <v>182</v>
      </c>
      <c r="AY65" s="0" t="s">
        <v>6298</v>
      </c>
      <c r="AZ65" s="0" t="s">
        <v>5657</v>
      </c>
      <c r="BA65" s="0" t="s">
        <v>5329</v>
      </c>
      <c r="BB65" s="0" t="s">
        <v>163</v>
      </c>
      <c r="BD65" s="0" t="s">
        <v>168</v>
      </c>
      <c r="BE65" s="0" t="s">
        <v>6299</v>
      </c>
      <c r="BF65" s="0" t="s">
        <v>168</v>
      </c>
      <c r="BG65" s="0" t="s">
        <v>168</v>
      </c>
      <c r="BH65" s="0" t="s">
        <v>163</v>
      </c>
      <c r="BJ65" s="0" t="s">
        <v>163</v>
      </c>
      <c r="BK65" s="0" t="s">
        <v>162</v>
      </c>
      <c r="BL65" s="0" t="s">
        <v>162</v>
      </c>
      <c r="BO65" s="0" t="s">
        <v>162</v>
      </c>
      <c r="BP65" s="0" t="n">
        <v>0</v>
      </c>
      <c r="BS65" s="0" t="s">
        <v>163</v>
      </c>
      <c r="BT65" s="0" t="s">
        <v>6300</v>
      </c>
      <c r="BU65" s="0" t="s">
        <v>4604</v>
      </c>
      <c r="BV65" s="0" t="n">
        <v>122</v>
      </c>
      <c r="BW65" s="0" t="s">
        <v>6293</v>
      </c>
      <c r="BX65" s="0" t="s">
        <v>6301</v>
      </c>
      <c r="CA65" s="0" t="s">
        <v>6302</v>
      </c>
      <c r="CB65" s="0" t="s">
        <v>6303</v>
      </c>
      <c r="CC65" s="0" t="s">
        <v>6304</v>
      </c>
      <c r="CD65" s="0" t="s">
        <v>6305</v>
      </c>
      <c r="CE65" s="0" t="s">
        <v>6260</v>
      </c>
      <c r="CF65" s="0" t="s">
        <v>171</v>
      </c>
      <c r="CK65" s="0" t="s">
        <v>158</v>
      </c>
      <c r="CL65" s="0" t="n">
        <v>49</v>
      </c>
      <c r="CM65" s="0" t="n">
        <v>6</v>
      </c>
      <c r="CN65" s="0" t="n">
        <v>3</v>
      </c>
      <c r="CO65" s="0" t="n">
        <v>15</v>
      </c>
      <c r="CP65" s="0" t="n">
        <v>5</v>
      </c>
      <c r="CQ65" s="0" t="n">
        <v>10</v>
      </c>
      <c r="CR65" s="0" t="n">
        <v>10</v>
      </c>
      <c r="CS65" s="0" t="n">
        <f aca="false">IF(R65="Y",10,0)</f>
        <v>0</v>
      </c>
      <c r="CT65" s="0" t="n">
        <v>0</v>
      </c>
      <c r="CU65" s="0" t="s">
        <v>163</v>
      </c>
      <c r="CV65" s="0" t="s">
        <v>4841</v>
      </c>
      <c r="CW65" s="0" t="s">
        <v>6306</v>
      </c>
      <c r="CX65" s="0" t="s">
        <v>6307</v>
      </c>
      <c r="CY65" s="0" t="s">
        <v>6308</v>
      </c>
      <c r="CZ65" s="0" t="s">
        <v>6293</v>
      </c>
      <c r="DA65" s="0" t="s">
        <v>6234</v>
      </c>
      <c r="DC65" s="0" t="s">
        <v>1189</v>
      </c>
      <c r="DY65" s="0" t="str">
        <f aca="false">IF(ISNUMBER(MATCH(U65,{"queued","contacted","replied","call_booked","call_done","yes_in_principle","materials_sent"},0)),"Y","N")</f>
        <v>N</v>
      </c>
      <c r="DZ65" s="0" t="str">
        <f aca="false">IF(COUNTIFS($AN$2:$AN$1000,AN65,$DY$2:$DY$1000,"Y")+COUNTIFS($AN$2:$AN$1000,AN65,$T$2:$T$1000,"Y")&gt;0,"Y","N")</f>
        <v>N</v>
      </c>
      <c r="EA65" s="0" t="str">
        <f aca="false">IF(AND(U65="new",T65="N",AR65="Y",AQ65="",DZ65="N"),"Y","N")</f>
        <v>Y</v>
      </c>
      <c r="EB65" s="0" t="str">
        <f aca="false">IF(EA65&lt;&gt;"Y","N",IF(COUNTIFS($AN$2:$AN$1000,AN65,$EA$2:$EA$1000,"Y",$J$2:$J$1000,"&gt;"&amp;J65)+COUNTIFS($AN$2:$AN$1000,AN65,$EA$2:$EA$1000,"Y",$J$2:$J$1000,J65,$ED$2:$ED$1000,"&lt;"&amp;ED65)=0,"Y","N"))</f>
        <v>Y</v>
      </c>
      <c r="EC65" s="0" t="str">
        <f aca="false">IF(Y65="","N",IF(Y65&lt;=10,"Y","N"))</f>
        <v>N</v>
      </c>
      <c r="ED65" s="0" t="n">
        <f aca="false">ROW()-1</f>
        <v>64</v>
      </c>
    </row>
    <row r="66" customFormat="false" ht="15" hidden="false" customHeight="false" outlineLevel="0" collapsed="false">
      <c r="A66" s="0" t="s">
        <v>6309</v>
      </c>
      <c r="B66" s="0" t="s">
        <v>6310</v>
      </c>
      <c r="H66" s="5" t="s">
        <v>158</v>
      </c>
      <c r="I66" s="5"/>
      <c r="J66" s="0" t="n">
        <f aca="false">IF(AU66="pass",CM66+CN66+CO66+CP66+CQ66+CR66+CS66+CT66,0)</f>
        <v>49</v>
      </c>
      <c r="K66" s="0" t="s">
        <v>6311</v>
      </c>
      <c r="M66" s="0" t="s">
        <v>5291</v>
      </c>
      <c r="N66" s="0" t="s">
        <v>598</v>
      </c>
      <c r="O66" s="0" t="s">
        <v>6312</v>
      </c>
      <c r="P66" s="0" t="s">
        <v>6313</v>
      </c>
      <c r="Q66" s="0" t="s">
        <v>3758</v>
      </c>
      <c r="R66" s="5" t="s">
        <v>162</v>
      </c>
      <c r="S66" s="0" t="s">
        <v>163</v>
      </c>
      <c r="T66" s="5" t="s">
        <v>162</v>
      </c>
      <c r="U66" s="5" t="s">
        <v>561</v>
      </c>
      <c r="V66" s="0" t="s">
        <v>6314</v>
      </c>
      <c r="W66" s="0" t="s">
        <v>166</v>
      </c>
      <c r="X66" s="0" t="s">
        <v>4585</v>
      </c>
      <c r="Y66" s="0" t="str">
        <f aca="false">IF(EB66&lt;&gt;"Y","",COUNTIFS($EB$2:$EB$1000,"Y",$J$2:$J$1000,"&gt;"&amp;J66)+COUNTIFS($EB$2:$EB$1000,"Y",$J$2:$J$1000,J66,$ED$2:$ED$1000,"&lt;"&amp;ED66)+1)</f>
        <v/>
      </c>
      <c r="Z66" s="0" t="n">
        <v>65</v>
      </c>
      <c r="AA66" s="0" t="s">
        <v>162</v>
      </c>
      <c r="AB66" s="0" t="s">
        <v>6315</v>
      </c>
      <c r="AC66" s="0" t="s">
        <v>4587</v>
      </c>
      <c r="AD66" s="0" t="s">
        <v>598</v>
      </c>
      <c r="AE66" s="0" t="s">
        <v>599</v>
      </c>
      <c r="AF66" s="0" t="s">
        <v>6316</v>
      </c>
      <c r="AG66" s="0" t="s">
        <v>174</v>
      </c>
      <c r="AH66" s="0" t="s">
        <v>6317</v>
      </c>
      <c r="AI66" s="0" t="s">
        <v>4590</v>
      </c>
      <c r="AJ66" s="0" t="s">
        <v>4634</v>
      </c>
      <c r="AK66" s="0" t="s">
        <v>6314</v>
      </c>
      <c r="AL66" s="0" t="s">
        <v>168</v>
      </c>
      <c r="AM66" s="0" t="s">
        <v>6318</v>
      </c>
      <c r="AN66" s="0" t="s">
        <v>5547</v>
      </c>
      <c r="AO66" s="5" t="s">
        <v>162</v>
      </c>
      <c r="AR66" s="0" t="str">
        <f aca="false">IF(AND(AU66="pass",AO66&lt;&gt;"Y",C66&lt;&gt;""),"Y","N")</f>
        <v>N</v>
      </c>
      <c r="AS66" s="0" t="str">
        <f aca="false">_xlfn.TEXTJOIN("; ",TRUE(),IF(AU66&lt;&gt;"pass","gated out",""),IF(AO66="Y","on hold: "&amp;AP66,""),IF(C66="","no contact named on an opened page",""))</f>
        <v>no contact named on an opened page</v>
      </c>
      <c r="AU66" s="0" t="s">
        <v>181</v>
      </c>
      <c r="AW66" s="0" t="s">
        <v>182</v>
      </c>
      <c r="AX66" s="0" t="s">
        <v>282</v>
      </c>
      <c r="AY66" s="0" t="s">
        <v>6314</v>
      </c>
      <c r="AZ66" s="0" t="s">
        <v>4595</v>
      </c>
      <c r="BA66" s="0" t="s">
        <v>4596</v>
      </c>
      <c r="BB66" s="0" t="s">
        <v>163</v>
      </c>
      <c r="BD66" s="0" t="s">
        <v>163</v>
      </c>
      <c r="BE66" s="0" t="s">
        <v>6319</v>
      </c>
      <c r="BF66" s="0" t="s">
        <v>168</v>
      </c>
      <c r="BG66" s="0" t="s">
        <v>168</v>
      </c>
      <c r="BH66" s="0" t="s">
        <v>163</v>
      </c>
      <c r="BJ66" s="0" t="s">
        <v>5549</v>
      </c>
      <c r="BK66" s="0" t="s">
        <v>162</v>
      </c>
      <c r="BL66" s="0" t="s">
        <v>162</v>
      </c>
      <c r="BO66" s="0" t="s">
        <v>162</v>
      </c>
      <c r="BP66" s="0" t="n">
        <v>0</v>
      </c>
      <c r="BR66" s="0" t="s">
        <v>5551</v>
      </c>
      <c r="BS66" s="0" t="s">
        <v>6320</v>
      </c>
      <c r="BT66" s="0" t="s">
        <v>6321</v>
      </c>
      <c r="BU66" s="0" t="s">
        <v>4694</v>
      </c>
      <c r="BV66" s="0" t="n">
        <v>135</v>
      </c>
      <c r="BX66" s="0" t="s">
        <v>6322</v>
      </c>
      <c r="BY66" s="0" t="s">
        <v>6323</v>
      </c>
      <c r="CA66" s="0" t="s">
        <v>5556</v>
      </c>
      <c r="CE66" s="0" t="s">
        <v>4612</v>
      </c>
      <c r="CF66" s="0" t="s">
        <v>598</v>
      </c>
      <c r="CG66" s="0" t="s">
        <v>6324</v>
      </c>
      <c r="CK66" s="0" t="s">
        <v>158</v>
      </c>
      <c r="CL66" s="0" t="n">
        <v>49</v>
      </c>
      <c r="CM66" s="0" t="n">
        <v>6</v>
      </c>
      <c r="CN66" s="0" t="n">
        <v>20</v>
      </c>
      <c r="CO66" s="0" t="n">
        <v>8</v>
      </c>
      <c r="CP66" s="0" t="n">
        <v>5</v>
      </c>
      <c r="CQ66" s="0" t="n">
        <v>7</v>
      </c>
      <c r="CR66" s="0" t="n">
        <v>5</v>
      </c>
      <c r="CS66" s="0" t="n">
        <f aca="false">IF(R66="Y",10,0)</f>
        <v>0</v>
      </c>
      <c r="CT66" s="0" t="n">
        <v>-2</v>
      </c>
      <c r="CU66" s="0" t="s">
        <v>6325</v>
      </c>
      <c r="CV66" s="0" t="s">
        <v>5562</v>
      </c>
      <c r="CW66" s="0" t="s">
        <v>6326</v>
      </c>
      <c r="CX66" s="0" t="s">
        <v>6327</v>
      </c>
      <c r="CY66" s="0" t="s">
        <v>6328</v>
      </c>
      <c r="CZ66" s="0" t="s">
        <v>5543</v>
      </c>
      <c r="DA66" s="0" t="s">
        <v>4620</v>
      </c>
      <c r="DB66" s="0" t="s">
        <v>6329</v>
      </c>
      <c r="DC66" s="0" t="s">
        <v>599</v>
      </c>
      <c r="DF66" s="0" t="s">
        <v>6330</v>
      </c>
      <c r="DY66" s="0" t="str">
        <f aca="false">IF(ISNUMBER(MATCH(U66,{"queued","contacted","replied","call_booked","call_done","yes_in_principle","materials_sent"},0)),"Y","N")</f>
        <v>N</v>
      </c>
      <c r="DZ66" s="0" t="str">
        <f aca="false">IF(COUNTIFS($AN$2:$AN$1000,AN66,$DY$2:$DY$1000,"Y")+COUNTIFS($AN$2:$AN$1000,AN66,$T$2:$T$1000,"Y")&gt;0,"Y","N")</f>
        <v>N</v>
      </c>
      <c r="EA66" s="0" t="str">
        <f aca="false">IF(AND(U66="new",T66="N",AR66="Y",AQ66="",DZ66="N"),"Y","N")</f>
        <v>N</v>
      </c>
      <c r="EB66" s="0" t="str">
        <f aca="false">IF(EA66&lt;&gt;"Y","N",IF(COUNTIFS($AN$2:$AN$1000,AN66,$EA$2:$EA$1000,"Y",$J$2:$J$1000,"&gt;"&amp;J66)+COUNTIFS($AN$2:$AN$1000,AN66,$EA$2:$EA$1000,"Y",$J$2:$J$1000,J66,$ED$2:$ED$1000,"&lt;"&amp;ED66)=0,"Y","N"))</f>
        <v>N</v>
      </c>
      <c r="EC66" s="0" t="str">
        <f aca="false">IF(Y66="","N",IF(Y66&lt;=10,"Y","N"))</f>
        <v>N</v>
      </c>
      <c r="ED66" s="0" t="n">
        <f aca="false">ROW()-1</f>
        <v>65</v>
      </c>
    </row>
    <row r="67" customFormat="false" ht="15" hidden="false" customHeight="false" outlineLevel="0" collapsed="false">
      <c r="A67" s="0" t="s">
        <v>6331</v>
      </c>
      <c r="B67" s="0" t="s">
        <v>6332</v>
      </c>
      <c r="C67" s="0" t="s">
        <v>5961</v>
      </c>
      <c r="D67" s="0" t="s">
        <v>6333</v>
      </c>
      <c r="E67" s="0" t="s">
        <v>4656</v>
      </c>
      <c r="H67" s="5" t="s">
        <v>158</v>
      </c>
      <c r="I67" s="5" t="s">
        <v>159</v>
      </c>
      <c r="J67" s="0" t="n">
        <f aca="false">IF(AU67="pass",CM67+CN67+CO67+CP67+CQ67+CR67+CS67+CT67,0)</f>
        <v>49</v>
      </c>
      <c r="K67" s="0" t="s">
        <v>6334</v>
      </c>
      <c r="M67" s="0" t="s">
        <v>5291</v>
      </c>
      <c r="N67" s="0" t="s">
        <v>598</v>
      </c>
      <c r="O67" s="0" t="s">
        <v>6335</v>
      </c>
      <c r="P67" s="0" t="s">
        <v>6336</v>
      </c>
      <c r="Q67" s="0" t="s">
        <v>6337</v>
      </c>
      <c r="R67" s="5" t="s">
        <v>162</v>
      </c>
      <c r="S67" s="0" t="s">
        <v>163</v>
      </c>
      <c r="T67" s="5" t="s">
        <v>162</v>
      </c>
      <c r="U67" s="5" t="s">
        <v>561</v>
      </c>
      <c r="V67" s="0" t="s">
        <v>6338</v>
      </c>
      <c r="W67" s="0" t="s">
        <v>166</v>
      </c>
      <c r="X67" s="0" t="s">
        <v>4585</v>
      </c>
      <c r="Y67" s="0" t="n">
        <f aca="false">IF(EB67&lt;&gt;"Y","",COUNTIFS($EB$2:$EB$1000,"Y",$J$2:$J$1000,"&gt;"&amp;J67)+COUNTIFS($EB$2:$EB$1000,"Y",$J$2:$J$1000,J67,$ED$2:$ED$1000,"&lt;"&amp;ED67)+1)</f>
        <v>64</v>
      </c>
      <c r="Z67" s="0" t="n">
        <v>66</v>
      </c>
      <c r="AA67" s="0" t="s">
        <v>162</v>
      </c>
      <c r="AB67" s="0" t="s">
        <v>6339</v>
      </c>
      <c r="AC67" s="0" t="s">
        <v>4587</v>
      </c>
      <c r="AD67" s="0" t="s">
        <v>171</v>
      </c>
      <c r="AE67" s="0" t="s">
        <v>172</v>
      </c>
      <c r="AF67" s="0" t="s">
        <v>6338</v>
      </c>
      <c r="AG67" s="0" t="s">
        <v>166</v>
      </c>
      <c r="AH67" s="0" t="s">
        <v>6340</v>
      </c>
      <c r="AI67" s="0" t="s">
        <v>5653</v>
      </c>
      <c r="AJ67" s="0" t="s">
        <v>192</v>
      </c>
      <c r="AK67" s="0" t="s">
        <v>6341</v>
      </c>
      <c r="AL67" s="0" t="s">
        <v>168</v>
      </c>
      <c r="AM67" s="0" t="s">
        <v>6342</v>
      </c>
      <c r="AN67" s="0" t="s">
        <v>6331</v>
      </c>
      <c r="AO67" s="5" t="s">
        <v>162</v>
      </c>
      <c r="AR67" s="0" t="str">
        <f aca="false">IF(AND(AU67="pass",AO67&lt;&gt;"Y",C67&lt;&gt;""),"Y","N")</f>
        <v>Y</v>
      </c>
      <c r="AS67" s="0" t="str">
        <f aca="false">_xlfn.TEXTJOIN("; ",TRUE(),IF(AU67&lt;&gt;"pass","gated out",""),IF(AO67="Y","on hold: "&amp;AP67,""),IF(C67="","no contact named on an opened page",""))</f>
        <v/>
      </c>
      <c r="AU67" s="0" t="s">
        <v>181</v>
      </c>
      <c r="AW67" s="0" t="s">
        <v>182</v>
      </c>
      <c r="AX67" s="0" t="s">
        <v>282</v>
      </c>
      <c r="AY67" s="0" t="s">
        <v>6341</v>
      </c>
      <c r="AZ67" s="0" t="s">
        <v>4595</v>
      </c>
      <c r="BA67" s="0" t="s">
        <v>4596</v>
      </c>
      <c r="BB67" s="0" t="s">
        <v>6343</v>
      </c>
      <c r="BD67" s="0" t="s">
        <v>263</v>
      </c>
      <c r="BE67" s="0" t="s">
        <v>6344</v>
      </c>
      <c r="BF67" s="0" t="s">
        <v>163</v>
      </c>
      <c r="BG67" s="0" t="s">
        <v>168</v>
      </c>
      <c r="BH67" s="0" t="s">
        <v>163</v>
      </c>
      <c r="BJ67" s="0" t="s">
        <v>163</v>
      </c>
      <c r="BK67" s="0" t="s">
        <v>162</v>
      </c>
      <c r="BL67" s="0" t="s">
        <v>162</v>
      </c>
      <c r="BO67" s="0" t="s">
        <v>162</v>
      </c>
      <c r="BP67" s="0" t="n">
        <v>0</v>
      </c>
      <c r="BS67" s="0" t="s">
        <v>6345</v>
      </c>
      <c r="BT67" s="0" t="s">
        <v>6346</v>
      </c>
      <c r="BU67" s="0" t="s">
        <v>4604</v>
      </c>
      <c r="BV67" s="0" t="n">
        <v>346</v>
      </c>
      <c r="BX67" s="0" t="s">
        <v>6347</v>
      </c>
      <c r="CF67" s="0" t="s">
        <v>158</v>
      </c>
      <c r="CK67" s="0" t="s">
        <v>158</v>
      </c>
      <c r="CL67" s="0" t="n">
        <v>49</v>
      </c>
      <c r="CM67" s="0" t="n">
        <v>6</v>
      </c>
      <c r="CN67" s="0" t="n">
        <v>20</v>
      </c>
      <c r="CO67" s="0" t="n">
        <v>8</v>
      </c>
      <c r="CP67" s="0" t="n">
        <v>5</v>
      </c>
      <c r="CQ67" s="0" t="n">
        <v>6</v>
      </c>
      <c r="CR67" s="0" t="n">
        <v>6</v>
      </c>
      <c r="CS67" s="0" t="n">
        <f aca="false">IF(R67="Y",10,0)</f>
        <v>0</v>
      </c>
      <c r="CT67" s="0" t="n">
        <v>-2</v>
      </c>
      <c r="CU67" s="0" t="s">
        <v>6348</v>
      </c>
      <c r="CV67" s="0" t="s">
        <v>4703</v>
      </c>
      <c r="CW67" s="0" t="s">
        <v>6349</v>
      </c>
      <c r="CX67" s="0" t="s">
        <v>6350</v>
      </c>
      <c r="CY67" s="0" t="s">
        <v>6351</v>
      </c>
      <c r="DA67" s="0" t="s">
        <v>6234</v>
      </c>
      <c r="DY67" s="0" t="str">
        <f aca="false">IF(ISNUMBER(MATCH(U67,{"queued","contacted","replied","call_booked","call_done","yes_in_principle","materials_sent"},0)),"Y","N")</f>
        <v>N</v>
      </c>
      <c r="DZ67" s="0" t="str">
        <f aca="false">IF(COUNTIFS($AN$2:$AN$1000,AN67,$DY$2:$DY$1000,"Y")+COUNTIFS($AN$2:$AN$1000,AN67,$T$2:$T$1000,"Y")&gt;0,"Y","N")</f>
        <v>N</v>
      </c>
      <c r="EA67" s="0" t="str">
        <f aca="false">IF(AND(U67="new",T67="N",AR67="Y",AQ67="",DZ67="N"),"Y","N")</f>
        <v>Y</v>
      </c>
      <c r="EB67" s="0" t="str">
        <f aca="false">IF(EA67&lt;&gt;"Y","N",IF(COUNTIFS($AN$2:$AN$1000,AN67,$EA$2:$EA$1000,"Y",$J$2:$J$1000,"&gt;"&amp;J67)+COUNTIFS($AN$2:$AN$1000,AN67,$EA$2:$EA$1000,"Y",$J$2:$J$1000,J67,$ED$2:$ED$1000,"&lt;"&amp;ED67)=0,"Y","N"))</f>
        <v>Y</v>
      </c>
      <c r="EC67" s="0" t="str">
        <f aca="false">IF(Y67="","N",IF(Y67&lt;=10,"Y","N"))</f>
        <v>N</v>
      </c>
      <c r="ED67" s="0" t="n">
        <f aca="false">ROW()-1</f>
        <v>66</v>
      </c>
    </row>
    <row r="68" customFormat="false" ht="15" hidden="false" customHeight="false" outlineLevel="0" collapsed="false">
      <c r="A68" s="0" t="s">
        <v>6352</v>
      </c>
      <c r="B68" s="0" t="s">
        <v>6353</v>
      </c>
      <c r="C68" s="0" t="s">
        <v>6354</v>
      </c>
      <c r="D68" s="0" t="s">
        <v>6355</v>
      </c>
      <c r="E68" s="0" t="s">
        <v>4771</v>
      </c>
      <c r="H68" s="5" t="s">
        <v>158</v>
      </c>
      <c r="I68" s="5" t="s">
        <v>159</v>
      </c>
      <c r="J68" s="0" t="n">
        <f aca="false">IF(AU68="pass",CM68+CN68+CO68+CP68+CQ68+CR68+CS68+CT68,0)</f>
        <v>49</v>
      </c>
      <c r="K68" s="0" t="s">
        <v>6356</v>
      </c>
      <c r="M68" s="0" t="s">
        <v>5291</v>
      </c>
      <c r="N68" s="0" t="s">
        <v>598</v>
      </c>
      <c r="O68" s="0" t="s">
        <v>6357</v>
      </c>
      <c r="P68" s="0" t="s">
        <v>6197</v>
      </c>
      <c r="Q68" s="0" t="s">
        <v>2650</v>
      </c>
      <c r="R68" s="5" t="s">
        <v>162</v>
      </c>
      <c r="S68" s="0" t="s">
        <v>168</v>
      </c>
      <c r="T68" s="5" t="s">
        <v>162</v>
      </c>
      <c r="U68" s="5" t="s">
        <v>561</v>
      </c>
      <c r="V68" s="0" t="s">
        <v>6358</v>
      </c>
      <c r="W68" s="0" t="s">
        <v>166</v>
      </c>
      <c r="X68" s="0" t="s">
        <v>4585</v>
      </c>
      <c r="Y68" s="0" t="n">
        <f aca="false">IF(EB68&lt;&gt;"Y","",COUNTIFS($EB$2:$EB$1000,"Y",$J$2:$J$1000,"&gt;"&amp;J68)+COUNTIFS($EB$2:$EB$1000,"Y",$J$2:$J$1000,J68,$ED$2:$ED$1000,"&lt;"&amp;ED68)+1)</f>
        <v>65</v>
      </c>
      <c r="Z68" s="0" t="n">
        <v>67</v>
      </c>
      <c r="AA68" s="0" t="s">
        <v>162</v>
      </c>
      <c r="AB68" s="0" t="s">
        <v>6359</v>
      </c>
      <c r="AC68" s="0" t="s">
        <v>4587</v>
      </c>
      <c r="AD68" s="0" t="s">
        <v>171</v>
      </c>
      <c r="AE68" s="0" t="s">
        <v>172</v>
      </c>
      <c r="AF68" s="0" t="s">
        <v>6358</v>
      </c>
      <c r="AG68" s="0" t="s">
        <v>166</v>
      </c>
      <c r="AH68" s="0" t="s">
        <v>6360</v>
      </c>
      <c r="AI68" s="0" t="s">
        <v>4826</v>
      </c>
      <c r="AJ68" s="0" t="s">
        <v>6361</v>
      </c>
      <c r="AK68" s="0" t="s">
        <v>6362</v>
      </c>
      <c r="AL68" s="0" t="s">
        <v>162</v>
      </c>
      <c r="AN68" s="0" t="s">
        <v>6352</v>
      </c>
      <c r="AO68" s="5" t="s">
        <v>162</v>
      </c>
      <c r="AR68" s="0" t="str">
        <f aca="false">IF(AND(AU68="pass",AO68&lt;&gt;"Y",C68&lt;&gt;""),"Y","N")</f>
        <v>Y</v>
      </c>
      <c r="AS68" s="0" t="str">
        <f aca="false">_xlfn.TEXTJOIN("; ",TRUE(),IF(AU68&lt;&gt;"pass","gated out",""),IF(AO68="Y","on hold: "&amp;AP68,""),IF(C68="","no contact named on an opened page",""))</f>
        <v/>
      </c>
      <c r="AU68" s="0" t="s">
        <v>181</v>
      </c>
      <c r="AW68" s="0" t="s">
        <v>182</v>
      </c>
      <c r="AY68" s="0" t="s">
        <v>6362</v>
      </c>
      <c r="AZ68" s="0" t="s">
        <v>6363</v>
      </c>
      <c r="BA68" s="0" t="s">
        <v>5271</v>
      </c>
      <c r="BB68" s="0" t="s">
        <v>163</v>
      </c>
      <c r="BD68" s="0" t="s">
        <v>168</v>
      </c>
      <c r="BE68" s="0" t="s">
        <v>6364</v>
      </c>
      <c r="BF68" s="0" t="s">
        <v>162</v>
      </c>
      <c r="BG68" s="0" t="s">
        <v>168</v>
      </c>
      <c r="BH68" s="0" t="s">
        <v>163</v>
      </c>
      <c r="BJ68" s="0" t="s">
        <v>163</v>
      </c>
      <c r="BK68" s="0" t="s">
        <v>162</v>
      </c>
      <c r="BL68" s="0" t="s">
        <v>162</v>
      </c>
      <c r="BO68" s="0" t="s">
        <v>162</v>
      </c>
      <c r="BP68" s="0" t="n">
        <v>0</v>
      </c>
      <c r="BS68" s="0" t="s">
        <v>6365</v>
      </c>
      <c r="BT68" s="0" t="s">
        <v>6366</v>
      </c>
      <c r="BU68" s="0" t="s">
        <v>4694</v>
      </c>
      <c r="BV68" s="0" t="n">
        <v>95</v>
      </c>
      <c r="BW68" s="0" t="s">
        <v>6197</v>
      </c>
      <c r="BX68" s="0" t="s">
        <v>6367</v>
      </c>
      <c r="CF68" s="0" t="s">
        <v>158</v>
      </c>
      <c r="CK68" s="0" t="s">
        <v>158</v>
      </c>
      <c r="CL68" s="0" t="n">
        <v>49</v>
      </c>
      <c r="CM68" s="0" t="n">
        <v>6</v>
      </c>
      <c r="CN68" s="0" t="n">
        <v>17</v>
      </c>
      <c r="CO68" s="0" t="n">
        <v>8</v>
      </c>
      <c r="CP68" s="0" t="n">
        <v>5</v>
      </c>
      <c r="CQ68" s="0" t="n">
        <v>7</v>
      </c>
      <c r="CR68" s="0" t="n">
        <v>6</v>
      </c>
      <c r="CS68" s="0" t="n">
        <f aca="false">IF(R68="Y",10,0)</f>
        <v>0</v>
      </c>
      <c r="CT68" s="0" t="n">
        <v>0</v>
      </c>
      <c r="CU68" s="0" t="s">
        <v>163</v>
      </c>
      <c r="CV68" s="0" t="s">
        <v>4841</v>
      </c>
      <c r="CW68" s="0" t="s">
        <v>6368</v>
      </c>
      <c r="CX68" s="0" t="s">
        <v>6369</v>
      </c>
      <c r="CY68" s="0" t="s">
        <v>6370</v>
      </c>
      <c r="DA68" s="0" t="s">
        <v>6234</v>
      </c>
      <c r="DY68" s="0" t="str">
        <f aca="false">IF(ISNUMBER(MATCH(U68,{"queued","contacted","replied","call_booked","call_done","yes_in_principle","materials_sent"},0)),"Y","N")</f>
        <v>N</v>
      </c>
      <c r="DZ68" s="0" t="str">
        <f aca="false">IF(COUNTIFS($AN$2:$AN$1000,AN68,$DY$2:$DY$1000,"Y")+COUNTIFS($AN$2:$AN$1000,AN68,$T$2:$T$1000,"Y")&gt;0,"Y","N")</f>
        <v>N</v>
      </c>
      <c r="EA68" s="0" t="str">
        <f aca="false">IF(AND(U68="new",T68="N",AR68="Y",AQ68="",DZ68="N"),"Y","N")</f>
        <v>Y</v>
      </c>
      <c r="EB68" s="0" t="str">
        <f aca="false">IF(EA68&lt;&gt;"Y","N",IF(COUNTIFS($AN$2:$AN$1000,AN68,$EA$2:$EA$1000,"Y",$J$2:$J$1000,"&gt;"&amp;J68)+COUNTIFS($AN$2:$AN$1000,AN68,$EA$2:$EA$1000,"Y",$J$2:$J$1000,J68,$ED$2:$ED$1000,"&lt;"&amp;ED68)=0,"Y","N"))</f>
        <v>Y</v>
      </c>
      <c r="EC68" s="0" t="str">
        <f aca="false">IF(Y68="","N",IF(Y68&lt;=10,"Y","N"))</f>
        <v>N</v>
      </c>
      <c r="ED68" s="0" t="n">
        <f aca="false">ROW()-1</f>
        <v>67</v>
      </c>
    </row>
    <row r="69" customFormat="false" ht="15" hidden="false" customHeight="false" outlineLevel="0" collapsed="false">
      <c r="A69" s="0" t="s">
        <v>6371</v>
      </c>
      <c r="B69" s="0" t="s">
        <v>6372</v>
      </c>
      <c r="C69" s="0" t="s">
        <v>6373</v>
      </c>
      <c r="D69" s="0" t="s">
        <v>6374</v>
      </c>
      <c r="E69" s="0" t="s">
        <v>4625</v>
      </c>
      <c r="H69" s="5" t="s">
        <v>158</v>
      </c>
      <c r="I69" s="5" t="s">
        <v>159</v>
      </c>
      <c r="J69" s="0" t="n">
        <f aca="false">IF(AU69="pass",CM69+CN69+CO69+CP69+CQ69+CR69+CS69+CT69,0)</f>
        <v>48</v>
      </c>
      <c r="K69" s="0" t="s">
        <v>6375</v>
      </c>
      <c r="M69" s="0" t="s">
        <v>6376</v>
      </c>
      <c r="N69" s="0" t="s">
        <v>5021</v>
      </c>
      <c r="O69" s="0" t="s">
        <v>6377</v>
      </c>
      <c r="P69" s="0" t="s">
        <v>6378</v>
      </c>
      <c r="Q69" s="0" t="s">
        <v>6090</v>
      </c>
      <c r="R69" s="5" t="s">
        <v>162</v>
      </c>
      <c r="S69" s="0" t="s">
        <v>168</v>
      </c>
      <c r="T69" s="5" t="s">
        <v>162</v>
      </c>
      <c r="U69" s="5" t="s">
        <v>561</v>
      </c>
      <c r="V69" s="0" t="s">
        <v>6379</v>
      </c>
      <c r="W69" s="0" t="s">
        <v>166</v>
      </c>
      <c r="X69" s="0" t="s">
        <v>4585</v>
      </c>
      <c r="Y69" s="0" t="n">
        <f aca="false">IF(EB69&lt;&gt;"Y","",COUNTIFS($EB$2:$EB$1000,"Y",$J$2:$J$1000,"&gt;"&amp;J69)+COUNTIFS($EB$2:$EB$1000,"Y",$J$2:$J$1000,J69,$ED$2:$ED$1000,"&lt;"&amp;ED69)+1)</f>
        <v>66</v>
      </c>
      <c r="Z69" s="0" t="n">
        <v>68</v>
      </c>
      <c r="AA69" s="0" t="s">
        <v>162</v>
      </c>
      <c r="AB69" s="0" t="s">
        <v>6380</v>
      </c>
      <c r="AC69" s="0" t="s">
        <v>4587</v>
      </c>
      <c r="AD69" s="0" t="s">
        <v>171</v>
      </c>
      <c r="AE69" s="0" t="s">
        <v>1189</v>
      </c>
      <c r="AF69" s="0" t="s">
        <v>6378</v>
      </c>
      <c r="AG69" s="0" t="s">
        <v>166</v>
      </c>
      <c r="AH69" s="0" t="s">
        <v>6381</v>
      </c>
      <c r="AI69" s="0" t="s">
        <v>4590</v>
      </c>
      <c r="AJ69" s="0" t="s">
        <v>6382</v>
      </c>
      <c r="AK69" s="0" t="s">
        <v>6383</v>
      </c>
      <c r="AL69" s="0" t="s">
        <v>168</v>
      </c>
      <c r="AM69" s="0" t="s">
        <v>6384</v>
      </c>
      <c r="AN69" s="0" t="s">
        <v>6371</v>
      </c>
      <c r="AO69" s="5" t="s">
        <v>162</v>
      </c>
      <c r="AR69" s="0" t="str">
        <f aca="false">IF(AND(AU69="pass",AO69&lt;&gt;"Y",C69&lt;&gt;""),"Y","N")</f>
        <v>Y</v>
      </c>
      <c r="AS69" s="0" t="str">
        <f aca="false">_xlfn.TEXTJOIN("; ",TRUE(),IF(AU69&lt;&gt;"pass","gated out",""),IF(AO69="Y","on hold: "&amp;AP69,""),IF(C69="","no contact named on an opened page",""))</f>
        <v/>
      </c>
      <c r="AU69" s="0" t="s">
        <v>181</v>
      </c>
      <c r="AW69" s="0" t="s">
        <v>182</v>
      </c>
      <c r="AX69" s="0" t="s">
        <v>6385</v>
      </c>
      <c r="AY69" s="0" t="s">
        <v>6383</v>
      </c>
      <c r="AZ69" s="0" t="s">
        <v>6386</v>
      </c>
      <c r="BA69" s="0" t="s">
        <v>5329</v>
      </c>
      <c r="BB69" s="0" t="s">
        <v>163</v>
      </c>
      <c r="BD69" s="0" t="s">
        <v>163</v>
      </c>
      <c r="BE69" s="0" t="s">
        <v>6387</v>
      </c>
      <c r="BF69" s="0" t="s">
        <v>168</v>
      </c>
      <c r="BG69" s="0" t="s">
        <v>168</v>
      </c>
      <c r="BH69" s="0" t="s">
        <v>163</v>
      </c>
      <c r="BJ69" s="0" t="s">
        <v>5549</v>
      </c>
      <c r="BK69" s="0" t="s">
        <v>162</v>
      </c>
      <c r="BL69" s="0" t="s">
        <v>162</v>
      </c>
      <c r="BN69" s="0" t="n">
        <v>4</v>
      </c>
      <c r="BO69" s="0" t="s">
        <v>162</v>
      </c>
      <c r="BP69" s="0" t="n">
        <v>1</v>
      </c>
      <c r="BQ69" s="0" t="s">
        <v>6388</v>
      </c>
      <c r="BS69" s="0" t="s">
        <v>6389</v>
      </c>
      <c r="BT69" s="0" t="s">
        <v>6390</v>
      </c>
      <c r="BU69" s="0" t="s">
        <v>4604</v>
      </c>
      <c r="BV69" s="0" t="n">
        <v>136</v>
      </c>
      <c r="BW69" s="0" t="s">
        <v>6391</v>
      </c>
      <c r="BX69" s="0" t="s">
        <v>6392</v>
      </c>
      <c r="CA69" s="0" t="s">
        <v>6393</v>
      </c>
      <c r="CB69" s="0" t="s">
        <v>6394</v>
      </c>
      <c r="CC69" s="0" t="s">
        <v>6395</v>
      </c>
      <c r="CD69" s="0" t="s">
        <v>6396</v>
      </c>
      <c r="CE69" s="0" t="s">
        <v>6260</v>
      </c>
      <c r="CF69" s="0" t="s">
        <v>171</v>
      </c>
      <c r="CK69" s="0" t="s">
        <v>158</v>
      </c>
      <c r="CL69" s="0" t="n">
        <v>48</v>
      </c>
      <c r="CM69" s="0" t="n">
        <v>13</v>
      </c>
      <c r="CN69" s="0" t="n">
        <v>3</v>
      </c>
      <c r="CO69" s="0" t="n">
        <v>15</v>
      </c>
      <c r="CP69" s="0" t="n">
        <v>5</v>
      </c>
      <c r="CQ69" s="0" t="n">
        <v>7</v>
      </c>
      <c r="CR69" s="0" t="n">
        <v>10</v>
      </c>
      <c r="CS69" s="0" t="n">
        <f aca="false">IF(R69="Y",10,0)</f>
        <v>0</v>
      </c>
      <c r="CT69" s="0" t="n">
        <v>-5</v>
      </c>
      <c r="CU69" s="0" t="s">
        <v>6397</v>
      </c>
      <c r="CV69" s="0" t="s">
        <v>5562</v>
      </c>
      <c r="CW69" s="0" t="s">
        <v>6398</v>
      </c>
      <c r="CX69" s="0" t="s">
        <v>6399</v>
      </c>
      <c r="CY69" s="0" t="s">
        <v>6400</v>
      </c>
      <c r="CZ69" s="0" t="s">
        <v>6391</v>
      </c>
      <c r="DA69" s="0" t="s">
        <v>6234</v>
      </c>
      <c r="DC69" s="0" t="s">
        <v>1189</v>
      </c>
      <c r="DY69" s="0" t="str">
        <f aca="false">IF(ISNUMBER(MATCH(U69,{"queued","contacted","replied","call_booked","call_done","yes_in_principle","materials_sent"},0)),"Y","N")</f>
        <v>N</v>
      </c>
      <c r="DZ69" s="0" t="str">
        <f aca="false">IF(COUNTIFS($AN$2:$AN$1000,AN69,$DY$2:$DY$1000,"Y")+COUNTIFS($AN$2:$AN$1000,AN69,$T$2:$T$1000,"Y")&gt;0,"Y","N")</f>
        <v>N</v>
      </c>
      <c r="EA69" s="0" t="str">
        <f aca="false">IF(AND(U69="new",T69="N",AR69="Y",AQ69="",DZ69="N"),"Y","N")</f>
        <v>Y</v>
      </c>
      <c r="EB69" s="0" t="str">
        <f aca="false">IF(EA69&lt;&gt;"Y","N",IF(COUNTIFS($AN$2:$AN$1000,AN69,$EA$2:$EA$1000,"Y",$J$2:$J$1000,"&gt;"&amp;J69)+COUNTIFS($AN$2:$AN$1000,AN69,$EA$2:$EA$1000,"Y",$J$2:$J$1000,J69,$ED$2:$ED$1000,"&lt;"&amp;ED69)=0,"Y","N"))</f>
        <v>Y</v>
      </c>
      <c r="EC69" s="0" t="str">
        <f aca="false">IF(Y69="","N",IF(Y69&lt;=10,"Y","N"))</f>
        <v>N</v>
      </c>
      <c r="ED69" s="0" t="n">
        <f aca="false">ROW()-1</f>
        <v>68</v>
      </c>
    </row>
    <row r="70" customFormat="false" ht="15" hidden="false" customHeight="false" outlineLevel="0" collapsed="false">
      <c r="A70" s="0" t="s">
        <v>6401</v>
      </c>
      <c r="B70" s="0" t="s">
        <v>6402</v>
      </c>
      <c r="H70" s="5" t="s">
        <v>158</v>
      </c>
      <c r="I70" s="5"/>
      <c r="J70" s="0" t="n">
        <f aca="false">IF(AU70="pass",CM70+CN70+CO70+CP70+CQ70+CR70+CS70+CT70,0)</f>
        <v>48</v>
      </c>
      <c r="K70" s="0" t="s">
        <v>6403</v>
      </c>
      <c r="M70" s="0" t="s">
        <v>6404</v>
      </c>
      <c r="N70" s="0" t="s">
        <v>5021</v>
      </c>
      <c r="O70" s="0" t="s">
        <v>6405</v>
      </c>
      <c r="P70" s="0" t="s">
        <v>6406</v>
      </c>
      <c r="Q70" s="0" t="s">
        <v>6407</v>
      </c>
      <c r="R70" s="5" t="s">
        <v>162</v>
      </c>
      <c r="S70" s="0" t="s">
        <v>163</v>
      </c>
      <c r="T70" s="5" t="s">
        <v>162</v>
      </c>
      <c r="U70" s="5" t="s">
        <v>561</v>
      </c>
      <c r="V70" s="0" t="s">
        <v>6408</v>
      </c>
      <c r="W70" s="0" t="s">
        <v>166</v>
      </c>
      <c r="X70" s="0" t="s">
        <v>4585</v>
      </c>
      <c r="Y70" s="0" t="str">
        <f aca="false">IF(EB70&lt;&gt;"Y","",COUNTIFS($EB$2:$EB$1000,"Y",$J$2:$J$1000,"&gt;"&amp;J70)+COUNTIFS($EB$2:$EB$1000,"Y",$J$2:$J$1000,J70,$ED$2:$ED$1000,"&lt;"&amp;ED70)+1)</f>
        <v/>
      </c>
      <c r="Z70" s="0" t="n">
        <v>69</v>
      </c>
      <c r="AA70" s="0" t="s">
        <v>162</v>
      </c>
      <c r="AB70" s="0" t="s">
        <v>6409</v>
      </c>
      <c r="AC70" s="0" t="s">
        <v>4587</v>
      </c>
      <c r="AD70" s="0" t="s">
        <v>598</v>
      </c>
      <c r="AE70" s="0" t="s">
        <v>172</v>
      </c>
      <c r="AF70" s="0" t="s">
        <v>6408</v>
      </c>
      <c r="AG70" s="0" t="s">
        <v>166</v>
      </c>
      <c r="AH70" s="0" t="s">
        <v>6410</v>
      </c>
      <c r="AI70" s="0" t="s">
        <v>5763</v>
      </c>
      <c r="AJ70" s="0" t="s">
        <v>6411</v>
      </c>
      <c r="AK70" s="0" t="s">
        <v>6412</v>
      </c>
      <c r="AL70" s="0" t="s">
        <v>168</v>
      </c>
      <c r="AM70" s="0" t="s">
        <v>6413</v>
      </c>
      <c r="AN70" s="0" t="s">
        <v>6401</v>
      </c>
      <c r="AO70" s="5" t="s">
        <v>162</v>
      </c>
      <c r="AR70" s="0" t="str">
        <f aca="false">IF(AND(AU70="pass",AO70&lt;&gt;"Y",C70&lt;&gt;""),"Y","N")</f>
        <v>N</v>
      </c>
      <c r="AS70" s="0" t="str">
        <f aca="false">_xlfn.TEXTJOIN("; ",TRUE(),IF(AU70&lt;&gt;"pass","gated out",""),IF(AO70="Y","on hold: "&amp;AP70,""),IF(C70="","no contact named on an opened page",""))</f>
        <v>no contact named on an opened page</v>
      </c>
      <c r="AU70" s="0" t="s">
        <v>181</v>
      </c>
      <c r="AW70" s="0" t="s">
        <v>182</v>
      </c>
      <c r="AX70" s="0" t="s">
        <v>4594</v>
      </c>
      <c r="AY70" s="0" t="s">
        <v>6412</v>
      </c>
      <c r="AZ70" s="0" t="s">
        <v>6363</v>
      </c>
      <c r="BA70" s="0" t="s">
        <v>5271</v>
      </c>
      <c r="BB70" s="0" t="s">
        <v>163</v>
      </c>
      <c r="BD70" s="0" t="s">
        <v>168</v>
      </c>
      <c r="BE70" s="0" t="s">
        <v>6414</v>
      </c>
      <c r="BF70" s="0" t="s">
        <v>168</v>
      </c>
      <c r="BG70" s="0" t="s">
        <v>168</v>
      </c>
      <c r="BH70" s="0" t="s">
        <v>163</v>
      </c>
      <c r="BJ70" s="0" t="s">
        <v>5549</v>
      </c>
      <c r="BK70" s="0" t="s">
        <v>162</v>
      </c>
      <c r="BL70" s="0" t="s">
        <v>162</v>
      </c>
      <c r="BN70" s="0" t="n">
        <v>0</v>
      </c>
      <c r="BO70" s="0" t="s">
        <v>168</v>
      </c>
      <c r="BP70" s="0" t="n">
        <v>4</v>
      </c>
      <c r="BQ70" s="0" t="s">
        <v>6415</v>
      </c>
      <c r="BR70" s="0" t="s">
        <v>6416</v>
      </c>
      <c r="BS70" s="0" t="s">
        <v>6417</v>
      </c>
      <c r="BT70" s="0" t="s">
        <v>6418</v>
      </c>
      <c r="BU70" s="0" t="s">
        <v>598</v>
      </c>
      <c r="BV70" s="0" t="n">
        <v>177</v>
      </c>
      <c r="BX70" s="0" t="s">
        <v>6419</v>
      </c>
      <c r="CF70" s="0" t="s">
        <v>158</v>
      </c>
      <c r="CK70" s="0" t="s">
        <v>158</v>
      </c>
      <c r="CL70" s="0" t="n">
        <v>48</v>
      </c>
      <c r="CM70" s="0" t="n">
        <v>17</v>
      </c>
      <c r="CN70" s="0" t="n">
        <v>17</v>
      </c>
      <c r="CO70" s="0" t="n">
        <v>0</v>
      </c>
      <c r="CP70" s="0" t="n">
        <v>5</v>
      </c>
      <c r="CQ70" s="0" t="n">
        <v>10</v>
      </c>
      <c r="CR70" s="0" t="n">
        <v>3</v>
      </c>
      <c r="CS70" s="0" t="n">
        <f aca="false">IF(R70="Y",10,0)</f>
        <v>0</v>
      </c>
      <c r="CT70" s="0" t="n">
        <v>-4</v>
      </c>
      <c r="CU70" s="0" t="s">
        <v>163</v>
      </c>
      <c r="CV70" s="0" t="s">
        <v>5562</v>
      </c>
      <c r="CW70" s="0" t="s">
        <v>6420</v>
      </c>
      <c r="CX70" s="0" t="s">
        <v>6421</v>
      </c>
      <c r="CY70" s="0" t="s">
        <v>6422</v>
      </c>
      <c r="DA70" s="0" t="s">
        <v>6234</v>
      </c>
      <c r="DY70" s="0" t="str">
        <f aca="false">IF(ISNUMBER(MATCH(U70,{"queued","contacted","replied","call_booked","call_done","yes_in_principle","materials_sent"},0)),"Y","N")</f>
        <v>N</v>
      </c>
      <c r="DZ70" s="0" t="str">
        <f aca="false">IF(COUNTIFS($AN$2:$AN$1000,AN70,$DY$2:$DY$1000,"Y")+COUNTIFS($AN$2:$AN$1000,AN70,$T$2:$T$1000,"Y")&gt;0,"Y","N")</f>
        <v>N</v>
      </c>
      <c r="EA70" s="0" t="str">
        <f aca="false">IF(AND(U70="new",T70="N",AR70="Y",AQ70="",DZ70="N"),"Y","N")</f>
        <v>N</v>
      </c>
      <c r="EB70" s="0" t="str">
        <f aca="false">IF(EA70&lt;&gt;"Y","N",IF(COUNTIFS($AN$2:$AN$1000,AN70,$EA$2:$EA$1000,"Y",$J$2:$J$1000,"&gt;"&amp;J70)+COUNTIFS($AN$2:$AN$1000,AN70,$EA$2:$EA$1000,"Y",$J$2:$J$1000,J70,$ED$2:$ED$1000,"&lt;"&amp;ED70)=0,"Y","N"))</f>
        <v>N</v>
      </c>
      <c r="EC70" s="0" t="str">
        <f aca="false">IF(Y70="","N",IF(Y70&lt;=10,"Y","N"))</f>
        <v>N</v>
      </c>
      <c r="ED70" s="0" t="n">
        <f aca="false">ROW()-1</f>
        <v>69</v>
      </c>
    </row>
    <row r="71" customFormat="false" ht="15" hidden="false" customHeight="false" outlineLevel="0" collapsed="false">
      <c r="A71" s="0" t="s">
        <v>6423</v>
      </c>
      <c r="B71" s="0" t="s">
        <v>6424</v>
      </c>
      <c r="C71" s="0" t="s">
        <v>6425</v>
      </c>
      <c r="D71" s="0" t="s">
        <v>163</v>
      </c>
      <c r="E71" s="0" t="s">
        <v>4771</v>
      </c>
      <c r="H71" s="5" t="s">
        <v>158</v>
      </c>
      <c r="I71" s="5" t="s">
        <v>159</v>
      </c>
      <c r="J71" s="0" t="n">
        <f aca="false">IF(AU71="pass",CM71+CN71+CO71+CP71+CQ71+CR71+CS71+CT71,0)</f>
        <v>48</v>
      </c>
      <c r="K71" s="0" t="s">
        <v>6426</v>
      </c>
      <c r="M71" s="0" t="s">
        <v>5291</v>
      </c>
      <c r="N71" s="0" t="s">
        <v>598</v>
      </c>
      <c r="O71" s="0" t="s">
        <v>6427</v>
      </c>
      <c r="P71" s="0" t="s">
        <v>5598</v>
      </c>
      <c r="Q71" s="0" t="s">
        <v>2613</v>
      </c>
      <c r="R71" s="5" t="s">
        <v>162</v>
      </c>
      <c r="S71" s="0" t="s">
        <v>168</v>
      </c>
      <c r="T71" s="5" t="s">
        <v>162</v>
      </c>
      <c r="U71" s="5" t="s">
        <v>561</v>
      </c>
      <c r="V71" s="0" t="s">
        <v>5598</v>
      </c>
      <c r="W71" s="0" t="s">
        <v>174</v>
      </c>
      <c r="X71" s="0" t="s">
        <v>4585</v>
      </c>
      <c r="Y71" s="0" t="n">
        <f aca="false">IF(EB71&lt;&gt;"Y","",COUNTIFS($EB$2:$EB$1000,"Y",$J$2:$J$1000,"&gt;"&amp;J71)+COUNTIFS($EB$2:$EB$1000,"Y",$J$2:$J$1000,J71,$ED$2:$ED$1000,"&lt;"&amp;ED71)+1)</f>
        <v>67</v>
      </c>
      <c r="Z71" s="0" t="n">
        <v>70</v>
      </c>
      <c r="AA71" s="0" t="s">
        <v>162</v>
      </c>
      <c r="AB71" s="0" t="s">
        <v>6428</v>
      </c>
      <c r="AC71" s="0" t="s">
        <v>4587</v>
      </c>
      <c r="AD71" s="0" t="s">
        <v>5008</v>
      </c>
      <c r="AE71" s="0" t="s">
        <v>172</v>
      </c>
      <c r="AF71" s="0" t="s">
        <v>6429</v>
      </c>
      <c r="AG71" s="0" t="s">
        <v>174</v>
      </c>
      <c r="AH71" s="0" t="s">
        <v>6430</v>
      </c>
      <c r="AI71" s="0" t="s">
        <v>4664</v>
      </c>
      <c r="AJ71" s="0" t="s">
        <v>6431</v>
      </c>
      <c r="AK71" s="0" t="s">
        <v>6432</v>
      </c>
      <c r="AL71" s="0" t="s">
        <v>168</v>
      </c>
      <c r="AM71" s="0" t="s">
        <v>6433</v>
      </c>
      <c r="AN71" s="0" t="s">
        <v>6423</v>
      </c>
      <c r="AO71" s="5" t="s">
        <v>162</v>
      </c>
      <c r="AR71" s="0" t="str">
        <f aca="false">IF(AND(AU71="pass",AO71&lt;&gt;"Y",C71&lt;&gt;""),"Y","N")</f>
        <v>Y</v>
      </c>
      <c r="AS71" s="0" t="str">
        <f aca="false">_xlfn.TEXTJOIN("; ",TRUE(),IF(AU71&lt;&gt;"pass","gated out",""),IF(AO71="Y","on hold: "&amp;AP71,""),IF(C71="","no contact named on an opened page",""))</f>
        <v/>
      </c>
      <c r="AU71" s="0" t="s">
        <v>181</v>
      </c>
      <c r="AW71" s="0" t="s">
        <v>182</v>
      </c>
      <c r="AX71" s="0" t="s">
        <v>282</v>
      </c>
      <c r="AY71" s="0" t="s">
        <v>6432</v>
      </c>
      <c r="AZ71" s="0" t="s">
        <v>4595</v>
      </c>
      <c r="BA71" s="0" t="s">
        <v>4951</v>
      </c>
      <c r="BB71" s="0" t="s">
        <v>163</v>
      </c>
      <c r="BD71" s="0" t="s">
        <v>168</v>
      </c>
      <c r="BE71" s="0" t="s">
        <v>6434</v>
      </c>
      <c r="BF71" s="0" t="s">
        <v>163</v>
      </c>
      <c r="BG71" s="0" t="s">
        <v>168</v>
      </c>
      <c r="BH71" s="0" t="s">
        <v>163</v>
      </c>
      <c r="BJ71" s="0" t="s">
        <v>5143</v>
      </c>
      <c r="BK71" s="0" t="s">
        <v>162</v>
      </c>
      <c r="BL71" s="0" t="s">
        <v>162</v>
      </c>
      <c r="BO71" s="0" t="s">
        <v>162</v>
      </c>
      <c r="BP71" s="0" t="n">
        <v>0</v>
      </c>
      <c r="BS71" s="0" t="s">
        <v>6435</v>
      </c>
      <c r="BU71" s="0" t="s">
        <v>4604</v>
      </c>
      <c r="BV71" s="0" t="n">
        <v>5</v>
      </c>
      <c r="BW71" s="0" t="s">
        <v>5732</v>
      </c>
      <c r="BX71" s="0" t="s">
        <v>6425</v>
      </c>
      <c r="BY71" s="0" t="s">
        <v>6436</v>
      </c>
      <c r="CA71" s="0" t="s">
        <v>6437</v>
      </c>
      <c r="CB71" s="0" t="s">
        <v>6437</v>
      </c>
      <c r="CC71" s="0" t="s">
        <v>163</v>
      </c>
      <c r="CD71" s="0" t="s">
        <v>6438</v>
      </c>
      <c r="CE71" s="0" t="s">
        <v>4808</v>
      </c>
      <c r="CF71" s="0" t="s">
        <v>5008</v>
      </c>
      <c r="CG71" s="0" t="s">
        <v>6439</v>
      </c>
      <c r="CK71" s="0" t="s">
        <v>158</v>
      </c>
      <c r="CL71" s="0" t="n">
        <v>48</v>
      </c>
      <c r="CM71" s="0" t="n">
        <v>6</v>
      </c>
      <c r="CN71" s="0" t="n">
        <v>13</v>
      </c>
      <c r="CO71" s="0" t="n">
        <v>15</v>
      </c>
      <c r="CP71" s="0" t="n">
        <v>5</v>
      </c>
      <c r="CQ71" s="0" t="n">
        <v>8</v>
      </c>
      <c r="CR71" s="0" t="n">
        <v>3</v>
      </c>
      <c r="CS71" s="0" t="n">
        <f aca="false">IF(R71="Y",10,0)</f>
        <v>0</v>
      </c>
      <c r="CT71" s="0" t="n">
        <v>-2</v>
      </c>
      <c r="CU71" s="0" t="s">
        <v>6440</v>
      </c>
      <c r="CV71" s="0" t="s">
        <v>5150</v>
      </c>
      <c r="CW71" s="0" t="s">
        <v>6441</v>
      </c>
      <c r="CX71" s="0" t="s">
        <v>6442</v>
      </c>
      <c r="CZ71" s="0" t="s">
        <v>6429</v>
      </c>
      <c r="DA71" s="0" t="s">
        <v>4620</v>
      </c>
      <c r="DC71" s="0" t="s">
        <v>172</v>
      </c>
      <c r="DY71" s="0" t="str">
        <f aca="false">IF(ISNUMBER(MATCH(U71,{"queued","contacted","replied","call_booked","call_done","yes_in_principle","materials_sent"},0)),"Y","N")</f>
        <v>N</v>
      </c>
      <c r="DZ71" s="0" t="str">
        <f aca="false">IF(COUNTIFS($AN$2:$AN$1000,AN71,$DY$2:$DY$1000,"Y")+COUNTIFS($AN$2:$AN$1000,AN71,$T$2:$T$1000,"Y")&gt;0,"Y","N")</f>
        <v>N</v>
      </c>
      <c r="EA71" s="0" t="str">
        <f aca="false">IF(AND(U71="new",T71="N",AR71="Y",AQ71="",DZ71="N"),"Y","N")</f>
        <v>Y</v>
      </c>
      <c r="EB71" s="0" t="str">
        <f aca="false">IF(EA71&lt;&gt;"Y","N",IF(COUNTIFS($AN$2:$AN$1000,AN71,$EA$2:$EA$1000,"Y",$J$2:$J$1000,"&gt;"&amp;J71)+COUNTIFS($AN$2:$AN$1000,AN71,$EA$2:$EA$1000,"Y",$J$2:$J$1000,J71,$ED$2:$ED$1000,"&lt;"&amp;ED71)=0,"Y","N"))</f>
        <v>Y</v>
      </c>
      <c r="EC71" s="0" t="str">
        <f aca="false">IF(Y71="","N",IF(Y71&lt;=10,"Y","N"))</f>
        <v>N</v>
      </c>
      <c r="ED71" s="0" t="n">
        <f aca="false">ROW()-1</f>
        <v>70</v>
      </c>
    </row>
    <row r="72" customFormat="false" ht="15" hidden="false" customHeight="false" outlineLevel="0" collapsed="false">
      <c r="A72" s="0" t="s">
        <v>6443</v>
      </c>
      <c r="B72" s="0" t="s">
        <v>6444</v>
      </c>
      <c r="C72" s="0" t="s">
        <v>6445</v>
      </c>
      <c r="D72" s="0" t="s">
        <v>6446</v>
      </c>
      <c r="E72" s="0" t="s">
        <v>4656</v>
      </c>
      <c r="H72" s="5" t="s">
        <v>158</v>
      </c>
      <c r="I72" s="5" t="s">
        <v>159</v>
      </c>
      <c r="J72" s="0" t="n">
        <f aca="false">IF(AU72="pass",CM72+CN72+CO72+CP72+CQ72+CR72+CS72+CT72,0)</f>
        <v>48</v>
      </c>
      <c r="K72" s="0" t="s">
        <v>6447</v>
      </c>
      <c r="M72" s="0" t="s">
        <v>5291</v>
      </c>
      <c r="N72" s="0" t="s">
        <v>598</v>
      </c>
      <c r="R72" s="5" t="s">
        <v>162</v>
      </c>
      <c r="S72" s="0" t="s">
        <v>163</v>
      </c>
      <c r="T72" s="5" t="s">
        <v>162</v>
      </c>
      <c r="U72" s="5" t="s">
        <v>561</v>
      </c>
      <c r="V72" s="0" t="s">
        <v>6448</v>
      </c>
      <c r="W72" s="0" t="s">
        <v>166</v>
      </c>
      <c r="X72" s="0" t="s">
        <v>4585</v>
      </c>
      <c r="Y72" s="0" t="n">
        <f aca="false">IF(EB72&lt;&gt;"Y","",COUNTIFS($EB$2:$EB$1000,"Y",$J$2:$J$1000,"&gt;"&amp;J72)+COUNTIFS($EB$2:$EB$1000,"Y",$J$2:$J$1000,J72,$ED$2:$ED$1000,"&lt;"&amp;ED72)+1)</f>
        <v>68</v>
      </c>
      <c r="Z72" s="0" t="n">
        <v>71</v>
      </c>
      <c r="AA72" s="0" t="s">
        <v>162</v>
      </c>
      <c r="AB72" s="0" t="s">
        <v>6449</v>
      </c>
      <c r="AC72" s="0" t="s">
        <v>4587</v>
      </c>
      <c r="AD72" s="0" t="s">
        <v>171</v>
      </c>
      <c r="AE72" s="0" t="s">
        <v>1189</v>
      </c>
      <c r="AF72" s="0" t="s">
        <v>6450</v>
      </c>
      <c r="AG72" s="0" t="s">
        <v>166</v>
      </c>
      <c r="AH72" s="0" t="s">
        <v>6451</v>
      </c>
      <c r="AI72" s="0" t="s">
        <v>4722</v>
      </c>
      <c r="AJ72" s="0" t="s">
        <v>4634</v>
      </c>
      <c r="AK72" s="0" t="s">
        <v>6452</v>
      </c>
      <c r="AL72" s="0" t="s">
        <v>168</v>
      </c>
      <c r="AM72" s="0" t="s">
        <v>6453</v>
      </c>
      <c r="AN72" s="0" t="s">
        <v>6443</v>
      </c>
      <c r="AO72" s="5" t="s">
        <v>162</v>
      </c>
      <c r="AR72" s="0" t="str">
        <f aca="false">IF(AND(AU72="pass",AO72&lt;&gt;"Y",C72&lt;&gt;""),"Y","N")</f>
        <v>Y</v>
      </c>
      <c r="AS72" s="0" t="str">
        <f aca="false">_xlfn.TEXTJOIN("; ",TRUE(),IF(AU72&lt;&gt;"pass","gated out",""),IF(AO72="Y","on hold: "&amp;AP72,""),IF(C72="","no contact named on an opened page",""))</f>
        <v/>
      </c>
      <c r="AU72" s="0" t="s">
        <v>181</v>
      </c>
      <c r="AW72" s="0" t="s">
        <v>182</v>
      </c>
      <c r="AX72" s="0" t="s">
        <v>4594</v>
      </c>
      <c r="AY72" s="0" t="s">
        <v>6452</v>
      </c>
      <c r="AZ72" s="0" t="s">
        <v>4595</v>
      </c>
      <c r="BA72" s="0" t="s">
        <v>4596</v>
      </c>
      <c r="BB72" s="0" t="s">
        <v>6454</v>
      </c>
      <c r="BC72" s="0" t="s">
        <v>6450</v>
      </c>
      <c r="BD72" s="0" t="s">
        <v>168</v>
      </c>
      <c r="BE72" s="0" t="s">
        <v>6455</v>
      </c>
      <c r="BF72" s="0" t="s">
        <v>168</v>
      </c>
      <c r="BG72" s="0" t="s">
        <v>168</v>
      </c>
      <c r="BH72" s="0" t="s">
        <v>6456</v>
      </c>
      <c r="BI72" s="0" t="s">
        <v>6457</v>
      </c>
      <c r="BJ72" s="0" t="s">
        <v>6458</v>
      </c>
      <c r="BK72" s="0" t="s">
        <v>162</v>
      </c>
      <c r="BL72" s="0" t="s">
        <v>162</v>
      </c>
      <c r="BO72" s="0" t="s">
        <v>162</v>
      </c>
      <c r="BP72" s="0" t="n">
        <v>0</v>
      </c>
      <c r="BS72" s="0" t="s">
        <v>6459</v>
      </c>
      <c r="BT72" s="0" t="s">
        <v>6460</v>
      </c>
      <c r="BU72" s="0" t="s">
        <v>158</v>
      </c>
      <c r="BX72" s="0" t="s">
        <v>6461</v>
      </c>
      <c r="CF72" s="0" t="s">
        <v>158</v>
      </c>
      <c r="CK72" s="0" t="s">
        <v>158</v>
      </c>
      <c r="CL72" s="0" t="n">
        <v>48</v>
      </c>
      <c r="CM72" s="0" t="n">
        <v>6</v>
      </c>
      <c r="CN72" s="0" t="n">
        <v>20</v>
      </c>
      <c r="CO72" s="0" t="n">
        <v>0</v>
      </c>
      <c r="CP72" s="0" t="n">
        <v>10</v>
      </c>
      <c r="CQ72" s="0" t="n">
        <v>10</v>
      </c>
      <c r="CR72" s="0" t="n">
        <v>6</v>
      </c>
      <c r="CS72" s="0" t="n">
        <f aca="false">IF(R72="Y",10,0)</f>
        <v>0</v>
      </c>
      <c r="CT72" s="0" t="n">
        <v>-4</v>
      </c>
      <c r="CU72" s="0" t="s">
        <v>6462</v>
      </c>
      <c r="CV72" s="0" t="s">
        <v>4703</v>
      </c>
      <c r="CW72" s="0" t="s">
        <v>6463</v>
      </c>
      <c r="CX72" s="0" t="s">
        <v>6464</v>
      </c>
      <c r="DA72" s="0" t="s">
        <v>6234</v>
      </c>
      <c r="DY72" s="0" t="str">
        <f aca="false">IF(ISNUMBER(MATCH(U72,{"queued","contacted","replied","call_booked","call_done","yes_in_principle","materials_sent"},0)),"Y","N")</f>
        <v>N</v>
      </c>
      <c r="DZ72" s="0" t="str">
        <f aca="false">IF(COUNTIFS($AN$2:$AN$1000,AN72,$DY$2:$DY$1000,"Y")+COUNTIFS($AN$2:$AN$1000,AN72,$T$2:$T$1000,"Y")&gt;0,"Y","N")</f>
        <v>N</v>
      </c>
      <c r="EA72" s="0" t="str">
        <f aca="false">IF(AND(U72="new",T72="N",AR72="Y",AQ72="",DZ72="N"),"Y","N")</f>
        <v>Y</v>
      </c>
      <c r="EB72" s="0" t="str">
        <f aca="false">IF(EA72&lt;&gt;"Y","N",IF(COUNTIFS($AN$2:$AN$1000,AN72,$EA$2:$EA$1000,"Y",$J$2:$J$1000,"&gt;"&amp;J72)+COUNTIFS($AN$2:$AN$1000,AN72,$EA$2:$EA$1000,"Y",$J$2:$J$1000,J72,$ED$2:$ED$1000,"&lt;"&amp;ED72)=0,"Y","N"))</f>
        <v>Y</v>
      </c>
      <c r="EC72" s="0" t="str">
        <f aca="false">IF(Y72="","N",IF(Y72&lt;=10,"Y","N"))</f>
        <v>N</v>
      </c>
      <c r="ED72" s="0" t="n">
        <f aca="false">ROW()-1</f>
        <v>71</v>
      </c>
    </row>
    <row r="73" customFormat="false" ht="15" hidden="false" customHeight="false" outlineLevel="0" collapsed="false">
      <c r="A73" s="0" t="s">
        <v>6465</v>
      </c>
      <c r="B73" s="0" t="s">
        <v>6466</v>
      </c>
      <c r="H73" s="5" t="s">
        <v>158</v>
      </c>
      <c r="I73" s="5"/>
      <c r="J73" s="0" t="n">
        <f aca="false">IF(AU73="pass",CM73+CN73+CO73+CP73+CQ73+CR73+CS73+CT73,0)</f>
        <v>47</v>
      </c>
      <c r="K73" s="0" t="s">
        <v>6467</v>
      </c>
      <c r="M73" s="0" t="s">
        <v>6468</v>
      </c>
      <c r="N73" s="0" t="s">
        <v>4581</v>
      </c>
      <c r="O73" s="0" t="s">
        <v>6469</v>
      </c>
      <c r="P73" s="0" t="s">
        <v>6470</v>
      </c>
      <c r="Q73" s="0" t="s">
        <v>4795</v>
      </c>
      <c r="R73" s="5" t="s">
        <v>162</v>
      </c>
      <c r="S73" s="0" t="s">
        <v>168</v>
      </c>
      <c r="T73" s="5" t="s">
        <v>162</v>
      </c>
      <c r="U73" s="5" t="s">
        <v>561</v>
      </c>
      <c r="V73" s="0" t="s">
        <v>6471</v>
      </c>
      <c r="W73" s="0" t="s">
        <v>166</v>
      </c>
      <c r="X73" s="0" t="s">
        <v>4585</v>
      </c>
      <c r="Y73" s="0" t="str">
        <f aca="false">IF(EB73&lt;&gt;"Y","",COUNTIFS($EB$2:$EB$1000,"Y",$J$2:$J$1000,"&gt;"&amp;J73)+COUNTIFS($EB$2:$EB$1000,"Y",$J$2:$J$1000,J73,$ED$2:$ED$1000,"&lt;"&amp;ED73)+1)</f>
        <v/>
      </c>
      <c r="Z73" s="0" t="n">
        <v>72</v>
      </c>
      <c r="AA73" s="0" t="s">
        <v>162</v>
      </c>
      <c r="AB73" s="0" t="s">
        <v>6472</v>
      </c>
      <c r="AD73" s="0" t="s">
        <v>158</v>
      </c>
      <c r="AH73" s="0" t="s">
        <v>6473</v>
      </c>
      <c r="AI73" s="0" t="s">
        <v>5383</v>
      </c>
      <c r="AJ73" s="0" t="s">
        <v>6474</v>
      </c>
      <c r="AK73" s="0" t="s">
        <v>6471</v>
      </c>
      <c r="AL73" s="0" t="s">
        <v>168</v>
      </c>
      <c r="AM73" s="0" t="s">
        <v>6475</v>
      </c>
      <c r="AN73" s="0" t="s">
        <v>6465</v>
      </c>
      <c r="AO73" s="5" t="s">
        <v>162</v>
      </c>
      <c r="AR73" s="0" t="str">
        <f aca="false">IF(AND(AU73="pass",AO73&lt;&gt;"Y",C73&lt;&gt;""),"Y","N")</f>
        <v>N</v>
      </c>
      <c r="AS73" s="0" t="str">
        <f aca="false">_xlfn.TEXTJOIN("; ",TRUE(),IF(AU73&lt;&gt;"pass","gated out",""),IF(AO73="Y","on hold: "&amp;AP73,""),IF(C73="","no contact named on an opened page",""))</f>
        <v>no contact named on an opened page</v>
      </c>
      <c r="AU73" s="0" t="s">
        <v>181</v>
      </c>
      <c r="AW73" s="0" t="s">
        <v>182</v>
      </c>
      <c r="AX73" s="0" t="s">
        <v>4594</v>
      </c>
      <c r="AY73" s="0" t="s">
        <v>6471</v>
      </c>
      <c r="AZ73" s="0" t="s">
        <v>6476</v>
      </c>
      <c r="BA73" s="0" t="s">
        <v>5191</v>
      </c>
      <c r="BB73" s="0" t="s">
        <v>163</v>
      </c>
      <c r="BD73" s="0" t="s">
        <v>168</v>
      </c>
      <c r="BE73" s="0" t="s">
        <v>6477</v>
      </c>
      <c r="BF73" s="0" t="s">
        <v>168</v>
      </c>
      <c r="BG73" s="0" t="s">
        <v>168</v>
      </c>
      <c r="BH73" s="0" t="s">
        <v>163</v>
      </c>
      <c r="BJ73" s="0" t="s">
        <v>163</v>
      </c>
      <c r="BK73" s="0" t="s">
        <v>162</v>
      </c>
      <c r="BL73" s="0" t="s">
        <v>162</v>
      </c>
      <c r="BN73" s="0" t="n">
        <v>3</v>
      </c>
      <c r="BO73" s="0" t="s">
        <v>162</v>
      </c>
      <c r="BP73" s="0" t="n">
        <v>1</v>
      </c>
      <c r="BQ73" s="0" t="s">
        <v>6478</v>
      </c>
      <c r="BS73" s="0" t="s">
        <v>4981</v>
      </c>
      <c r="BT73" s="0" t="s">
        <v>6479</v>
      </c>
      <c r="BU73" s="0" t="s">
        <v>4694</v>
      </c>
      <c r="BV73" s="0" t="n">
        <v>36</v>
      </c>
      <c r="BW73" s="0" t="s">
        <v>6480</v>
      </c>
      <c r="CF73" s="0" t="s">
        <v>158</v>
      </c>
      <c r="CK73" s="0" t="s">
        <v>158</v>
      </c>
      <c r="CL73" s="0" t="n">
        <v>47</v>
      </c>
      <c r="CM73" s="0" t="n">
        <v>20</v>
      </c>
      <c r="CN73" s="0" t="n">
        <v>8</v>
      </c>
      <c r="CO73" s="0" t="n">
        <v>8</v>
      </c>
      <c r="CP73" s="0" t="n">
        <v>5</v>
      </c>
      <c r="CQ73" s="0" t="n">
        <v>10</v>
      </c>
      <c r="CR73" s="0" t="n">
        <v>0</v>
      </c>
      <c r="CS73" s="0" t="n">
        <f aca="false">IF(R73="Y",10,0)</f>
        <v>0</v>
      </c>
      <c r="CT73" s="0" t="n">
        <v>-4</v>
      </c>
      <c r="CU73" s="0" t="s">
        <v>163</v>
      </c>
      <c r="CV73" s="0" t="s">
        <v>4841</v>
      </c>
      <c r="CW73" s="0" t="s">
        <v>6481</v>
      </c>
      <c r="CX73" s="0" t="s">
        <v>6482</v>
      </c>
      <c r="CY73" s="0" t="s">
        <v>6483</v>
      </c>
      <c r="DA73" s="0" t="s">
        <v>6234</v>
      </c>
      <c r="DY73" s="0" t="str">
        <f aca="false">IF(ISNUMBER(MATCH(U73,{"queued","contacted","replied","call_booked","call_done","yes_in_principle","materials_sent"},0)),"Y","N")</f>
        <v>N</v>
      </c>
      <c r="DZ73" s="0" t="str">
        <f aca="false">IF(COUNTIFS($AN$2:$AN$1000,AN73,$DY$2:$DY$1000,"Y")+COUNTIFS($AN$2:$AN$1000,AN73,$T$2:$T$1000,"Y")&gt;0,"Y","N")</f>
        <v>N</v>
      </c>
      <c r="EA73" s="0" t="str">
        <f aca="false">IF(AND(U73="new",T73="N",AR73="Y",AQ73="",DZ73="N"),"Y","N")</f>
        <v>N</v>
      </c>
      <c r="EB73" s="0" t="str">
        <f aca="false">IF(EA73&lt;&gt;"Y","N",IF(COUNTIFS($AN$2:$AN$1000,AN73,$EA$2:$EA$1000,"Y",$J$2:$J$1000,"&gt;"&amp;J73)+COUNTIFS($AN$2:$AN$1000,AN73,$EA$2:$EA$1000,"Y",$J$2:$J$1000,J73,$ED$2:$ED$1000,"&lt;"&amp;ED73)=0,"Y","N"))</f>
        <v>N</v>
      </c>
      <c r="EC73" s="0" t="str">
        <f aca="false">IF(Y73="","N",IF(Y73&lt;=10,"Y","N"))</f>
        <v>N</v>
      </c>
      <c r="ED73" s="0" t="n">
        <f aca="false">ROW()-1</f>
        <v>72</v>
      </c>
    </row>
    <row r="74" customFormat="false" ht="15" hidden="false" customHeight="false" outlineLevel="0" collapsed="false">
      <c r="A74" s="0" t="s">
        <v>6484</v>
      </c>
      <c r="B74" s="0" t="s">
        <v>6485</v>
      </c>
      <c r="C74" s="0" t="s">
        <v>6486</v>
      </c>
      <c r="D74" s="0" t="s">
        <v>6487</v>
      </c>
      <c r="E74" s="0" t="s">
        <v>4656</v>
      </c>
      <c r="H74" s="5" t="s">
        <v>158</v>
      </c>
      <c r="I74" s="5" t="s">
        <v>159</v>
      </c>
      <c r="J74" s="0" t="n">
        <f aca="false">IF(AU74="pass",CM74+CN74+CO74+CP74+CQ74+CR74+CS74+CT74,0)</f>
        <v>47</v>
      </c>
      <c r="K74" s="0" t="s">
        <v>6488</v>
      </c>
      <c r="M74" s="0" t="s">
        <v>4580</v>
      </c>
      <c r="N74" s="0" t="s">
        <v>4581</v>
      </c>
      <c r="R74" s="5" t="s">
        <v>162</v>
      </c>
      <c r="S74" s="0" t="s">
        <v>163</v>
      </c>
      <c r="T74" s="5" t="s">
        <v>162</v>
      </c>
      <c r="U74" s="5" t="s">
        <v>561</v>
      </c>
      <c r="V74" s="0" t="s">
        <v>6489</v>
      </c>
      <c r="W74" s="0" t="s">
        <v>166</v>
      </c>
      <c r="X74" s="0" t="s">
        <v>4585</v>
      </c>
      <c r="Y74" s="0" t="n">
        <f aca="false">IF(EB74&lt;&gt;"Y","",COUNTIFS($EB$2:$EB$1000,"Y",$J$2:$J$1000,"&gt;"&amp;J74)+COUNTIFS($EB$2:$EB$1000,"Y",$J$2:$J$1000,J74,$ED$2:$ED$1000,"&lt;"&amp;ED74)+1)</f>
        <v>69</v>
      </c>
      <c r="Z74" s="0" t="n">
        <v>73</v>
      </c>
      <c r="AA74" s="0" t="s">
        <v>162</v>
      </c>
      <c r="AB74" s="0" t="s">
        <v>6490</v>
      </c>
      <c r="AC74" s="0" t="s">
        <v>4587</v>
      </c>
      <c r="AD74" s="0" t="s">
        <v>171</v>
      </c>
      <c r="AE74" s="0" t="s">
        <v>1189</v>
      </c>
      <c r="AF74" s="0" t="s">
        <v>6491</v>
      </c>
      <c r="AG74" s="0" t="s">
        <v>166</v>
      </c>
      <c r="AH74" s="0" t="s">
        <v>6492</v>
      </c>
      <c r="AI74" s="0" t="s">
        <v>5653</v>
      </c>
      <c r="AJ74" s="0" t="s">
        <v>6493</v>
      </c>
      <c r="AK74" s="0" t="s">
        <v>6494</v>
      </c>
      <c r="AL74" s="0" t="s">
        <v>168</v>
      </c>
      <c r="AM74" s="0" t="s">
        <v>4690</v>
      </c>
      <c r="AN74" s="0" t="s">
        <v>6484</v>
      </c>
      <c r="AO74" s="5" t="s">
        <v>162</v>
      </c>
      <c r="AR74" s="0" t="str">
        <f aca="false">IF(AND(AU74="pass",AO74&lt;&gt;"Y",C74&lt;&gt;""),"Y","N")</f>
        <v>Y</v>
      </c>
      <c r="AS74" s="0" t="str">
        <f aca="false">_xlfn.TEXTJOIN("; ",TRUE(),IF(AU74&lt;&gt;"pass","gated out",""),IF(AO74="Y","on hold: "&amp;AP74,""),IF(C74="","no contact named on an opened page",""))</f>
        <v/>
      </c>
      <c r="AU74" s="0" t="s">
        <v>181</v>
      </c>
      <c r="AW74" s="0" t="s">
        <v>182</v>
      </c>
      <c r="AY74" s="0" t="s">
        <v>6494</v>
      </c>
      <c r="AZ74" s="0" t="s">
        <v>6495</v>
      </c>
      <c r="BA74" s="0" t="s">
        <v>5329</v>
      </c>
      <c r="BB74" s="0" t="s">
        <v>163</v>
      </c>
      <c r="BD74" s="0" t="s">
        <v>263</v>
      </c>
      <c r="BE74" s="0" t="s">
        <v>6496</v>
      </c>
      <c r="BF74" s="0" t="s">
        <v>168</v>
      </c>
      <c r="BG74" s="0" t="s">
        <v>168</v>
      </c>
      <c r="BH74" s="0" t="s">
        <v>163</v>
      </c>
      <c r="BJ74" s="0" t="s">
        <v>163</v>
      </c>
      <c r="BK74" s="0" t="s">
        <v>162</v>
      </c>
      <c r="BL74" s="0" t="s">
        <v>162</v>
      </c>
      <c r="BN74" s="0" t="n">
        <v>0</v>
      </c>
      <c r="BO74" s="0" t="s">
        <v>168</v>
      </c>
      <c r="BP74" s="0" t="n">
        <v>2</v>
      </c>
      <c r="BQ74" s="0" t="s">
        <v>4781</v>
      </c>
      <c r="BS74" s="0" t="s">
        <v>5844</v>
      </c>
      <c r="BT74" s="0" t="s">
        <v>6497</v>
      </c>
      <c r="BU74" s="0" t="s">
        <v>158</v>
      </c>
      <c r="BX74" s="0" t="s">
        <v>6498</v>
      </c>
      <c r="CF74" s="0" t="s">
        <v>158</v>
      </c>
      <c r="CK74" s="0" t="s">
        <v>158</v>
      </c>
      <c r="CL74" s="0" t="n">
        <v>47</v>
      </c>
      <c r="CM74" s="0" t="n">
        <v>25</v>
      </c>
      <c r="CN74" s="0" t="n">
        <v>3</v>
      </c>
      <c r="CO74" s="0" t="n">
        <v>0</v>
      </c>
      <c r="CP74" s="0" t="n">
        <v>5</v>
      </c>
      <c r="CQ74" s="0" t="n">
        <v>8</v>
      </c>
      <c r="CR74" s="0" t="n">
        <v>6</v>
      </c>
      <c r="CS74" s="0" t="n">
        <f aca="false">IF(R74="Y",10,0)</f>
        <v>0</v>
      </c>
      <c r="CT74" s="0" t="n">
        <v>0</v>
      </c>
      <c r="CU74" s="0" t="s">
        <v>6499</v>
      </c>
      <c r="CV74" s="0" t="s">
        <v>4703</v>
      </c>
      <c r="CW74" s="0" t="s">
        <v>6500</v>
      </c>
      <c r="CX74" s="0" t="s">
        <v>6501</v>
      </c>
      <c r="CY74" s="0" t="s">
        <v>6502</v>
      </c>
      <c r="DA74" s="0" t="s">
        <v>6234</v>
      </c>
      <c r="DY74" s="0" t="str">
        <f aca="false">IF(ISNUMBER(MATCH(U74,{"queued","contacted","replied","call_booked","call_done","yes_in_principle","materials_sent"},0)),"Y","N")</f>
        <v>N</v>
      </c>
      <c r="DZ74" s="0" t="str">
        <f aca="false">IF(COUNTIFS($AN$2:$AN$1000,AN74,$DY$2:$DY$1000,"Y")+COUNTIFS($AN$2:$AN$1000,AN74,$T$2:$T$1000,"Y")&gt;0,"Y","N")</f>
        <v>N</v>
      </c>
      <c r="EA74" s="0" t="str">
        <f aca="false">IF(AND(U74="new",T74="N",AR74="Y",AQ74="",DZ74="N"),"Y","N")</f>
        <v>Y</v>
      </c>
      <c r="EB74" s="0" t="str">
        <f aca="false">IF(EA74&lt;&gt;"Y","N",IF(COUNTIFS($AN$2:$AN$1000,AN74,$EA$2:$EA$1000,"Y",$J$2:$J$1000,"&gt;"&amp;J74)+COUNTIFS($AN$2:$AN$1000,AN74,$EA$2:$EA$1000,"Y",$J$2:$J$1000,J74,$ED$2:$ED$1000,"&lt;"&amp;ED74)=0,"Y","N"))</f>
        <v>Y</v>
      </c>
      <c r="EC74" s="0" t="str">
        <f aca="false">IF(Y74="","N",IF(Y74&lt;=10,"Y","N"))</f>
        <v>N</v>
      </c>
      <c r="ED74" s="0" t="n">
        <f aca="false">ROW()-1</f>
        <v>73</v>
      </c>
    </row>
    <row r="75" customFormat="false" ht="15" hidden="false" customHeight="false" outlineLevel="0" collapsed="false">
      <c r="A75" s="0" t="s">
        <v>6503</v>
      </c>
      <c r="B75" s="0" t="s">
        <v>6504</v>
      </c>
      <c r="C75" s="0" t="s">
        <v>6505</v>
      </c>
      <c r="D75" s="0" t="s">
        <v>6506</v>
      </c>
      <c r="E75" s="0" t="s">
        <v>4771</v>
      </c>
      <c r="H75" s="5" t="s">
        <v>158</v>
      </c>
      <c r="I75" s="5" t="s">
        <v>159</v>
      </c>
      <c r="J75" s="0" t="n">
        <f aca="false">IF(AU75="pass",CM75+CN75+CO75+CP75+CQ75+CR75+CS75+CT75,0)</f>
        <v>47</v>
      </c>
      <c r="K75" s="0" t="s">
        <v>6507</v>
      </c>
      <c r="M75" s="0" t="s">
        <v>4580</v>
      </c>
      <c r="N75" s="0" t="s">
        <v>4581</v>
      </c>
      <c r="R75" s="5" t="s">
        <v>162</v>
      </c>
      <c r="S75" s="0" t="s">
        <v>163</v>
      </c>
      <c r="T75" s="5" t="s">
        <v>162</v>
      </c>
      <c r="U75" s="5" t="s">
        <v>561</v>
      </c>
      <c r="V75" s="0" t="s">
        <v>6508</v>
      </c>
      <c r="W75" s="0" t="s">
        <v>166</v>
      </c>
      <c r="X75" s="0" t="s">
        <v>4585</v>
      </c>
      <c r="Y75" s="0" t="n">
        <f aca="false">IF(EB75&lt;&gt;"Y","",COUNTIFS($EB$2:$EB$1000,"Y",$J$2:$J$1000,"&gt;"&amp;J75)+COUNTIFS($EB$2:$EB$1000,"Y",$J$2:$J$1000,J75,$ED$2:$ED$1000,"&lt;"&amp;ED75)+1)</f>
        <v>70</v>
      </c>
      <c r="Z75" s="0" t="n">
        <v>74</v>
      </c>
      <c r="AA75" s="0" t="s">
        <v>162</v>
      </c>
      <c r="AB75" s="0" t="s">
        <v>6509</v>
      </c>
      <c r="AC75" s="0" t="s">
        <v>4587</v>
      </c>
      <c r="AD75" s="0" t="s">
        <v>171</v>
      </c>
      <c r="AE75" s="0" t="s">
        <v>172</v>
      </c>
      <c r="AF75" s="0" t="s">
        <v>6508</v>
      </c>
      <c r="AG75" s="0" t="s">
        <v>166</v>
      </c>
      <c r="AH75" s="0" t="s">
        <v>6510</v>
      </c>
      <c r="AI75" s="0" t="s">
        <v>4975</v>
      </c>
      <c r="AJ75" s="0" t="s">
        <v>6511</v>
      </c>
      <c r="AK75" s="0" t="s">
        <v>6512</v>
      </c>
      <c r="AL75" s="0" t="s">
        <v>168</v>
      </c>
      <c r="AM75" s="0" t="s">
        <v>6513</v>
      </c>
      <c r="AN75" s="0" t="s">
        <v>6503</v>
      </c>
      <c r="AO75" s="5" t="s">
        <v>162</v>
      </c>
      <c r="AR75" s="0" t="str">
        <f aca="false">IF(AND(AU75="pass",AO75&lt;&gt;"Y",C75&lt;&gt;""),"Y","N")</f>
        <v>Y</v>
      </c>
      <c r="AS75" s="0" t="str">
        <f aca="false">_xlfn.TEXTJOIN("; ",TRUE(),IF(AU75&lt;&gt;"pass","gated out",""),IF(AO75="Y","on hold: "&amp;AP75,""),IF(C75="","no contact named on an opened page",""))</f>
        <v/>
      </c>
      <c r="AU75" s="0" t="s">
        <v>181</v>
      </c>
      <c r="AW75" s="0" t="s">
        <v>182</v>
      </c>
      <c r="AX75" s="0" t="s">
        <v>282</v>
      </c>
      <c r="AY75" s="0" t="s">
        <v>6512</v>
      </c>
      <c r="AZ75" s="0" t="s">
        <v>6514</v>
      </c>
      <c r="BA75" s="0" t="s">
        <v>5058</v>
      </c>
      <c r="BB75" s="0" t="s">
        <v>163</v>
      </c>
      <c r="BD75" s="0" t="s">
        <v>168</v>
      </c>
      <c r="BE75" s="0" t="s">
        <v>6515</v>
      </c>
      <c r="BF75" s="0" t="s">
        <v>168</v>
      </c>
      <c r="BG75" s="0" t="s">
        <v>168</v>
      </c>
      <c r="BH75" s="0" t="s">
        <v>163</v>
      </c>
      <c r="BJ75" s="0" t="s">
        <v>163</v>
      </c>
      <c r="BK75" s="0" t="s">
        <v>162</v>
      </c>
      <c r="BL75" s="0" t="s">
        <v>162</v>
      </c>
      <c r="BN75" s="0" t="n">
        <v>0</v>
      </c>
      <c r="BO75" s="0" t="s">
        <v>168</v>
      </c>
      <c r="BP75" s="0" t="n">
        <v>11</v>
      </c>
      <c r="BQ75" s="0" t="s">
        <v>6516</v>
      </c>
      <c r="BR75" s="0" t="s">
        <v>4670</v>
      </c>
      <c r="BS75" s="0" t="s">
        <v>6517</v>
      </c>
      <c r="BT75" s="0" t="s">
        <v>6518</v>
      </c>
      <c r="BU75" s="0" t="s">
        <v>158</v>
      </c>
      <c r="BX75" s="0" t="s">
        <v>6519</v>
      </c>
      <c r="CF75" s="0" t="s">
        <v>158</v>
      </c>
      <c r="CK75" s="0" t="s">
        <v>158</v>
      </c>
      <c r="CL75" s="0" t="n">
        <v>47</v>
      </c>
      <c r="CM75" s="0" t="n">
        <v>25</v>
      </c>
      <c r="CN75" s="0" t="n">
        <v>3</v>
      </c>
      <c r="CO75" s="0" t="n">
        <v>0</v>
      </c>
      <c r="CP75" s="0" t="n">
        <v>5</v>
      </c>
      <c r="CQ75" s="0" t="n">
        <v>10</v>
      </c>
      <c r="CR75" s="0" t="n">
        <v>6</v>
      </c>
      <c r="CS75" s="0" t="n">
        <f aca="false">IF(R75="Y",10,0)</f>
        <v>0</v>
      </c>
      <c r="CT75" s="0" t="n">
        <v>-2</v>
      </c>
      <c r="CU75" s="0" t="s">
        <v>6520</v>
      </c>
      <c r="CV75" s="0" t="s">
        <v>4615</v>
      </c>
      <c r="CW75" s="0" t="s">
        <v>6521</v>
      </c>
      <c r="CX75" s="0" t="s">
        <v>6522</v>
      </c>
      <c r="CY75" s="0" t="s">
        <v>6523</v>
      </c>
      <c r="DA75" s="0" t="s">
        <v>6234</v>
      </c>
      <c r="DY75" s="0" t="str">
        <f aca="false">IF(ISNUMBER(MATCH(U75,{"queued","contacted","replied","call_booked","call_done","yes_in_principle","materials_sent"},0)),"Y","N")</f>
        <v>N</v>
      </c>
      <c r="DZ75" s="0" t="str">
        <f aca="false">IF(COUNTIFS($AN$2:$AN$1000,AN75,$DY$2:$DY$1000,"Y")+COUNTIFS($AN$2:$AN$1000,AN75,$T$2:$T$1000,"Y")&gt;0,"Y","N")</f>
        <v>N</v>
      </c>
      <c r="EA75" s="0" t="str">
        <f aca="false">IF(AND(U75="new",T75="N",AR75="Y",AQ75="",DZ75="N"),"Y","N")</f>
        <v>Y</v>
      </c>
      <c r="EB75" s="0" t="str">
        <f aca="false">IF(EA75&lt;&gt;"Y","N",IF(COUNTIFS($AN$2:$AN$1000,AN75,$EA$2:$EA$1000,"Y",$J$2:$J$1000,"&gt;"&amp;J75)+COUNTIFS($AN$2:$AN$1000,AN75,$EA$2:$EA$1000,"Y",$J$2:$J$1000,J75,$ED$2:$ED$1000,"&lt;"&amp;ED75)=0,"Y","N"))</f>
        <v>Y</v>
      </c>
      <c r="EC75" s="0" t="str">
        <f aca="false">IF(Y75="","N",IF(Y75&lt;=10,"Y","N"))</f>
        <v>N</v>
      </c>
      <c r="ED75" s="0" t="n">
        <f aca="false">ROW()-1</f>
        <v>74</v>
      </c>
    </row>
    <row r="76" customFormat="false" ht="15" hidden="false" customHeight="false" outlineLevel="0" collapsed="false">
      <c r="A76" s="0" t="s">
        <v>6524</v>
      </c>
      <c r="B76" s="0" t="s">
        <v>6525</v>
      </c>
      <c r="C76" s="0" t="s">
        <v>6526</v>
      </c>
      <c r="D76" s="0" t="s">
        <v>6527</v>
      </c>
      <c r="E76" s="0" t="s">
        <v>4771</v>
      </c>
      <c r="H76" s="5" t="s">
        <v>158</v>
      </c>
      <c r="I76" s="5" t="s">
        <v>159</v>
      </c>
      <c r="J76" s="0" t="n">
        <f aca="false">IF(AU76="pass",CM76+CN76+CO76+CP76+CQ76+CR76+CS76+CT76,0)</f>
        <v>47</v>
      </c>
      <c r="K76" s="0" t="s">
        <v>6528</v>
      </c>
      <c r="M76" s="0" t="s">
        <v>4580</v>
      </c>
      <c r="N76" s="0" t="s">
        <v>4581</v>
      </c>
      <c r="R76" s="5" t="s">
        <v>162</v>
      </c>
      <c r="S76" s="0" t="s">
        <v>163</v>
      </c>
      <c r="T76" s="5" t="s">
        <v>162</v>
      </c>
      <c r="U76" s="5" t="s">
        <v>561</v>
      </c>
      <c r="V76" s="0" t="s">
        <v>6529</v>
      </c>
      <c r="W76" s="0" t="s">
        <v>166</v>
      </c>
      <c r="X76" s="0" t="s">
        <v>4585</v>
      </c>
      <c r="Y76" s="0" t="n">
        <f aca="false">IF(EB76&lt;&gt;"Y","",COUNTIFS($EB$2:$EB$1000,"Y",$J$2:$J$1000,"&gt;"&amp;J76)+COUNTIFS($EB$2:$EB$1000,"Y",$J$2:$J$1000,J76,$ED$2:$ED$1000,"&lt;"&amp;ED76)+1)</f>
        <v>71</v>
      </c>
      <c r="Z76" s="0" t="n">
        <v>75</v>
      </c>
      <c r="AA76" s="0" t="s">
        <v>162</v>
      </c>
      <c r="AB76" s="0" t="s">
        <v>6530</v>
      </c>
      <c r="AC76" s="0" t="s">
        <v>4587</v>
      </c>
      <c r="AD76" s="0" t="s">
        <v>171</v>
      </c>
      <c r="AE76" s="0" t="s">
        <v>172</v>
      </c>
      <c r="AF76" s="0" t="s">
        <v>6529</v>
      </c>
      <c r="AG76" s="0" t="s">
        <v>166</v>
      </c>
      <c r="AH76" s="0" t="s">
        <v>6531</v>
      </c>
      <c r="AI76" s="0" t="s">
        <v>4975</v>
      </c>
      <c r="AJ76" s="0" t="s">
        <v>6532</v>
      </c>
      <c r="AK76" s="0" t="s">
        <v>6533</v>
      </c>
      <c r="AL76" s="0" t="s">
        <v>168</v>
      </c>
      <c r="AM76" s="0" t="s">
        <v>6534</v>
      </c>
      <c r="AN76" s="0" t="s">
        <v>6524</v>
      </c>
      <c r="AO76" s="5" t="s">
        <v>162</v>
      </c>
      <c r="AR76" s="0" t="str">
        <f aca="false">IF(AND(AU76="pass",AO76&lt;&gt;"Y",C76&lt;&gt;""),"Y","N")</f>
        <v>Y</v>
      </c>
      <c r="AS76" s="0" t="str">
        <f aca="false">_xlfn.TEXTJOIN("; ",TRUE(),IF(AU76&lt;&gt;"pass","gated out",""),IF(AO76="Y","on hold: "&amp;AP76,""),IF(C76="","no contact named on an opened page",""))</f>
        <v/>
      </c>
      <c r="AU76" s="0" t="s">
        <v>181</v>
      </c>
      <c r="AW76" s="0" t="s">
        <v>182</v>
      </c>
      <c r="AX76" s="0" t="s">
        <v>4828</v>
      </c>
      <c r="AY76" s="0" t="s">
        <v>6533</v>
      </c>
      <c r="AZ76" s="0" t="s">
        <v>6476</v>
      </c>
      <c r="BA76" s="0" t="s">
        <v>5191</v>
      </c>
      <c r="BB76" s="0" t="s">
        <v>6535</v>
      </c>
      <c r="BC76" s="0" t="s">
        <v>6529</v>
      </c>
      <c r="BD76" s="0" t="s">
        <v>168</v>
      </c>
      <c r="BE76" s="0" t="s">
        <v>6536</v>
      </c>
      <c r="BF76" s="0" t="s">
        <v>162</v>
      </c>
      <c r="BG76" s="0" t="s">
        <v>168</v>
      </c>
      <c r="BH76" s="0" t="s">
        <v>163</v>
      </c>
      <c r="BJ76" s="0" t="s">
        <v>163</v>
      </c>
      <c r="BK76" s="0" t="s">
        <v>162</v>
      </c>
      <c r="BL76" s="0" t="s">
        <v>162</v>
      </c>
      <c r="BN76" s="0" t="n">
        <v>0</v>
      </c>
      <c r="BO76" s="0" t="s">
        <v>168</v>
      </c>
      <c r="BP76" s="0" t="n">
        <v>2</v>
      </c>
      <c r="BQ76" s="0" t="s">
        <v>4781</v>
      </c>
      <c r="BR76" s="0" t="s">
        <v>4670</v>
      </c>
      <c r="BS76" s="0" t="s">
        <v>6537</v>
      </c>
      <c r="BT76" s="0" t="s">
        <v>6538</v>
      </c>
      <c r="BU76" s="0" t="s">
        <v>158</v>
      </c>
      <c r="BX76" s="0" t="s">
        <v>6539</v>
      </c>
      <c r="CF76" s="0" t="s">
        <v>158</v>
      </c>
      <c r="CK76" s="0" t="s">
        <v>158</v>
      </c>
      <c r="CL76" s="0" t="n">
        <v>47</v>
      </c>
      <c r="CM76" s="0" t="n">
        <v>25</v>
      </c>
      <c r="CN76" s="0" t="n">
        <v>8</v>
      </c>
      <c r="CO76" s="0" t="n">
        <v>0</v>
      </c>
      <c r="CP76" s="0" t="n">
        <v>5</v>
      </c>
      <c r="CQ76" s="0" t="n">
        <v>7</v>
      </c>
      <c r="CR76" s="0" t="n">
        <v>6</v>
      </c>
      <c r="CS76" s="0" t="n">
        <f aca="false">IF(R76="Y",10,0)</f>
        <v>0</v>
      </c>
      <c r="CT76" s="0" t="n">
        <v>-4</v>
      </c>
      <c r="CV76" s="0" t="s">
        <v>4615</v>
      </c>
      <c r="CW76" s="0" t="s">
        <v>6540</v>
      </c>
      <c r="CX76" s="0" t="s">
        <v>6541</v>
      </c>
      <c r="DA76" s="0" t="s">
        <v>6234</v>
      </c>
      <c r="DY76" s="0" t="str">
        <f aca="false">IF(ISNUMBER(MATCH(U76,{"queued","contacted","replied","call_booked","call_done","yes_in_principle","materials_sent"},0)),"Y","N")</f>
        <v>N</v>
      </c>
      <c r="DZ76" s="0" t="str">
        <f aca="false">IF(COUNTIFS($AN$2:$AN$1000,AN76,$DY$2:$DY$1000,"Y")+COUNTIFS($AN$2:$AN$1000,AN76,$T$2:$T$1000,"Y")&gt;0,"Y","N")</f>
        <v>N</v>
      </c>
      <c r="EA76" s="0" t="str">
        <f aca="false">IF(AND(U76="new",T76="N",AR76="Y",AQ76="",DZ76="N"),"Y","N")</f>
        <v>Y</v>
      </c>
      <c r="EB76" s="0" t="str">
        <f aca="false">IF(EA76&lt;&gt;"Y","N",IF(COUNTIFS($AN$2:$AN$1000,AN76,$EA$2:$EA$1000,"Y",$J$2:$J$1000,"&gt;"&amp;J76)+COUNTIFS($AN$2:$AN$1000,AN76,$EA$2:$EA$1000,"Y",$J$2:$J$1000,J76,$ED$2:$ED$1000,"&lt;"&amp;ED76)=0,"Y","N"))</f>
        <v>Y</v>
      </c>
      <c r="EC76" s="0" t="str">
        <f aca="false">IF(Y76="","N",IF(Y76&lt;=10,"Y","N"))</f>
        <v>N</v>
      </c>
      <c r="ED76" s="0" t="n">
        <f aca="false">ROW()-1</f>
        <v>75</v>
      </c>
    </row>
    <row r="77" customFormat="false" ht="15" hidden="false" customHeight="false" outlineLevel="0" collapsed="false">
      <c r="A77" s="0" t="s">
        <v>6542</v>
      </c>
      <c r="B77" s="0" t="s">
        <v>6543</v>
      </c>
      <c r="C77" s="0" t="s">
        <v>6544</v>
      </c>
      <c r="D77" s="0" t="s">
        <v>163</v>
      </c>
      <c r="E77" s="0" t="s">
        <v>4771</v>
      </c>
      <c r="H77" s="5" t="s">
        <v>158</v>
      </c>
      <c r="I77" s="5" t="s">
        <v>159</v>
      </c>
      <c r="J77" s="0" t="n">
        <f aca="false">IF(AU77="pass",CM77+CN77+CO77+CP77+CQ77+CR77+CS77+CT77,0)</f>
        <v>47</v>
      </c>
      <c r="K77" s="0" t="s">
        <v>6545</v>
      </c>
      <c r="M77" s="0" t="s">
        <v>4580</v>
      </c>
      <c r="N77" s="0" t="s">
        <v>4581</v>
      </c>
      <c r="R77" s="5" t="s">
        <v>162</v>
      </c>
      <c r="S77" s="0" t="s">
        <v>163</v>
      </c>
      <c r="T77" s="5" t="s">
        <v>162</v>
      </c>
      <c r="U77" s="5" t="s">
        <v>561</v>
      </c>
      <c r="V77" s="0" t="s">
        <v>6546</v>
      </c>
      <c r="W77" s="0" t="s">
        <v>166</v>
      </c>
      <c r="X77" s="0" t="s">
        <v>4585</v>
      </c>
      <c r="Y77" s="0" t="n">
        <f aca="false">IF(EB77&lt;&gt;"Y","",COUNTIFS($EB$2:$EB$1000,"Y",$J$2:$J$1000,"&gt;"&amp;J77)+COUNTIFS($EB$2:$EB$1000,"Y",$J$2:$J$1000,J77,$ED$2:$ED$1000,"&lt;"&amp;ED77)+1)</f>
        <v>72</v>
      </c>
      <c r="Z77" s="0" t="n">
        <v>76</v>
      </c>
      <c r="AA77" s="0" t="s">
        <v>162</v>
      </c>
      <c r="AB77" s="0" t="s">
        <v>6547</v>
      </c>
      <c r="AC77" s="0" t="s">
        <v>4587</v>
      </c>
      <c r="AD77" s="0" t="s">
        <v>5008</v>
      </c>
      <c r="AE77" s="0" t="s">
        <v>172</v>
      </c>
      <c r="AF77" s="0" t="s">
        <v>6546</v>
      </c>
      <c r="AG77" s="0" t="s">
        <v>166</v>
      </c>
      <c r="AH77" s="0" t="s">
        <v>6548</v>
      </c>
      <c r="AI77" s="0" t="s">
        <v>4664</v>
      </c>
      <c r="AJ77" s="0" t="s">
        <v>6549</v>
      </c>
      <c r="AK77" s="0" t="s">
        <v>6550</v>
      </c>
      <c r="AL77" s="0" t="s">
        <v>168</v>
      </c>
      <c r="AM77" s="0" t="s">
        <v>6551</v>
      </c>
      <c r="AN77" s="0" t="s">
        <v>6542</v>
      </c>
      <c r="AO77" s="5" t="s">
        <v>162</v>
      </c>
      <c r="AR77" s="0" t="str">
        <f aca="false">IF(AND(AU77="pass",AO77&lt;&gt;"Y",C77&lt;&gt;""),"Y","N")</f>
        <v>Y</v>
      </c>
      <c r="AS77" s="0" t="str">
        <f aca="false">_xlfn.TEXTJOIN("; ",TRUE(),IF(AU77&lt;&gt;"pass","gated out",""),IF(AO77="Y","on hold: "&amp;AP77,""),IF(C77="","no contact named on an opened page",""))</f>
        <v/>
      </c>
      <c r="AU77" s="0" t="s">
        <v>181</v>
      </c>
      <c r="AW77" s="0" t="s">
        <v>182</v>
      </c>
      <c r="AX77" s="0" t="s">
        <v>4594</v>
      </c>
      <c r="AY77" s="0" t="s">
        <v>6550</v>
      </c>
      <c r="AZ77" s="0" t="s">
        <v>4922</v>
      </c>
      <c r="BA77" s="0" t="s">
        <v>5191</v>
      </c>
      <c r="BB77" s="0" t="s">
        <v>163</v>
      </c>
      <c r="BD77" s="0" t="s">
        <v>168</v>
      </c>
      <c r="BE77" s="0" t="s">
        <v>6552</v>
      </c>
      <c r="BF77" s="0" t="s">
        <v>168</v>
      </c>
      <c r="BG77" s="0" t="s">
        <v>168</v>
      </c>
      <c r="BH77" s="0" t="s">
        <v>163</v>
      </c>
      <c r="BJ77" s="0" t="s">
        <v>163</v>
      </c>
      <c r="BK77" s="0" t="s">
        <v>162</v>
      </c>
      <c r="BL77" s="0" t="s">
        <v>162</v>
      </c>
      <c r="BN77" s="0" t="n">
        <v>0</v>
      </c>
      <c r="BO77" s="0" t="s">
        <v>168</v>
      </c>
      <c r="BP77" s="0" t="n">
        <v>3</v>
      </c>
      <c r="BQ77" s="0" t="s">
        <v>4669</v>
      </c>
      <c r="BS77" s="0" t="s">
        <v>5844</v>
      </c>
      <c r="BT77" s="0" t="s">
        <v>6553</v>
      </c>
      <c r="BU77" s="0" t="s">
        <v>158</v>
      </c>
      <c r="BX77" s="0" t="s">
        <v>6544</v>
      </c>
      <c r="BY77" s="0" t="s">
        <v>6554</v>
      </c>
      <c r="CF77" s="0" t="s">
        <v>158</v>
      </c>
      <c r="CK77" s="0" t="s">
        <v>158</v>
      </c>
      <c r="CL77" s="0" t="n">
        <v>47</v>
      </c>
      <c r="CM77" s="0" t="n">
        <v>25</v>
      </c>
      <c r="CN77" s="0" t="n">
        <v>8</v>
      </c>
      <c r="CO77" s="0" t="n">
        <v>0</v>
      </c>
      <c r="CP77" s="0" t="n">
        <v>5</v>
      </c>
      <c r="CQ77" s="0" t="n">
        <v>10</v>
      </c>
      <c r="CR77" s="0" t="n">
        <v>3</v>
      </c>
      <c r="CS77" s="0" t="n">
        <f aca="false">IF(R77="Y",10,0)</f>
        <v>0</v>
      </c>
      <c r="CT77" s="0" t="n">
        <v>-4</v>
      </c>
      <c r="CU77" s="0" t="s">
        <v>6555</v>
      </c>
      <c r="CV77" s="0" t="s">
        <v>4703</v>
      </c>
      <c r="CW77" s="0" t="s">
        <v>6556</v>
      </c>
      <c r="CX77" s="0" t="s">
        <v>6557</v>
      </c>
      <c r="CY77" s="0" t="s">
        <v>6558</v>
      </c>
      <c r="DA77" s="0" t="s">
        <v>6234</v>
      </c>
      <c r="DY77" s="0" t="str">
        <f aca="false">IF(ISNUMBER(MATCH(U77,{"queued","contacted","replied","call_booked","call_done","yes_in_principle","materials_sent"},0)),"Y","N")</f>
        <v>N</v>
      </c>
      <c r="DZ77" s="0" t="str">
        <f aca="false">IF(COUNTIFS($AN$2:$AN$1000,AN77,$DY$2:$DY$1000,"Y")+COUNTIFS($AN$2:$AN$1000,AN77,$T$2:$T$1000,"Y")&gt;0,"Y","N")</f>
        <v>N</v>
      </c>
      <c r="EA77" s="0" t="str">
        <f aca="false">IF(AND(U77="new",T77="N",AR77="Y",AQ77="",DZ77="N"),"Y","N")</f>
        <v>Y</v>
      </c>
      <c r="EB77" s="0" t="str">
        <f aca="false">IF(EA77&lt;&gt;"Y","N",IF(COUNTIFS($AN$2:$AN$1000,AN77,$EA$2:$EA$1000,"Y",$J$2:$J$1000,"&gt;"&amp;J77)+COUNTIFS($AN$2:$AN$1000,AN77,$EA$2:$EA$1000,"Y",$J$2:$J$1000,J77,$ED$2:$ED$1000,"&lt;"&amp;ED77)=0,"Y","N"))</f>
        <v>Y</v>
      </c>
      <c r="EC77" s="0" t="str">
        <f aca="false">IF(Y77="","N",IF(Y77&lt;=10,"Y","N"))</f>
        <v>N</v>
      </c>
      <c r="ED77" s="0" t="n">
        <f aca="false">ROW()-1</f>
        <v>76</v>
      </c>
    </row>
    <row r="78" customFormat="false" ht="15" hidden="false" customHeight="false" outlineLevel="0" collapsed="false">
      <c r="A78" s="0" t="s">
        <v>6559</v>
      </c>
      <c r="B78" s="0" t="s">
        <v>6560</v>
      </c>
      <c r="C78" s="0" t="s">
        <v>6561</v>
      </c>
      <c r="D78" s="0" t="s">
        <v>6562</v>
      </c>
      <c r="E78" s="0" t="s">
        <v>4771</v>
      </c>
      <c r="H78" s="5" t="s">
        <v>158</v>
      </c>
      <c r="I78" s="5" t="s">
        <v>159</v>
      </c>
      <c r="J78" s="0" t="n">
        <f aca="false">IF(AU78="pass",CM78+CN78+CO78+CP78+CQ78+CR78+CS78+CT78,0)</f>
        <v>47</v>
      </c>
      <c r="K78" s="0" t="s">
        <v>6563</v>
      </c>
      <c r="M78" s="0" t="s">
        <v>6564</v>
      </c>
      <c r="N78" s="0" t="s">
        <v>5021</v>
      </c>
      <c r="R78" s="5" t="s">
        <v>162</v>
      </c>
      <c r="S78" s="0" t="s">
        <v>163</v>
      </c>
      <c r="T78" s="5" t="s">
        <v>162</v>
      </c>
      <c r="U78" s="5" t="s">
        <v>561</v>
      </c>
      <c r="V78" s="0" t="s">
        <v>6565</v>
      </c>
      <c r="W78" s="0" t="s">
        <v>166</v>
      </c>
      <c r="X78" s="0" t="s">
        <v>4585</v>
      </c>
      <c r="Y78" s="0" t="n">
        <f aca="false">IF(EB78&lt;&gt;"Y","",COUNTIFS($EB$2:$EB$1000,"Y",$J$2:$J$1000,"&gt;"&amp;J78)+COUNTIFS($EB$2:$EB$1000,"Y",$J$2:$J$1000,J78,$ED$2:$ED$1000,"&lt;"&amp;ED78)+1)</f>
        <v>73</v>
      </c>
      <c r="Z78" s="0" t="n">
        <v>77</v>
      </c>
      <c r="AA78" s="0" t="s">
        <v>162</v>
      </c>
      <c r="AB78" s="0" t="s">
        <v>6566</v>
      </c>
      <c r="AC78" s="0" t="s">
        <v>4587</v>
      </c>
      <c r="AD78" s="0" t="s">
        <v>171</v>
      </c>
      <c r="AE78" s="0" t="s">
        <v>1189</v>
      </c>
      <c r="AF78" s="0" t="s">
        <v>6567</v>
      </c>
      <c r="AG78" s="0" t="s">
        <v>166</v>
      </c>
      <c r="AH78" s="0" t="s">
        <v>6568</v>
      </c>
      <c r="AI78" s="0" t="s">
        <v>4975</v>
      </c>
      <c r="AJ78" s="0" t="s">
        <v>6569</v>
      </c>
      <c r="AK78" s="0" t="s">
        <v>6570</v>
      </c>
      <c r="AL78" s="0" t="s">
        <v>168</v>
      </c>
      <c r="AM78" s="0" t="s">
        <v>6571</v>
      </c>
      <c r="AN78" s="0" t="s">
        <v>6559</v>
      </c>
      <c r="AO78" s="5" t="s">
        <v>162</v>
      </c>
      <c r="AR78" s="0" t="str">
        <f aca="false">IF(AND(AU78="pass",AO78&lt;&gt;"Y",C78&lt;&gt;""),"Y","N")</f>
        <v>Y</v>
      </c>
      <c r="AS78" s="0" t="str">
        <f aca="false">_xlfn.TEXTJOIN("; ",TRUE(),IF(AU78&lt;&gt;"pass","gated out",""),IF(AO78="Y","on hold: "&amp;AP78,""),IF(C78="","no contact named on an opened page",""))</f>
        <v/>
      </c>
      <c r="AU78" s="0" t="s">
        <v>181</v>
      </c>
      <c r="AW78" s="0" t="s">
        <v>182</v>
      </c>
      <c r="AX78" s="0" t="s">
        <v>5516</v>
      </c>
      <c r="AY78" s="0" t="s">
        <v>6570</v>
      </c>
      <c r="AZ78" s="0" t="s">
        <v>4595</v>
      </c>
      <c r="BA78" s="0" t="s">
        <v>4596</v>
      </c>
      <c r="BB78" s="0" t="s">
        <v>163</v>
      </c>
      <c r="BD78" s="0" t="s">
        <v>168</v>
      </c>
      <c r="BE78" s="0" t="s">
        <v>6536</v>
      </c>
      <c r="BF78" s="0" t="s">
        <v>162</v>
      </c>
      <c r="BG78" s="0" t="s">
        <v>168</v>
      </c>
      <c r="BH78" s="0" t="s">
        <v>163</v>
      </c>
      <c r="BJ78" s="0" t="s">
        <v>163</v>
      </c>
      <c r="BK78" s="0" t="s">
        <v>162</v>
      </c>
      <c r="BL78" s="0" t="s">
        <v>162</v>
      </c>
      <c r="BN78" s="0" t="n">
        <v>1.3</v>
      </c>
      <c r="BO78" s="0" t="s">
        <v>162</v>
      </c>
      <c r="BP78" s="0" t="n">
        <v>1</v>
      </c>
      <c r="BQ78" s="0" t="s">
        <v>6572</v>
      </c>
      <c r="BR78" s="0" t="s">
        <v>5952</v>
      </c>
      <c r="BS78" s="0" t="s">
        <v>6573</v>
      </c>
      <c r="BT78" s="0" t="s">
        <v>6574</v>
      </c>
      <c r="BU78" s="0" t="s">
        <v>158</v>
      </c>
      <c r="BX78" s="0" t="s">
        <v>6575</v>
      </c>
      <c r="CF78" s="0" t="s">
        <v>158</v>
      </c>
      <c r="CK78" s="0" t="s">
        <v>158</v>
      </c>
      <c r="CL78" s="0" t="n">
        <v>47</v>
      </c>
      <c r="CM78" s="0" t="n">
        <v>13</v>
      </c>
      <c r="CN78" s="0" t="n">
        <v>20</v>
      </c>
      <c r="CO78" s="0" t="n">
        <v>0</v>
      </c>
      <c r="CP78" s="0" t="n">
        <v>5</v>
      </c>
      <c r="CQ78" s="0" t="n">
        <v>7</v>
      </c>
      <c r="CR78" s="0" t="n">
        <v>6</v>
      </c>
      <c r="CS78" s="0" t="n">
        <f aca="false">IF(R78="Y",10,0)</f>
        <v>0</v>
      </c>
      <c r="CT78" s="0" t="n">
        <v>-4</v>
      </c>
      <c r="CV78" s="0" t="s">
        <v>4615</v>
      </c>
      <c r="CW78" s="0" t="s">
        <v>6576</v>
      </c>
      <c r="CX78" s="0" t="s">
        <v>6577</v>
      </c>
      <c r="CY78" s="0" t="s">
        <v>6578</v>
      </c>
      <c r="DA78" s="0" t="s">
        <v>6234</v>
      </c>
      <c r="DY78" s="0" t="str">
        <f aca="false">IF(ISNUMBER(MATCH(U78,{"queued","contacted","replied","call_booked","call_done","yes_in_principle","materials_sent"},0)),"Y","N")</f>
        <v>N</v>
      </c>
      <c r="DZ78" s="0" t="str">
        <f aca="false">IF(COUNTIFS($AN$2:$AN$1000,AN78,$DY$2:$DY$1000,"Y")+COUNTIFS($AN$2:$AN$1000,AN78,$T$2:$T$1000,"Y")&gt;0,"Y","N")</f>
        <v>N</v>
      </c>
      <c r="EA78" s="0" t="str">
        <f aca="false">IF(AND(U78="new",T78="N",AR78="Y",AQ78="",DZ78="N"),"Y","N")</f>
        <v>Y</v>
      </c>
      <c r="EB78" s="0" t="str">
        <f aca="false">IF(EA78&lt;&gt;"Y","N",IF(COUNTIFS($AN$2:$AN$1000,AN78,$EA$2:$EA$1000,"Y",$J$2:$J$1000,"&gt;"&amp;J78)+COUNTIFS($AN$2:$AN$1000,AN78,$EA$2:$EA$1000,"Y",$J$2:$J$1000,J78,$ED$2:$ED$1000,"&lt;"&amp;ED78)=0,"Y","N"))</f>
        <v>Y</v>
      </c>
      <c r="EC78" s="0" t="str">
        <f aca="false">IF(Y78="","N",IF(Y78&lt;=10,"Y","N"))</f>
        <v>N</v>
      </c>
      <c r="ED78" s="0" t="n">
        <f aca="false">ROW()-1</f>
        <v>77</v>
      </c>
    </row>
    <row r="79" customFormat="false" ht="15" hidden="false" customHeight="false" outlineLevel="0" collapsed="false">
      <c r="A79" s="0" t="s">
        <v>6579</v>
      </c>
      <c r="B79" s="0" t="s">
        <v>6580</v>
      </c>
      <c r="C79" s="0" t="s">
        <v>6581</v>
      </c>
      <c r="D79" s="0" t="s">
        <v>6582</v>
      </c>
      <c r="E79" s="0" t="s">
        <v>4771</v>
      </c>
      <c r="H79" s="5" t="s">
        <v>158</v>
      </c>
      <c r="I79" s="5" t="s">
        <v>159</v>
      </c>
      <c r="J79" s="0" t="n">
        <f aca="false">IF(AU79="pass",CM79+CN79+CO79+CP79+CQ79+CR79+CS79+CT79,0)</f>
        <v>47</v>
      </c>
      <c r="K79" s="0" t="s">
        <v>6583</v>
      </c>
      <c r="M79" s="0" t="s">
        <v>5291</v>
      </c>
      <c r="N79" s="0" t="s">
        <v>598</v>
      </c>
      <c r="O79" s="0" t="s">
        <v>6584</v>
      </c>
      <c r="P79" s="0" t="s">
        <v>6585</v>
      </c>
      <c r="Q79" s="0" t="s">
        <v>6407</v>
      </c>
      <c r="R79" s="5" t="s">
        <v>162</v>
      </c>
      <c r="S79" s="0" t="s">
        <v>163</v>
      </c>
      <c r="T79" s="5" t="s">
        <v>162</v>
      </c>
      <c r="U79" s="5" t="s">
        <v>561</v>
      </c>
      <c r="V79" s="0" t="s">
        <v>6586</v>
      </c>
      <c r="W79" s="0" t="s">
        <v>166</v>
      </c>
      <c r="X79" s="0" t="s">
        <v>4585</v>
      </c>
      <c r="Y79" s="0" t="n">
        <f aca="false">IF(EB79&lt;&gt;"Y","",COUNTIFS($EB$2:$EB$1000,"Y",$J$2:$J$1000,"&gt;"&amp;J79)+COUNTIFS($EB$2:$EB$1000,"Y",$J$2:$J$1000,J79,$ED$2:$ED$1000,"&lt;"&amp;ED79)+1)</f>
        <v>74</v>
      </c>
      <c r="Z79" s="0" t="n">
        <v>78</v>
      </c>
      <c r="AA79" s="0" t="s">
        <v>162</v>
      </c>
      <c r="AB79" s="0" t="s">
        <v>6587</v>
      </c>
      <c r="AC79" s="0" t="s">
        <v>4587</v>
      </c>
      <c r="AD79" s="0" t="s">
        <v>171</v>
      </c>
      <c r="AE79" s="0" t="s">
        <v>172</v>
      </c>
      <c r="AF79" s="0" t="s">
        <v>6588</v>
      </c>
      <c r="AG79" s="0" t="s">
        <v>166</v>
      </c>
      <c r="AH79" s="0" t="s">
        <v>6589</v>
      </c>
      <c r="AI79" s="0" t="s">
        <v>5736</v>
      </c>
      <c r="AJ79" s="0" t="s">
        <v>192</v>
      </c>
      <c r="AK79" s="0" t="s">
        <v>6590</v>
      </c>
      <c r="AL79" s="0" t="s">
        <v>168</v>
      </c>
      <c r="AM79" s="0" t="s">
        <v>6591</v>
      </c>
      <c r="AN79" s="0" t="s">
        <v>6579</v>
      </c>
      <c r="AO79" s="5" t="s">
        <v>162</v>
      </c>
      <c r="AR79" s="0" t="str">
        <f aca="false">IF(AND(AU79="pass",AO79&lt;&gt;"Y",C79&lt;&gt;""),"Y","N")</f>
        <v>Y</v>
      </c>
      <c r="AS79" s="0" t="str">
        <f aca="false">_xlfn.TEXTJOIN("; ",TRUE(),IF(AU79&lt;&gt;"pass","gated out",""),IF(AO79="Y","on hold: "&amp;AP79,""),IF(C79="","no contact named on an opened page",""))</f>
        <v/>
      </c>
      <c r="AU79" s="0" t="s">
        <v>181</v>
      </c>
      <c r="AW79" s="0" t="s">
        <v>182</v>
      </c>
      <c r="AX79" s="0" t="s">
        <v>6592</v>
      </c>
      <c r="AY79" s="0" t="s">
        <v>6593</v>
      </c>
      <c r="AZ79" s="0" t="s">
        <v>4595</v>
      </c>
      <c r="BA79" s="0" t="s">
        <v>4596</v>
      </c>
      <c r="BB79" s="0" t="s">
        <v>163</v>
      </c>
      <c r="BD79" s="0" t="s">
        <v>163</v>
      </c>
      <c r="BE79" s="0" t="s">
        <v>6594</v>
      </c>
      <c r="BF79" s="0" t="s">
        <v>168</v>
      </c>
      <c r="BG79" s="0" t="s">
        <v>168</v>
      </c>
      <c r="BH79" s="0" t="s">
        <v>163</v>
      </c>
      <c r="BJ79" s="0" t="s">
        <v>5549</v>
      </c>
      <c r="BK79" s="0" t="s">
        <v>162</v>
      </c>
      <c r="BL79" s="0" t="s">
        <v>162</v>
      </c>
      <c r="BO79" s="0" t="s">
        <v>162</v>
      </c>
      <c r="BP79" s="0" t="n">
        <v>0</v>
      </c>
      <c r="BR79" s="0" t="s">
        <v>6595</v>
      </c>
      <c r="BS79" s="0" t="s">
        <v>6596</v>
      </c>
      <c r="BT79" s="0" t="s">
        <v>6586</v>
      </c>
      <c r="BU79" s="0" t="s">
        <v>4604</v>
      </c>
      <c r="BV79" s="0" t="n">
        <v>177</v>
      </c>
      <c r="BX79" s="0" t="s">
        <v>6597</v>
      </c>
      <c r="CF79" s="0" t="s">
        <v>158</v>
      </c>
      <c r="CK79" s="0" t="s">
        <v>158</v>
      </c>
      <c r="CL79" s="0" t="n">
        <v>47</v>
      </c>
      <c r="CM79" s="0" t="n">
        <v>6</v>
      </c>
      <c r="CN79" s="0" t="n">
        <v>20</v>
      </c>
      <c r="CO79" s="0" t="n">
        <v>15</v>
      </c>
      <c r="CP79" s="0" t="n">
        <v>5</v>
      </c>
      <c r="CQ79" s="0" t="n">
        <v>7</v>
      </c>
      <c r="CR79" s="0" t="n">
        <v>6</v>
      </c>
      <c r="CS79" s="0" t="n">
        <f aca="false">IF(R79="Y",10,0)</f>
        <v>0</v>
      </c>
      <c r="CT79" s="0" t="n">
        <v>-12</v>
      </c>
      <c r="CU79" s="0" t="s">
        <v>6598</v>
      </c>
      <c r="CV79" s="0" t="s">
        <v>5562</v>
      </c>
      <c r="CW79" s="0" t="s">
        <v>6599</v>
      </c>
      <c r="CX79" s="0" t="s">
        <v>6600</v>
      </c>
      <c r="CY79" s="0" t="s">
        <v>6601</v>
      </c>
      <c r="DA79" s="0" t="s">
        <v>6234</v>
      </c>
      <c r="DY79" s="0" t="str">
        <f aca="false">IF(ISNUMBER(MATCH(U79,{"queued","contacted","replied","call_booked","call_done","yes_in_principle","materials_sent"},0)),"Y","N")</f>
        <v>N</v>
      </c>
      <c r="DZ79" s="0" t="str">
        <f aca="false">IF(COUNTIFS($AN$2:$AN$1000,AN79,$DY$2:$DY$1000,"Y")+COUNTIFS($AN$2:$AN$1000,AN79,$T$2:$T$1000,"Y")&gt;0,"Y","N")</f>
        <v>N</v>
      </c>
      <c r="EA79" s="0" t="str">
        <f aca="false">IF(AND(U79="new",T79="N",AR79="Y",AQ79="",DZ79="N"),"Y","N")</f>
        <v>Y</v>
      </c>
      <c r="EB79" s="0" t="str">
        <f aca="false">IF(EA79&lt;&gt;"Y","N",IF(COUNTIFS($AN$2:$AN$1000,AN79,$EA$2:$EA$1000,"Y",$J$2:$J$1000,"&gt;"&amp;J79)+COUNTIFS($AN$2:$AN$1000,AN79,$EA$2:$EA$1000,"Y",$J$2:$J$1000,J79,$ED$2:$ED$1000,"&lt;"&amp;ED79)=0,"Y","N"))</f>
        <v>Y</v>
      </c>
      <c r="EC79" s="0" t="str">
        <f aca="false">IF(Y79="","N",IF(Y79&lt;=10,"Y","N"))</f>
        <v>N</v>
      </c>
      <c r="ED79" s="0" t="n">
        <f aca="false">ROW()-1</f>
        <v>78</v>
      </c>
    </row>
    <row r="80" customFormat="false" ht="15" hidden="false" customHeight="false" outlineLevel="0" collapsed="false">
      <c r="A80" s="0" t="s">
        <v>6602</v>
      </c>
      <c r="B80" s="0" t="s">
        <v>6603</v>
      </c>
      <c r="C80" s="0" t="s">
        <v>6604</v>
      </c>
      <c r="D80" s="0" t="s">
        <v>6605</v>
      </c>
      <c r="E80" s="0" t="s">
        <v>4625</v>
      </c>
      <c r="H80" s="5" t="s">
        <v>158</v>
      </c>
      <c r="I80" s="5" t="s">
        <v>159</v>
      </c>
      <c r="J80" s="0" t="n">
        <f aca="false">IF(AU80="pass",CM80+CN80+CO80+CP80+CQ80+CR80+CS80+CT80,0)</f>
        <v>47</v>
      </c>
      <c r="K80" s="0" t="s">
        <v>6606</v>
      </c>
      <c r="M80" s="0" t="s">
        <v>5291</v>
      </c>
      <c r="N80" s="0" t="s">
        <v>598</v>
      </c>
      <c r="O80" s="0" t="s">
        <v>6607</v>
      </c>
      <c r="P80" s="0" t="s">
        <v>6608</v>
      </c>
      <c r="Q80" s="0" t="s">
        <v>6609</v>
      </c>
      <c r="R80" s="5" t="s">
        <v>162</v>
      </c>
      <c r="S80" s="0" t="s">
        <v>168</v>
      </c>
      <c r="T80" s="5" t="s">
        <v>162</v>
      </c>
      <c r="U80" s="5" t="s">
        <v>561</v>
      </c>
      <c r="V80" s="0" t="s">
        <v>6608</v>
      </c>
      <c r="W80" s="0" t="s">
        <v>166</v>
      </c>
      <c r="X80" s="0" t="s">
        <v>4585</v>
      </c>
      <c r="Y80" s="0" t="n">
        <f aca="false">IF(EB80&lt;&gt;"Y","",COUNTIFS($EB$2:$EB$1000,"Y",$J$2:$J$1000,"&gt;"&amp;J80)+COUNTIFS($EB$2:$EB$1000,"Y",$J$2:$J$1000,J80,$ED$2:$ED$1000,"&lt;"&amp;ED80)+1)</f>
        <v>75</v>
      </c>
      <c r="Z80" s="0" t="n">
        <v>79</v>
      </c>
      <c r="AA80" s="0" t="s">
        <v>162</v>
      </c>
      <c r="AB80" s="0" t="s">
        <v>6610</v>
      </c>
      <c r="AC80" s="0" t="s">
        <v>4587</v>
      </c>
      <c r="AD80" s="0" t="s">
        <v>171</v>
      </c>
      <c r="AE80" s="0" t="s">
        <v>1189</v>
      </c>
      <c r="AF80" s="0" t="s">
        <v>6608</v>
      </c>
      <c r="AG80" s="0" t="s">
        <v>166</v>
      </c>
      <c r="AH80" s="0" t="s">
        <v>6611</v>
      </c>
      <c r="AI80" s="0" t="s">
        <v>4664</v>
      </c>
      <c r="AJ80" s="0" t="s">
        <v>6612</v>
      </c>
      <c r="AK80" s="0" t="s">
        <v>6613</v>
      </c>
      <c r="AL80" s="0" t="s">
        <v>168</v>
      </c>
      <c r="AM80" s="0" t="s">
        <v>6614</v>
      </c>
      <c r="AN80" s="0" t="s">
        <v>6602</v>
      </c>
      <c r="AO80" s="5" t="s">
        <v>162</v>
      </c>
      <c r="AR80" s="0" t="str">
        <f aca="false">IF(AND(AU80="pass",AO80&lt;&gt;"Y",C80&lt;&gt;""),"Y","N")</f>
        <v>Y</v>
      </c>
      <c r="AS80" s="0" t="str">
        <f aca="false">_xlfn.TEXTJOIN("; ",TRUE(),IF(AU80&lt;&gt;"pass","gated out",""),IF(AO80="Y","on hold: "&amp;AP80,""),IF(C80="","no contact named on an opened page",""))</f>
        <v/>
      </c>
      <c r="AU80" s="0" t="s">
        <v>181</v>
      </c>
      <c r="AW80" s="0" t="s">
        <v>182</v>
      </c>
      <c r="AX80" s="0" t="s">
        <v>6615</v>
      </c>
      <c r="AY80" s="0" t="s">
        <v>6613</v>
      </c>
      <c r="AZ80" s="0" t="s">
        <v>4595</v>
      </c>
      <c r="BA80" s="0" t="s">
        <v>4951</v>
      </c>
      <c r="BB80" s="0" t="s">
        <v>163</v>
      </c>
      <c r="BD80" s="0" t="s">
        <v>163</v>
      </c>
      <c r="BE80" s="0" t="s">
        <v>6616</v>
      </c>
      <c r="BF80" s="0" t="s">
        <v>168</v>
      </c>
      <c r="BG80" s="0" t="s">
        <v>168</v>
      </c>
      <c r="BH80" s="0" t="s">
        <v>163</v>
      </c>
      <c r="BJ80" s="0" t="s">
        <v>6617</v>
      </c>
      <c r="BK80" s="0" t="s">
        <v>162</v>
      </c>
      <c r="BL80" s="0" t="s">
        <v>162</v>
      </c>
      <c r="BO80" s="0" t="s">
        <v>162</v>
      </c>
      <c r="BP80" s="0" t="n">
        <v>0</v>
      </c>
      <c r="BS80" s="0" t="s">
        <v>6618</v>
      </c>
      <c r="BU80" s="0" t="s">
        <v>4604</v>
      </c>
      <c r="BV80" s="0" t="n">
        <v>142</v>
      </c>
      <c r="BW80" s="0" t="s">
        <v>6608</v>
      </c>
      <c r="BX80" s="0" t="s">
        <v>6619</v>
      </c>
      <c r="CF80" s="0" t="s">
        <v>158</v>
      </c>
      <c r="CK80" s="0" t="s">
        <v>158</v>
      </c>
      <c r="CL80" s="0" t="n">
        <v>47</v>
      </c>
      <c r="CM80" s="0" t="n">
        <v>6</v>
      </c>
      <c r="CN80" s="0" t="n">
        <v>13</v>
      </c>
      <c r="CO80" s="0" t="n">
        <v>15</v>
      </c>
      <c r="CP80" s="0" t="n">
        <v>5</v>
      </c>
      <c r="CQ80" s="0" t="n">
        <v>7</v>
      </c>
      <c r="CR80" s="0" t="n">
        <v>6</v>
      </c>
      <c r="CS80" s="0" t="n">
        <f aca="false">IF(R80="Y",10,0)</f>
        <v>0</v>
      </c>
      <c r="CT80" s="0" t="n">
        <v>-5</v>
      </c>
      <c r="CV80" s="0" t="s">
        <v>4615</v>
      </c>
      <c r="CW80" s="0" t="s">
        <v>6620</v>
      </c>
      <c r="CX80" s="0" t="s">
        <v>6621</v>
      </c>
      <c r="CY80" s="0" t="s">
        <v>6622</v>
      </c>
      <c r="DA80" s="0" t="s">
        <v>6234</v>
      </c>
      <c r="DY80" s="0" t="str">
        <f aca="false">IF(ISNUMBER(MATCH(U80,{"queued","contacted","replied","call_booked","call_done","yes_in_principle","materials_sent"},0)),"Y","N")</f>
        <v>N</v>
      </c>
      <c r="DZ80" s="0" t="str">
        <f aca="false">IF(COUNTIFS($AN$2:$AN$1000,AN80,$DY$2:$DY$1000,"Y")+COUNTIFS($AN$2:$AN$1000,AN80,$T$2:$T$1000,"Y")&gt;0,"Y","N")</f>
        <v>N</v>
      </c>
      <c r="EA80" s="0" t="str">
        <f aca="false">IF(AND(U80="new",T80="N",AR80="Y",AQ80="",DZ80="N"),"Y","N")</f>
        <v>Y</v>
      </c>
      <c r="EB80" s="0" t="str">
        <f aca="false">IF(EA80&lt;&gt;"Y","N",IF(COUNTIFS($AN$2:$AN$1000,AN80,$EA$2:$EA$1000,"Y",$J$2:$J$1000,"&gt;"&amp;J80)+COUNTIFS($AN$2:$AN$1000,AN80,$EA$2:$EA$1000,"Y",$J$2:$J$1000,J80,$ED$2:$ED$1000,"&lt;"&amp;ED80)=0,"Y","N"))</f>
        <v>Y</v>
      </c>
      <c r="EC80" s="0" t="str">
        <f aca="false">IF(Y80="","N",IF(Y80&lt;=10,"Y","N"))</f>
        <v>N</v>
      </c>
      <c r="ED80" s="0" t="n">
        <f aca="false">ROW()-1</f>
        <v>79</v>
      </c>
    </row>
    <row r="81" customFormat="false" ht="15" hidden="false" customHeight="false" outlineLevel="0" collapsed="false">
      <c r="A81" s="0" t="s">
        <v>6623</v>
      </c>
      <c r="B81" s="0" t="s">
        <v>6624</v>
      </c>
      <c r="H81" s="5" t="s">
        <v>158</v>
      </c>
      <c r="I81" s="5"/>
      <c r="J81" s="0" t="n">
        <f aca="false">IF(AU81="pass",CM81+CN81+CO81+CP81+CQ81+CR81+CS81+CT81,0)</f>
        <v>47</v>
      </c>
      <c r="K81" s="0" t="s">
        <v>6625</v>
      </c>
      <c r="M81" s="0" t="s">
        <v>5291</v>
      </c>
      <c r="N81" s="0" t="s">
        <v>598</v>
      </c>
      <c r="O81" s="0" t="s">
        <v>6626</v>
      </c>
      <c r="P81" s="0" t="s">
        <v>6627</v>
      </c>
      <c r="Q81" s="0" t="s">
        <v>3228</v>
      </c>
      <c r="R81" s="5" t="s">
        <v>162</v>
      </c>
      <c r="S81" s="0" t="s">
        <v>163</v>
      </c>
      <c r="T81" s="5" t="s">
        <v>162</v>
      </c>
      <c r="U81" s="5" t="s">
        <v>561</v>
      </c>
      <c r="V81" s="0" t="s">
        <v>5598</v>
      </c>
      <c r="W81" s="0" t="s">
        <v>174</v>
      </c>
      <c r="X81" s="0" t="s">
        <v>4585</v>
      </c>
      <c r="Y81" s="0" t="str">
        <f aca="false">IF(EB81&lt;&gt;"Y","",COUNTIFS($EB$2:$EB$1000,"Y",$J$2:$J$1000,"&gt;"&amp;J81)+COUNTIFS($EB$2:$EB$1000,"Y",$J$2:$J$1000,J81,$ED$2:$ED$1000,"&lt;"&amp;ED81)+1)</f>
        <v/>
      </c>
      <c r="Z81" s="0" t="n">
        <v>80</v>
      </c>
      <c r="AA81" s="0" t="s">
        <v>162</v>
      </c>
      <c r="AB81" s="0" t="s">
        <v>6315</v>
      </c>
      <c r="AD81" s="0" t="s">
        <v>158</v>
      </c>
      <c r="AH81" s="0" t="s">
        <v>6628</v>
      </c>
      <c r="AI81" s="0" t="s">
        <v>4975</v>
      </c>
      <c r="AJ81" s="0" t="s">
        <v>6629</v>
      </c>
      <c r="AK81" s="0" t="s">
        <v>6630</v>
      </c>
      <c r="AL81" s="0" t="s">
        <v>168</v>
      </c>
      <c r="AM81" s="0" t="s">
        <v>6631</v>
      </c>
      <c r="AN81" s="0" t="s">
        <v>6623</v>
      </c>
      <c r="AO81" s="5" t="s">
        <v>162</v>
      </c>
      <c r="AR81" s="0" t="str">
        <f aca="false">IF(AND(AU81="pass",AO81&lt;&gt;"Y",C81&lt;&gt;""),"Y","N")</f>
        <v>N</v>
      </c>
      <c r="AS81" s="0" t="str">
        <f aca="false">_xlfn.TEXTJOIN("; ",TRUE(),IF(AU81&lt;&gt;"pass","gated out",""),IF(AO81="Y","on hold: "&amp;AP81,""),IF(C81="","no contact named on an opened page",""))</f>
        <v>no contact named on an opened page</v>
      </c>
      <c r="AU81" s="0" t="s">
        <v>181</v>
      </c>
      <c r="AW81" s="0" t="s">
        <v>182</v>
      </c>
      <c r="AX81" s="0" t="s">
        <v>282</v>
      </c>
      <c r="AY81" s="0" t="s">
        <v>6630</v>
      </c>
      <c r="AZ81" s="0" t="s">
        <v>4595</v>
      </c>
      <c r="BA81" s="0" t="s">
        <v>4596</v>
      </c>
      <c r="BB81" s="0" t="s">
        <v>163</v>
      </c>
      <c r="BD81" s="0" t="s">
        <v>168</v>
      </c>
      <c r="BE81" s="0" t="s">
        <v>6632</v>
      </c>
      <c r="BF81" s="0" t="s">
        <v>168</v>
      </c>
      <c r="BG81" s="0" t="s">
        <v>168</v>
      </c>
      <c r="BH81" s="0" t="s">
        <v>163</v>
      </c>
      <c r="BJ81" s="0" t="s">
        <v>5143</v>
      </c>
      <c r="BK81" s="0" t="s">
        <v>162</v>
      </c>
      <c r="BL81" s="0" t="s">
        <v>162</v>
      </c>
      <c r="BO81" s="0" t="s">
        <v>162</v>
      </c>
      <c r="BP81" s="0" t="n">
        <v>0</v>
      </c>
      <c r="BS81" s="0" t="s">
        <v>163</v>
      </c>
      <c r="BU81" s="0" t="s">
        <v>4694</v>
      </c>
      <c r="BV81" s="0" t="n">
        <v>93</v>
      </c>
      <c r="CF81" s="0" t="s">
        <v>158</v>
      </c>
      <c r="CK81" s="0" t="s">
        <v>158</v>
      </c>
      <c r="CL81" s="0" t="n">
        <v>47</v>
      </c>
      <c r="CM81" s="0" t="n">
        <v>6</v>
      </c>
      <c r="CN81" s="0" t="n">
        <v>20</v>
      </c>
      <c r="CO81" s="0" t="n">
        <v>8</v>
      </c>
      <c r="CP81" s="0" t="n">
        <v>5</v>
      </c>
      <c r="CQ81" s="0" t="n">
        <v>10</v>
      </c>
      <c r="CR81" s="0" t="n">
        <v>0</v>
      </c>
      <c r="CS81" s="0" t="n">
        <f aca="false">IF(R81="Y",10,0)</f>
        <v>0</v>
      </c>
      <c r="CT81" s="0" t="n">
        <v>-2</v>
      </c>
      <c r="CU81" s="0" t="s">
        <v>6633</v>
      </c>
      <c r="CV81" s="0" t="s">
        <v>5150</v>
      </c>
      <c r="CW81" s="0" t="s">
        <v>6634</v>
      </c>
      <c r="CX81" s="0" t="s">
        <v>6635</v>
      </c>
      <c r="DA81" s="0" t="s">
        <v>6234</v>
      </c>
      <c r="DY81" s="0" t="str">
        <f aca="false">IF(ISNUMBER(MATCH(U81,{"queued","contacted","replied","call_booked","call_done","yes_in_principle","materials_sent"},0)),"Y","N")</f>
        <v>N</v>
      </c>
      <c r="DZ81" s="0" t="str">
        <f aca="false">IF(COUNTIFS($AN$2:$AN$1000,AN81,$DY$2:$DY$1000,"Y")+COUNTIFS($AN$2:$AN$1000,AN81,$T$2:$T$1000,"Y")&gt;0,"Y","N")</f>
        <v>N</v>
      </c>
      <c r="EA81" s="0" t="str">
        <f aca="false">IF(AND(U81="new",T81="N",AR81="Y",AQ81="",DZ81="N"),"Y","N")</f>
        <v>N</v>
      </c>
      <c r="EB81" s="0" t="str">
        <f aca="false">IF(EA81&lt;&gt;"Y","N",IF(COUNTIFS($AN$2:$AN$1000,AN81,$EA$2:$EA$1000,"Y",$J$2:$J$1000,"&gt;"&amp;J81)+COUNTIFS($AN$2:$AN$1000,AN81,$EA$2:$EA$1000,"Y",$J$2:$J$1000,J81,$ED$2:$ED$1000,"&lt;"&amp;ED81)=0,"Y","N"))</f>
        <v>N</v>
      </c>
      <c r="EC81" s="0" t="str">
        <f aca="false">IF(Y81="","N",IF(Y81&lt;=10,"Y","N"))</f>
        <v>N</v>
      </c>
      <c r="ED81" s="0" t="n">
        <f aca="false">ROW()-1</f>
        <v>80</v>
      </c>
    </row>
    <row r="82" customFormat="false" ht="15" hidden="false" customHeight="false" outlineLevel="0" collapsed="false">
      <c r="A82" s="0" t="s">
        <v>6636</v>
      </c>
      <c r="B82" s="0" t="s">
        <v>6637</v>
      </c>
      <c r="C82" s="0" t="s">
        <v>6638</v>
      </c>
      <c r="D82" s="0" t="s">
        <v>163</v>
      </c>
      <c r="E82" s="0" t="s">
        <v>4771</v>
      </c>
      <c r="H82" s="5" t="s">
        <v>158</v>
      </c>
      <c r="I82" s="5" t="s">
        <v>159</v>
      </c>
      <c r="J82" s="0" t="n">
        <f aca="false">IF(AU82="pass",CM82+CN82+CO82+CP82+CQ82+CR82+CS82+CT82,0)</f>
        <v>47</v>
      </c>
      <c r="K82" s="0" t="s">
        <v>6639</v>
      </c>
      <c r="M82" s="0" t="s">
        <v>5291</v>
      </c>
      <c r="N82" s="0" t="s">
        <v>598</v>
      </c>
      <c r="O82" s="0" t="s">
        <v>6640</v>
      </c>
      <c r="P82" s="0" t="s">
        <v>6641</v>
      </c>
      <c r="Q82" s="0" t="s">
        <v>6642</v>
      </c>
      <c r="R82" s="5" t="s">
        <v>162</v>
      </c>
      <c r="S82" s="0" t="s">
        <v>163</v>
      </c>
      <c r="T82" s="5" t="s">
        <v>162</v>
      </c>
      <c r="U82" s="5" t="s">
        <v>561</v>
      </c>
      <c r="V82" s="0" t="s">
        <v>6643</v>
      </c>
      <c r="W82" s="0" t="s">
        <v>174</v>
      </c>
      <c r="X82" s="0" t="s">
        <v>4585</v>
      </c>
      <c r="Y82" s="0" t="n">
        <f aca="false">IF(EB82&lt;&gt;"Y","",COUNTIFS($EB$2:$EB$1000,"Y",$J$2:$J$1000,"&gt;"&amp;J82)+COUNTIFS($EB$2:$EB$1000,"Y",$J$2:$J$1000,J82,$ED$2:$ED$1000,"&lt;"&amp;ED82)+1)</f>
        <v>76</v>
      </c>
      <c r="Z82" s="0" t="n">
        <v>81</v>
      </c>
      <c r="AA82" s="0" t="s">
        <v>162</v>
      </c>
      <c r="AB82" s="0" t="s">
        <v>6644</v>
      </c>
      <c r="AC82" s="0" t="s">
        <v>4587</v>
      </c>
      <c r="AD82" s="0" t="s">
        <v>5008</v>
      </c>
      <c r="AE82" s="0" t="s">
        <v>1189</v>
      </c>
      <c r="AF82" s="0" t="s">
        <v>6645</v>
      </c>
      <c r="AG82" s="0" t="s">
        <v>174</v>
      </c>
      <c r="AH82" s="0" t="s">
        <v>6646</v>
      </c>
      <c r="AI82" s="0" t="s">
        <v>5383</v>
      </c>
      <c r="AJ82" s="0" t="s">
        <v>5297</v>
      </c>
      <c r="AK82" s="0" t="s">
        <v>6641</v>
      </c>
      <c r="AL82" s="0" t="s">
        <v>168</v>
      </c>
      <c r="AM82" s="0" t="s">
        <v>6647</v>
      </c>
      <c r="AN82" s="0" t="s">
        <v>6636</v>
      </c>
      <c r="AO82" s="5" t="s">
        <v>162</v>
      </c>
      <c r="AR82" s="0" t="str">
        <f aca="false">IF(AND(AU82="pass",AO82&lt;&gt;"Y",C82&lt;&gt;""),"Y","N")</f>
        <v>Y</v>
      </c>
      <c r="AS82" s="0" t="str">
        <f aca="false">_xlfn.TEXTJOIN("; ",TRUE(),IF(AU82&lt;&gt;"pass","gated out",""),IF(AO82="Y","on hold: "&amp;AP82,""),IF(C82="","no contact named on an opened page",""))</f>
        <v/>
      </c>
      <c r="AU82" s="0" t="s">
        <v>181</v>
      </c>
      <c r="AW82" s="0" t="s">
        <v>182</v>
      </c>
      <c r="AX82" s="0" t="s">
        <v>5949</v>
      </c>
      <c r="AY82" s="0" t="s">
        <v>6641</v>
      </c>
      <c r="AZ82" s="0" t="s">
        <v>4595</v>
      </c>
      <c r="BA82" s="0" t="s">
        <v>4596</v>
      </c>
      <c r="BB82" s="0" t="s">
        <v>163</v>
      </c>
      <c r="BD82" s="0" t="s">
        <v>168</v>
      </c>
      <c r="BE82" s="0" t="s">
        <v>6648</v>
      </c>
      <c r="BF82" s="0" t="s">
        <v>168</v>
      </c>
      <c r="BG82" s="0" t="s">
        <v>168</v>
      </c>
      <c r="BH82" s="0" t="s">
        <v>163</v>
      </c>
      <c r="BJ82" s="0" t="s">
        <v>5143</v>
      </c>
      <c r="BK82" s="0" t="s">
        <v>162</v>
      </c>
      <c r="BL82" s="0" t="s">
        <v>162</v>
      </c>
      <c r="BO82" s="0" t="s">
        <v>162</v>
      </c>
      <c r="BP82" s="0" t="n">
        <v>0</v>
      </c>
      <c r="BS82" s="0" t="s">
        <v>6649</v>
      </c>
      <c r="BU82" s="0" t="s">
        <v>4694</v>
      </c>
      <c r="BV82" s="0" t="n">
        <v>53</v>
      </c>
      <c r="BX82" s="0" t="s">
        <v>6638</v>
      </c>
      <c r="BY82" s="0" t="s">
        <v>6650</v>
      </c>
      <c r="CF82" s="0" t="s">
        <v>158</v>
      </c>
      <c r="CK82" s="0" t="s">
        <v>158</v>
      </c>
      <c r="CL82" s="0" t="n">
        <v>47</v>
      </c>
      <c r="CM82" s="0" t="n">
        <v>6</v>
      </c>
      <c r="CN82" s="0" t="n">
        <v>20</v>
      </c>
      <c r="CO82" s="0" t="n">
        <v>8</v>
      </c>
      <c r="CP82" s="0" t="n">
        <v>5</v>
      </c>
      <c r="CQ82" s="0" t="n">
        <v>10</v>
      </c>
      <c r="CR82" s="0" t="n">
        <v>3</v>
      </c>
      <c r="CS82" s="0" t="n">
        <f aca="false">IF(R82="Y",10,0)</f>
        <v>0</v>
      </c>
      <c r="CT82" s="0" t="n">
        <v>-5</v>
      </c>
      <c r="CU82" s="0" t="s">
        <v>6651</v>
      </c>
      <c r="CV82" s="0" t="s">
        <v>5150</v>
      </c>
      <c r="CW82" s="0" t="s">
        <v>6652</v>
      </c>
      <c r="CX82" s="0" t="s">
        <v>6653</v>
      </c>
      <c r="DA82" s="0" t="s">
        <v>6234</v>
      </c>
      <c r="DY82" s="0" t="str">
        <f aca="false">IF(ISNUMBER(MATCH(U82,{"queued","contacted","replied","call_booked","call_done","yes_in_principle","materials_sent"},0)),"Y","N")</f>
        <v>N</v>
      </c>
      <c r="DZ82" s="0" t="str">
        <f aca="false">IF(COUNTIFS($AN$2:$AN$1000,AN82,$DY$2:$DY$1000,"Y")+COUNTIFS($AN$2:$AN$1000,AN82,$T$2:$T$1000,"Y")&gt;0,"Y","N")</f>
        <v>N</v>
      </c>
      <c r="EA82" s="0" t="str">
        <f aca="false">IF(AND(U82="new",T82="N",AR82="Y",AQ82="",DZ82="N"),"Y","N")</f>
        <v>Y</v>
      </c>
      <c r="EB82" s="0" t="str">
        <f aca="false">IF(EA82&lt;&gt;"Y","N",IF(COUNTIFS($AN$2:$AN$1000,AN82,$EA$2:$EA$1000,"Y",$J$2:$J$1000,"&gt;"&amp;J82)+COUNTIFS($AN$2:$AN$1000,AN82,$EA$2:$EA$1000,"Y",$J$2:$J$1000,J82,$ED$2:$ED$1000,"&lt;"&amp;ED82)=0,"Y","N"))</f>
        <v>Y</v>
      </c>
      <c r="EC82" s="0" t="str">
        <f aca="false">IF(Y82="","N",IF(Y82&lt;=10,"Y","N"))</f>
        <v>N</v>
      </c>
      <c r="ED82" s="0" t="n">
        <f aca="false">ROW()-1</f>
        <v>81</v>
      </c>
    </row>
    <row r="83" customFormat="false" ht="15" hidden="false" customHeight="false" outlineLevel="0" collapsed="false">
      <c r="A83" s="0" t="s">
        <v>6654</v>
      </c>
      <c r="B83" s="0" t="s">
        <v>6655</v>
      </c>
      <c r="C83" s="0" t="s">
        <v>6656</v>
      </c>
      <c r="D83" s="0" t="s">
        <v>6657</v>
      </c>
      <c r="E83" s="0" t="s">
        <v>4625</v>
      </c>
      <c r="H83" s="5" t="s">
        <v>158</v>
      </c>
      <c r="I83" s="5" t="s">
        <v>159</v>
      </c>
      <c r="J83" s="0" t="n">
        <f aca="false">IF(AU83="pass",CM83+CN83+CO83+CP83+CQ83+CR83+CS83+CT83,0)</f>
        <v>47</v>
      </c>
      <c r="K83" s="0" t="s">
        <v>6658</v>
      </c>
      <c r="M83" s="0" t="s">
        <v>5291</v>
      </c>
      <c r="N83" s="0" t="s">
        <v>598</v>
      </c>
      <c r="O83" s="0" t="s">
        <v>6659</v>
      </c>
      <c r="P83" s="0" t="s">
        <v>6660</v>
      </c>
      <c r="Q83" s="0" t="s">
        <v>174</v>
      </c>
      <c r="R83" s="5" t="s">
        <v>162</v>
      </c>
      <c r="S83" s="0" t="s">
        <v>163</v>
      </c>
      <c r="T83" s="5" t="s">
        <v>162</v>
      </c>
      <c r="U83" s="5" t="s">
        <v>561</v>
      </c>
      <c r="V83" s="0" t="s">
        <v>6660</v>
      </c>
      <c r="W83" s="0" t="s">
        <v>166</v>
      </c>
      <c r="X83" s="0" t="s">
        <v>4585</v>
      </c>
      <c r="Y83" s="0" t="n">
        <f aca="false">IF(EB83&lt;&gt;"Y","",COUNTIFS($EB$2:$EB$1000,"Y",$J$2:$J$1000,"&gt;"&amp;J83)+COUNTIFS($EB$2:$EB$1000,"Y",$J$2:$J$1000,J83,$ED$2:$ED$1000,"&lt;"&amp;ED83)+1)</f>
        <v>77</v>
      </c>
      <c r="Z83" s="0" t="n">
        <v>82</v>
      </c>
      <c r="AA83" s="0" t="s">
        <v>162</v>
      </c>
      <c r="AB83" s="0" t="s">
        <v>6661</v>
      </c>
      <c r="AC83" s="0" t="s">
        <v>4587</v>
      </c>
      <c r="AD83" s="0" t="s">
        <v>171</v>
      </c>
      <c r="AE83" s="0" t="s">
        <v>1189</v>
      </c>
      <c r="AF83" s="0" t="s">
        <v>6662</v>
      </c>
      <c r="AG83" s="0" t="s">
        <v>166</v>
      </c>
      <c r="AH83" s="0" t="s">
        <v>6663</v>
      </c>
      <c r="AI83" s="0" t="s">
        <v>4826</v>
      </c>
      <c r="AJ83" s="0" t="s">
        <v>6664</v>
      </c>
      <c r="AK83" s="0" t="s">
        <v>6665</v>
      </c>
      <c r="AL83" s="0" t="s">
        <v>168</v>
      </c>
      <c r="AM83" s="0" t="s">
        <v>6666</v>
      </c>
      <c r="AN83" s="0" t="s">
        <v>6654</v>
      </c>
      <c r="AO83" s="5" t="s">
        <v>162</v>
      </c>
      <c r="AR83" s="0" t="str">
        <f aca="false">IF(AND(AU83="pass",AO83&lt;&gt;"Y",C83&lt;&gt;""),"Y","N")</f>
        <v>Y</v>
      </c>
      <c r="AS83" s="0" t="str">
        <f aca="false">_xlfn.TEXTJOIN("; ",TRUE(),IF(AU83&lt;&gt;"pass","gated out",""),IF(AO83="Y","on hold: "&amp;AP83,""),IF(C83="","no contact named on an opened page",""))</f>
        <v/>
      </c>
      <c r="AU83" s="0" t="s">
        <v>181</v>
      </c>
      <c r="AW83" s="0" t="s">
        <v>182</v>
      </c>
      <c r="AX83" s="0" t="s">
        <v>6615</v>
      </c>
      <c r="AY83" s="0" t="s">
        <v>6665</v>
      </c>
      <c r="AZ83" s="0" t="s">
        <v>4595</v>
      </c>
      <c r="BA83" s="0" t="s">
        <v>5271</v>
      </c>
      <c r="BB83" s="0" t="s">
        <v>163</v>
      </c>
      <c r="BD83" s="0" t="s">
        <v>168</v>
      </c>
      <c r="BE83" s="0" t="s">
        <v>6667</v>
      </c>
      <c r="BF83" s="0" t="s">
        <v>168</v>
      </c>
      <c r="BG83" s="0" t="s">
        <v>168</v>
      </c>
      <c r="BH83" s="0" t="s">
        <v>163</v>
      </c>
      <c r="BJ83" s="0" t="s">
        <v>163</v>
      </c>
      <c r="BK83" s="0" t="s">
        <v>162</v>
      </c>
      <c r="BL83" s="0" t="s">
        <v>162</v>
      </c>
      <c r="BO83" s="0" t="s">
        <v>162</v>
      </c>
      <c r="BP83" s="0" t="n">
        <v>0</v>
      </c>
      <c r="BR83" s="0" t="s">
        <v>6668</v>
      </c>
      <c r="BS83" s="0" t="s">
        <v>6669</v>
      </c>
      <c r="BT83" s="0" t="s">
        <v>6670</v>
      </c>
      <c r="BU83" s="0" t="s">
        <v>4694</v>
      </c>
      <c r="BV83" s="0" t="n">
        <v>0</v>
      </c>
      <c r="BX83" s="0" t="s">
        <v>6671</v>
      </c>
      <c r="BY83" s="0" t="s">
        <v>6672</v>
      </c>
      <c r="CF83" s="0" t="s">
        <v>158</v>
      </c>
      <c r="CK83" s="0" t="s">
        <v>158</v>
      </c>
      <c r="CL83" s="0" t="n">
        <v>47</v>
      </c>
      <c r="CM83" s="0" t="n">
        <v>6</v>
      </c>
      <c r="CN83" s="0" t="n">
        <v>17</v>
      </c>
      <c r="CO83" s="0" t="n">
        <v>8</v>
      </c>
      <c r="CP83" s="0" t="n">
        <v>5</v>
      </c>
      <c r="CQ83" s="0" t="n">
        <v>10</v>
      </c>
      <c r="CR83" s="0" t="n">
        <v>6</v>
      </c>
      <c r="CS83" s="0" t="n">
        <f aca="false">IF(R83="Y",10,0)</f>
        <v>0</v>
      </c>
      <c r="CT83" s="0" t="n">
        <v>-5</v>
      </c>
      <c r="CV83" s="0" t="s">
        <v>4615</v>
      </c>
      <c r="CW83" s="0" t="s">
        <v>6673</v>
      </c>
      <c r="CX83" s="0" t="s">
        <v>6674</v>
      </c>
      <c r="CY83" s="0" t="s">
        <v>6675</v>
      </c>
      <c r="DA83" s="0" t="s">
        <v>6234</v>
      </c>
      <c r="DY83" s="0" t="str">
        <f aca="false">IF(ISNUMBER(MATCH(U83,{"queued","contacted","replied","call_booked","call_done","yes_in_principle","materials_sent"},0)),"Y","N")</f>
        <v>N</v>
      </c>
      <c r="DZ83" s="0" t="str">
        <f aca="false">IF(COUNTIFS($AN$2:$AN$1000,AN83,$DY$2:$DY$1000,"Y")+COUNTIFS($AN$2:$AN$1000,AN83,$T$2:$T$1000,"Y")&gt;0,"Y","N")</f>
        <v>N</v>
      </c>
      <c r="EA83" s="0" t="str">
        <f aca="false">IF(AND(U83="new",T83="N",AR83="Y",AQ83="",DZ83="N"),"Y","N")</f>
        <v>Y</v>
      </c>
      <c r="EB83" s="0" t="str">
        <f aca="false">IF(EA83&lt;&gt;"Y","N",IF(COUNTIFS($AN$2:$AN$1000,AN83,$EA$2:$EA$1000,"Y",$J$2:$J$1000,"&gt;"&amp;J83)+COUNTIFS($AN$2:$AN$1000,AN83,$EA$2:$EA$1000,"Y",$J$2:$J$1000,J83,$ED$2:$ED$1000,"&lt;"&amp;ED83)=0,"Y","N"))</f>
        <v>Y</v>
      </c>
      <c r="EC83" s="0" t="str">
        <f aca="false">IF(Y83="","N",IF(Y83&lt;=10,"Y","N"))</f>
        <v>N</v>
      </c>
      <c r="ED83" s="0" t="n">
        <f aca="false">ROW()-1</f>
        <v>82</v>
      </c>
    </row>
    <row r="84" customFormat="false" ht="15" hidden="false" customHeight="false" outlineLevel="0" collapsed="false">
      <c r="A84" s="0" t="s">
        <v>6676</v>
      </c>
      <c r="B84" s="0" t="s">
        <v>6677</v>
      </c>
      <c r="C84" s="0" t="s">
        <v>320</v>
      </c>
      <c r="D84" s="0" t="s">
        <v>6678</v>
      </c>
      <c r="E84" s="0" t="s">
        <v>4656</v>
      </c>
      <c r="H84" s="5" t="s">
        <v>158</v>
      </c>
      <c r="I84" s="5" t="s">
        <v>159</v>
      </c>
      <c r="J84" s="0" t="n">
        <f aca="false">IF(AU84="pass",CM84+CN84+CO84+CP84+CQ84+CR84+CS84+CT84,0)</f>
        <v>46</v>
      </c>
      <c r="K84" s="0" t="s">
        <v>6679</v>
      </c>
      <c r="M84" s="0" t="s">
        <v>4580</v>
      </c>
      <c r="N84" s="0" t="s">
        <v>5021</v>
      </c>
      <c r="O84" s="0" t="s">
        <v>6680</v>
      </c>
      <c r="P84" s="0" t="s">
        <v>6681</v>
      </c>
      <c r="Q84" s="0" t="s">
        <v>6682</v>
      </c>
      <c r="R84" s="5" t="s">
        <v>162</v>
      </c>
      <c r="S84" s="0" t="s">
        <v>168</v>
      </c>
      <c r="T84" s="5" t="s">
        <v>162</v>
      </c>
      <c r="U84" s="5" t="s">
        <v>561</v>
      </c>
      <c r="V84" s="0" t="s">
        <v>6683</v>
      </c>
      <c r="W84" s="0" t="s">
        <v>166</v>
      </c>
      <c r="X84" s="0" t="s">
        <v>4585</v>
      </c>
      <c r="Y84" s="0" t="n">
        <f aca="false">IF(EB84&lt;&gt;"Y","",COUNTIFS($EB$2:$EB$1000,"Y",$J$2:$J$1000,"&gt;"&amp;J84)+COUNTIFS($EB$2:$EB$1000,"Y",$J$2:$J$1000,J84,$ED$2:$ED$1000,"&lt;"&amp;ED84)+1)</f>
        <v>78</v>
      </c>
      <c r="Z84" s="0" t="n">
        <v>83</v>
      </c>
      <c r="AA84" s="0" t="s">
        <v>162</v>
      </c>
      <c r="AB84" s="0" t="s">
        <v>6684</v>
      </c>
      <c r="AC84" s="0" t="s">
        <v>4587</v>
      </c>
      <c r="AD84" s="0" t="s">
        <v>171</v>
      </c>
      <c r="AE84" s="0" t="s">
        <v>1189</v>
      </c>
      <c r="AF84" s="0" t="s">
        <v>6681</v>
      </c>
      <c r="AG84" s="0" t="s">
        <v>166</v>
      </c>
      <c r="AH84" s="0" t="s">
        <v>6685</v>
      </c>
      <c r="AI84" s="0" t="s">
        <v>5924</v>
      </c>
      <c r="AJ84" s="0" t="s">
        <v>6686</v>
      </c>
      <c r="AK84" s="0" t="s">
        <v>6687</v>
      </c>
      <c r="AL84" s="0" t="s">
        <v>168</v>
      </c>
      <c r="AM84" s="0" t="s">
        <v>6688</v>
      </c>
      <c r="AN84" s="0" t="s">
        <v>6676</v>
      </c>
      <c r="AO84" s="5" t="s">
        <v>162</v>
      </c>
      <c r="AR84" s="0" t="str">
        <f aca="false">IF(AND(AU84="pass",AO84&lt;&gt;"Y",C84&lt;&gt;""),"Y","N")</f>
        <v>Y</v>
      </c>
      <c r="AS84" s="0" t="str">
        <f aca="false">_xlfn.TEXTJOIN("; ",TRUE(),IF(AU84&lt;&gt;"pass","gated out",""),IF(AO84="Y","on hold: "&amp;AP84,""),IF(C84="","no contact named on an opened page",""))</f>
        <v/>
      </c>
      <c r="AU84" s="0" t="s">
        <v>181</v>
      </c>
      <c r="AW84" s="0" t="s">
        <v>182</v>
      </c>
      <c r="AX84" s="0" t="s">
        <v>5270</v>
      </c>
      <c r="AY84" s="0" t="s">
        <v>6687</v>
      </c>
      <c r="AZ84" s="0" t="s">
        <v>6689</v>
      </c>
      <c r="BA84" s="0" t="s">
        <v>5191</v>
      </c>
      <c r="BB84" s="0" t="s">
        <v>163</v>
      </c>
      <c r="BD84" s="0" t="s">
        <v>163</v>
      </c>
      <c r="BE84" s="0" t="s">
        <v>6690</v>
      </c>
      <c r="BF84" s="0" t="s">
        <v>168</v>
      </c>
      <c r="BG84" s="0" t="s">
        <v>168</v>
      </c>
      <c r="BH84" s="0" t="s">
        <v>163</v>
      </c>
      <c r="BJ84" s="0" t="s">
        <v>6691</v>
      </c>
      <c r="BK84" s="0" t="s">
        <v>162</v>
      </c>
      <c r="BL84" s="0" t="s">
        <v>162</v>
      </c>
      <c r="BN84" s="0" t="n">
        <v>0</v>
      </c>
      <c r="BO84" s="0" t="s">
        <v>168</v>
      </c>
      <c r="BP84" s="0" t="n">
        <v>3</v>
      </c>
      <c r="BQ84" s="0" t="s">
        <v>6692</v>
      </c>
      <c r="BR84" s="0" t="s">
        <v>6693</v>
      </c>
      <c r="BS84" s="0" t="s">
        <v>6694</v>
      </c>
      <c r="BT84" s="0" t="s">
        <v>6695</v>
      </c>
      <c r="BU84" s="0" t="s">
        <v>4604</v>
      </c>
      <c r="BV84" s="0" t="n">
        <v>263</v>
      </c>
      <c r="BW84" s="0" t="s">
        <v>6681</v>
      </c>
      <c r="BX84" s="0" t="s">
        <v>6696</v>
      </c>
      <c r="CF84" s="0" t="s">
        <v>158</v>
      </c>
      <c r="CK84" s="0" t="s">
        <v>158</v>
      </c>
      <c r="CL84" s="0" t="n">
        <v>46</v>
      </c>
      <c r="CM84" s="0" t="n">
        <v>17</v>
      </c>
      <c r="CN84" s="0" t="n">
        <v>8</v>
      </c>
      <c r="CO84" s="0" t="n">
        <v>8</v>
      </c>
      <c r="CP84" s="0" t="n">
        <v>5</v>
      </c>
      <c r="CQ84" s="0" t="n">
        <v>7</v>
      </c>
      <c r="CR84" s="0" t="n">
        <v>6</v>
      </c>
      <c r="CS84" s="0" t="n">
        <f aca="false">IF(R84="Y",10,0)</f>
        <v>0</v>
      </c>
      <c r="CT84" s="0" t="n">
        <v>-5</v>
      </c>
      <c r="CV84" s="0" t="s">
        <v>4615</v>
      </c>
      <c r="CW84" s="0" t="s">
        <v>6697</v>
      </c>
      <c r="CX84" s="0" t="s">
        <v>6698</v>
      </c>
      <c r="CY84" s="0" t="s">
        <v>6699</v>
      </c>
      <c r="DA84" s="0" t="s">
        <v>6234</v>
      </c>
      <c r="DY84" s="0" t="str">
        <f aca="false">IF(ISNUMBER(MATCH(U84,{"queued","contacted","replied","call_booked","call_done","yes_in_principle","materials_sent"},0)),"Y","N")</f>
        <v>N</v>
      </c>
      <c r="DZ84" s="0" t="str">
        <f aca="false">IF(COUNTIFS($AN$2:$AN$1000,AN84,$DY$2:$DY$1000,"Y")+COUNTIFS($AN$2:$AN$1000,AN84,$T$2:$T$1000,"Y")&gt;0,"Y","N")</f>
        <v>N</v>
      </c>
      <c r="EA84" s="0" t="str">
        <f aca="false">IF(AND(U84="new",T84="N",AR84="Y",AQ84="",DZ84="N"),"Y","N")</f>
        <v>Y</v>
      </c>
      <c r="EB84" s="0" t="str">
        <f aca="false">IF(EA84&lt;&gt;"Y","N",IF(COUNTIFS($AN$2:$AN$1000,AN84,$EA$2:$EA$1000,"Y",$J$2:$J$1000,"&gt;"&amp;J84)+COUNTIFS($AN$2:$AN$1000,AN84,$EA$2:$EA$1000,"Y",$J$2:$J$1000,J84,$ED$2:$ED$1000,"&lt;"&amp;ED84)=0,"Y","N"))</f>
        <v>Y</v>
      </c>
      <c r="EC84" s="0" t="str">
        <f aca="false">IF(Y84="","N",IF(Y84&lt;=10,"Y","N"))</f>
        <v>N</v>
      </c>
      <c r="ED84" s="0" t="n">
        <f aca="false">ROW()-1</f>
        <v>83</v>
      </c>
    </row>
    <row r="85" customFormat="false" ht="15" hidden="false" customHeight="false" outlineLevel="0" collapsed="false">
      <c r="A85" s="0" t="s">
        <v>6700</v>
      </c>
      <c r="B85" s="0" t="s">
        <v>6701</v>
      </c>
      <c r="C85" s="0" t="s">
        <v>6702</v>
      </c>
      <c r="D85" s="0" t="s">
        <v>6703</v>
      </c>
      <c r="E85" s="0" t="s">
        <v>4625</v>
      </c>
      <c r="H85" s="5" t="s">
        <v>158</v>
      </c>
      <c r="I85" s="5" t="s">
        <v>159</v>
      </c>
      <c r="J85" s="0" t="n">
        <f aca="false">IF(AU85="pass",CM85+CN85+CO85+CP85+CQ85+CR85+CS85+CT85,0)</f>
        <v>46</v>
      </c>
      <c r="K85" s="0" t="s">
        <v>6704</v>
      </c>
      <c r="M85" s="0" t="s">
        <v>5291</v>
      </c>
      <c r="N85" s="0" t="s">
        <v>598</v>
      </c>
      <c r="O85" s="0" t="s">
        <v>6705</v>
      </c>
      <c r="P85" s="0" t="s">
        <v>6706</v>
      </c>
      <c r="Q85" s="0" t="s">
        <v>6707</v>
      </c>
      <c r="R85" s="5" t="s">
        <v>162</v>
      </c>
      <c r="S85" s="0" t="s">
        <v>168</v>
      </c>
      <c r="T85" s="5" t="s">
        <v>162</v>
      </c>
      <c r="U85" s="5" t="s">
        <v>561</v>
      </c>
      <c r="V85" s="0" t="s">
        <v>6708</v>
      </c>
      <c r="W85" s="0" t="s">
        <v>166</v>
      </c>
      <c r="X85" s="0" t="s">
        <v>4585</v>
      </c>
      <c r="Y85" s="0" t="n">
        <f aca="false">IF(EB85&lt;&gt;"Y","",COUNTIFS($EB$2:$EB$1000,"Y",$J$2:$J$1000,"&gt;"&amp;J85)+COUNTIFS($EB$2:$EB$1000,"Y",$J$2:$J$1000,J85,$ED$2:$ED$1000,"&lt;"&amp;ED85)+1)</f>
        <v>79</v>
      </c>
      <c r="Z85" s="0" t="n">
        <v>84</v>
      </c>
      <c r="AA85" s="0" t="s">
        <v>162</v>
      </c>
      <c r="AB85" s="0" t="s">
        <v>6709</v>
      </c>
      <c r="AC85" s="0" t="s">
        <v>4587</v>
      </c>
      <c r="AD85" s="0" t="s">
        <v>171</v>
      </c>
      <c r="AE85" s="0" t="s">
        <v>1189</v>
      </c>
      <c r="AF85" s="0" t="s">
        <v>6710</v>
      </c>
      <c r="AG85" s="0" t="s">
        <v>166</v>
      </c>
      <c r="AH85" s="0" t="s">
        <v>6711</v>
      </c>
      <c r="AI85" s="0" t="s">
        <v>5763</v>
      </c>
      <c r="AJ85" s="0" t="s">
        <v>6712</v>
      </c>
      <c r="AK85" s="0" t="s">
        <v>6713</v>
      </c>
      <c r="AL85" s="0" t="s">
        <v>168</v>
      </c>
      <c r="AM85" s="0" t="s">
        <v>6714</v>
      </c>
      <c r="AN85" s="0" t="s">
        <v>6700</v>
      </c>
      <c r="AO85" s="5" t="s">
        <v>162</v>
      </c>
      <c r="AR85" s="0" t="str">
        <f aca="false">IF(AND(AU85="pass",AO85&lt;&gt;"Y",C85&lt;&gt;""),"Y","N")</f>
        <v>Y</v>
      </c>
      <c r="AS85" s="0" t="str">
        <f aca="false">_xlfn.TEXTJOIN("; ",TRUE(),IF(AU85&lt;&gt;"pass","gated out",""),IF(AO85="Y","on hold: "&amp;AP85,""),IF(C85="","no contact named on an opened page",""))</f>
        <v/>
      </c>
      <c r="AU85" s="0" t="s">
        <v>181</v>
      </c>
      <c r="AW85" s="0" t="s">
        <v>182</v>
      </c>
      <c r="AX85" s="0" t="s">
        <v>4594</v>
      </c>
      <c r="AY85" s="0" t="s">
        <v>6713</v>
      </c>
      <c r="AZ85" s="0" t="s">
        <v>5386</v>
      </c>
      <c r="BA85" s="0" t="s">
        <v>5329</v>
      </c>
      <c r="BB85" s="0" t="s">
        <v>6715</v>
      </c>
      <c r="BD85" s="0" t="s">
        <v>168</v>
      </c>
      <c r="BE85" s="0" t="s">
        <v>6716</v>
      </c>
      <c r="BF85" s="0" t="s">
        <v>168</v>
      </c>
      <c r="BG85" s="0" t="s">
        <v>168</v>
      </c>
      <c r="BH85" s="0" t="s">
        <v>6456</v>
      </c>
      <c r="BI85" s="0" t="s">
        <v>6717</v>
      </c>
      <c r="BJ85" s="0" t="s">
        <v>6718</v>
      </c>
      <c r="BK85" s="0" t="s">
        <v>162</v>
      </c>
      <c r="BL85" s="0" t="s">
        <v>162</v>
      </c>
      <c r="BO85" s="0" t="s">
        <v>162</v>
      </c>
      <c r="BP85" s="0" t="n">
        <v>0</v>
      </c>
      <c r="BS85" s="0" t="s">
        <v>6719</v>
      </c>
      <c r="BU85" s="0" t="s">
        <v>4604</v>
      </c>
      <c r="BV85" s="0" t="n">
        <v>61</v>
      </c>
      <c r="BW85" s="0" t="s">
        <v>6706</v>
      </c>
      <c r="BX85" s="0" t="s">
        <v>6720</v>
      </c>
      <c r="CA85" s="0" t="s">
        <v>6721</v>
      </c>
      <c r="CB85" s="0" t="s">
        <v>5879</v>
      </c>
      <c r="CC85" s="0" t="s">
        <v>6722</v>
      </c>
      <c r="CD85" s="0" t="s">
        <v>4625</v>
      </c>
      <c r="CE85" s="0" t="s">
        <v>6723</v>
      </c>
      <c r="CF85" s="0" t="s">
        <v>171</v>
      </c>
      <c r="CK85" s="0" t="s">
        <v>158</v>
      </c>
      <c r="CL85" s="0" t="n">
        <v>46</v>
      </c>
      <c r="CM85" s="0" t="n">
        <v>6</v>
      </c>
      <c r="CN85" s="0" t="n">
        <v>3</v>
      </c>
      <c r="CO85" s="0" t="n">
        <v>15</v>
      </c>
      <c r="CP85" s="0" t="n">
        <v>10</v>
      </c>
      <c r="CQ85" s="0" t="n">
        <v>10</v>
      </c>
      <c r="CR85" s="0" t="n">
        <v>6</v>
      </c>
      <c r="CS85" s="0" t="n">
        <f aca="false">IF(R85="Y",10,0)</f>
        <v>0</v>
      </c>
      <c r="CT85" s="0" t="n">
        <v>-4</v>
      </c>
      <c r="CU85" s="0" t="s">
        <v>163</v>
      </c>
      <c r="CV85" s="0" t="s">
        <v>5562</v>
      </c>
      <c r="CW85" s="0" t="s">
        <v>6724</v>
      </c>
      <c r="CX85" s="0" t="s">
        <v>6725</v>
      </c>
      <c r="CY85" s="0" t="s">
        <v>6726</v>
      </c>
      <c r="CZ85" s="0" t="s">
        <v>6710</v>
      </c>
      <c r="DA85" s="0" t="s">
        <v>6234</v>
      </c>
      <c r="DC85" s="0" t="s">
        <v>1189</v>
      </c>
      <c r="DY85" s="0" t="str">
        <f aca="false">IF(ISNUMBER(MATCH(U85,{"queued","contacted","replied","call_booked","call_done","yes_in_principle","materials_sent"},0)),"Y","N")</f>
        <v>N</v>
      </c>
      <c r="DZ85" s="0" t="str">
        <f aca="false">IF(COUNTIFS($AN$2:$AN$1000,AN85,$DY$2:$DY$1000,"Y")+COUNTIFS($AN$2:$AN$1000,AN85,$T$2:$T$1000,"Y")&gt;0,"Y","N")</f>
        <v>N</v>
      </c>
      <c r="EA85" s="0" t="str">
        <f aca="false">IF(AND(U85="new",T85="N",AR85="Y",AQ85="",DZ85="N"),"Y","N")</f>
        <v>Y</v>
      </c>
      <c r="EB85" s="0" t="str">
        <f aca="false">IF(EA85&lt;&gt;"Y","N",IF(COUNTIFS($AN$2:$AN$1000,AN85,$EA$2:$EA$1000,"Y",$J$2:$J$1000,"&gt;"&amp;J85)+COUNTIFS($AN$2:$AN$1000,AN85,$EA$2:$EA$1000,"Y",$J$2:$J$1000,J85,$ED$2:$ED$1000,"&lt;"&amp;ED85)=0,"Y","N"))</f>
        <v>Y</v>
      </c>
      <c r="EC85" s="0" t="str">
        <f aca="false">IF(Y85="","N",IF(Y85&lt;=10,"Y","N"))</f>
        <v>N</v>
      </c>
      <c r="ED85" s="0" t="n">
        <f aca="false">ROW()-1</f>
        <v>84</v>
      </c>
    </row>
    <row r="86" customFormat="false" ht="15" hidden="false" customHeight="false" outlineLevel="0" collapsed="false">
      <c r="A86" s="0" t="s">
        <v>6727</v>
      </c>
      <c r="B86" s="0" t="s">
        <v>6728</v>
      </c>
      <c r="C86" s="0" t="s">
        <v>6729</v>
      </c>
      <c r="D86" s="0" t="s">
        <v>6730</v>
      </c>
      <c r="E86" s="0" t="s">
        <v>4656</v>
      </c>
      <c r="H86" s="5" t="s">
        <v>158</v>
      </c>
      <c r="I86" s="5" t="s">
        <v>159</v>
      </c>
      <c r="J86" s="0" t="n">
        <f aca="false">IF(AU86="pass",CM86+CN86+CO86+CP86+CQ86+CR86+CS86+CT86,0)</f>
        <v>46</v>
      </c>
      <c r="K86" s="0" t="s">
        <v>6731</v>
      </c>
      <c r="M86" s="0" t="s">
        <v>5291</v>
      </c>
      <c r="N86" s="0" t="s">
        <v>598</v>
      </c>
      <c r="O86" s="0" t="s">
        <v>6732</v>
      </c>
      <c r="P86" s="0" t="s">
        <v>6733</v>
      </c>
      <c r="Q86" s="0" t="s">
        <v>6734</v>
      </c>
      <c r="R86" s="5" t="s">
        <v>162</v>
      </c>
      <c r="S86" s="0" t="s">
        <v>168</v>
      </c>
      <c r="T86" s="5" t="s">
        <v>162</v>
      </c>
      <c r="U86" s="5" t="s">
        <v>561</v>
      </c>
      <c r="V86" s="0" t="s">
        <v>6735</v>
      </c>
      <c r="W86" s="0" t="s">
        <v>166</v>
      </c>
      <c r="X86" s="0" t="s">
        <v>4585</v>
      </c>
      <c r="Y86" s="0" t="n">
        <f aca="false">IF(EB86&lt;&gt;"Y","",COUNTIFS($EB$2:$EB$1000,"Y",$J$2:$J$1000,"&gt;"&amp;J86)+COUNTIFS($EB$2:$EB$1000,"Y",$J$2:$J$1000,J86,$ED$2:$ED$1000,"&lt;"&amp;ED86)+1)</f>
        <v>80</v>
      </c>
      <c r="Z86" s="0" t="n">
        <v>85</v>
      </c>
      <c r="AA86" s="0" t="s">
        <v>162</v>
      </c>
      <c r="AB86" s="0" t="s">
        <v>6736</v>
      </c>
      <c r="AC86" s="0" t="s">
        <v>4587</v>
      </c>
      <c r="AD86" s="0" t="s">
        <v>171</v>
      </c>
      <c r="AE86" s="0" t="s">
        <v>1189</v>
      </c>
      <c r="AF86" s="0" t="s">
        <v>6733</v>
      </c>
      <c r="AG86" s="0" t="s">
        <v>166</v>
      </c>
      <c r="AH86" s="0" t="s">
        <v>6737</v>
      </c>
      <c r="AI86" s="0" t="s">
        <v>4975</v>
      </c>
      <c r="AJ86" s="0" t="s">
        <v>6738</v>
      </c>
      <c r="AK86" s="0" t="s">
        <v>6739</v>
      </c>
      <c r="AL86" s="0" t="s">
        <v>168</v>
      </c>
      <c r="AM86" s="0" t="s">
        <v>6740</v>
      </c>
      <c r="AN86" s="0" t="s">
        <v>6727</v>
      </c>
      <c r="AO86" s="5" t="s">
        <v>162</v>
      </c>
      <c r="AR86" s="0" t="str">
        <f aca="false">IF(AND(AU86="pass",AO86&lt;&gt;"Y",C86&lt;&gt;""),"Y","N")</f>
        <v>Y</v>
      </c>
      <c r="AS86" s="0" t="str">
        <f aca="false">_xlfn.TEXTJOIN("; ",TRUE(),IF(AU86&lt;&gt;"pass","gated out",""),IF(AO86="Y","on hold: "&amp;AP86,""),IF(C86="","no contact named on an opened page",""))</f>
        <v/>
      </c>
      <c r="AU86" s="0" t="s">
        <v>181</v>
      </c>
      <c r="AW86" s="0" t="s">
        <v>182</v>
      </c>
      <c r="AX86" s="0" t="s">
        <v>4594</v>
      </c>
      <c r="AY86" s="0" t="s">
        <v>6739</v>
      </c>
      <c r="AZ86" s="0" t="s">
        <v>4922</v>
      </c>
      <c r="BA86" s="0" t="s">
        <v>4923</v>
      </c>
      <c r="BB86" s="0" t="s">
        <v>163</v>
      </c>
      <c r="BD86" s="0" t="s">
        <v>168</v>
      </c>
      <c r="BE86" s="0" t="s">
        <v>6741</v>
      </c>
      <c r="BF86" s="0" t="s">
        <v>168</v>
      </c>
      <c r="BG86" s="0" t="s">
        <v>168</v>
      </c>
      <c r="BH86" s="0" t="s">
        <v>163</v>
      </c>
      <c r="BJ86" s="0" t="s">
        <v>163</v>
      </c>
      <c r="BK86" s="0" t="s">
        <v>162</v>
      </c>
      <c r="BL86" s="0" t="s">
        <v>162</v>
      </c>
      <c r="BO86" s="0" t="s">
        <v>162</v>
      </c>
      <c r="BP86" s="0" t="n">
        <v>0</v>
      </c>
      <c r="BS86" s="0" t="s">
        <v>6742</v>
      </c>
      <c r="BT86" s="0" t="s">
        <v>6735</v>
      </c>
      <c r="BU86" s="0" t="s">
        <v>4604</v>
      </c>
      <c r="BV86" s="0" t="n">
        <v>60</v>
      </c>
      <c r="BW86" s="0" t="s">
        <v>6735</v>
      </c>
      <c r="BX86" s="0" t="s">
        <v>6743</v>
      </c>
      <c r="CF86" s="0" t="s">
        <v>158</v>
      </c>
      <c r="CK86" s="0" t="s">
        <v>158</v>
      </c>
      <c r="CL86" s="0" t="n">
        <v>46</v>
      </c>
      <c r="CM86" s="0" t="n">
        <v>6</v>
      </c>
      <c r="CN86" s="0" t="n">
        <v>8</v>
      </c>
      <c r="CO86" s="0" t="n">
        <v>15</v>
      </c>
      <c r="CP86" s="0" t="n">
        <v>5</v>
      </c>
      <c r="CQ86" s="0" t="n">
        <v>10</v>
      </c>
      <c r="CR86" s="0" t="n">
        <v>6</v>
      </c>
      <c r="CS86" s="0" t="n">
        <f aca="false">IF(R86="Y",10,0)</f>
        <v>0</v>
      </c>
      <c r="CT86" s="0" t="n">
        <v>-4</v>
      </c>
      <c r="CV86" s="0" t="s">
        <v>4615</v>
      </c>
      <c r="CW86" s="0" t="s">
        <v>6744</v>
      </c>
      <c r="CX86" s="0" t="s">
        <v>6745</v>
      </c>
      <c r="CY86" s="0" t="s">
        <v>6746</v>
      </c>
      <c r="DA86" s="0" t="s">
        <v>6234</v>
      </c>
      <c r="DY86" s="0" t="str">
        <f aca="false">IF(ISNUMBER(MATCH(U86,{"queued","contacted","replied","call_booked","call_done","yes_in_principle","materials_sent"},0)),"Y","N")</f>
        <v>N</v>
      </c>
      <c r="DZ86" s="0" t="str">
        <f aca="false">IF(COUNTIFS($AN$2:$AN$1000,AN86,$DY$2:$DY$1000,"Y")+COUNTIFS($AN$2:$AN$1000,AN86,$T$2:$T$1000,"Y")&gt;0,"Y","N")</f>
        <v>N</v>
      </c>
      <c r="EA86" s="0" t="str">
        <f aca="false">IF(AND(U86="new",T86="N",AR86="Y",AQ86="",DZ86="N"),"Y","N")</f>
        <v>Y</v>
      </c>
      <c r="EB86" s="0" t="str">
        <f aca="false">IF(EA86&lt;&gt;"Y","N",IF(COUNTIFS($AN$2:$AN$1000,AN86,$EA$2:$EA$1000,"Y",$J$2:$J$1000,"&gt;"&amp;J86)+COUNTIFS($AN$2:$AN$1000,AN86,$EA$2:$EA$1000,"Y",$J$2:$J$1000,J86,$ED$2:$ED$1000,"&lt;"&amp;ED86)=0,"Y","N"))</f>
        <v>Y</v>
      </c>
      <c r="EC86" s="0" t="str">
        <f aca="false">IF(Y86="","N",IF(Y86&lt;=10,"Y","N"))</f>
        <v>N</v>
      </c>
      <c r="ED86" s="0" t="n">
        <f aca="false">ROW()-1</f>
        <v>85</v>
      </c>
    </row>
    <row r="87" customFormat="false" ht="15" hidden="false" customHeight="false" outlineLevel="0" collapsed="false">
      <c r="A87" s="0" t="s">
        <v>6747</v>
      </c>
      <c r="B87" s="0" t="s">
        <v>6748</v>
      </c>
      <c r="C87" s="0" t="s">
        <v>1357</v>
      </c>
      <c r="D87" s="0" t="s">
        <v>6749</v>
      </c>
      <c r="E87" s="0" t="s">
        <v>6750</v>
      </c>
      <c r="H87" s="5" t="s">
        <v>158</v>
      </c>
      <c r="I87" s="5" t="s">
        <v>159</v>
      </c>
      <c r="J87" s="0" t="n">
        <f aca="false">IF(AU87="pass",CM87+CN87+CO87+CP87+CQ87+CR87+CS87+CT87,0)</f>
        <v>46</v>
      </c>
      <c r="K87" s="0" t="s">
        <v>6751</v>
      </c>
      <c r="M87" s="0" t="s">
        <v>5291</v>
      </c>
      <c r="N87" s="0" t="s">
        <v>598</v>
      </c>
      <c r="O87" s="0" t="s">
        <v>6752</v>
      </c>
      <c r="P87" s="0" t="s">
        <v>6753</v>
      </c>
      <c r="Q87" s="0" t="s">
        <v>6754</v>
      </c>
      <c r="R87" s="5" t="s">
        <v>162</v>
      </c>
      <c r="S87" s="0" t="s">
        <v>168</v>
      </c>
      <c r="T87" s="5" t="s">
        <v>162</v>
      </c>
      <c r="U87" s="5" t="s">
        <v>561</v>
      </c>
      <c r="V87" s="0" t="s">
        <v>6755</v>
      </c>
      <c r="W87" s="0" t="s">
        <v>166</v>
      </c>
      <c r="X87" s="0" t="s">
        <v>4585</v>
      </c>
      <c r="Y87" s="0" t="n">
        <f aca="false">IF(EB87&lt;&gt;"Y","",COUNTIFS($EB$2:$EB$1000,"Y",$J$2:$J$1000,"&gt;"&amp;J87)+COUNTIFS($EB$2:$EB$1000,"Y",$J$2:$J$1000,J87,$ED$2:$ED$1000,"&lt;"&amp;ED87)+1)</f>
        <v>81</v>
      </c>
      <c r="Z87" s="0" t="n">
        <v>86</v>
      </c>
      <c r="AA87" s="0" t="s">
        <v>162</v>
      </c>
      <c r="AB87" s="0" t="s">
        <v>6756</v>
      </c>
      <c r="AC87" s="0" t="s">
        <v>4587</v>
      </c>
      <c r="AD87" s="0" t="s">
        <v>171</v>
      </c>
      <c r="AE87" s="0" t="s">
        <v>172</v>
      </c>
      <c r="AF87" s="0" t="s">
        <v>6755</v>
      </c>
      <c r="AG87" s="0" t="s">
        <v>166</v>
      </c>
      <c r="AH87" s="0" t="s">
        <v>6757</v>
      </c>
      <c r="AI87" s="0" t="s">
        <v>4826</v>
      </c>
      <c r="AJ87" s="0" t="s">
        <v>6758</v>
      </c>
      <c r="AK87" s="0" t="s">
        <v>6759</v>
      </c>
      <c r="AL87" s="0" t="s">
        <v>162</v>
      </c>
      <c r="AN87" s="0" t="s">
        <v>6747</v>
      </c>
      <c r="AO87" s="5" t="s">
        <v>162</v>
      </c>
      <c r="AR87" s="0" t="str">
        <f aca="false">IF(AND(AU87="pass",AO87&lt;&gt;"Y",C87&lt;&gt;""),"Y","N")</f>
        <v>Y</v>
      </c>
      <c r="AS87" s="0" t="str">
        <f aca="false">_xlfn.TEXTJOIN("; ",TRUE(),IF(AU87&lt;&gt;"pass","gated out",""),IF(AO87="Y","on hold: "&amp;AP87,""),IF(C87="","no contact named on an opened page",""))</f>
        <v/>
      </c>
      <c r="AU87" s="0" t="s">
        <v>181</v>
      </c>
      <c r="AW87" s="0" t="s">
        <v>182</v>
      </c>
      <c r="AY87" s="0" t="s">
        <v>6759</v>
      </c>
      <c r="AZ87" s="0" t="s">
        <v>6760</v>
      </c>
      <c r="BA87" s="0" t="s">
        <v>5329</v>
      </c>
      <c r="BB87" s="0" t="s">
        <v>163</v>
      </c>
      <c r="BD87" s="0" t="s">
        <v>168</v>
      </c>
      <c r="BE87" s="0" t="s">
        <v>6761</v>
      </c>
      <c r="BF87" s="0" t="s">
        <v>162</v>
      </c>
      <c r="BG87" s="0" t="s">
        <v>168</v>
      </c>
      <c r="BH87" s="0" t="s">
        <v>163</v>
      </c>
      <c r="BJ87" s="0" t="s">
        <v>163</v>
      </c>
      <c r="BK87" s="0" t="s">
        <v>162</v>
      </c>
      <c r="BL87" s="0" t="s">
        <v>162</v>
      </c>
      <c r="BO87" s="0" t="s">
        <v>162</v>
      </c>
      <c r="BP87" s="0" t="n">
        <v>0</v>
      </c>
      <c r="BR87" s="0" t="s">
        <v>6762</v>
      </c>
      <c r="BS87" s="0" t="s">
        <v>6763</v>
      </c>
      <c r="BT87" s="0" t="s">
        <v>6764</v>
      </c>
      <c r="BU87" s="0" t="s">
        <v>4604</v>
      </c>
      <c r="BV87" s="0" t="n">
        <v>164</v>
      </c>
      <c r="BW87" s="0" t="s">
        <v>6753</v>
      </c>
      <c r="BX87" s="0" t="s">
        <v>6765</v>
      </c>
      <c r="CA87" s="0" t="s">
        <v>6766</v>
      </c>
      <c r="CB87" s="0" t="s">
        <v>6767</v>
      </c>
      <c r="CC87" s="0" t="s">
        <v>6768</v>
      </c>
      <c r="CD87" s="0" t="s">
        <v>6769</v>
      </c>
      <c r="CE87" s="0" t="s">
        <v>6260</v>
      </c>
      <c r="CF87" s="0" t="s">
        <v>171</v>
      </c>
      <c r="CK87" s="0" t="s">
        <v>158</v>
      </c>
      <c r="CL87" s="0" t="n">
        <v>46</v>
      </c>
      <c r="CM87" s="0" t="n">
        <v>6</v>
      </c>
      <c r="CN87" s="0" t="n">
        <v>3</v>
      </c>
      <c r="CO87" s="0" t="n">
        <v>15</v>
      </c>
      <c r="CP87" s="0" t="n">
        <v>5</v>
      </c>
      <c r="CQ87" s="0" t="n">
        <v>7</v>
      </c>
      <c r="CR87" s="0" t="n">
        <v>10</v>
      </c>
      <c r="CS87" s="0" t="n">
        <f aca="false">IF(R87="Y",10,0)</f>
        <v>0</v>
      </c>
      <c r="CT87" s="0" t="n">
        <v>0</v>
      </c>
      <c r="CU87" s="0" t="s">
        <v>6770</v>
      </c>
      <c r="CV87" s="0" t="s">
        <v>4841</v>
      </c>
      <c r="CW87" s="0" t="s">
        <v>6771</v>
      </c>
      <c r="CX87" s="0" t="s">
        <v>6772</v>
      </c>
      <c r="CY87" s="0" t="s">
        <v>6773</v>
      </c>
      <c r="CZ87" s="0" t="s">
        <v>6774</v>
      </c>
      <c r="DA87" s="0" t="s">
        <v>6234</v>
      </c>
      <c r="DC87" s="0" t="s">
        <v>172</v>
      </c>
      <c r="DY87" s="0" t="str">
        <f aca="false">IF(ISNUMBER(MATCH(U87,{"queued","contacted","replied","call_booked","call_done","yes_in_principle","materials_sent"},0)),"Y","N")</f>
        <v>N</v>
      </c>
      <c r="DZ87" s="0" t="str">
        <f aca="false">IF(COUNTIFS($AN$2:$AN$1000,AN87,$DY$2:$DY$1000,"Y")+COUNTIFS($AN$2:$AN$1000,AN87,$T$2:$T$1000,"Y")&gt;0,"Y","N")</f>
        <v>N</v>
      </c>
      <c r="EA87" s="0" t="str">
        <f aca="false">IF(AND(U87="new",T87="N",AR87="Y",AQ87="",DZ87="N"),"Y","N")</f>
        <v>Y</v>
      </c>
      <c r="EB87" s="0" t="str">
        <f aca="false">IF(EA87&lt;&gt;"Y","N",IF(COUNTIFS($AN$2:$AN$1000,AN87,$EA$2:$EA$1000,"Y",$J$2:$J$1000,"&gt;"&amp;J87)+COUNTIFS($AN$2:$AN$1000,AN87,$EA$2:$EA$1000,"Y",$J$2:$J$1000,J87,$ED$2:$ED$1000,"&lt;"&amp;ED87)=0,"Y","N"))</f>
        <v>Y</v>
      </c>
      <c r="EC87" s="0" t="str">
        <f aca="false">IF(Y87="","N",IF(Y87&lt;=10,"Y","N"))</f>
        <v>N</v>
      </c>
      <c r="ED87" s="0" t="n">
        <f aca="false">ROW()-1</f>
        <v>86</v>
      </c>
    </row>
    <row r="88" customFormat="false" ht="15" hidden="false" customHeight="false" outlineLevel="0" collapsed="false">
      <c r="A88" s="0" t="s">
        <v>6775</v>
      </c>
      <c r="B88" s="0" t="s">
        <v>6776</v>
      </c>
      <c r="C88" s="0" t="s">
        <v>6777</v>
      </c>
      <c r="D88" s="0" t="s">
        <v>6778</v>
      </c>
      <c r="E88" s="0" t="s">
        <v>4910</v>
      </c>
      <c r="H88" s="5" t="s">
        <v>158</v>
      </c>
      <c r="I88" s="5" t="s">
        <v>159</v>
      </c>
      <c r="J88" s="0" t="n">
        <f aca="false">IF(AU88="pass",CM88+CN88+CO88+CP88+CQ88+CR88+CS88+CT88,0)</f>
        <v>46</v>
      </c>
      <c r="K88" s="0" t="s">
        <v>6779</v>
      </c>
      <c r="M88" s="0" t="s">
        <v>5291</v>
      </c>
      <c r="N88" s="0" t="s">
        <v>598</v>
      </c>
      <c r="O88" s="0" t="s">
        <v>6780</v>
      </c>
      <c r="P88" s="0" t="s">
        <v>6781</v>
      </c>
      <c r="Q88" s="0" t="s">
        <v>6782</v>
      </c>
      <c r="R88" s="5" t="s">
        <v>162</v>
      </c>
      <c r="S88" s="0" t="s">
        <v>168</v>
      </c>
      <c r="T88" s="5" t="s">
        <v>162</v>
      </c>
      <c r="U88" s="5" t="s">
        <v>561</v>
      </c>
      <c r="V88" s="0" t="s">
        <v>6783</v>
      </c>
      <c r="W88" s="0" t="s">
        <v>166</v>
      </c>
      <c r="X88" s="0" t="s">
        <v>4585</v>
      </c>
      <c r="Y88" s="0" t="n">
        <f aca="false">IF(EB88&lt;&gt;"Y","",COUNTIFS($EB$2:$EB$1000,"Y",$J$2:$J$1000,"&gt;"&amp;J88)+COUNTIFS($EB$2:$EB$1000,"Y",$J$2:$J$1000,J88,$ED$2:$ED$1000,"&lt;"&amp;ED88)+1)</f>
        <v>82</v>
      </c>
      <c r="Z88" s="0" t="n">
        <v>87</v>
      </c>
      <c r="AA88" s="0" t="s">
        <v>162</v>
      </c>
      <c r="AB88" s="0" t="s">
        <v>6784</v>
      </c>
      <c r="AC88" s="0" t="s">
        <v>4587</v>
      </c>
      <c r="AD88" s="0" t="s">
        <v>171</v>
      </c>
      <c r="AE88" s="0" t="s">
        <v>1189</v>
      </c>
      <c r="AF88" s="0" t="s">
        <v>6781</v>
      </c>
      <c r="AG88" s="0" t="s">
        <v>166</v>
      </c>
      <c r="AH88" s="0" t="s">
        <v>6785</v>
      </c>
      <c r="AI88" s="0" t="s">
        <v>5383</v>
      </c>
      <c r="AJ88" s="0" t="s">
        <v>6474</v>
      </c>
      <c r="AK88" s="0" t="s">
        <v>6786</v>
      </c>
      <c r="AL88" s="0" t="s">
        <v>168</v>
      </c>
      <c r="AM88" s="0" t="s">
        <v>6787</v>
      </c>
      <c r="AN88" s="0" t="s">
        <v>6775</v>
      </c>
      <c r="AO88" s="5" t="s">
        <v>162</v>
      </c>
      <c r="AR88" s="0" t="str">
        <f aca="false">IF(AND(AU88="pass",AO88&lt;&gt;"Y",C88&lt;&gt;""),"Y","N")</f>
        <v>Y</v>
      </c>
      <c r="AS88" s="0" t="str">
        <f aca="false">_xlfn.TEXTJOIN("; ",TRUE(),IF(AU88&lt;&gt;"pass","gated out",""),IF(AO88="Y","on hold: "&amp;AP88,""),IF(C88="","no contact named on an opened page",""))</f>
        <v/>
      </c>
      <c r="AU88" s="0" t="s">
        <v>181</v>
      </c>
      <c r="AW88" s="0" t="s">
        <v>182</v>
      </c>
      <c r="AX88" s="0" t="s">
        <v>4594</v>
      </c>
      <c r="AY88" s="0" t="s">
        <v>6786</v>
      </c>
      <c r="AZ88" s="0" t="s">
        <v>6476</v>
      </c>
      <c r="BA88" s="0" t="s">
        <v>5191</v>
      </c>
      <c r="BB88" s="0" t="s">
        <v>163</v>
      </c>
      <c r="BD88" s="0" t="s">
        <v>168</v>
      </c>
      <c r="BE88" s="0" t="s">
        <v>6788</v>
      </c>
      <c r="BF88" s="0" t="s">
        <v>168</v>
      </c>
      <c r="BG88" s="0" t="s">
        <v>168</v>
      </c>
      <c r="BH88" s="0" t="s">
        <v>163</v>
      </c>
      <c r="BJ88" s="0" t="s">
        <v>6789</v>
      </c>
      <c r="BK88" s="0" t="s">
        <v>162</v>
      </c>
      <c r="BL88" s="0" t="s">
        <v>162</v>
      </c>
      <c r="BO88" s="0" t="s">
        <v>162</v>
      </c>
      <c r="BP88" s="0" t="n">
        <v>0</v>
      </c>
      <c r="BS88" s="0" t="s">
        <v>6790</v>
      </c>
      <c r="BT88" s="0" t="s">
        <v>6783</v>
      </c>
      <c r="BU88" s="0" t="s">
        <v>4604</v>
      </c>
      <c r="BV88" s="0" t="n">
        <v>24</v>
      </c>
      <c r="BW88" s="0" t="s">
        <v>6781</v>
      </c>
      <c r="BX88" s="0" t="s">
        <v>6791</v>
      </c>
      <c r="CF88" s="0" t="s">
        <v>158</v>
      </c>
      <c r="CK88" s="0" t="s">
        <v>158</v>
      </c>
      <c r="CL88" s="0" t="n">
        <v>46</v>
      </c>
      <c r="CM88" s="0" t="n">
        <v>6</v>
      </c>
      <c r="CN88" s="0" t="n">
        <v>8</v>
      </c>
      <c r="CO88" s="0" t="n">
        <v>15</v>
      </c>
      <c r="CP88" s="0" t="n">
        <v>5</v>
      </c>
      <c r="CQ88" s="0" t="n">
        <v>10</v>
      </c>
      <c r="CR88" s="0" t="n">
        <v>6</v>
      </c>
      <c r="CS88" s="0" t="n">
        <f aca="false">IF(R88="Y",10,0)</f>
        <v>0</v>
      </c>
      <c r="CT88" s="0" t="n">
        <v>-4</v>
      </c>
      <c r="CV88" s="0" t="s">
        <v>4615</v>
      </c>
      <c r="CW88" s="0" t="s">
        <v>6792</v>
      </c>
      <c r="CX88" s="0" t="s">
        <v>6793</v>
      </c>
      <c r="CY88" s="0" t="s">
        <v>6794</v>
      </c>
      <c r="DA88" s="0" t="s">
        <v>6234</v>
      </c>
      <c r="DY88" s="0" t="str">
        <f aca="false">IF(ISNUMBER(MATCH(U88,{"queued","contacted","replied","call_booked","call_done","yes_in_principle","materials_sent"},0)),"Y","N")</f>
        <v>N</v>
      </c>
      <c r="DZ88" s="0" t="str">
        <f aca="false">IF(COUNTIFS($AN$2:$AN$1000,AN88,$DY$2:$DY$1000,"Y")+COUNTIFS($AN$2:$AN$1000,AN88,$T$2:$T$1000,"Y")&gt;0,"Y","N")</f>
        <v>N</v>
      </c>
      <c r="EA88" s="0" t="str">
        <f aca="false">IF(AND(U88="new",T88="N",AR88="Y",AQ88="",DZ88="N"),"Y","N")</f>
        <v>Y</v>
      </c>
      <c r="EB88" s="0" t="str">
        <f aca="false">IF(EA88&lt;&gt;"Y","N",IF(COUNTIFS($AN$2:$AN$1000,AN88,$EA$2:$EA$1000,"Y",$J$2:$J$1000,"&gt;"&amp;J88)+COUNTIFS($AN$2:$AN$1000,AN88,$EA$2:$EA$1000,"Y",$J$2:$J$1000,J88,$ED$2:$ED$1000,"&lt;"&amp;ED88)=0,"Y","N"))</f>
        <v>Y</v>
      </c>
      <c r="EC88" s="0" t="str">
        <f aca="false">IF(Y88="","N",IF(Y88&lt;=10,"Y","N"))</f>
        <v>N</v>
      </c>
      <c r="ED88" s="0" t="n">
        <f aca="false">ROW()-1</f>
        <v>87</v>
      </c>
    </row>
    <row r="89" customFormat="false" ht="15" hidden="false" customHeight="false" outlineLevel="0" collapsed="false">
      <c r="A89" s="0" t="s">
        <v>6795</v>
      </c>
      <c r="B89" s="0" t="s">
        <v>6796</v>
      </c>
      <c r="C89" s="0" t="s">
        <v>6797</v>
      </c>
      <c r="D89" s="0" t="s">
        <v>6798</v>
      </c>
      <c r="E89" s="0" t="s">
        <v>4771</v>
      </c>
      <c r="H89" s="5" t="s">
        <v>158</v>
      </c>
      <c r="I89" s="5" t="s">
        <v>159</v>
      </c>
      <c r="J89" s="0" t="n">
        <f aca="false">IF(AU89="pass",CM89+CN89+CO89+CP89+CQ89+CR89+CS89+CT89,0)</f>
        <v>46</v>
      </c>
      <c r="K89" s="0" t="s">
        <v>6799</v>
      </c>
      <c r="M89" s="0" t="s">
        <v>5291</v>
      </c>
      <c r="N89" s="0" t="s">
        <v>598</v>
      </c>
      <c r="O89" s="0" t="s">
        <v>6800</v>
      </c>
      <c r="P89" s="0" t="s">
        <v>6801</v>
      </c>
      <c r="Q89" s="0" t="s">
        <v>5943</v>
      </c>
      <c r="R89" s="5" t="s">
        <v>162</v>
      </c>
      <c r="S89" s="0" t="s">
        <v>163</v>
      </c>
      <c r="T89" s="5" t="s">
        <v>162</v>
      </c>
      <c r="U89" s="5" t="s">
        <v>561</v>
      </c>
      <c r="V89" s="0" t="s">
        <v>6802</v>
      </c>
      <c r="W89" s="0" t="s">
        <v>166</v>
      </c>
      <c r="X89" s="0" t="s">
        <v>4585</v>
      </c>
      <c r="Y89" s="0" t="n">
        <f aca="false">IF(EB89&lt;&gt;"Y","",COUNTIFS($EB$2:$EB$1000,"Y",$J$2:$J$1000,"&gt;"&amp;J89)+COUNTIFS($EB$2:$EB$1000,"Y",$J$2:$J$1000,J89,$ED$2:$ED$1000,"&lt;"&amp;ED89)+1)</f>
        <v>83</v>
      </c>
      <c r="Z89" s="0" t="n">
        <v>88</v>
      </c>
      <c r="AA89" s="0" t="s">
        <v>162</v>
      </c>
      <c r="AB89" s="0" t="s">
        <v>6803</v>
      </c>
      <c r="AC89" s="0" t="s">
        <v>4587</v>
      </c>
      <c r="AD89" s="0" t="s">
        <v>171</v>
      </c>
      <c r="AE89" s="0" t="s">
        <v>1189</v>
      </c>
      <c r="AF89" s="0" t="s">
        <v>6804</v>
      </c>
      <c r="AG89" s="0" t="s">
        <v>166</v>
      </c>
      <c r="AH89" s="0" t="s">
        <v>6805</v>
      </c>
      <c r="AI89" s="0" t="s">
        <v>4633</v>
      </c>
      <c r="AJ89" s="0" t="s">
        <v>6806</v>
      </c>
      <c r="AK89" s="0" t="s">
        <v>6801</v>
      </c>
      <c r="AL89" s="0" t="s">
        <v>162</v>
      </c>
      <c r="AN89" s="0" t="s">
        <v>6795</v>
      </c>
      <c r="AO89" s="5" t="s">
        <v>162</v>
      </c>
      <c r="AR89" s="0" t="str">
        <f aca="false">IF(AND(AU89="pass",AO89&lt;&gt;"Y",C89&lt;&gt;""),"Y","N")</f>
        <v>Y</v>
      </c>
      <c r="AS89" s="0" t="str">
        <f aca="false">_xlfn.TEXTJOIN("; ",TRUE(),IF(AU89&lt;&gt;"pass","gated out",""),IF(AO89="Y","on hold: "&amp;AP89,""),IF(C89="","no contact named on an opened page",""))</f>
        <v/>
      </c>
      <c r="AU89" s="0" t="s">
        <v>181</v>
      </c>
      <c r="AW89" s="0" t="s">
        <v>182</v>
      </c>
      <c r="AY89" s="0" t="s">
        <v>6807</v>
      </c>
      <c r="AZ89" s="0" t="s">
        <v>4595</v>
      </c>
      <c r="BA89" s="0" t="s">
        <v>4951</v>
      </c>
      <c r="BB89" s="0" t="s">
        <v>163</v>
      </c>
      <c r="BD89" s="0" t="s">
        <v>168</v>
      </c>
      <c r="BE89" s="0" t="s">
        <v>6808</v>
      </c>
      <c r="BF89" s="0" t="s">
        <v>163</v>
      </c>
      <c r="BG89" s="0" t="s">
        <v>168</v>
      </c>
      <c r="BH89" s="0" t="s">
        <v>163</v>
      </c>
      <c r="BJ89" s="0" t="s">
        <v>163</v>
      </c>
      <c r="BK89" s="0" t="s">
        <v>162</v>
      </c>
      <c r="BL89" s="0" t="s">
        <v>162</v>
      </c>
      <c r="BO89" s="0" t="s">
        <v>162</v>
      </c>
      <c r="BP89" s="0" t="n">
        <v>0</v>
      </c>
      <c r="BR89" s="0" t="s">
        <v>6762</v>
      </c>
      <c r="BS89" s="0" t="s">
        <v>6809</v>
      </c>
      <c r="BT89" s="0" t="s">
        <v>6810</v>
      </c>
      <c r="BU89" s="0" t="s">
        <v>4694</v>
      </c>
      <c r="BV89" s="0" t="n">
        <v>65</v>
      </c>
      <c r="BX89" s="0" t="s">
        <v>6811</v>
      </c>
      <c r="CF89" s="0" t="s">
        <v>158</v>
      </c>
      <c r="CK89" s="0" t="s">
        <v>158</v>
      </c>
      <c r="CL89" s="0" t="n">
        <v>46</v>
      </c>
      <c r="CM89" s="0" t="n">
        <v>6</v>
      </c>
      <c r="CN89" s="0" t="n">
        <v>13</v>
      </c>
      <c r="CO89" s="0" t="n">
        <v>8</v>
      </c>
      <c r="CP89" s="0" t="n">
        <v>5</v>
      </c>
      <c r="CQ89" s="0" t="n">
        <v>8</v>
      </c>
      <c r="CR89" s="0" t="n">
        <v>6</v>
      </c>
      <c r="CS89" s="0" t="n">
        <f aca="false">IF(R89="Y",10,0)</f>
        <v>0</v>
      </c>
      <c r="CT89" s="0" t="n">
        <v>0</v>
      </c>
      <c r="CU89" s="0" t="s">
        <v>6812</v>
      </c>
      <c r="CV89" s="0" t="s">
        <v>4841</v>
      </c>
      <c r="CW89" s="0" t="s">
        <v>6813</v>
      </c>
      <c r="CX89" s="0" t="s">
        <v>6814</v>
      </c>
      <c r="CY89" s="0" t="s">
        <v>6815</v>
      </c>
      <c r="DA89" s="0" t="s">
        <v>6234</v>
      </c>
      <c r="DY89" s="0" t="str">
        <f aca="false">IF(ISNUMBER(MATCH(U89,{"queued","contacted","replied","call_booked","call_done","yes_in_principle","materials_sent"},0)),"Y","N")</f>
        <v>N</v>
      </c>
      <c r="DZ89" s="0" t="str">
        <f aca="false">IF(COUNTIFS($AN$2:$AN$1000,AN89,$DY$2:$DY$1000,"Y")+COUNTIFS($AN$2:$AN$1000,AN89,$T$2:$T$1000,"Y")&gt;0,"Y","N")</f>
        <v>N</v>
      </c>
      <c r="EA89" s="0" t="str">
        <f aca="false">IF(AND(U89="new",T89="N",AR89="Y",AQ89="",DZ89="N"),"Y","N")</f>
        <v>Y</v>
      </c>
      <c r="EB89" s="0" t="str">
        <f aca="false">IF(EA89&lt;&gt;"Y","N",IF(COUNTIFS($AN$2:$AN$1000,AN89,$EA$2:$EA$1000,"Y",$J$2:$J$1000,"&gt;"&amp;J89)+COUNTIFS($AN$2:$AN$1000,AN89,$EA$2:$EA$1000,"Y",$J$2:$J$1000,J89,$ED$2:$ED$1000,"&lt;"&amp;ED89)=0,"Y","N"))</f>
        <v>Y</v>
      </c>
      <c r="EC89" s="0" t="str">
        <f aca="false">IF(Y89="","N",IF(Y89&lt;=10,"Y","N"))</f>
        <v>N</v>
      </c>
      <c r="ED89" s="0" t="n">
        <f aca="false">ROW()-1</f>
        <v>88</v>
      </c>
    </row>
    <row r="90" customFormat="false" ht="15" hidden="false" customHeight="false" outlineLevel="0" collapsed="false">
      <c r="A90" s="0" t="s">
        <v>6816</v>
      </c>
      <c r="B90" s="0" t="s">
        <v>6817</v>
      </c>
      <c r="C90" s="0" t="s">
        <v>5430</v>
      </c>
      <c r="D90" s="0" t="s">
        <v>6818</v>
      </c>
      <c r="E90" s="0" t="s">
        <v>6819</v>
      </c>
      <c r="H90" s="5" t="s">
        <v>158</v>
      </c>
      <c r="I90" s="5" t="s">
        <v>159</v>
      </c>
      <c r="J90" s="0" t="n">
        <f aca="false">IF(AU90="pass",CM90+CN90+CO90+CP90+CQ90+CR90+CS90+CT90,0)</f>
        <v>46</v>
      </c>
      <c r="K90" s="0" t="s">
        <v>6820</v>
      </c>
      <c r="M90" s="0" t="s">
        <v>5291</v>
      </c>
      <c r="N90" s="0" t="s">
        <v>598</v>
      </c>
      <c r="R90" s="5" t="s">
        <v>162</v>
      </c>
      <c r="S90" s="0" t="s">
        <v>163</v>
      </c>
      <c r="T90" s="5" t="s">
        <v>162</v>
      </c>
      <c r="U90" s="5" t="s">
        <v>561</v>
      </c>
      <c r="V90" s="0" t="s">
        <v>6821</v>
      </c>
      <c r="W90" s="0" t="s">
        <v>166</v>
      </c>
      <c r="X90" s="0" t="s">
        <v>4585</v>
      </c>
      <c r="Y90" s="0" t="n">
        <f aca="false">IF(EB90&lt;&gt;"Y","",COUNTIFS($EB$2:$EB$1000,"Y",$J$2:$J$1000,"&gt;"&amp;J90)+COUNTIFS($EB$2:$EB$1000,"Y",$J$2:$J$1000,J90,$ED$2:$ED$1000,"&lt;"&amp;ED90)+1)</f>
        <v>84</v>
      </c>
      <c r="Z90" s="0" t="n">
        <v>89</v>
      </c>
      <c r="AA90" s="0" t="s">
        <v>162</v>
      </c>
      <c r="AB90" s="0" t="s">
        <v>6822</v>
      </c>
      <c r="AC90" s="0" t="s">
        <v>4587</v>
      </c>
      <c r="AD90" s="0" t="s">
        <v>171</v>
      </c>
      <c r="AE90" s="0" t="s">
        <v>1189</v>
      </c>
      <c r="AF90" s="0" t="s">
        <v>6823</v>
      </c>
      <c r="AG90" s="0" t="s">
        <v>166</v>
      </c>
      <c r="AH90" s="0" t="s">
        <v>6824</v>
      </c>
      <c r="AI90" s="0" t="s">
        <v>4590</v>
      </c>
      <c r="AJ90" s="0" t="s">
        <v>6825</v>
      </c>
      <c r="AK90" s="0" t="s">
        <v>6826</v>
      </c>
      <c r="AL90" s="0" t="s">
        <v>168</v>
      </c>
      <c r="AM90" s="0" t="s">
        <v>6827</v>
      </c>
      <c r="AN90" s="0" t="s">
        <v>6816</v>
      </c>
      <c r="AO90" s="5" t="s">
        <v>162</v>
      </c>
      <c r="AR90" s="0" t="str">
        <f aca="false">IF(AND(AU90="pass",AO90&lt;&gt;"Y",C90&lt;&gt;""),"Y","N")</f>
        <v>Y</v>
      </c>
      <c r="AS90" s="0" t="str">
        <f aca="false">_xlfn.TEXTJOIN("; ",TRUE(),IF(AU90&lt;&gt;"pass","gated out",""),IF(AO90="Y","on hold: "&amp;AP90,""),IF(C90="","no contact named on an opened page",""))</f>
        <v/>
      </c>
      <c r="AU90" s="0" t="s">
        <v>181</v>
      </c>
      <c r="AW90" s="0" t="s">
        <v>182</v>
      </c>
      <c r="AX90" s="0" t="s">
        <v>282</v>
      </c>
      <c r="AY90" s="0" t="s">
        <v>6826</v>
      </c>
      <c r="AZ90" s="0" t="s">
        <v>4595</v>
      </c>
      <c r="BA90" s="0" t="s">
        <v>4596</v>
      </c>
      <c r="BB90" s="0" t="s">
        <v>6828</v>
      </c>
      <c r="BC90" s="0" t="s">
        <v>6829</v>
      </c>
      <c r="BD90" s="0" t="s">
        <v>163</v>
      </c>
      <c r="BE90" s="0" t="s">
        <v>6830</v>
      </c>
      <c r="BF90" s="0" t="s">
        <v>168</v>
      </c>
      <c r="BG90" s="0" t="s">
        <v>168</v>
      </c>
      <c r="BH90" s="0" t="s">
        <v>163</v>
      </c>
      <c r="BJ90" s="0" t="s">
        <v>5549</v>
      </c>
      <c r="BK90" s="0" t="s">
        <v>162</v>
      </c>
      <c r="BL90" s="0" t="s">
        <v>162</v>
      </c>
      <c r="BO90" s="0" t="s">
        <v>162</v>
      </c>
      <c r="BP90" s="0" t="n">
        <v>0</v>
      </c>
      <c r="BS90" s="0" t="s">
        <v>6831</v>
      </c>
      <c r="BU90" s="0" t="s">
        <v>158</v>
      </c>
      <c r="BX90" s="0" t="s">
        <v>6832</v>
      </c>
      <c r="CA90" s="0" t="s">
        <v>6833</v>
      </c>
      <c r="CB90" s="0" t="s">
        <v>6834</v>
      </c>
      <c r="CC90" s="0" t="s">
        <v>6835</v>
      </c>
      <c r="CD90" s="0" t="s">
        <v>6836</v>
      </c>
      <c r="CE90" s="0" t="s">
        <v>6260</v>
      </c>
      <c r="CF90" s="0" t="s">
        <v>171</v>
      </c>
      <c r="CK90" s="0" t="s">
        <v>158</v>
      </c>
      <c r="CL90" s="0" t="n">
        <v>46</v>
      </c>
      <c r="CM90" s="0" t="n">
        <v>6</v>
      </c>
      <c r="CN90" s="0" t="n">
        <v>20</v>
      </c>
      <c r="CO90" s="0" t="n">
        <v>0</v>
      </c>
      <c r="CP90" s="0" t="n">
        <v>5</v>
      </c>
      <c r="CQ90" s="0" t="n">
        <v>7</v>
      </c>
      <c r="CR90" s="0" t="n">
        <v>10</v>
      </c>
      <c r="CS90" s="0" t="n">
        <f aca="false">IF(R90="Y",10,0)</f>
        <v>0</v>
      </c>
      <c r="CT90" s="0" t="n">
        <v>-2</v>
      </c>
      <c r="CU90" s="0" t="s">
        <v>6837</v>
      </c>
      <c r="CV90" s="0" t="s">
        <v>5562</v>
      </c>
      <c r="CW90" s="0" t="s">
        <v>6838</v>
      </c>
      <c r="CX90" s="0" t="s">
        <v>6839</v>
      </c>
      <c r="CY90" s="0" t="s">
        <v>6840</v>
      </c>
      <c r="DA90" s="0" t="s">
        <v>6234</v>
      </c>
      <c r="DC90" s="0" t="s">
        <v>163</v>
      </c>
      <c r="DY90" s="0" t="str">
        <f aca="false">IF(ISNUMBER(MATCH(U90,{"queued","contacted","replied","call_booked","call_done","yes_in_principle","materials_sent"},0)),"Y","N")</f>
        <v>N</v>
      </c>
      <c r="DZ90" s="0" t="str">
        <f aca="false">IF(COUNTIFS($AN$2:$AN$1000,AN90,$DY$2:$DY$1000,"Y")+COUNTIFS($AN$2:$AN$1000,AN90,$T$2:$T$1000,"Y")&gt;0,"Y","N")</f>
        <v>N</v>
      </c>
      <c r="EA90" s="0" t="str">
        <f aca="false">IF(AND(U90="new",T90="N",AR90="Y",AQ90="",DZ90="N"),"Y","N")</f>
        <v>Y</v>
      </c>
      <c r="EB90" s="0" t="str">
        <f aca="false">IF(EA90&lt;&gt;"Y","N",IF(COUNTIFS($AN$2:$AN$1000,AN90,$EA$2:$EA$1000,"Y",$J$2:$J$1000,"&gt;"&amp;J90)+COUNTIFS($AN$2:$AN$1000,AN90,$EA$2:$EA$1000,"Y",$J$2:$J$1000,J90,$ED$2:$ED$1000,"&lt;"&amp;ED90)=0,"Y","N"))</f>
        <v>Y</v>
      </c>
      <c r="EC90" s="0" t="str">
        <f aca="false">IF(Y90="","N",IF(Y90&lt;=10,"Y","N"))</f>
        <v>N</v>
      </c>
      <c r="ED90" s="0" t="n">
        <f aca="false">ROW()-1</f>
        <v>89</v>
      </c>
    </row>
    <row r="91" customFormat="false" ht="15" hidden="false" customHeight="false" outlineLevel="0" collapsed="false">
      <c r="A91" s="0" t="s">
        <v>6841</v>
      </c>
      <c r="B91" s="0" t="s">
        <v>6842</v>
      </c>
      <c r="C91" s="0" t="s">
        <v>6843</v>
      </c>
      <c r="D91" s="0" t="s">
        <v>163</v>
      </c>
      <c r="E91" s="0" t="s">
        <v>4771</v>
      </c>
      <c r="H91" s="5" t="s">
        <v>158</v>
      </c>
      <c r="I91" s="5" t="s">
        <v>159</v>
      </c>
      <c r="J91" s="0" t="n">
        <f aca="false">IF(AU91="pass",CM91+CN91+CO91+CP91+CQ91+CR91+CS91+CT91,0)</f>
        <v>45</v>
      </c>
      <c r="K91" s="0" t="s">
        <v>6844</v>
      </c>
      <c r="M91" s="0" t="s">
        <v>6845</v>
      </c>
      <c r="N91" s="0" t="s">
        <v>5021</v>
      </c>
      <c r="R91" s="5" t="s">
        <v>162</v>
      </c>
      <c r="S91" s="0" t="s">
        <v>163</v>
      </c>
      <c r="T91" s="5" t="s">
        <v>162</v>
      </c>
      <c r="U91" s="5" t="s">
        <v>561</v>
      </c>
      <c r="V91" s="0" t="s">
        <v>5784</v>
      </c>
      <c r="W91" s="0" t="s">
        <v>174</v>
      </c>
      <c r="X91" s="0" t="s">
        <v>4585</v>
      </c>
      <c r="Y91" s="0" t="n">
        <f aca="false">IF(EB91&lt;&gt;"Y","",COUNTIFS($EB$2:$EB$1000,"Y",$J$2:$J$1000,"&gt;"&amp;J91)+COUNTIFS($EB$2:$EB$1000,"Y",$J$2:$J$1000,J91,$ED$2:$ED$1000,"&lt;"&amp;ED91)+1)</f>
        <v>85</v>
      </c>
      <c r="Z91" s="0" t="n">
        <v>90</v>
      </c>
      <c r="AA91" s="0" t="s">
        <v>162</v>
      </c>
      <c r="AB91" s="0" t="s">
        <v>6846</v>
      </c>
      <c r="AC91" s="0" t="s">
        <v>4587</v>
      </c>
      <c r="AD91" s="0" t="s">
        <v>5008</v>
      </c>
      <c r="AE91" s="0" t="s">
        <v>172</v>
      </c>
      <c r="AF91" s="0" t="s">
        <v>6847</v>
      </c>
      <c r="AG91" s="0" t="s">
        <v>174</v>
      </c>
      <c r="AH91" s="0" t="s">
        <v>6848</v>
      </c>
      <c r="AI91" s="0" t="s">
        <v>4722</v>
      </c>
      <c r="AJ91" s="0" t="s">
        <v>6849</v>
      </c>
      <c r="AK91" s="0" t="s">
        <v>6850</v>
      </c>
      <c r="AL91" s="0" t="s">
        <v>168</v>
      </c>
      <c r="AM91" s="0" t="s">
        <v>6851</v>
      </c>
      <c r="AN91" s="0" t="s">
        <v>6841</v>
      </c>
      <c r="AO91" s="5" t="s">
        <v>162</v>
      </c>
      <c r="AR91" s="0" t="str">
        <f aca="false">IF(AND(AU91="pass",AO91&lt;&gt;"Y",C91&lt;&gt;""),"Y","N")</f>
        <v>Y</v>
      </c>
      <c r="AS91" s="0" t="str">
        <f aca="false">_xlfn.TEXTJOIN("; ",TRUE(),IF(AU91&lt;&gt;"pass","gated out",""),IF(AO91="Y","on hold: "&amp;AP91,""),IF(C91="","no contact named on an opened page",""))</f>
        <v/>
      </c>
      <c r="AU91" s="0" t="s">
        <v>181</v>
      </c>
      <c r="AW91" s="0" t="s">
        <v>182</v>
      </c>
      <c r="AX91" s="0" t="s">
        <v>4594</v>
      </c>
      <c r="AY91" s="0" t="s">
        <v>6850</v>
      </c>
      <c r="AZ91" s="0" t="s">
        <v>4595</v>
      </c>
      <c r="BA91" s="0" t="s">
        <v>5271</v>
      </c>
      <c r="BB91" s="0" t="s">
        <v>163</v>
      </c>
      <c r="BD91" s="0" t="s">
        <v>163</v>
      </c>
      <c r="BE91" s="0" t="s">
        <v>6852</v>
      </c>
      <c r="BF91" s="0" t="s">
        <v>168</v>
      </c>
      <c r="BG91" s="0" t="s">
        <v>168</v>
      </c>
      <c r="BH91" s="0" t="s">
        <v>163</v>
      </c>
      <c r="BJ91" s="0" t="s">
        <v>5143</v>
      </c>
      <c r="BK91" s="0" t="s">
        <v>162</v>
      </c>
      <c r="BL91" s="0" t="s">
        <v>162</v>
      </c>
      <c r="BN91" s="0" t="n">
        <v>0</v>
      </c>
      <c r="BO91" s="0" t="s">
        <v>168</v>
      </c>
      <c r="BP91" s="0" t="n">
        <v>1</v>
      </c>
      <c r="BQ91" s="0" t="s">
        <v>6853</v>
      </c>
      <c r="BR91" s="0" t="s">
        <v>6854</v>
      </c>
      <c r="BS91" s="0" t="s">
        <v>6855</v>
      </c>
      <c r="BT91" s="0" t="s">
        <v>6856</v>
      </c>
      <c r="BU91" s="0" t="s">
        <v>158</v>
      </c>
      <c r="BX91" s="0" t="s">
        <v>6843</v>
      </c>
      <c r="BY91" s="0" t="s">
        <v>6650</v>
      </c>
      <c r="CF91" s="0" t="s">
        <v>158</v>
      </c>
      <c r="CK91" s="0" t="s">
        <v>158</v>
      </c>
      <c r="CL91" s="0" t="n">
        <v>45</v>
      </c>
      <c r="CM91" s="0" t="n">
        <v>17</v>
      </c>
      <c r="CN91" s="0" t="n">
        <v>17</v>
      </c>
      <c r="CO91" s="0" t="n">
        <v>0</v>
      </c>
      <c r="CP91" s="0" t="n">
        <v>5</v>
      </c>
      <c r="CQ91" s="0" t="n">
        <v>7</v>
      </c>
      <c r="CR91" s="0" t="n">
        <v>3</v>
      </c>
      <c r="CS91" s="0" t="n">
        <f aca="false">IF(R91="Y",10,0)</f>
        <v>0</v>
      </c>
      <c r="CT91" s="0" t="n">
        <v>-4</v>
      </c>
      <c r="CU91" s="0" t="s">
        <v>6857</v>
      </c>
      <c r="CV91" s="0" t="s">
        <v>5150</v>
      </c>
      <c r="CW91" s="0" t="s">
        <v>6858</v>
      </c>
      <c r="CX91" s="0" t="s">
        <v>6859</v>
      </c>
      <c r="DA91" s="0" t="s">
        <v>6234</v>
      </c>
      <c r="DY91" s="0" t="str">
        <f aca="false">IF(ISNUMBER(MATCH(U91,{"queued","contacted","replied","call_booked","call_done","yes_in_principle","materials_sent"},0)),"Y","N")</f>
        <v>N</v>
      </c>
      <c r="DZ91" s="0" t="str">
        <f aca="false">IF(COUNTIFS($AN$2:$AN$1000,AN91,$DY$2:$DY$1000,"Y")+COUNTIFS($AN$2:$AN$1000,AN91,$T$2:$T$1000,"Y")&gt;0,"Y","N")</f>
        <v>N</v>
      </c>
      <c r="EA91" s="0" t="str">
        <f aca="false">IF(AND(U91="new",T91="N",AR91="Y",AQ91="",DZ91="N"),"Y","N")</f>
        <v>Y</v>
      </c>
      <c r="EB91" s="0" t="str">
        <f aca="false">IF(EA91&lt;&gt;"Y","N",IF(COUNTIFS($AN$2:$AN$1000,AN91,$EA$2:$EA$1000,"Y",$J$2:$J$1000,"&gt;"&amp;J91)+COUNTIFS($AN$2:$AN$1000,AN91,$EA$2:$EA$1000,"Y",$J$2:$J$1000,J91,$ED$2:$ED$1000,"&lt;"&amp;ED91)=0,"Y","N"))</f>
        <v>Y</v>
      </c>
      <c r="EC91" s="0" t="str">
        <f aca="false">IF(Y91="","N",IF(Y91&lt;=10,"Y","N"))</f>
        <v>N</v>
      </c>
      <c r="ED91" s="0" t="n">
        <f aca="false">ROW()-1</f>
        <v>90</v>
      </c>
    </row>
    <row r="92" customFormat="false" ht="15" hidden="false" customHeight="false" outlineLevel="0" collapsed="false">
      <c r="A92" s="0" t="s">
        <v>6860</v>
      </c>
      <c r="B92" s="0" t="s">
        <v>6861</v>
      </c>
      <c r="C92" s="0" t="s">
        <v>6862</v>
      </c>
      <c r="D92" s="0" t="s">
        <v>6863</v>
      </c>
      <c r="E92" s="0" t="s">
        <v>4771</v>
      </c>
      <c r="H92" s="5" t="s">
        <v>158</v>
      </c>
      <c r="I92" s="5" t="s">
        <v>159</v>
      </c>
      <c r="J92" s="0" t="n">
        <f aca="false">IF(AU92="pass",CM92+CN92+CO92+CP92+CQ92+CR92+CS92+CT92,0)</f>
        <v>45</v>
      </c>
      <c r="K92" s="0" t="s">
        <v>6864</v>
      </c>
      <c r="M92" s="0" t="s">
        <v>5291</v>
      </c>
      <c r="N92" s="0" t="s">
        <v>598</v>
      </c>
      <c r="O92" s="0" t="s">
        <v>6865</v>
      </c>
      <c r="P92" s="0" t="s">
        <v>6866</v>
      </c>
      <c r="Q92" s="0" t="s">
        <v>5540</v>
      </c>
      <c r="R92" s="5" t="s">
        <v>162</v>
      </c>
      <c r="S92" s="0" t="s">
        <v>168</v>
      </c>
      <c r="T92" s="5" t="s">
        <v>162</v>
      </c>
      <c r="U92" s="5" t="s">
        <v>561</v>
      </c>
      <c r="V92" s="0" t="s">
        <v>6867</v>
      </c>
      <c r="W92" s="0" t="s">
        <v>166</v>
      </c>
      <c r="X92" s="0" t="s">
        <v>4585</v>
      </c>
      <c r="Y92" s="0" t="n">
        <f aca="false">IF(EB92&lt;&gt;"Y","",COUNTIFS($EB$2:$EB$1000,"Y",$J$2:$J$1000,"&gt;"&amp;J92)+COUNTIFS($EB$2:$EB$1000,"Y",$J$2:$J$1000,J92,$ED$2:$ED$1000,"&lt;"&amp;ED92)+1)</f>
        <v>86</v>
      </c>
      <c r="Z92" s="0" t="n">
        <v>91</v>
      </c>
      <c r="AA92" s="0" t="s">
        <v>162</v>
      </c>
      <c r="AB92" s="0" t="s">
        <v>6868</v>
      </c>
      <c r="AC92" s="0" t="s">
        <v>4587</v>
      </c>
      <c r="AD92" s="0" t="s">
        <v>171</v>
      </c>
      <c r="AE92" s="0" t="s">
        <v>172</v>
      </c>
      <c r="AF92" s="0" t="s">
        <v>6867</v>
      </c>
      <c r="AG92" s="0" t="s">
        <v>166</v>
      </c>
      <c r="AH92" s="0" t="s">
        <v>6869</v>
      </c>
      <c r="AI92" s="0" t="s">
        <v>4633</v>
      </c>
      <c r="AJ92" s="0" t="s">
        <v>6870</v>
      </c>
      <c r="AK92" s="0" t="s">
        <v>6871</v>
      </c>
      <c r="AL92" s="0" t="s">
        <v>168</v>
      </c>
      <c r="AM92" s="0" t="s">
        <v>6872</v>
      </c>
      <c r="AN92" s="0" t="s">
        <v>6860</v>
      </c>
      <c r="AO92" s="5" t="s">
        <v>162</v>
      </c>
      <c r="AR92" s="0" t="str">
        <f aca="false">IF(AND(AU92="pass",AO92&lt;&gt;"Y",C92&lt;&gt;""),"Y","N")</f>
        <v>Y</v>
      </c>
      <c r="AS92" s="0" t="str">
        <f aca="false">_xlfn.TEXTJOIN("; ",TRUE(),IF(AU92&lt;&gt;"pass","gated out",""),IF(AO92="Y","on hold: "&amp;AP92,""),IF(C92="","no contact named on an opened page",""))</f>
        <v/>
      </c>
      <c r="AU92" s="0" t="s">
        <v>181</v>
      </c>
      <c r="AW92" s="0" t="s">
        <v>182</v>
      </c>
      <c r="AX92" s="0" t="s">
        <v>282</v>
      </c>
      <c r="AY92" s="0" t="s">
        <v>6871</v>
      </c>
      <c r="AZ92" s="0" t="s">
        <v>6873</v>
      </c>
      <c r="BA92" s="0" t="s">
        <v>5329</v>
      </c>
      <c r="BB92" s="0" t="s">
        <v>163</v>
      </c>
      <c r="BD92" s="0" t="s">
        <v>168</v>
      </c>
      <c r="BE92" s="0" t="s">
        <v>6874</v>
      </c>
      <c r="BF92" s="0" t="s">
        <v>163</v>
      </c>
      <c r="BG92" s="0" t="s">
        <v>168</v>
      </c>
      <c r="BH92" s="0" t="s">
        <v>163</v>
      </c>
      <c r="BJ92" s="0" t="s">
        <v>163</v>
      </c>
      <c r="BK92" s="0" t="s">
        <v>162</v>
      </c>
      <c r="BL92" s="0" t="s">
        <v>162</v>
      </c>
      <c r="BO92" s="0" t="s">
        <v>162</v>
      </c>
      <c r="BP92" s="0" t="n">
        <v>0</v>
      </c>
      <c r="BR92" s="0" t="s">
        <v>6762</v>
      </c>
      <c r="BS92" s="0" t="s">
        <v>6875</v>
      </c>
      <c r="BT92" s="0" t="s">
        <v>6876</v>
      </c>
      <c r="BU92" s="0" t="s">
        <v>4604</v>
      </c>
      <c r="BV92" s="0" t="n">
        <v>43</v>
      </c>
      <c r="BW92" s="0" t="s">
        <v>6866</v>
      </c>
      <c r="BX92" s="0" t="s">
        <v>6877</v>
      </c>
      <c r="CA92" s="0" t="s">
        <v>6878</v>
      </c>
      <c r="CB92" s="0" t="s">
        <v>5755</v>
      </c>
      <c r="CC92" s="0" t="s">
        <v>6879</v>
      </c>
      <c r="CD92" s="0" t="s">
        <v>6880</v>
      </c>
      <c r="CE92" s="0" t="s">
        <v>6260</v>
      </c>
      <c r="CF92" s="0" t="s">
        <v>171</v>
      </c>
      <c r="CK92" s="0" t="s">
        <v>158</v>
      </c>
      <c r="CL92" s="0" t="n">
        <v>45</v>
      </c>
      <c r="CM92" s="0" t="n">
        <v>6</v>
      </c>
      <c r="CN92" s="0" t="n">
        <v>3</v>
      </c>
      <c r="CO92" s="0" t="n">
        <v>15</v>
      </c>
      <c r="CP92" s="0" t="n">
        <v>5</v>
      </c>
      <c r="CQ92" s="0" t="n">
        <v>8</v>
      </c>
      <c r="CR92" s="0" t="n">
        <v>10</v>
      </c>
      <c r="CS92" s="0" t="n">
        <f aca="false">IF(R92="Y",10,0)</f>
        <v>0</v>
      </c>
      <c r="CT92" s="0" t="n">
        <v>-2</v>
      </c>
      <c r="CU92" s="0" t="s">
        <v>6881</v>
      </c>
      <c r="CV92" s="0" t="s">
        <v>4841</v>
      </c>
      <c r="CW92" s="0" t="s">
        <v>6882</v>
      </c>
      <c r="CX92" s="0" t="s">
        <v>6883</v>
      </c>
      <c r="CY92" s="0" t="s">
        <v>6884</v>
      </c>
      <c r="CZ92" s="0" t="s">
        <v>6866</v>
      </c>
      <c r="DA92" s="0" t="s">
        <v>6234</v>
      </c>
      <c r="DC92" s="0" t="s">
        <v>1189</v>
      </c>
      <c r="DY92" s="0" t="str">
        <f aca="false">IF(ISNUMBER(MATCH(U92,{"queued","contacted","replied","call_booked","call_done","yes_in_principle","materials_sent"},0)),"Y","N")</f>
        <v>N</v>
      </c>
      <c r="DZ92" s="0" t="str">
        <f aca="false">IF(COUNTIFS($AN$2:$AN$1000,AN92,$DY$2:$DY$1000,"Y")+COUNTIFS($AN$2:$AN$1000,AN92,$T$2:$T$1000,"Y")&gt;0,"Y","N")</f>
        <v>N</v>
      </c>
      <c r="EA92" s="0" t="str">
        <f aca="false">IF(AND(U92="new",T92="N",AR92="Y",AQ92="",DZ92="N"),"Y","N")</f>
        <v>Y</v>
      </c>
      <c r="EB92" s="0" t="str">
        <f aca="false">IF(EA92&lt;&gt;"Y","N",IF(COUNTIFS($AN$2:$AN$1000,AN92,$EA$2:$EA$1000,"Y",$J$2:$J$1000,"&gt;"&amp;J92)+COUNTIFS($AN$2:$AN$1000,AN92,$EA$2:$EA$1000,"Y",$J$2:$J$1000,J92,$ED$2:$ED$1000,"&lt;"&amp;ED92)=0,"Y","N"))</f>
        <v>Y</v>
      </c>
      <c r="EC92" s="0" t="str">
        <f aca="false">IF(Y92="","N",IF(Y92&lt;=10,"Y","N"))</f>
        <v>N</v>
      </c>
      <c r="ED92" s="0" t="n">
        <f aca="false">ROW()-1</f>
        <v>91</v>
      </c>
    </row>
    <row r="93" customFormat="false" ht="15" hidden="false" customHeight="false" outlineLevel="0" collapsed="false">
      <c r="A93" s="0" t="s">
        <v>6885</v>
      </c>
      <c r="B93" s="0" t="s">
        <v>6886</v>
      </c>
      <c r="C93" s="0" t="s">
        <v>6887</v>
      </c>
      <c r="D93" s="0" t="s">
        <v>6888</v>
      </c>
      <c r="E93" s="0" t="s">
        <v>4771</v>
      </c>
      <c r="H93" s="5" t="s">
        <v>158</v>
      </c>
      <c r="I93" s="5" t="s">
        <v>159</v>
      </c>
      <c r="J93" s="0" t="n">
        <f aca="false">IF(AU93="pass",CM93+CN93+CO93+CP93+CQ93+CR93+CS93+CT93,0)</f>
        <v>45</v>
      </c>
      <c r="K93" s="0" t="s">
        <v>6889</v>
      </c>
      <c r="M93" s="0" t="s">
        <v>5291</v>
      </c>
      <c r="N93" s="0" t="s">
        <v>598</v>
      </c>
      <c r="O93" s="0" t="s">
        <v>6890</v>
      </c>
      <c r="P93" s="0" t="s">
        <v>6891</v>
      </c>
      <c r="Q93" s="0" t="s">
        <v>5943</v>
      </c>
      <c r="R93" s="5" t="s">
        <v>162</v>
      </c>
      <c r="S93" s="0" t="s">
        <v>163</v>
      </c>
      <c r="T93" s="5" t="s">
        <v>162</v>
      </c>
      <c r="U93" s="5" t="s">
        <v>561</v>
      </c>
      <c r="V93" s="0" t="s">
        <v>6891</v>
      </c>
      <c r="W93" s="0" t="s">
        <v>166</v>
      </c>
      <c r="X93" s="0" t="s">
        <v>4585</v>
      </c>
      <c r="Y93" s="0" t="n">
        <f aca="false">IF(EB93&lt;&gt;"Y","",COUNTIFS($EB$2:$EB$1000,"Y",$J$2:$J$1000,"&gt;"&amp;J93)+COUNTIFS($EB$2:$EB$1000,"Y",$J$2:$J$1000,J93,$ED$2:$ED$1000,"&lt;"&amp;ED93)+1)</f>
        <v>87</v>
      </c>
      <c r="Z93" s="0" t="n">
        <v>92</v>
      </c>
      <c r="AA93" s="0" t="s">
        <v>162</v>
      </c>
      <c r="AB93" s="0" t="s">
        <v>6892</v>
      </c>
      <c r="AC93" s="0" t="s">
        <v>4587</v>
      </c>
      <c r="AD93" s="0" t="s">
        <v>171</v>
      </c>
      <c r="AE93" s="0" t="s">
        <v>1189</v>
      </c>
      <c r="AF93" s="0" t="s">
        <v>6891</v>
      </c>
      <c r="AG93" s="0" t="s">
        <v>166</v>
      </c>
      <c r="AH93" s="0" t="s">
        <v>6893</v>
      </c>
      <c r="AI93" s="0" t="s">
        <v>4633</v>
      </c>
      <c r="AJ93" s="0" t="s">
        <v>6894</v>
      </c>
      <c r="AK93" s="0" t="s">
        <v>6895</v>
      </c>
      <c r="AL93" s="0" t="s">
        <v>168</v>
      </c>
      <c r="AM93" s="0" t="s">
        <v>6896</v>
      </c>
      <c r="AN93" s="0" t="s">
        <v>6885</v>
      </c>
      <c r="AO93" s="5" t="s">
        <v>162</v>
      </c>
      <c r="AR93" s="0" t="str">
        <f aca="false">IF(AND(AU93="pass",AO93&lt;&gt;"Y",C93&lt;&gt;""),"Y","N")</f>
        <v>Y</v>
      </c>
      <c r="AS93" s="0" t="str">
        <f aca="false">_xlfn.TEXTJOIN("; ",TRUE(),IF(AU93&lt;&gt;"pass","gated out",""),IF(AO93="Y","on hold: "&amp;AP93,""),IF(C93="","no contact named on an opened page",""))</f>
        <v/>
      </c>
      <c r="AU93" s="0" t="s">
        <v>181</v>
      </c>
      <c r="AW93" s="0" t="s">
        <v>182</v>
      </c>
      <c r="AX93" s="0" t="s">
        <v>282</v>
      </c>
      <c r="AY93" s="0" t="s">
        <v>6897</v>
      </c>
      <c r="AZ93" s="0" t="s">
        <v>6898</v>
      </c>
      <c r="BA93" s="0" t="s">
        <v>5329</v>
      </c>
      <c r="BB93" s="0" t="s">
        <v>163</v>
      </c>
      <c r="BD93" s="0" t="s">
        <v>168</v>
      </c>
      <c r="BE93" s="0" t="s">
        <v>6899</v>
      </c>
      <c r="BF93" s="0" t="s">
        <v>163</v>
      </c>
      <c r="BG93" s="0" t="s">
        <v>168</v>
      </c>
      <c r="BH93" s="0" t="s">
        <v>163</v>
      </c>
      <c r="BJ93" s="0" t="s">
        <v>163</v>
      </c>
      <c r="BK93" s="0" t="s">
        <v>162</v>
      </c>
      <c r="BL93" s="0" t="s">
        <v>162</v>
      </c>
      <c r="BO93" s="0" t="s">
        <v>162</v>
      </c>
      <c r="BP93" s="0" t="n">
        <v>0</v>
      </c>
      <c r="BS93" s="0" t="s">
        <v>163</v>
      </c>
      <c r="BU93" s="0" t="s">
        <v>4604</v>
      </c>
      <c r="BV93" s="0" t="n">
        <v>65</v>
      </c>
      <c r="BX93" s="0" t="s">
        <v>6900</v>
      </c>
      <c r="CA93" s="0" t="s">
        <v>6901</v>
      </c>
      <c r="CB93" s="0" t="s">
        <v>6902</v>
      </c>
      <c r="CC93" s="0" t="s">
        <v>6903</v>
      </c>
      <c r="CD93" s="0" t="s">
        <v>4839</v>
      </c>
      <c r="CE93" s="0" t="s">
        <v>6260</v>
      </c>
      <c r="CF93" s="0" t="s">
        <v>171</v>
      </c>
      <c r="CK93" s="0" t="s">
        <v>158</v>
      </c>
      <c r="CL93" s="0" t="n">
        <v>45</v>
      </c>
      <c r="CM93" s="0" t="n">
        <v>6</v>
      </c>
      <c r="CN93" s="0" t="n">
        <v>3</v>
      </c>
      <c r="CO93" s="0" t="n">
        <v>15</v>
      </c>
      <c r="CP93" s="0" t="n">
        <v>5</v>
      </c>
      <c r="CQ93" s="0" t="n">
        <v>8</v>
      </c>
      <c r="CR93" s="0" t="n">
        <v>10</v>
      </c>
      <c r="CS93" s="0" t="n">
        <f aca="false">IF(R93="Y",10,0)</f>
        <v>0</v>
      </c>
      <c r="CT93" s="0" t="n">
        <v>-2</v>
      </c>
      <c r="CU93" s="0" t="s">
        <v>163</v>
      </c>
      <c r="CV93" s="0" t="s">
        <v>4841</v>
      </c>
      <c r="CW93" s="0" t="s">
        <v>6904</v>
      </c>
      <c r="CX93" s="0" t="s">
        <v>6905</v>
      </c>
      <c r="CY93" s="0" t="s">
        <v>6906</v>
      </c>
      <c r="CZ93" s="0" t="s">
        <v>6907</v>
      </c>
      <c r="DA93" s="0" t="s">
        <v>6234</v>
      </c>
      <c r="DC93" s="0" t="s">
        <v>172</v>
      </c>
      <c r="DY93" s="0" t="str">
        <f aca="false">IF(ISNUMBER(MATCH(U93,{"queued","contacted","replied","call_booked","call_done","yes_in_principle","materials_sent"},0)),"Y","N")</f>
        <v>N</v>
      </c>
      <c r="DZ93" s="0" t="str">
        <f aca="false">IF(COUNTIFS($AN$2:$AN$1000,AN93,$DY$2:$DY$1000,"Y")+COUNTIFS($AN$2:$AN$1000,AN93,$T$2:$T$1000,"Y")&gt;0,"Y","N")</f>
        <v>N</v>
      </c>
      <c r="EA93" s="0" t="str">
        <f aca="false">IF(AND(U93="new",T93="N",AR93="Y",AQ93="",DZ93="N"),"Y","N")</f>
        <v>Y</v>
      </c>
      <c r="EB93" s="0" t="str">
        <f aca="false">IF(EA93&lt;&gt;"Y","N",IF(COUNTIFS($AN$2:$AN$1000,AN93,$EA$2:$EA$1000,"Y",$J$2:$J$1000,"&gt;"&amp;J93)+COUNTIFS($AN$2:$AN$1000,AN93,$EA$2:$EA$1000,"Y",$J$2:$J$1000,J93,$ED$2:$ED$1000,"&lt;"&amp;ED93)=0,"Y","N"))</f>
        <v>Y</v>
      </c>
      <c r="EC93" s="0" t="str">
        <f aca="false">IF(Y93="","N",IF(Y93&lt;=10,"Y","N"))</f>
        <v>N</v>
      </c>
      <c r="ED93" s="0" t="n">
        <f aca="false">ROW()-1</f>
        <v>92</v>
      </c>
    </row>
    <row r="94" customFormat="false" ht="15" hidden="false" customHeight="false" outlineLevel="0" collapsed="false">
      <c r="A94" s="0" t="s">
        <v>6908</v>
      </c>
      <c r="B94" s="0" t="s">
        <v>6909</v>
      </c>
      <c r="H94" s="5" t="s">
        <v>158</v>
      </c>
      <c r="I94" s="5"/>
      <c r="J94" s="0" t="n">
        <f aca="false">IF(AU94="pass",CM94+CN94+CO94+CP94+CQ94+CR94+CS94+CT94,0)</f>
        <v>45</v>
      </c>
      <c r="K94" s="0" t="s">
        <v>6910</v>
      </c>
      <c r="M94" s="0" t="s">
        <v>5291</v>
      </c>
      <c r="N94" s="0" t="s">
        <v>598</v>
      </c>
      <c r="O94" s="0" t="s">
        <v>6911</v>
      </c>
      <c r="P94" s="0" t="s">
        <v>6912</v>
      </c>
      <c r="Q94" s="0" t="s">
        <v>6913</v>
      </c>
      <c r="R94" s="5" t="s">
        <v>162</v>
      </c>
      <c r="S94" s="0" t="s">
        <v>163</v>
      </c>
      <c r="T94" s="5" t="s">
        <v>162</v>
      </c>
      <c r="U94" s="5" t="s">
        <v>561</v>
      </c>
      <c r="V94" s="0" t="s">
        <v>6914</v>
      </c>
      <c r="W94" s="0" t="s">
        <v>174</v>
      </c>
      <c r="X94" s="0" t="s">
        <v>4585</v>
      </c>
      <c r="Y94" s="0" t="str">
        <f aca="false">IF(EB94&lt;&gt;"Y","",COUNTIFS($EB$2:$EB$1000,"Y",$J$2:$J$1000,"&gt;"&amp;J94)+COUNTIFS($EB$2:$EB$1000,"Y",$J$2:$J$1000,J94,$ED$2:$ED$1000,"&lt;"&amp;ED94)+1)</f>
        <v/>
      </c>
      <c r="Z94" s="0" t="n">
        <v>93</v>
      </c>
      <c r="AA94" s="0" t="s">
        <v>162</v>
      </c>
      <c r="AB94" s="0" t="s">
        <v>6915</v>
      </c>
      <c r="AD94" s="0" t="s">
        <v>158</v>
      </c>
      <c r="AH94" s="0" t="s">
        <v>6916</v>
      </c>
      <c r="AI94" s="0" t="s">
        <v>5028</v>
      </c>
      <c r="AJ94" s="0" t="s">
        <v>6917</v>
      </c>
      <c r="AK94" s="0" t="s">
        <v>6918</v>
      </c>
      <c r="AL94" s="0" t="s">
        <v>168</v>
      </c>
      <c r="AM94" s="0" t="s">
        <v>6919</v>
      </c>
      <c r="AN94" s="0" t="s">
        <v>6908</v>
      </c>
      <c r="AO94" s="5" t="s">
        <v>162</v>
      </c>
      <c r="AR94" s="0" t="str">
        <f aca="false">IF(AND(AU94="pass",AO94&lt;&gt;"Y",C94&lt;&gt;""),"Y","N")</f>
        <v>N</v>
      </c>
      <c r="AS94" s="0" t="str">
        <f aca="false">_xlfn.TEXTJOIN("; ",TRUE(),IF(AU94&lt;&gt;"pass","gated out",""),IF(AO94="Y","on hold: "&amp;AP94,""),IF(C94="","no contact named on an opened page",""))</f>
        <v>no contact named on an opened page</v>
      </c>
      <c r="AU94" s="0" t="s">
        <v>181</v>
      </c>
      <c r="AW94" s="0" t="s">
        <v>182</v>
      </c>
      <c r="AX94" s="0" t="s">
        <v>4594</v>
      </c>
      <c r="AY94" s="0" t="s">
        <v>6920</v>
      </c>
      <c r="AZ94" s="0" t="s">
        <v>4595</v>
      </c>
      <c r="BA94" s="0" t="s">
        <v>4596</v>
      </c>
      <c r="BB94" s="0" t="s">
        <v>163</v>
      </c>
      <c r="BD94" s="0" t="s">
        <v>168</v>
      </c>
      <c r="BE94" s="0" t="s">
        <v>6921</v>
      </c>
      <c r="BF94" s="0" t="s">
        <v>168</v>
      </c>
      <c r="BG94" s="0" t="s">
        <v>168</v>
      </c>
      <c r="BH94" s="0" t="s">
        <v>163</v>
      </c>
      <c r="BJ94" s="0" t="s">
        <v>5143</v>
      </c>
      <c r="BK94" s="0" t="s">
        <v>162</v>
      </c>
      <c r="BL94" s="0" t="s">
        <v>162</v>
      </c>
      <c r="BO94" s="0" t="s">
        <v>162</v>
      </c>
      <c r="BP94" s="0" t="n">
        <v>0</v>
      </c>
      <c r="BS94" s="0" t="s">
        <v>6922</v>
      </c>
      <c r="BU94" s="0" t="s">
        <v>4694</v>
      </c>
      <c r="BV94" s="0" t="n">
        <v>121</v>
      </c>
      <c r="CF94" s="0" t="s">
        <v>158</v>
      </c>
      <c r="CK94" s="0" t="s">
        <v>158</v>
      </c>
      <c r="CL94" s="0" t="n">
        <v>45</v>
      </c>
      <c r="CM94" s="0" t="n">
        <v>6</v>
      </c>
      <c r="CN94" s="0" t="n">
        <v>20</v>
      </c>
      <c r="CO94" s="0" t="n">
        <v>8</v>
      </c>
      <c r="CP94" s="0" t="n">
        <v>5</v>
      </c>
      <c r="CQ94" s="0" t="n">
        <v>10</v>
      </c>
      <c r="CR94" s="0" t="n">
        <v>0</v>
      </c>
      <c r="CS94" s="0" t="n">
        <f aca="false">IF(R94="Y",10,0)</f>
        <v>0</v>
      </c>
      <c r="CT94" s="0" t="n">
        <v>-4</v>
      </c>
      <c r="CU94" s="0" t="s">
        <v>6923</v>
      </c>
      <c r="CV94" s="0" t="s">
        <v>5150</v>
      </c>
      <c r="CW94" s="0" t="s">
        <v>6924</v>
      </c>
      <c r="CX94" s="0" t="s">
        <v>6925</v>
      </c>
      <c r="DA94" s="0" t="s">
        <v>6234</v>
      </c>
      <c r="DY94" s="0" t="str">
        <f aca="false">IF(ISNUMBER(MATCH(U94,{"queued","contacted","replied","call_booked","call_done","yes_in_principle","materials_sent"},0)),"Y","N")</f>
        <v>N</v>
      </c>
      <c r="DZ94" s="0" t="str">
        <f aca="false">IF(COUNTIFS($AN$2:$AN$1000,AN94,$DY$2:$DY$1000,"Y")+COUNTIFS($AN$2:$AN$1000,AN94,$T$2:$T$1000,"Y")&gt;0,"Y","N")</f>
        <v>N</v>
      </c>
      <c r="EA94" s="0" t="str">
        <f aca="false">IF(AND(U94="new",T94="N",AR94="Y",AQ94="",DZ94="N"),"Y","N")</f>
        <v>N</v>
      </c>
      <c r="EB94" s="0" t="str">
        <f aca="false">IF(EA94&lt;&gt;"Y","N",IF(COUNTIFS($AN$2:$AN$1000,AN94,$EA$2:$EA$1000,"Y",$J$2:$J$1000,"&gt;"&amp;J94)+COUNTIFS($AN$2:$AN$1000,AN94,$EA$2:$EA$1000,"Y",$J$2:$J$1000,J94,$ED$2:$ED$1000,"&lt;"&amp;ED94)=0,"Y","N"))</f>
        <v>N</v>
      </c>
      <c r="EC94" s="0" t="str">
        <f aca="false">IF(Y94="","N",IF(Y94&lt;=10,"Y","N"))</f>
        <v>N</v>
      </c>
      <c r="ED94" s="0" t="n">
        <f aca="false">ROW()-1</f>
        <v>93</v>
      </c>
    </row>
    <row r="95" customFormat="false" ht="15" hidden="false" customHeight="false" outlineLevel="0" collapsed="false">
      <c r="A95" s="0" t="s">
        <v>6926</v>
      </c>
      <c r="B95" s="0" t="s">
        <v>6927</v>
      </c>
      <c r="C95" s="0" t="s">
        <v>6928</v>
      </c>
      <c r="D95" s="0" t="s">
        <v>6929</v>
      </c>
      <c r="E95" s="0" t="s">
        <v>4771</v>
      </c>
      <c r="H95" s="5" t="s">
        <v>158</v>
      </c>
      <c r="I95" s="5" t="s">
        <v>159</v>
      </c>
      <c r="J95" s="0" t="n">
        <f aca="false">IF(AU95="pass",CM95+CN95+CO95+CP95+CQ95+CR95+CS95+CT95,0)</f>
        <v>45</v>
      </c>
      <c r="K95" s="0" t="s">
        <v>6930</v>
      </c>
      <c r="M95" s="0" t="s">
        <v>5291</v>
      </c>
      <c r="N95" s="0" t="s">
        <v>598</v>
      </c>
      <c r="O95" s="0" t="s">
        <v>6931</v>
      </c>
      <c r="P95" s="0" t="s">
        <v>6932</v>
      </c>
      <c r="Q95" s="0" t="s">
        <v>6933</v>
      </c>
      <c r="R95" s="5" t="s">
        <v>162</v>
      </c>
      <c r="S95" s="0" t="s">
        <v>163</v>
      </c>
      <c r="T95" s="5" t="s">
        <v>162</v>
      </c>
      <c r="U95" s="5" t="s">
        <v>561</v>
      </c>
      <c r="V95" s="0" t="s">
        <v>6934</v>
      </c>
      <c r="W95" s="0" t="s">
        <v>166</v>
      </c>
      <c r="X95" s="0" t="s">
        <v>4585</v>
      </c>
      <c r="Y95" s="0" t="n">
        <f aca="false">IF(EB95&lt;&gt;"Y","",COUNTIFS($EB$2:$EB$1000,"Y",$J$2:$J$1000,"&gt;"&amp;J95)+COUNTIFS($EB$2:$EB$1000,"Y",$J$2:$J$1000,J95,$ED$2:$ED$1000,"&lt;"&amp;ED95)+1)</f>
        <v>88</v>
      </c>
      <c r="Z95" s="0" t="n">
        <v>94</v>
      </c>
      <c r="AA95" s="0" t="s">
        <v>162</v>
      </c>
      <c r="AB95" s="0" t="s">
        <v>6935</v>
      </c>
      <c r="AC95" s="0" t="s">
        <v>4587</v>
      </c>
      <c r="AD95" s="0" t="s">
        <v>171</v>
      </c>
      <c r="AE95" s="0" t="s">
        <v>172</v>
      </c>
      <c r="AF95" s="0" t="s">
        <v>6936</v>
      </c>
      <c r="AG95" s="0" t="s">
        <v>166</v>
      </c>
      <c r="AH95" s="0" t="s">
        <v>6937</v>
      </c>
      <c r="AI95" s="0" t="s">
        <v>4664</v>
      </c>
      <c r="AJ95" s="0" t="s">
        <v>192</v>
      </c>
      <c r="AK95" s="0" t="s">
        <v>6938</v>
      </c>
      <c r="AL95" s="0" t="s">
        <v>168</v>
      </c>
      <c r="AM95" s="0" t="s">
        <v>6939</v>
      </c>
      <c r="AN95" s="0" t="s">
        <v>6926</v>
      </c>
      <c r="AO95" s="5" t="s">
        <v>162</v>
      </c>
      <c r="AR95" s="0" t="str">
        <f aca="false">IF(AND(AU95="pass",AO95&lt;&gt;"Y",C95&lt;&gt;""),"Y","N")</f>
        <v>Y</v>
      </c>
      <c r="AS95" s="0" t="str">
        <f aca="false">_xlfn.TEXTJOIN("; ",TRUE(),IF(AU95&lt;&gt;"pass","gated out",""),IF(AO95="Y","on hold: "&amp;AP95,""),IF(C95="","no contact named on an opened page",""))</f>
        <v/>
      </c>
      <c r="AU95" s="0" t="s">
        <v>181</v>
      </c>
      <c r="AW95" s="0" t="s">
        <v>182</v>
      </c>
      <c r="AX95" s="0" t="s">
        <v>6031</v>
      </c>
      <c r="AY95" s="0" t="s">
        <v>6938</v>
      </c>
      <c r="AZ95" s="0" t="s">
        <v>4595</v>
      </c>
      <c r="BA95" s="0" t="s">
        <v>4596</v>
      </c>
      <c r="BB95" s="0" t="s">
        <v>163</v>
      </c>
      <c r="BD95" s="0" t="s">
        <v>168</v>
      </c>
      <c r="BE95" s="0" t="s">
        <v>6940</v>
      </c>
      <c r="BF95" s="0" t="s">
        <v>168</v>
      </c>
      <c r="BG95" s="0" t="s">
        <v>168</v>
      </c>
      <c r="BH95" s="0" t="s">
        <v>163</v>
      </c>
      <c r="BJ95" s="0" t="s">
        <v>163</v>
      </c>
      <c r="BK95" s="0" t="s">
        <v>162</v>
      </c>
      <c r="BL95" s="0" t="s">
        <v>162</v>
      </c>
      <c r="BO95" s="0" t="s">
        <v>162</v>
      </c>
      <c r="BP95" s="0" t="n">
        <v>0</v>
      </c>
      <c r="BS95" s="0" t="s">
        <v>6941</v>
      </c>
      <c r="BT95" s="0" t="s">
        <v>6942</v>
      </c>
      <c r="BU95" s="0" t="s">
        <v>4604</v>
      </c>
      <c r="BV95" s="0" t="n">
        <v>255</v>
      </c>
      <c r="BX95" s="0" t="s">
        <v>6943</v>
      </c>
      <c r="CF95" s="0" t="s">
        <v>158</v>
      </c>
      <c r="CK95" s="0" t="s">
        <v>158</v>
      </c>
      <c r="CL95" s="0" t="n">
        <v>45</v>
      </c>
      <c r="CM95" s="0" t="n">
        <v>6</v>
      </c>
      <c r="CN95" s="0" t="n">
        <v>20</v>
      </c>
      <c r="CO95" s="0" t="n">
        <v>8</v>
      </c>
      <c r="CP95" s="0" t="n">
        <v>5</v>
      </c>
      <c r="CQ95" s="0" t="n">
        <v>10</v>
      </c>
      <c r="CR95" s="0" t="n">
        <v>6</v>
      </c>
      <c r="CS95" s="0" t="n">
        <f aca="false">IF(R95="Y",10,0)</f>
        <v>0</v>
      </c>
      <c r="CT95" s="0" t="n">
        <v>-10</v>
      </c>
      <c r="CU95" s="0" t="s">
        <v>6944</v>
      </c>
      <c r="CV95" s="0" t="s">
        <v>4703</v>
      </c>
      <c r="CW95" s="0" t="s">
        <v>6945</v>
      </c>
      <c r="CX95" s="0" t="s">
        <v>6946</v>
      </c>
      <c r="CY95" s="0" t="s">
        <v>6947</v>
      </c>
      <c r="DA95" s="0" t="s">
        <v>6234</v>
      </c>
      <c r="DY95" s="0" t="str">
        <f aca="false">IF(ISNUMBER(MATCH(U95,{"queued","contacted","replied","call_booked","call_done","yes_in_principle","materials_sent"},0)),"Y","N")</f>
        <v>N</v>
      </c>
      <c r="DZ95" s="0" t="str">
        <f aca="false">IF(COUNTIFS($AN$2:$AN$1000,AN95,$DY$2:$DY$1000,"Y")+COUNTIFS($AN$2:$AN$1000,AN95,$T$2:$T$1000,"Y")&gt;0,"Y","N")</f>
        <v>N</v>
      </c>
      <c r="EA95" s="0" t="str">
        <f aca="false">IF(AND(U95="new",T95="N",AR95="Y",AQ95="",DZ95="N"),"Y","N")</f>
        <v>Y</v>
      </c>
      <c r="EB95" s="0" t="str">
        <f aca="false">IF(EA95&lt;&gt;"Y","N",IF(COUNTIFS($AN$2:$AN$1000,AN95,$EA$2:$EA$1000,"Y",$J$2:$J$1000,"&gt;"&amp;J95)+COUNTIFS($AN$2:$AN$1000,AN95,$EA$2:$EA$1000,"Y",$J$2:$J$1000,J95,$ED$2:$ED$1000,"&lt;"&amp;ED95)=0,"Y","N"))</f>
        <v>Y</v>
      </c>
      <c r="EC95" s="0" t="str">
        <f aca="false">IF(Y95="","N",IF(Y95&lt;=10,"Y","N"))</f>
        <v>N</v>
      </c>
      <c r="ED95" s="0" t="n">
        <f aca="false">ROW()-1</f>
        <v>94</v>
      </c>
    </row>
    <row r="96" customFormat="false" ht="15" hidden="false" customHeight="false" outlineLevel="0" collapsed="false">
      <c r="A96" s="0" t="s">
        <v>6948</v>
      </c>
      <c r="B96" s="0" t="s">
        <v>6949</v>
      </c>
      <c r="H96" s="5" t="s">
        <v>158</v>
      </c>
      <c r="I96" s="5"/>
      <c r="J96" s="0" t="n">
        <f aca="false">IF(AU96="pass",CM96+CN96+CO96+CP96+CQ96+CR96+CS96+CT96,0)</f>
        <v>45</v>
      </c>
      <c r="K96" s="0" t="s">
        <v>6950</v>
      </c>
      <c r="M96" s="0" t="s">
        <v>5291</v>
      </c>
      <c r="N96" s="0" t="s">
        <v>598</v>
      </c>
      <c r="O96" s="0" t="s">
        <v>6951</v>
      </c>
      <c r="P96" s="0" t="s">
        <v>6952</v>
      </c>
      <c r="Q96" s="0" t="s">
        <v>3863</v>
      </c>
      <c r="R96" s="5" t="s">
        <v>162</v>
      </c>
      <c r="S96" s="0" t="s">
        <v>163</v>
      </c>
      <c r="T96" s="5" t="s">
        <v>162</v>
      </c>
      <c r="U96" s="5" t="s">
        <v>561</v>
      </c>
      <c r="V96" s="0" t="s">
        <v>5784</v>
      </c>
      <c r="W96" s="0" t="s">
        <v>174</v>
      </c>
      <c r="X96" s="0" t="s">
        <v>4585</v>
      </c>
      <c r="Y96" s="0" t="str">
        <f aca="false">IF(EB96&lt;&gt;"Y","",COUNTIFS($EB$2:$EB$1000,"Y",$J$2:$J$1000,"&gt;"&amp;J96)+COUNTIFS($EB$2:$EB$1000,"Y",$J$2:$J$1000,J96,$ED$2:$ED$1000,"&lt;"&amp;ED96)+1)</f>
        <v/>
      </c>
      <c r="Z96" s="0" t="n">
        <v>95</v>
      </c>
      <c r="AA96" s="0" t="s">
        <v>162</v>
      </c>
      <c r="AB96" s="0" t="s">
        <v>6915</v>
      </c>
      <c r="AD96" s="0" t="s">
        <v>158</v>
      </c>
      <c r="AH96" s="0" t="s">
        <v>6953</v>
      </c>
      <c r="AI96" s="0" t="s">
        <v>5383</v>
      </c>
      <c r="AJ96" s="0" t="s">
        <v>5787</v>
      </c>
      <c r="AK96" s="0" t="s">
        <v>6954</v>
      </c>
      <c r="AL96" s="0" t="s">
        <v>168</v>
      </c>
      <c r="AM96" s="0" t="s">
        <v>6955</v>
      </c>
      <c r="AN96" s="0" t="s">
        <v>6948</v>
      </c>
      <c r="AO96" s="5" t="s">
        <v>162</v>
      </c>
      <c r="AR96" s="0" t="str">
        <f aca="false">IF(AND(AU96="pass",AO96&lt;&gt;"Y",C96&lt;&gt;""),"Y","N")</f>
        <v>N</v>
      </c>
      <c r="AS96" s="0" t="str">
        <f aca="false">_xlfn.TEXTJOIN("; ",TRUE(),IF(AU96&lt;&gt;"pass","gated out",""),IF(AO96="Y","on hold: "&amp;AP96,""),IF(C96="","no contact named on an opened page",""))</f>
        <v>no contact named on an opened page</v>
      </c>
      <c r="AU96" s="0" t="s">
        <v>181</v>
      </c>
      <c r="AW96" s="0" t="s">
        <v>182</v>
      </c>
      <c r="AX96" s="0" t="s">
        <v>4594</v>
      </c>
      <c r="AY96" s="0" t="s">
        <v>6954</v>
      </c>
      <c r="AZ96" s="0" t="s">
        <v>4595</v>
      </c>
      <c r="BA96" s="0" t="s">
        <v>4596</v>
      </c>
      <c r="BB96" s="0" t="s">
        <v>163</v>
      </c>
      <c r="BD96" s="0" t="s">
        <v>168</v>
      </c>
      <c r="BE96" s="0" t="s">
        <v>6956</v>
      </c>
      <c r="BF96" s="0" t="s">
        <v>168</v>
      </c>
      <c r="BG96" s="0" t="s">
        <v>168</v>
      </c>
      <c r="BH96" s="0" t="s">
        <v>163</v>
      </c>
      <c r="BJ96" s="0" t="s">
        <v>5143</v>
      </c>
      <c r="BK96" s="0" t="s">
        <v>162</v>
      </c>
      <c r="BL96" s="0" t="s">
        <v>162</v>
      </c>
      <c r="BO96" s="0" t="s">
        <v>162</v>
      </c>
      <c r="BP96" s="0" t="n">
        <v>0</v>
      </c>
      <c r="BS96" s="0" t="s">
        <v>163</v>
      </c>
      <c r="BU96" s="0" t="s">
        <v>4694</v>
      </c>
      <c r="BV96" s="0" t="n">
        <v>4</v>
      </c>
      <c r="CF96" s="0" t="s">
        <v>158</v>
      </c>
      <c r="CK96" s="0" t="s">
        <v>158</v>
      </c>
      <c r="CL96" s="0" t="n">
        <v>45</v>
      </c>
      <c r="CM96" s="0" t="n">
        <v>6</v>
      </c>
      <c r="CN96" s="0" t="n">
        <v>20</v>
      </c>
      <c r="CO96" s="0" t="n">
        <v>8</v>
      </c>
      <c r="CP96" s="0" t="n">
        <v>5</v>
      </c>
      <c r="CQ96" s="0" t="n">
        <v>10</v>
      </c>
      <c r="CR96" s="0" t="n">
        <v>0</v>
      </c>
      <c r="CS96" s="0" t="n">
        <f aca="false">IF(R96="Y",10,0)</f>
        <v>0</v>
      </c>
      <c r="CT96" s="0" t="n">
        <v>-4</v>
      </c>
      <c r="CU96" s="0" t="s">
        <v>6957</v>
      </c>
      <c r="CV96" s="0" t="s">
        <v>5150</v>
      </c>
      <c r="CW96" s="0" t="s">
        <v>6958</v>
      </c>
      <c r="CX96" s="0" t="s">
        <v>6959</v>
      </c>
      <c r="DA96" s="0" t="s">
        <v>6234</v>
      </c>
      <c r="DY96" s="0" t="str">
        <f aca="false">IF(ISNUMBER(MATCH(U96,{"queued","contacted","replied","call_booked","call_done","yes_in_principle","materials_sent"},0)),"Y","N")</f>
        <v>N</v>
      </c>
      <c r="DZ96" s="0" t="str">
        <f aca="false">IF(COUNTIFS($AN$2:$AN$1000,AN96,$DY$2:$DY$1000,"Y")+COUNTIFS($AN$2:$AN$1000,AN96,$T$2:$T$1000,"Y")&gt;0,"Y","N")</f>
        <v>N</v>
      </c>
      <c r="EA96" s="0" t="str">
        <f aca="false">IF(AND(U96="new",T96="N",AR96="Y",AQ96="",DZ96="N"),"Y","N")</f>
        <v>N</v>
      </c>
      <c r="EB96" s="0" t="str">
        <f aca="false">IF(EA96&lt;&gt;"Y","N",IF(COUNTIFS($AN$2:$AN$1000,AN96,$EA$2:$EA$1000,"Y",$J$2:$J$1000,"&gt;"&amp;J96)+COUNTIFS($AN$2:$AN$1000,AN96,$EA$2:$EA$1000,"Y",$J$2:$J$1000,J96,$ED$2:$ED$1000,"&lt;"&amp;ED96)=0,"Y","N"))</f>
        <v>N</v>
      </c>
      <c r="EC96" s="0" t="str">
        <f aca="false">IF(Y96="","N",IF(Y96&lt;=10,"Y","N"))</f>
        <v>N</v>
      </c>
      <c r="ED96" s="0" t="n">
        <f aca="false">ROW()-1</f>
        <v>95</v>
      </c>
    </row>
    <row r="97" customFormat="false" ht="15" hidden="false" customHeight="false" outlineLevel="0" collapsed="false">
      <c r="A97" s="0" t="s">
        <v>6960</v>
      </c>
      <c r="B97" s="0" t="s">
        <v>6961</v>
      </c>
      <c r="H97" s="5" t="s">
        <v>158</v>
      </c>
      <c r="I97" s="5"/>
      <c r="J97" s="0" t="n">
        <f aca="false">IF(AU97="pass",CM97+CN97+CO97+CP97+CQ97+CR97+CS97+CT97,0)</f>
        <v>45</v>
      </c>
      <c r="K97" s="0" t="s">
        <v>6962</v>
      </c>
      <c r="M97" s="0" t="s">
        <v>5291</v>
      </c>
      <c r="N97" s="0" t="s">
        <v>598</v>
      </c>
      <c r="O97" s="0" t="s">
        <v>6963</v>
      </c>
      <c r="P97" s="0" t="s">
        <v>6964</v>
      </c>
      <c r="Q97" s="0" t="s">
        <v>4119</v>
      </c>
      <c r="R97" s="5" t="s">
        <v>162</v>
      </c>
      <c r="S97" s="0" t="s">
        <v>163</v>
      </c>
      <c r="T97" s="5" t="s">
        <v>162</v>
      </c>
      <c r="U97" s="5" t="s">
        <v>561</v>
      </c>
      <c r="V97" s="0" t="s">
        <v>6965</v>
      </c>
      <c r="W97" s="0" t="s">
        <v>174</v>
      </c>
      <c r="X97" s="0" t="s">
        <v>4585</v>
      </c>
      <c r="Y97" s="0" t="str">
        <f aca="false">IF(EB97&lt;&gt;"Y","",COUNTIFS($EB$2:$EB$1000,"Y",$J$2:$J$1000,"&gt;"&amp;J97)+COUNTIFS($EB$2:$EB$1000,"Y",$J$2:$J$1000,J97,$ED$2:$ED$1000,"&lt;"&amp;ED97)+1)</f>
        <v/>
      </c>
      <c r="Z97" s="0" t="n">
        <v>96</v>
      </c>
      <c r="AA97" s="0" t="s">
        <v>162</v>
      </c>
      <c r="AB97" s="0" t="s">
        <v>6915</v>
      </c>
      <c r="AD97" s="0" t="s">
        <v>158</v>
      </c>
      <c r="AH97" s="0" t="s">
        <v>6966</v>
      </c>
      <c r="AI97" s="0" t="s">
        <v>4590</v>
      </c>
      <c r="AJ97" s="0" t="s">
        <v>6967</v>
      </c>
      <c r="AK97" s="0" t="s">
        <v>6968</v>
      </c>
      <c r="AL97" s="0" t="s">
        <v>168</v>
      </c>
      <c r="AM97" s="0" t="s">
        <v>6969</v>
      </c>
      <c r="AN97" s="0" t="s">
        <v>6960</v>
      </c>
      <c r="AO97" s="5" t="s">
        <v>162</v>
      </c>
      <c r="AR97" s="0" t="str">
        <f aca="false">IF(AND(AU97="pass",AO97&lt;&gt;"Y",C97&lt;&gt;""),"Y","N")</f>
        <v>N</v>
      </c>
      <c r="AS97" s="0" t="str">
        <f aca="false">_xlfn.TEXTJOIN("; ",TRUE(),IF(AU97&lt;&gt;"pass","gated out",""),IF(AO97="Y","on hold: "&amp;AP97,""),IF(C97="","no contact named on an opened page",""))</f>
        <v>no contact named on an opened page</v>
      </c>
      <c r="AU97" s="0" t="s">
        <v>181</v>
      </c>
      <c r="AW97" s="0" t="s">
        <v>182</v>
      </c>
      <c r="AX97" s="0" t="s">
        <v>4594</v>
      </c>
      <c r="AY97" s="0" t="s">
        <v>6970</v>
      </c>
      <c r="AZ97" s="0" t="s">
        <v>4595</v>
      </c>
      <c r="BA97" s="0" t="s">
        <v>4596</v>
      </c>
      <c r="BB97" s="0" t="s">
        <v>163</v>
      </c>
      <c r="BD97" s="0" t="s">
        <v>168</v>
      </c>
      <c r="BE97" s="0" t="s">
        <v>6971</v>
      </c>
      <c r="BF97" s="0" t="s">
        <v>168</v>
      </c>
      <c r="BG97" s="0" t="s">
        <v>168</v>
      </c>
      <c r="BH97" s="0" t="s">
        <v>163</v>
      </c>
      <c r="BJ97" s="0" t="s">
        <v>5143</v>
      </c>
      <c r="BK97" s="0" t="s">
        <v>168</v>
      </c>
      <c r="BL97" s="0" t="s">
        <v>162</v>
      </c>
      <c r="BO97" s="0" t="s">
        <v>162</v>
      </c>
      <c r="BP97" s="0" t="n">
        <v>0</v>
      </c>
      <c r="BR97" s="0" t="s">
        <v>6972</v>
      </c>
      <c r="BS97" s="0" t="s">
        <v>6973</v>
      </c>
      <c r="BU97" s="0" t="s">
        <v>4694</v>
      </c>
      <c r="BV97" s="0" t="n">
        <v>80</v>
      </c>
      <c r="CF97" s="0" t="s">
        <v>158</v>
      </c>
      <c r="CK97" s="0" t="s">
        <v>158</v>
      </c>
      <c r="CL97" s="0" t="n">
        <v>45</v>
      </c>
      <c r="CM97" s="0" t="n">
        <v>6</v>
      </c>
      <c r="CN97" s="0" t="n">
        <v>20</v>
      </c>
      <c r="CO97" s="0" t="n">
        <v>8</v>
      </c>
      <c r="CP97" s="0" t="n">
        <v>5</v>
      </c>
      <c r="CQ97" s="0" t="n">
        <v>10</v>
      </c>
      <c r="CR97" s="0" t="n">
        <v>0</v>
      </c>
      <c r="CS97" s="0" t="n">
        <f aca="false">IF(R97="Y",10,0)</f>
        <v>0</v>
      </c>
      <c r="CT97" s="0" t="n">
        <v>-4</v>
      </c>
      <c r="CU97" s="0" t="s">
        <v>6974</v>
      </c>
      <c r="CV97" s="0" t="s">
        <v>5150</v>
      </c>
      <c r="CW97" s="0" t="s">
        <v>6975</v>
      </c>
      <c r="CX97" s="0" t="s">
        <v>6976</v>
      </c>
      <c r="DA97" s="0" t="s">
        <v>6234</v>
      </c>
      <c r="DY97" s="0" t="str">
        <f aca="false">IF(ISNUMBER(MATCH(U97,{"queued","contacted","replied","call_booked","call_done","yes_in_principle","materials_sent"},0)),"Y","N")</f>
        <v>N</v>
      </c>
      <c r="DZ97" s="0" t="str">
        <f aca="false">IF(COUNTIFS($AN$2:$AN$1000,AN97,$DY$2:$DY$1000,"Y")+COUNTIFS($AN$2:$AN$1000,AN97,$T$2:$T$1000,"Y")&gt;0,"Y","N")</f>
        <v>N</v>
      </c>
      <c r="EA97" s="0" t="str">
        <f aca="false">IF(AND(U97="new",T97="N",AR97="Y",AQ97="",DZ97="N"),"Y","N")</f>
        <v>N</v>
      </c>
      <c r="EB97" s="0" t="str">
        <f aca="false">IF(EA97&lt;&gt;"Y","N",IF(COUNTIFS($AN$2:$AN$1000,AN97,$EA$2:$EA$1000,"Y",$J$2:$J$1000,"&gt;"&amp;J97)+COUNTIFS($AN$2:$AN$1000,AN97,$EA$2:$EA$1000,"Y",$J$2:$J$1000,J97,$ED$2:$ED$1000,"&lt;"&amp;ED97)=0,"Y","N"))</f>
        <v>N</v>
      </c>
      <c r="EC97" s="0" t="str">
        <f aca="false">IF(Y97="","N",IF(Y97&lt;=10,"Y","N"))</f>
        <v>N</v>
      </c>
      <c r="ED97" s="0" t="n">
        <f aca="false">ROW()-1</f>
        <v>96</v>
      </c>
    </row>
    <row r="98" customFormat="false" ht="15" hidden="false" customHeight="false" outlineLevel="0" collapsed="false">
      <c r="A98" s="0" t="s">
        <v>6977</v>
      </c>
      <c r="B98" s="0" t="s">
        <v>6978</v>
      </c>
      <c r="C98" s="0" t="s">
        <v>6979</v>
      </c>
      <c r="D98" s="0" t="s">
        <v>6980</v>
      </c>
      <c r="E98" s="0" t="s">
        <v>6981</v>
      </c>
      <c r="H98" s="5" t="s">
        <v>158</v>
      </c>
      <c r="I98" s="5" t="s">
        <v>159</v>
      </c>
      <c r="J98" s="0" t="n">
        <f aca="false">IF(AU98="pass",CM98+CN98+CO98+CP98+CQ98+CR98+CS98+CT98,0)</f>
        <v>45</v>
      </c>
      <c r="K98" s="0" t="s">
        <v>6982</v>
      </c>
      <c r="M98" s="0" t="s">
        <v>6983</v>
      </c>
      <c r="N98" s="0" t="s">
        <v>598</v>
      </c>
      <c r="O98" s="0" t="s">
        <v>6984</v>
      </c>
      <c r="P98" s="0" t="s">
        <v>6985</v>
      </c>
      <c r="Q98" s="0" t="s">
        <v>1535</v>
      </c>
      <c r="R98" s="5" t="s">
        <v>162</v>
      </c>
      <c r="S98" s="0" t="s">
        <v>163</v>
      </c>
      <c r="T98" s="5" t="s">
        <v>162</v>
      </c>
      <c r="U98" s="5" t="s">
        <v>561</v>
      </c>
      <c r="V98" s="0" t="s">
        <v>6986</v>
      </c>
      <c r="W98" s="0" t="s">
        <v>166</v>
      </c>
      <c r="X98" s="0" t="s">
        <v>4585</v>
      </c>
      <c r="Y98" s="0" t="n">
        <f aca="false">IF(EB98&lt;&gt;"Y","",COUNTIFS($EB$2:$EB$1000,"Y",$J$2:$J$1000,"&gt;"&amp;J98)+COUNTIFS($EB$2:$EB$1000,"Y",$J$2:$J$1000,J98,$ED$2:$ED$1000,"&lt;"&amp;ED98)+1)</f>
        <v>89</v>
      </c>
      <c r="Z98" s="0" t="n">
        <v>97</v>
      </c>
      <c r="AA98" s="0" t="s">
        <v>162</v>
      </c>
      <c r="AB98" s="0" t="s">
        <v>6987</v>
      </c>
      <c r="AC98" s="0" t="s">
        <v>4587</v>
      </c>
      <c r="AD98" s="0" t="s">
        <v>171</v>
      </c>
      <c r="AE98" s="0" t="s">
        <v>1189</v>
      </c>
      <c r="AF98" s="0" t="s">
        <v>6988</v>
      </c>
      <c r="AG98" s="0" t="s">
        <v>166</v>
      </c>
      <c r="AH98" s="0" t="s">
        <v>6989</v>
      </c>
      <c r="AI98" s="0" t="s">
        <v>5736</v>
      </c>
      <c r="AJ98" s="0" t="s">
        <v>6990</v>
      </c>
      <c r="AK98" s="0" t="s">
        <v>6985</v>
      </c>
      <c r="AL98" s="0" t="s">
        <v>168</v>
      </c>
      <c r="AM98" s="0" t="s">
        <v>6991</v>
      </c>
      <c r="AN98" s="0" t="s">
        <v>6977</v>
      </c>
      <c r="AO98" s="5" t="s">
        <v>162</v>
      </c>
      <c r="AR98" s="0" t="str">
        <f aca="false">IF(AND(AU98="pass",AO98&lt;&gt;"Y",C98&lt;&gt;""),"Y","N")</f>
        <v>Y</v>
      </c>
      <c r="AS98" s="0" t="str">
        <f aca="false">_xlfn.TEXTJOIN("; ",TRUE(),IF(AU98&lt;&gt;"pass","gated out",""),IF(AO98="Y","on hold: "&amp;AP98,""),IF(C98="","no contact named on an opened page",""))</f>
        <v/>
      </c>
      <c r="AU98" s="0" t="s">
        <v>181</v>
      </c>
      <c r="AW98" s="0" t="s">
        <v>182</v>
      </c>
      <c r="AX98" s="0" t="s">
        <v>6031</v>
      </c>
      <c r="AY98" s="0" t="s">
        <v>6992</v>
      </c>
      <c r="AZ98" s="0" t="s">
        <v>4595</v>
      </c>
      <c r="BA98" s="0" t="s">
        <v>4596</v>
      </c>
      <c r="BB98" s="0" t="s">
        <v>163</v>
      </c>
      <c r="BD98" s="0" t="s">
        <v>168</v>
      </c>
      <c r="BE98" s="0" t="s">
        <v>6993</v>
      </c>
      <c r="BF98" s="0" t="s">
        <v>168</v>
      </c>
      <c r="BG98" s="0" t="s">
        <v>168</v>
      </c>
      <c r="BH98" s="0" t="s">
        <v>163</v>
      </c>
      <c r="BJ98" s="0" t="s">
        <v>5549</v>
      </c>
      <c r="BK98" s="0" t="s">
        <v>162</v>
      </c>
      <c r="BL98" s="0" t="s">
        <v>162</v>
      </c>
      <c r="BN98" s="0" t="n">
        <v>0.9</v>
      </c>
      <c r="BO98" s="0" t="s">
        <v>162</v>
      </c>
      <c r="BP98" s="0" t="n">
        <v>0</v>
      </c>
      <c r="BQ98" s="0" t="s">
        <v>6994</v>
      </c>
      <c r="BS98" s="0" t="s">
        <v>6995</v>
      </c>
      <c r="BT98" s="0" t="s">
        <v>6996</v>
      </c>
      <c r="BU98" s="0" t="s">
        <v>4694</v>
      </c>
      <c r="BV98" s="0" t="n">
        <v>193</v>
      </c>
      <c r="BX98" s="0" t="s">
        <v>6997</v>
      </c>
      <c r="CA98" s="0" t="s">
        <v>6998</v>
      </c>
      <c r="CB98" s="0" t="s">
        <v>6999</v>
      </c>
      <c r="CC98" s="0" t="s">
        <v>7000</v>
      </c>
      <c r="CD98" s="0" t="s">
        <v>7001</v>
      </c>
      <c r="CE98" s="0" t="s">
        <v>6260</v>
      </c>
      <c r="CF98" s="0" t="s">
        <v>171</v>
      </c>
      <c r="CG98" s="0" t="s">
        <v>7002</v>
      </c>
      <c r="CK98" s="0" t="s">
        <v>158</v>
      </c>
      <c r="CL98" s="0" t="n">
        <v>45</v>
      </c>
      <c r="CM98" s="0" t="n">
        <v>6</v>
      </c>
      <c r="CN98" s="0" t="n">
        <v>20</v>
      </c>
      <c r="CO98" s="0" t="n">
        <v>4</v>
      </c>
      <c r="CP98" s="0" t="n">
        <v>5</v>
      </c>
      <c r="CQ98" s="0" t="n">
        <v>10</v>
      </c>
      <c r="CR98" s="0" t="n">
        <v>10</v>
      </c>
      <c r="CS98" s="0" t="n">
        <f aca="false">IF(R98="Y",10,0)</f>
        <v>0</v>
      </c>
      <c r="CT98" s="0" t="n">
        <v>-10</v>
      </c>
      <c r="CU98" s="0" t="s">
        <v>7003</v>
      </c>
      <c r="CV98" s="0" t="s">
        <v>5562</v>
      </c>
      <c r="CW98" s="0" t="s">
        <v>7004</v>
      </c>
      <c r="CX98" s="0" t="s">
        <v>7005</v>
      </c>
      <c r="CY98" s="0" t="s">
        <v>7006</v>
      </c>
      <c r="CZ98" s="0" t="s">
        <v>7007</v>
      </c>
      <c r="DA98" s="0" t="s">
        <v>6234</v>
      </c>
      <c r="DC98" s="0" t="s">
        <v>1189</v>
      </c>
      <c r="DY98" s="0" t="str">
        <f aca="false">IF(ISNUMBER(MATCH(U98,{"queued","contacted","replied","call_booked","call_done","yes_in_principle","materials_sent"},0)),"Y","N")</f>
        <v>N</v>
      </c>
      <c r="DZ98" s="0" t="str">
        <f aca="false">IF(COUNTIFS($AN$2:$AN$1000,AN98,$DY$2:$DY$1000,"Y")+COUNTIFS($AN$2:$AN$1000,AN98,$T$2:$T$1000,"Y")&gt;0,"Y","N")</f>
        <v>N</v>
      </c>
      <c r="EA98" s="0" t="str">
        <f aca="false">IF(AND(U98="new",T98="N",AR98="Y",AQ98="",DZ98="N"),"Y","N")</f>
        <v>Y</v>
      </c>
      <c r="EB98" s="0" t="str">
        <f aca="false">IF(EA98&lt;&gt;"Y","N",IF(COUNTIFS($AN$2:$AN$1000,AN98,$EA$2:$EA$1000,"Y",$J$2:$J$1000,"&gt;"&amp;J98)+COUNTIFS($AN$2:$AN$1000,AN98,$EA$2:$EA$1000,"Y",$J$2:$J$1000,J98,$ED$2:$ED$1000,"&lt;"&amp;ED98)=0,"Y","N"))</f>
        <v>Y</v>
      </c>
      <c r="EC98" s="0" t="str">
        <f aca="false">IF(Y98="","N",IF(Y98&lt;=10,"Y","N"))</f>
        <v>N</v>
      </c>
      <c r="ED98" s="0" t="n">
        <f aca="false">ROW()-1</f>
        <v>97</v>
      </c>
    </row>
    <row r="99" customFormat="false" ht="15" hidden="false" customHeight="false" outlineLevel="0" collapsed="false">
      <c r="A99" s="0" t="s">
        <v>7008</v>
      </c>
      <c r="B99" s="0" t="s">
        <v>7009</v>
      </c>
      <c r="C99" s="0" t="s">
        <v>7010</v>
      </c>
      <c r="D99" s="0" t="s">
        <v>7011</v>
      </c>
      <c r="E99" s="0" t="s">
        <v>4771</v>
      </c>
      <c r="H99" s="5" t="s">
        <v>158</v>
      </c>
      <c r="I99" s="5" t="s">
        <v>159</v>
      </c>
      <c r="J99" s="0" t="n">
        <f aca="false">IF(AU99="pass",CM99+CN99+CO99+CP99+CQ99+CR99+CS99+CT99,0)</f>
        <v>45</v>
      </c>
      <c r="K99" s="0" t="s">
        <v>6820</v>
      </c>
      <c r="M99" s="0" t="s">
        <v>5291</v>
      </c>
      <c r="N99" s="0" t="s">
        <v>598</v>
      </c>
      <c r="R99" s="5" t="s">
        <v>162</v>
      </c>
      <c r="S99" s="0" t="s">
        <v>163</v>
      </c>
      <c r="T99" s="5" t="s">
        <v>162</v>
      </c>
      <c r="U99" s="5" t="s">
        <v>561</v>
      </c>
      <c r="V99" s="0" t="s">
        <v>7012</v>
      </c>
      <c r="W99" s="0" t="s">
        <v>166</v>
      </c>
      <c r="X99" s="0" t="s">
        <v>4585</v>
      </c>
      <c r="Y99" s="0" t="n">
        <f aca="false">IF(EB99&lt;&gt;"Y","",COUNTIFS($EB$2:$EB$1000,"Y",$J$2:$J$1000,"&gt;"&amp;J99)+COUNTIFS($EB$2:$EB$1000,"Y",$J$2:$J$1000,J99,$ED$2:$ED$1000,"&lt;"&amp;ED99)+1)</f>
        <v>90</v>
      </c>
      <c r="Z99" s="0" t="n">
        <v>98</v>
      </c>
      <c r="AA99" s="0" t="s">
        <v>162</v>
      </c>
      <c r="AB99" s="0" t="s">
        <v>7013</v>
      </c>
      <c r="AC99" s="0" t="s">
        <v>4587</v>
      </c>
      <c r="AD99" s="0" t="s">
        <v>171</v>
      </c>
      <c r="AE99" s="0" t="s">
        <v>172</v>
      </c>
      <c r="AF99" s="0" t="s">
        <v>7014</v>
      </c>
      <c r="AG99" s="0" t="s">
        <v>166</v>
      </c>
      <c r="AH99" s="0" t="s">
        <v>7015</v>
      </c>
      <c r="AI99" s="0" t="s">
        <v>5924</v>
      </c>
      <c r="AJ99" s="0" t="s">
        <v>192</v>
      </c>
      <c r="AK99" s="0" t="s">
        <v>7016</v>
      </c>
      <c r="AL99" s="0" t="s">
        <v>168</v>
      </c>
      <c r="AM99" s="0" t="s">
        <v>7017</v>
      </c>
      <c r="AN99" s="0" t="s">
        <v>7008</v>
      </c>
      <c r="AO99" s="5" t="s">
        <v>162</v>
      </c>
      <c r="AR99" s="0" t="str">
        <f aca="false">IF(AND(AU99="pass",AO99&lt;&gt;"Y",C99&lt;&gt;""),"Y","N")</f>
        <v>Y</v>
      </c>
      <c r="AS99" s="0" t="str">
        <f aca="false">_xlfn.TEXTJOIN("; ",TRUE(),IF(AU99&lt;&gt;"pass","gated out",""),IF(AO99="Y","on hold: "&amp;AP99,""),IF(C99="","no contact named on an opened page",""))</f>
        <v/>
      </c>
      <c r="AU99" s="0" t="s">
        <v>181</v>
      </c>
      <c r="AW99" s="0" t="s">
        <v>182</v>
      </c>
      <c r="AX99" s="0" t="s">
        <v>282</v>
      </c>
      <c r="AY99" s="0" t="s">
        <v>7016</v>
      </c>
      <c r="AZ99" s="0" t="s">
        <v>4595</v>
      </c>
      <c r="BA99" s="0" t="s">
        <v>4596</v>
      </c>
      <c r="BB99" s="0" t="s">
        <v>163</v>
      </c>
      <c r="BD99" s="0" t="s">
        <v>168</v>
      </c>
      <c r="BE99" s="0" t="s">
        <v>7018</v>
      </c>
      <c r="BF99" s="0" t="s">
        <v>168</v>
      </c>
      <c r="BG99" s="0" t="s">
        <v>168</v>
      </c>
      <c r="BH99" s="0" t="s">
        <v>163</v>
      </c>
      <c r="BJ99" s="0" t="s">
        <v>5549</v>
      </c>
      <c r="BK99" s="0" t="s">
        <v>162</v>
      </c>
      <c r="BL99" s="0" t="s">
        <v>162</v>
      </c>
      <c r="BO99" s="0" t="s">
        <v>162</v>
      </c>
      <c r="BP99" s="0" t="n">
        <v>0</v>
      </c>
      <c r="BS99" s="0" t="s">
        <v>163</v>
      </c>
      <c r="BU99" s="0" t="s">
        <v>158</v>
      </c>
      <c r="BX99" s="0" t="s">
        <v>7019</v>
      </c>
      <c r="CF99" s="0" t="s">
        <v>158</v>
      </c>
      <c r="CK99" s="0" t="s">
        <v>158</v>
      </c>
      <c r="CL99" s="0" t="n">
        <v>45</v>
      </c>
      <c r="CM99" s="0" t="n">
        <v>6</v>
      </c>
      <c r="CN99" s="0" t="n">
        <v>20</v>
      </c>
      <c r="CO99" s="0" t="n">
        <v>0</v>
      </c>
      <c r="CP99" s="0" t="n">
        <v>5</v>
      </c>
      <c r="CQ99" s="0" t="n">
        <v>10</v>
      </c>
      <c r="CR99" s="0" t="n">
        <v>6</v>
      </c>
      <c r="CS99" s="0" t="n">
        <f aca="false">IF(R99="Y",10,0)</f>
        <v>0</v>
      </c>
      <c r="CT99" s="0" t="n">
        <v>-2</v>
      </c>
      <c r="CU99" s="0" t="s">
        <v>163</v>
      </c>
      <c r="CV99" s="0" t="s">
        <v>5562</v>
      </c>
      <c r="CW99" s="0" t="s">
        <v>7020</v>
      </c>
      <c r="CX99" s="0" t="s">
        <v>7021</v>
      </c>
      <c r="CY99" s="0" t="s">
        <v>7022</v>
      </c>
      <c r="DA99" s="0" t="s">
        <v>6234</v>
      </c>
      <c r="DY99" s="0" t="str">
        <f aca="false">IF(ISNUMBER(MATCH(U99,{"queued","contacted","replied","call_booked","call_done","yes_in_principle","materials_sent"},0)),"Y","N")</f>
        <v>N</v>
      </c>
      <c r="DZ99" s="0" t="str">
        <f aca="false">IF(COUNTIFS($AN$2:$AN$1000,AN99,$DY$2:$DY$1000,"Y")+COUNTIFS($AN$2:$AN$1000,AN99,$T$2:$T$1000,"Y")&gt;0,"Y","N")</f>
        <v>N</v>
      </c>
      <c r="EA99" s="0" t="str">
        <f aca="false">IF(AND(U99="new",T99="N",AR99="Y",AQ99="",DZ99="N"),"Y","N")</f>
        <v>Y</v>
      </c>
      <c r="EB99" s="0" t="str">
        <f aca="false">IF(EA99&lt;&gt;"Y","N",IF(COUNTIFS($AN$2:$AN$1000,AN99,$EA$2:$EA$1000,"Y",$J$2:$J$1000,"&gt;"&amp;J99)+COUNTIFS($AN$2:$AN$1000,AN99,$EA$2:$EA$1000,"Y",$J$2:$J$1000,J99,$ED$2:$ED$1000,"&lt;"&amp;ED99)=0,"Y","N"))</f>
        <v>Y</v>
      </c>
      <c r="EC99" s="0" t="str">
        <f aca="false">IF(Y99="","N",IF(Y99&lt;=10,"Y","N"))</f>
        <v>N</v>
      </c>
      <c r="ED99" s="0" t="n">
        <f aca="false">ROW()-1</f>
        <v>98</v>
      </c>
    </row>
    <row r="100" customFormat="false" ht="15" hidden="false" customHeight="false" outlineLevel="0" collapsed="false">
      <c r="A100" s="0" t="s">
        <v>7023</v>
      </c>
      <c r="B100" s="0" t="s">
        <v>7024</v>
      </c>
      <c r="C100" s="0" t="s">
        <v>4769</v>
      </c>
      <c r="D100" s="0" t="s">
        <v>7025</v>
      </c>
      <c r="E100" s="0" t="s">
        <v>4625</v>
      </c>
      <c r="H100" s="5" t="s">
        <v>158</v>
      </c>
      <c r="I100" s="5" t="s">
        <v>159</v>
      </c>
      <c r="J100" s="0" t="n">
        <f aca="false">IF(AU100="pass",CM100+CN100+CO100+CP100+CQ100+CR100+CS100+CT100,0)</f>
        <v>45</v>
      </c>
      <c r="K100" s="0" t="s">
        <v>6820</v>
      </c>
      <c r="M100" s="0" t="s">
        <v>5291</v>
      </c>
      <c r="N100" s="0" t="s">
        <v>598</v>
      </c>
      <c r="R100" s="5" t="s">
        <v>162</v>
      </c>
      <c r="S100" s="0" t="s">
        <v>163</v>
      </c>
      <c r="T100" s="5" t="s">
        <v>162</v>
      </c>
      <c r="U100" s="5" t="s">
        <v>561</v>
      </c>
      <c r="V100" s="0" t="s">
        <v>7026</v>
      </c>
      <c r="W100" s="0" t="s">
        <v>166</v>
      </c>
      <c r="X100" s="0" t="s">
        <v>4585</v>
      </c>
      <c r="Y100" s="0" t="n">
        <f aca="false">IF(EB100&lt;&gt;"Y","",COUNTIFS($EB$2:$EB$1000,"Y",$J$2:$J$1000,"&gt;"&amp;J100)+COUNTIFS($EB$2:$EB$1000,"Y",$J$2:$J$1000,J100,$ED$2:$ED$1000,"&lt;"&amp;ED100)+1)</f>
        <v>91</v>
      </c>
      <c r="Z100" s="0" t="n">
        <v>99</v>
      </c>
      <c r="AA100" s="0" t="s">
        <v>162</v>
      </c>
      <c r="AB100" s="0" t="s">
        <v>7027</v>
      </c>
      <c r="AC100" s="0" t="s">
        <v>4587</v>
      </c>
      <c r="AD100" s="0" t="s">
        <v>171</v>
      </c>
      <c r="AE100" s="0" t="s">
        <v>1189</v>
      </c>
      <c r="AF100" s="0" t="s">
        <v>7028</v>
      </c>
      <c r="AG100" s="0" t="s">
        <v>166</v>
      </c>
      <c r="AH100" s="0" t="s">
        <v>7029</v>
      </c>
      <c r="AI100" s="0" t="s">
        <v>4664</v>
      </c>
      <c r="AJ100" s="0" t="s">
        <v>7030</v>
      </c>
      <c r="AK100" s="0" t="s">
        <v>7031</v>
      </c>
      <c r="AL100" s="0" t="s">
        <v>168</v>
      </c>
      <c r="AM100" s="0" t="s">
        <v>7032</v>
      </c>
      <c r="AN100" s="0" t="s">
        <v>7023</v>
      </c>
      <c r="AO100" s="5" t="s">
        <v>162</v>
      </c>
      <c r="AR100" s="0" t="str">
        <f aca="false">IF(AND(AU100="pass",AO100&lt;&gt;"Y",C100&lt;&gt;""),"Y","N")</f>
        <v>Y</v>
      </c>
      <c r="AS100" s="0" t="str">
        <f aca="false">_xlfn.TEXTJOIN("; ",TRUE(),IF(AU100&lt;&gt;"pass","gated out",""),IF(AO100="Y","on hold: "&amp;AP100,""),IF(C100="","no contact named on an opened page",""))</f>
        <v/>
      </c>
      <c r="AU100" s="0" t="s">
        <v>181</v>
      </c>
      <c r="AW100" s="0" t="s">
        <v>182</v>
      </c>
      <c r="AX100" s="0" t="s">
        <v>282</v>
      </c>
      <c r="AY100" s="0" t="s">
        <v>7031</v>
      </c>
      <c r="AZ100" s="0" t="s">
        <v>4595</v>
      </c>
      <c r="BA100" s="0" t="s">
        <v>4596</v>
      </c>
      <c r="BB100" s="0" t="s">
        <v>7033</v>
      </c>
      <c r="BC100" s="0" t="s">
        <v>7026</v>
      </c>
      <c r="BD100" s="0" t="s">
        <v>168</v>
      </c>
      <c r="BE100" s="0" t="s">
        <v>7034</v>
      </c>
      <c r="BF100" s="0" t="s">
        <v>168</v>
      </c>
      <c r="BG100" s="0" t="s">
        <v>168</v>
      </c>
      <c r="BH100" s="0" t="s">
        <v>163</v>
      </c>
      <c r="BJ100" s="0" t="s">
        <v>163</v>
      </c>
      <c r="BK100" s="0" t="s">
        <v>162</v>
      </c>
      <c r="BL100" s="0" t="s">
        <v>162</v>
      </c>
      <c r="BO100" s="0" t="s">
        <v>162</v>
      </c>
      <c r="BP100" s="0" t="n">
        <v>0</v>
      </c>
      <c r="BS100" s="0" t="s">
        <v>7035</v>
      </c>
      <c r="BT100" s="0" t="s">
        <v>7036</v>
      </c>
      <c r="BU100" s="0" t="s">
        <v>158</v>
      </c>
      <c r="BX100" s="0" t="s">
        <v>7037</v>
      </c>
      <c r="BY100" s="0" t="s">
        <v>7038</v>
      </c>
      <c r="CF100" s="0" t="s">
        <v>158</v>
      </c>
      <c r="CK100" s="0" t="s">
        <v>158</v>
      </c>
      <c r="CL100" s="0" t="n">
        <v>45</v>
      </c>
      <c r="CM100" s="0" t="n">
        <v>6</v>
      </c>
      <c r="CN100" s="0" t="n">
        <v>20</v>
      </c>
      <c r="CO100" s="0" t="n">
        <v>0</v>
      </c>
      <c r="CP100" s="0" t="n">
        <v>5</v>
      </c>
      <c r="CQ100" s="0" t="n">
        <v>10</v>
      </c>
      <c r="CR100" s="0" t="n">
        <v>6</v>
      </c>
      <c r="CS100" s="0" t="n">
        <f aca="false">IF(R100="Y",10,0)</f>
        <v>0</v>
      </c>
      <c r="CT100" s="0" t="n">
        <v>-2</v>
      </c>
      <c r="CV100" s="0" t="s">
        <v>4615</v>
      </c>
      <c r="CW100" s="0" t="s">
        <v>7039</v>
      </c>
      <c r="CX100" s="0" t="s">
        <v>7040</v>
      </c>
      <c r="CY100" s="0" t="s">
        <v>7041</v>
      </c>
      <c r="DA100" s="0" t="s">
        <v>6234</v>
      </c>
      <c r="DY100" s="0" t="str">
        <f aca="false">IF(ISNUMBER(MATCH(U100,{"queued","contacted","replied","call_booked","call_done","yes_in_principle","materials_sent"},0)),"Y","N")</f>
        <v>N</v>
      </c>
      <c r="DZ100" s="0" t="str">
        <f aca="false">IF(COUNTIFS($AN$2:$AN$1000,AN100,$DY$2:$DY$1000,"Y")+COUNTIFS($AN$2:$AN$1000,AN100,$T$2:$T$1000,"Y")&gt;0,"Y","N")</f>
        <v>N</v>
      </c>
      <c r="EA100" s="0" t="str">
        <f aca="false">IF(AND(U100="new",T100="N",AR100="Y",AQ100="",DZ100="N"),"Y","N")</f>
        <v>Y</v>
      </c>
      <c r="EB100" s="0" t="str">
        <f aca="false">IF(EA100&lt;&gt;"Y","N",IF(COUNTIFS($AN$2:$AN$1000,AN100,$EA$2:$EA$1000,"Y",$J$2:$J$1000,"&gt;"&amp;J100)+COUNTIFS($AN$2:$AN$1000,AN100,$EA$2:$EA$1000,"Y",$J$2:$J$1000,J100,$ED$2:$ED$1000,"&lt;"&amp;ED100)=0,"Y","N"))</f>
        <v>Y</v>
      </c>
      <c r="EC100" s="0" t="str">
        <f aca="false">IF(Y100="","N",IF(Y100&lt;=10,"Y","N"))</f>
        <v>N</v>
      </c>
      <c r="ED100" s="0" t="n">
        <f aca="false">ROW()-1</f>
        <v>99</v>
      </c>
    </row>
    <row r="101" customFormat="false" ht="15" hidden="false" customHeight="false" outlineLevel="0" collapsed="false">
      <c r="A101" s="0" t="s">
        <v>7042</v>
      </c>
      <c r="B101" s="0" t="s">
        <v>7043</v>
      </c>
      <c r="C101" s="0" t="s">
        <v>7044</v>
      </c>
      <c r="D101" s="0" t="s">
        <v>7045</v>
      </c>
      <c r="E101" s="0" t="s">
        <v>4771</v>
      </c>
      <c r="H101" s="5" t="s">
        <v>158</v>
      </c>
      <c r="I101" s="5" t="s">
        <v>159</v>
      </c>
      <c r="J101" s="0" t="n">
        <f aca="false">IF(AU101="pass",CM101+CN101+CO101+CP101+CQ101+CR101+CS101+CT101,0)</f>
        <v>44</v>
      </c>
      <c r="K101" s="0" t="s">
        <v>7046</v>
      </c>
      <c r="M101" s="0" t="s">
        <v>7047</v>
      </c>
      <c r="N101" s="0" t="s">
        <v>5021</v>
      </c>
      <c r="O101" s="0" t="s">
        <v>7048</v>
      </c>
      <c r="P101" s="0" t="s">
        <v>7049</v>
      </c>
      <c r="Q101" s="0" t="s">
        <v>7050</v>
      </c>
      <c r="R101" s="5" t="s">
        <v>162</v>
      </c>
      <c r="S101" s="0" t="s">
        <v>163</v>
      </c>
      <c r="T101" s="5" t="s">
        <v>162</v>
      </c>
      <c r="U101" s="5" t="s">
        <v>561</v>
      </c>
      <c r="V101" s="0" t="s">
        <v>7051</v>
      </c>
      <c r="W101" s="0" t="s">
        <v>166</v>
      </c>
      <c r="X101" s="0" t="s">
        <v>4585</v>
      </c>
      <c r="Y101" s="0" t="n">
        <f aca="false">IF(EB101&lt;&gt;"Y","",COUNTIFS($EB$2:$EB$1000,"Y",$J$2:$J$1000,"&gt;"&amp;J101)+COUNTIFS($EB$2:$EB$1000,"Y",$J$2:$J$1000,J101,$ED$2:$ED$1000,"&lt;"&amp;ED101)+1)</f>
        <v>92</v>
      </c>
      <c r="Z101" s="0" t="n">
        <v>100</v>
      </c>
      <c r="AA101" s="0" t="s">
        <v>162</v>
      </c>
      <c r="AB101" s="0" t="s">
        <v>7052</v>
      </c>
      <c r="AC101" s="0" t="s">
        <v>4587</v>
      </c>
      <c r="AD101" s="0" t="s">
        <v>171</v>
      </c>
      <c r="AE101" s="0" t="s">
        <v>172</v>
      </c>
      <c r="AF101" s="0" t="s">
        <v>7053</v>
      </c>
      <c r="AG101" s="0" t="s">
        <v>166</v>
      </c>
      <c r="AH101" s="0" t="s">
        <v>7054</v>
      </c>
      <c r="AI101" s="0" t="s">
        <v>5028</v>
      </c>
      <c r="AJ101" s="0" t="s">
        <v>7055</v>
      </c>
      <c r="AK101" s="0" t="s">
        <v>7056</v>
      </c>
      <c r="AL101" s="0" t="s">
        <v>168</v>
      </c>
      <c r="AM101" s="0" t="s">
        <v>7057</v>
      </c>
      <c r="AN101" s="0" t="s">
        <v>7042</v>
      </c>
      <c r="AO101" s="5" t="s">
        <v>162</v>
      </c>
      <c r="AR101" s="0" t="str">
        <f aca="false">IF(AND(AU101="pass",AO101&lt;&gt;"Y",C101&lt;&gt;""),"Y","N")</f>
        <v>Y</v>
      </c>
      <c r="AS101" s="0" t="str">
        <f aca="false">_xlfn.TEXTJOIN("; ",TRUE(),IF(AU101&lt;&gt;"pass","gated out",""),IF(AO101="Y","on hold: "&amp;AP101,""),IF(C101="","no contact named on an opened page",""))</f>
        <v/>
      </c>
      <c r="AU101" s="0" t="s">
        <v>181</v>
      </c>
      <c r="AW101" s="0" t="s">
        <v>182</v>
      </c>
      <c r="AX101" s="0" t="s">
        <v>6031</v>
      </c>
      <c r="AY101" s="0" t="s">
        <v>7056</v>
      </c>
      <c r="AZ101" s="0" t="s">
        <v>4595</v>
      </c>
      <c r="BA101" s="0" t="s">
        <v>4596</v>
      </c>
      <c r="BB101" s="0" t="s">
        <v>163</v>
      </c>
      <c r="BD101" s="0" t="s">
        <v>168</v>
      </c>
      <c r="BE101" s="0" t="s">
        <v>7058</v>
      </c>
      <c r="BF101" s="0" t="s">
        <v>168</v>
      </c>
      <c r="BG101" s="0" t="s">
        <v>168</v>
      </c>
      <c r="BH101" s="0" t="s">
        <v>163</v>
      </c>
      <c r="BJ101" s="0" t="s">
        <v>163</v>
      </c>
      <c r="BK101" s="0" t="s">
        <v>162</v>
      </c>
      <c r="BL101" s="0" t="s">
        <v>162</v>
      </c>
      <c r="BN101" s="0" t="n">
        <v>0.8</v>
      </c>
      <c r="BO101" s="0" t="s">
        <v>162</v>
      </c>
      <c r="BP101" s="0" t="n">
        <v>2</v>
      </c>
      <c r="BQ101" s="0" t="s">
        <v>7059</v>
      </c>
      <c r="BS101" s="0" t="s">
        <v>7060</v>
      </c>
      <c r="BT101" s="0" t="s">
        <v>7061</v>
      </c>
      <c r="BU101" s="0" t="s">
        <v>598</v>
      </c>
      <c r="BV101" s="0" t="n">
        <v>293</v>
      </c>
      <c r="BX101" s="0" t="s">
        <v>7062</v>
      </c>
      <c r="CF101" s="0" t="s">
        <v>158</v>
      </c>
      <c r="CK101" s="0" t="s">
        <v>158</v>
      </c>
      <c r="CL101" s="0" t="n">
        <v>44</v>
      </c>
      <c r="CM101" s="0" t="n">
        <v>13</v>
      </c>
      <c r="CN101" s="0" t="n">
        <v>20</v>
      </c>
      <c r="CO101" s="0" t="n">
        <v>0</v>
      </c>
      <c r="CP101" s="0" t="n">
        <v>5</v>
      </c>
      <c r="CQ101" s="0" t="n">
        <v>10</v>
      </c>
      <c r="CR101" s="0" t="n">
        <v>6</v>
      </c>
      <c r="CS101" s="0" t="n">
        <f aca="false">IF(R101="Y",10,0)</f>
        <v>0</v>
      </c>
      <c r="CT101" s="0" t="n">
        <v>-10</v>
      </c>
      <c r="CV101" s="0" t="s">
        <v>4615</v>
      </c>
      <c r="CW101" s="0" t="s">
        <v>7063</v>
      </c>
      <c r="CX101" s="0" t="s">
        <v>7064</v>
      </c>
      <c r="CY101" s="0" t="s">
        <v>7065</v>
      </c>
      <c r="DA101" s="0" t="s">
        <v>6234</v>
      </c>
      <c r="DY101" s="0" t="str">
        <f aca="false">IF(ISNUMBER(MATCH(U101,{"queued","contacted","replied","call_booked","call_done","yes_in_principle","materials_sent"},0)),"Y","N")</f>
        <v>N</v>
      </c>
      <c r="DZ101" s="0" t="str">
        <f aca="false">IF(COUNTIFS($AN$2:$AN$1000,AN101,$DY$2:$DY$1000,"Y")+COUNTIFS($AN$2:$AN$1000,AN101,$T$2:$T$1000,"Y")&gt;0,"Y","N")</f>
        <v>N</v>
      </c>
      <c r="EA101" s="0" t="str">
        <f aca="false">IF(AND(U101="new",T101="N",AR101="Y",AQ101="",DZ101="N"),"Y","N")</f>
        <v>Y</v>
      </c>
      <c r="EB101" s="0" t="str">
        <f aca="false">IF(EA101&lt;&gt;"Y","N",IF(COUNTIFS($AN$2:$AN$1000,AN101,$EA$2:$EA$1000,"Y",$J$2:$J$1000,"&gt;"&amp;J101)+COUNTIFS($AN$2:$AN$1000,AN101,$EA$2:$EA$1000,"Y",$J$2:$J$1000,J101,$ED$2:$ED$1000,"&lt;"&amp;ED101)=0,"Y","N"))</f>
        <v>Y</v>
      </c>
      <c r="EC101" s="0" t="str">
        <f aca="false">IF(Y101="","N",IF(Y101&lt;=10,"Y","N"))</f>
        <v>N</v>
      </c>
      <c r="ED101" s="0" t="n">
        <f aca="false">ROW()-1</f>
        <v>100</v>
      </c>
    </row>
    <row r="102" customFormat="false" ht="15" hidden="false" customHeight="false" outlineLevel="0" collapsed="false">
      <c r="A102" s="0" t="s">
        <v>7066</v>
      </c>
      <c r="B102" s="0" t="s">
        <v>7067</v>
      </c>
      <c r="C102" s="0" t="s">
        <v>6561</v>
      </c>
      <c r="D102" s="0" t="s">
        <v>7068</v>
      </c>
      <c r="E102" s="0" t="s">
        <v>4771</v>
      </c>
      <c r="H102" s="5" t="s">
        <v>158</v>
      </c>
      <c r="I102" s="5" t="s">
        <v>159</v>
      </c>
      <c r="J102" s="0" t="n">
        <f aca="false">IF(AU102="pass",CM102+CN102+CO102+CP102+CQ102+CR102+CS102+CT102,0)</f>
        <v>44</v>
      </c>
      <c r="K102" s="0" t="s">
        <v>7069</v>
      </c>
      <c r="M102" s="0" t="s">
        <v>5291</v>
      </c>
      <c r="N102" s="0" t="s">
        <v>598</v>
      </c>
      <c r="O102" s="0" t="s">
        <v>7070</v>
      </c>
      <c r="P102" s="0" t="s">
        <v>7071</v>
      </c>
      <c r="Q102" s="0" t="s">
        <v>5135</v>
      </c>
      <c r="R102" s="5" t="s">
        <v>162</v>
      </c>
      <c r="S102" s="0" t="s">
        <v>163</v>
      </c>
      <c r="T102" s="5" t="s">
        <v>162</v>
      </c>
      <c r="U102" s="5" t="s">
        <v>561</v>
      </c>
      <c r="V102" s="0" t="s">
        <v>7071</v>
      </c>
      <c r="W102" s="0" t="s">
        <v>174</v>
      </c>
      <c r="X102" s="0" t="s">
        <v>4585</v>
      </c>
      <c r="Y102" s="0" t="n">
        <f aca="false">IF(EB102&lt;&gt;"Y","",COUNTIFS($EB$2:$EB$1000,"Y",$J$2:$J$1000,"&gt;"&amp;J102)+COUNTIFS($EB$2:$EB$1000,"Y",$J$2:$J$1000,J102,$ED$2:$ED$1000,"&lt;"&amp;ED102)+1)</f>
        <v>93</v>
      </c>
      <c r="Z102" s="0" t="n">
        <v>101</v>
      </c>
      <c r="AA102" s="0" t="s">
        <v>162</v>
      </c>
      <c r="AB102" s="0" t="s">
        <v>7072</v>
      </c>
      <c r="AC102" s="0" t="s">
        <v>4587</v>
      </c>
      <c r="AD102" s="0" t="s">
        <v>171</v>
      </c>
      <c r="AE102" s="0" t="s">
        <v>1189</v>
      </c>
      <c r="AF102" s="0" t="s">
        <v>7071</v>
      </c>
      <c r="AG102" s="0" t="s">
        <v>174</v>
      </c>
      <c r="AH102" s="0" t="s">
        <v>7073</v>
      </c>
      <c r="AI102" s="0" t="s">
        <v>4975</v>
      </c>
      <c r="AJ102" s="0" t="s">
        <v>2130</v>
      </c>
      <c r="AK102" s="0" t="s">
        <v>7074</v>
      </c>
      <c r="AL102" s="0" t="s">
        <v>168</v>
      </c>
      <c r="AM102" s="0" t="s">
        <v>7075</v>
      </c>
      <c r="AN102" s="0" t="s">
        <v>7066</v>
      </c>
      <c r="AO102" s="5" t="s">
        <v>162</v>
      </c>
      <c r="AR102" s="0" t="str">
        <f aca="false">IF(AND(AU102="pass",AO102&lt;&gt;"Y",C102&lt;&gt;""),"Y","N")</f>
        <v>Y</v>
      </c>
      <c r="AS102" s="0" t="str">
        <f aca="false">_xlfn.TEXTJOIN("; ",TRUE(),IF(AU102&lt;&gt;"pass","gated out",""),IF(AO102="Y","on hold: "&amp;AP102,""),IF(C102="","no contact named on an opened page",""))</f>
        <v/>
      </c>
      <c r="AU102" s="0" t="s">
        <v>181</v>
      </c>
      <c r="AW102" s="0" t="s">
        <v>182</v>
      </c>
      <c r="AX102" s="0" t="s">
        <v>4828</v>
      </c>
      <c r="AY102" s="0" t="s">
        <v>7074</v>
      </c>
      <c r="AZ102" s="0" t="s">
        <v>6476</v>
      </c>
      <c r="BA102" s="0" t="s">
        <v>5191</v>
      </c>
      <c r="BB102" s="0" t="s">
        <v>163</v>
      </c>
      <c r="BD102" s="0" t="s">
        <v>168</v>
      </c>
      <c r="BE102" s="0" t="s">
        <v>7076</v>
      </c>
      <c r="BF102" s="0" t="s">
        <v>163</v>
      </c>
      <c r="BG102" s="0" t="s">
        <v>168</v>
      </c>
      <c r="BH102" s="0" t="s">
        <v>163</v>
      </c>
      <c r="BJ102" s="0" t="s">
        <v>5143</v>
      </c>
      <c r="BK102" s="0" t="s">
        <v>162</v>
      </c>
      <c r="BL102" s="0" t="s">
        <v>162</v>
      </c>
      <c r="BO102" s="0" t="s">
        <v>162</v>
      </c>
      <c r="BP102" s="0" t="n">
        <v>0</v>
      </c>
      <c r="BS102" s="0" t="s">
        <v>7077</v>
      </c>
      <c r="BU102" s="0" t="s">
        <v>4604</v>
      </c>
      <c r="BV102" s="0" t="n">
        <v>118</v>
      </c>
      <c r="BX102" s="0" t="s">
        <v>7078</v>
      </c>
      <c r="CF102" s="0" t="s">
        <v>158</v>
      </c>
      <c r="CK102" s="0" t="s">
        <v>158</v>
      </c>
      <c r="CL102" s="0" t="n">
        <v>44</v>
      </c>
      <c r="CM102" s="0" t="n">
        <v>6</v>
      </c>
      <c r="CN102" s="0" t="n">
        <v>8</v>
      </c>
      <c r="CO102" s="0" t="n">
        <v>15</v>
      </c>
      <c r="CP102" s="0" t="n">
        <v>5</v>
      </c>
      <c r="CQ102" s="0" t="n">
        <v>8</v>
      </c>
      <c r="CR102" s="0" t="n">
        <v>6</v>
      </c>
      <c r="CS102" s="0" t="n">
        <f aca="false">IF(R102="Y",10,0)</f>
        <v>0</v>
      </c>
      <c r="CT102" s="0" t="n">
        <v>-4</v>
      </c>
      <c r="CV102" s="0" t="s">
        <v>5150</v>
      </c>
      <c r="CW102" s="0" t="s">
        <v>7079</v>
      </c>
      <c r="CX102" s="0" t="s">
        <v>7080</v>
      </c>
      <c r="DA102" s="0" t="s">
        <v>6234</v>
      </c>
      <c r="DY102" s="0" t="str">
        <f aca="false">IF(ISNUMBER(MATCH(U102,{"queued","contacted","replied","call_booked","call_done","yes_in_principle","materials_sent"},0)),"Y","N")</f>
        <v>N</v>
      </c>
      <c r="DZ102" s="0" t="str">
        <f aca="false">IF(COUNTIFS($AN$2:$AN$1000,AN102,$DY$2:$DY$1000,"Y")+COUNTIFS($AN$2:$AN$1000,AN102,$T$2:$T$1000,"Y")&gt;0,"Y","N")</f>
        <v>N</v>
      </c>
      <c r="EA102" s="0" t="str">
        <f aca="false">IF(AND(U102="new",T102="N",AR102="Y",AQ102="",DZ102="N"),"Y","N")</f>
        <v>Y</v>
      </c>
      <c r="EB102" s="0" t="str">
        <f aca="false">IF(EA102&lt;&gt;"Y","N",IF(COUNTIFS($AN$2:$AN$1000,AN102,$EA$2:$EA$1000,"Y",$J$2:$J$1000,"&gt;"&amp;J102)+COUNTIFS($AN$2:$AN$1000,AN102,$EA$2:$EA$1000,"Y",$J$2:$J$1000,J102,$ED$2:$ED$1000,"&lt;"&amp;ED102)=0,"Y","N"))</f>
        <v>Y</v>
      </c>
      <c r="EC102" s="0" t="str">
        <f aca="false">IF(Y102="","N",IF(Y102&lt;=10,"Y","N"))</f>
        <v>N</v>
      </c>
      <c r="ED102" s="0" t="n">
        <f aca="false">ROW()-1</f>
        <v>101</v>
      </c>
    </row>
    <row r="103" customFormat="false" ht="15" hidden="false" customHeight="false" outlineLevel="0" collapsed="false">
      <c r="A103" s="0" t="s">
        <v>7081</v>
      </c>
      <c r="B103" s="0" t="s">
        <v>7082</v>
      </c>
      <c r="C103" s="0" t="s">
        <v>7083</v>
      </c>
      <c r="D103" s="0" t="s">
        <v>7084</v>
      </c>
      <c r="E103" s="0" t="s">
        <v>4771</v>
      </c>
      <c r="F103" s="0" t="s">
        <v>7085</v>
      </c>
      <c r="H103" s="5" t="s">
        <v>158</v>
      </c>
      <c r="I103" s="5" t="s">
        <v>159</v>
      </c>
      <c r="J103" s="0" t="n">
        <f aca="false">IF(AU103="pass",CM103+CN103+CO103+CP103+CQ103+CR103+CS103+CT103,0)</f>
        <v>44</v>
      </c>
      <c r="K103" s="0" t="s">
        <v>7086</v>
      </c>
      <c r="M103" s="0" t="s">
        <v>5291</v>
      </c>
      <c r="N103" s="0" t="s">
        <v>598</v>
      </c>
      <c r="O103" s="0" t="s">
        <v>7087</v>
      </c>
      <c r="P103" s="0" t="s">
        <v>7088</v>
      </c>
      <c r="Q103" s="0" t="s">
        <v>7089</v>
      </c>
      <c r="R103" s="5" t="s">
        <v>162</v>
      </c>
      <c r="S103" s="0" t="s">
        <v>163</v>
      </c>
      <c r="T103" s="5" t="s">
        <v>162</v>
      </c>
      <c r="U103" s="5" t="s">
        <v>561</v>
      </c>
      <c r="V103" s="0" t="s">
        <v>7090</v>
      </c>
      <c r="W103" s="0" t="s">
        <v>166</v>
      </c>
      <c r="X103" s="0" t="s">
        <v>4585</v>
      </c>
      <c r="Y103" s="0" t="n">
        <f aca="false">IF(EB103&lt;&gt;"Y","",COUNTIFS($EB$2:$EB$1000,"Y",$J$2:$J$1000,"&gt;"&amp;J103)+COUNTIFS($EB$2:$EB$1000,"Y",$J$2:$J$1000,J103,$ED$2:$ED$1000,"&lt;"&amp;ED103)+1)</f>
        <v>94</v>
      </c>
      <c r="Z103" s="0" t="n">
        <v>102</v>
      </c>
      <c r="AA103" s="0" t="s">
        <v>162</v>
      </c>
      <c r="AB103" s="0" t="s">
        <v>7091</v>
      </c>
      <c r="AC103" s="0" t="s">
        <v>4587</v>
      </c>
      <c r="AD103" s="0" t="s">
        <v>171</v>
      </c>
      <c r="AE103" s="0" t="s">
        <v>172</v>
      </c>
      <c r="AF103" s="0" t="s">
        <v>7090</v>
      </c>
      <c r="AG103" s="0" t="s">
        <v>166</v>
      </c>
      <c r="AH103" s="0" t="s">
        <v>7092</v>
      </c>
      <c r="AI103" s="0" t="s">
        <v>4722</v>
      </c>
      <c r="AJ103" s="0" t="s">
        <v>7093</v>
      </c>
      <c r="AK103" s="0" t="s">
        <v>7094</v>
      </c>
      <c r="AL103" s="0" t="s">
        <v>168</v>
      </c>
      <c r="AM103" s="0" t="s">
        <v>7095</v>
      </c>
      <c r="AN103" s="0" t="s">
        <v>7081</v>
      </c>
      <c r="AO103" s="5" t="s">
        <v>162</v>
      </c>
      <c r="AR103" s="0" t="str">
        <f aca="false">IF(AND(AU103="pass",AO103&lt;&gt;"Y",C103&lt;&gt;""),"Y","N")</f>
        <v>Y</v>
      </c>
      <c r="AS103" s="0" t="str">
        <f aca="false">_xlfn.TEXTJOIN("; ",TRUE(),IF(AU103&lt;&gt;"pass","gated out",""),IF(AO103="Y","on hold: "&amp;AP103,""),IF(C103="","no contact named on an opened page",""))</f>
        <v/>
      </c>
      <c r="AU103" s="0" t="s">
        <v>181</v>
      </c>
      <c r="AW103" s="0" t="s">
        <v>182</v>
      </c>
      <c r="AX103" s="0" t="s">
        <v>5605</v>
      </c>
      <c r="AY103" s="0" t="s">
        <v>7094</v>
      </c>
      <c r="AZ103" s="0" t="s">
        <v>7096</v>
      </c>
      <c r="BA103" s="0" t="s">
        <v>7097</v>
      </c>
      <c r="BB103" s="0" t="s">
        <v>7098</v>
      </c>
      <c r="BC103" s="0" t="s">
        <v>7090</v>
      </c>
      <c r="BD103" s="0" t="s">
        <v>168</v>
      </c>
      <c r="BE103" s="0" t="s">
        <v>7099</v>
      </c>
      <c r="BF103" s="0" t="s">
        <v>168</v>
      </c>
      <c r="BG103" s="0" t="s">
        <v>168</v>
      </c>
      <c r="BH103" s="0" t="s">
        <v>163</v>
      </c>
      <c r="BJ103" s="0" t="s">
        <v>7100</v>
      </c>
      <c r="BK103" s="0" t="s">
        <v>162</v>
      </c>
      <c r="BL103" s="0" t="s">
        <v>162</v>
      </c>
      <c r="BO103" s="0" t="s">
        <v>162</v>
      </c>
      <c r="BP103" s="0" t="n">
        <v>0</v>
      </c>
      <c r="BS103" s="0" t="s">
        <v>7101</v>
      </c>
      <c r="BT103" s="0" t="s">
        <v>7102</v>
      </c>
      <c r="BU103" s="0" t="s">
        <v>4604</v>
      </c>
      <c r="BV103" s="0" t="n">
        <v>46</v>
      </c>
      <c r="BX103" s="0" t="s">
        <v>7103</v>
      </c>
      <c r="BZ103" s="0" t="s">
        <v>4932</v>
      </c>
      <c r="CA103" s="0" t="s">
        <v>7104</v>
      </c>
      <c r="CE103" s="0" t="s">
        <v>6260</v>
      </c>
      <c r="CF103" s="0" t="s">
        <v>598</v>
      </c>
      <c r="CG103" s="0" t="s">
        <v>7105</v>
      </c>
      <c r="CH103" s="0" t="s">
        <v>7106</v>
      </c>
      <c r="CI103" s="0" t="s">
        <v>4932</v>
      </c>
      <c r="CK103" s="0" t="s">
        <v>158</v>
      </c>
      <c r="CL103" s="0" t="n">
        <v>44</v>
      </c>
      <c r="CM103" s="0" t="n">
        <v>6</v>
      </c>
      <c r="CN103" s="0" t="n">
        <v>10</v>
      </c>
      <c r="CO103" s="0" t="n">
        <v>15</v>
      </c>
      <c r="CP103" s="0" t="n">
        <v>5</v>
      </c>
      <c r="CQ103" s="0" t="n">
        <v>10</v>
      </c>
      <c r="CR103" s="0" t="n">
        <v>10</v>
      </c>
      <c r="CS103" s="0" t="n">
        <f aca="false">IF(R103="Y",10,0)</f>
        <v>0</v>
      </c>
      <c r="CT103" s="0" t="n">
        <v>-12</v>
      </c>
      <c r="CU103" s="0" t="s">
        <v>7107</v>
      </c>
      <c r="CV103" s="0" t="s">
        <v>4703</v>
      </c>
      <c r="CW103" s="0" t="s">
        <v>7108</v>
      </c>
      <c r="CX103" s="0" t="s">
        <v>7109</v>
      </c>
      <c r="CY103" s="0" t="s">
        <v>7110</v>
      </c>
      <c r="DA103" s="0" t="s">
        <v>6234</v>
      </c>
      <c r="DC103" s="0" t="s">
        <v>163</v>
      </c>
      <c r="DY103" s="0" t="str">
        <f aca="false">IF(ISNUMBER(MATCH(U103,{"queued","contacted","replied","call_booked","call_done","yes_in_principle","materials_sent"},0)),"Y","N")</f>
        <v>N</v>
      </c>
      <c r="DZ103" s="0" t="str">
        <f aca="false">IF(COUNTIFS($AN$2:$AN$1000,AN103,$DY$2:$DY$1000,"Y")+COUNTIFS($AN$2:$AN$1000,AN103,$T$2:$T$1000,"Y")&gt;0,"Y","N")</f>
        <v>N</v>
      </c>
      <c r="EA103" s="0" t="str">
        <f aca="false">IF(AND(U103="new",T103="N",AR103="Y",AQ103="",DZ103="N"),"Y","N")</f>
        <v>Y</v>
      </c>
      <c r="EB103" s="0" t="str">
        <f aca="false">IF(EA103&lt;&gt;"Y","N",IF(COUNTIFS($AN$2:$AN$1000,AN103,$EA$2:$EA$1000,"Y",$J$2:$J$1000,"&gt;"&amp;J103)+COUNTIFS($AN$2:$AN$1000,AN103,$EA$2:$EA$1000,"Y",$J$2:$J$1000,J103,$ED$2:$ED$1000,"&lt;"&amp;ED103)=0,"Y","N"))</f>
        <v>Y</v>
      </c>
      <c r="EC103" s="0" t="str">
        <f aca="false">IF(Y103="","N",IF(Y103&lt;=10,"Y","N"))</f>
        <v>N</v>
      </c>
      <c r="ED103" s="0" t="n">
        <f aca="false">ROW()-1</f>
        <v>102</v>
      </c>
    </row>
    <row r="104" customFormat="false" ht="15" hidden="false" customHeight="false" outlineLevel="0" collapsed="false">
      <c r="A104" s="0" t="s">
        <v>7111</v>
      </c>
      <c r="B104" s="0" t="s">
        <v>7112</v>
      </c>
      <c r="C104" s="0" t="s">
        <v>6237</v>
      </c>
      <c r="D104" s="0" t="s">
        <v>7113</v>
      </c>
      <c r="E104" s="0" t="s">
        <v>6305</v>
      </c>
      <c r="H104" s="5" t="s">
        <v>158</v>
      </c>
      <c r="I104" s="5" t="s">
        <v>159</v>
      </c>
      <c r="J104" s="0" t="n">
        <f aca="false">IF(AU104="pass",CM104+CN104+CO104+CP104+CQ104+CR104+CS104+CT104,0)</f>
        <v>44</v>
      </c>
      <c r="K104" s="0" t="s">
        <v>7114</v>
      </c>
      <c r="M104" s="0" t="s">
        <v>5291</v>
      </c>
      <c r="N104" s="0" t="s">
        <v>598</v>
      </c>
      <c r="O104" s="0" t="s">
        <v>7115</v>
      </c>
      <c r="P104" s="0" t="s">
        <v>7116</v>
      </c>
      <c r="Q104" s="0" t="s">
        <v>689</v>
      </c>
      <c r="R104" s="5" t="s">
        <v>162</v>
      </c>
      <c r="S104" s="0" t="s">
        <v>168</v>
      </c>
      <c r="T104" s="5" t="s">
        <v>162</v>
      </c>
      <c r="U104" s="5" t="s">
        <v>561</v>
      </c>
      <c r="V104" s="0" t="s">
        <v>7116</v>
      </c>
      <c r="W104" s="0" t="s">
        <v>166</v>
      </c>
      <c r="X104" s="0" t="s">
        <v>4585</v>
      </c>
      <c r="Y104" s="0" t="n">
        <f aca="false">IF(EB104&lt;&gt;"Y","",COUNTIFS($EB$2:$EB$1000,"Y",$J$2:$J$1000,"&gt;"&amp;J104)+COUNTIFS($EB$2:$EB$1000,"Y",$J$2:$J$1000,J104,$ED$2:$ED$1000,"&lt;"&amp;ED104)+1)</f>
        <v>95</v>
      </c>
      <c r="Z104" s="0" t="n">
        <v>103</v>
      </c>
      <c r="AA104" s="0" t="s">
        <v>162</v>
      </c>
      <c r="AB104" s="0" t="s">
        <v>7117</v>
      </c>
      <c r="AC104" s="0" t="s">
        <v>6260</v>
      </c>
      <c r="AD104" s="0" t="s">
        <v>171</v>
      </c>
      <c r="AE104" s="0" t="s">
        <v>1189</v>
      </c>
      <c r="AF104" s="0" t="s">
        <v>7116</v>
      </c>
      <c r="AG104" s="0" t="s">
        <v>166</v>
      </c>
      <c r="AH104" s="0" t="s">
        <v>7118</v>
      </c>
      <c r="AI104" s="0" t="s">
        <v>5461</v>
      </c>
      <c r="AJ104" s="0" t="s">
        <v>7119</v>
      </c>
      <c r="AK104" s="0" t="s">
        <v>7120</v>
      </c>
      <c r="AL104" s="0" t="s">
        <v>168</v>
      </c>
      <c r="AM104" s="0" t="s">
        <v>7121</v>
      </c>
      <c r="AN104" s="0" t="s">
        <v>7111</v>
      </c>
      <c r="AO104" s="5" t="s">
        <v>162</v>
      </c>
      <c r="AR104" s="0" t="str">
        <f aca="false">IF(AND(AU104="pass",AO104&lt;&gt;"Y",C104&lt;&gt;""),"Y","N")</f>
        <v>Y</v>
      </c>
      <c r="AS104" s="0" t="str">
        <f aca="false">_xlfn.TEXTJOIN("; ",TRUE(),IF(AU104&lt;&gt;"pass","gated out",""),IF(AO104="Y","on hold: "&amp;AP104,""),IF(C104="","no contact named on an opened page",""))</f>
        <v/>
      </c>
      <c r="AU104" s="0" t="s">
        <v>181</v>
      </c>
      <c r="AW104" s="0" t="s">
        <v>182</v>
      </c>
      <c r="AX104" s="0" t="s">
        <v>6127</v>
      </c>
      <c r="AY104" s="0" t="s">
        <v>7120</v>
      </c>
      <c r="AZ104" s="0" t="s">
        <v>6898</v>
      </c>
      <c r="BA104" s="0" t="s">
        <v>5329</v>
      </c>
      <c r="BB104" s="0" t="s">
        <v>163</v>
      </c>
      <c r="BD104" s="0" t="s">
        <v>168</v>
      </c>
      <c r="BE104" s="0" t="s">
        <v>7122</v>
      </c>
      <c r="BF104" s="0" t="s">
        <v>168</v>
      </c>
      <c r="BG104" s="0" t="s">
        <v>168</v>
      </c>
      <c r="BH104" s="0" t="s">
        <v>163</v>
      </c>
      <c r="BJ104" s="0" t="s">
        <v>7123</v>
      </c>
      <c r="BK104" s="0" t="s">
        <v>162</v>
      </c>
      <c r="BL104" s="0" t="s">
        <v>162</v>
      </c>
      <c r="BO104" s="0" t="s">
        <v>162</v>
      </c>
      <c r="BP104" s="0" t="n">
        <v>0</v>
      </c>
      <c r="BS104" s="0" t="s">
        <v>7124</v>
      </c>
      <c r="BU104" s="0" t="s">
        <v>4604</v>
      </c>
      <c r="BV104" s="0" t="n">
        <v>143</v>
      </c>
      <c r="BW104" s="0" t="s">
        <v>7116</v>
      </c>
      <c r="BX104" s="0" t="s">
        <v>7125</v>
      </c>
      <c r="CF104" s="0" t="s">
        <v>158</v>
      </c>
      <c r="CK104" s="0" t="s">
        <v>158</v>
      </c>
      <c r="CL104" s="0" t="n">
        <v>44</v>
      </c>
      <c r="CM104" s="0" t="n">
        <v>6</v>
      </c>
      <c r="CN104" s="0" t="n">
        <v>3</v>
      </c>
      <c r="CO104" s="0" t="n">
        <v>15</v>
      </c>
      <c r="CP104" s="0" t="n">
        <v>5</v>
      </c>
      <c r="CQ104" s="0" t="n">
        <v>10</v>
      </c>
      <c r="CR104" s="0" t="n">
        <v>10</v>
      </c>
      <c r="CS104" s="0" t="n">
        <f aca="false">IF(R104="Y",10,0)</f>
        <v>0</v>
      </c>
      <c r="CT104" s="0" t="n">
        <v>-5</v>
      </c>
      <c r="CU104" s="0" t="s">
        <v>163</v>
      </c>
      <c r="CV104" s="0" t="s">
        <v>4841</v>
      </c>
      <c r="CW104" s="0" t="s">
        <v>7126</v>
      </c>
      <c r="CX104" s="0" t="s">
        <v>7127</v>
      </c>
      <c r="DA104" s="0" t="s">
        <v>6234</v>
      </c>
      <c r="DY104" s="0" t="str">
        <f aca="false">IF(ISNUMBER(MATCH(U104,{"queued","contacted","replied","call_booked","call_done","yes_in_principle","materials_sent"},0)),"Y","N")</f>
        <v>N</v>
      </c>
      <c r="DZ104" s="0" t="str">
        <f aca="false">IF(COUNTIFS($AN$2:$AN$1000,AN104,$DY$2:$DY$1000,"Y")+COUNTIFS($AN$2:$AN$1000,AN104,$T$2:$T$1000,"Y")&gt;0,"Y","N")</f>
        <v>N</v>
      </c>
      <c r="EA104" s="0" t="str">
        <f aca="false">IF(AND(U104="new",T104="N",AR104="Y",AQ104="",DZ104="N"),"Y","N")</f>
        <v>Y</v>
      </c>
      <c r="EB104" s="0" t="str">
        <f aca="false">IF(EA104&lt;&gt;"Y","N",IF(COUNTIFS($AN$2:$AN$1000,AN104,$EA$2:$EA$1000,"Y",$J$2:$J$1000,"&gt;"&amp;J104)+COUNTIFS($AN$2:$AN$1000,AN104,$EA$2:$EA$1000,"Y",$J$2:$J$1000,J104,$ED$2:$ED$1000,"&lt;"&amp;ED104)=0,"Y","N"))</f>
        <v>Y</v>
      </c>
      <c r="EC104" s="0" t="str">
        <f aca="false">IF(Y104="","N",IF(Y104&lt;=10,"Y","N"))</f>
        <v>N</v>
      </c>
      <c r="ED104" s="0" t="n">
        <f aca="false">ROW()-1</f>
        <v>103</v>
      </c>
    </row>
    <row r="105" customFormat="false" ht="15" hidden="false" customHeight="false" outlineLevel="0" collapsed="false">
      <c r="A105" s="0" t="s">
        <v>7128</v>
      </c>
      <c r="B105" s="0" t="s">
        <v>7129</v>
      </c>
      <c r="C105" s="0" t="s">
        <v>7130</v>
      </c>
      <c r="D105" s="0" t="s">
        <v>163</v>
      </c>
      <c r="E105" s="0" t="s">
        <v>4625</v>
      </c>
      <c r="H105" s="5" t="s">
        <v>158</v>
      </c>
      <c r="I105" s="5" t="s">
        <v>159</v>
      </c>
      <c r="J105" s="0" t="n">
        <f aca="false">IF(AU105="pass",CM105+CN105+CO105+CP105+CQ105+CR105+CS105+CT105,0)</f>
        <v>44</v>
      </c>
      <c r="K105" s="0" t="s">
        <v>7131</v>
      </c>
      <c r="M105" s="0" t="s">
        <v>5291</v>
      </c>
      <c r="N105" s="0" t="s">
        <v>598</v>
      </c>
      <c r="O105" s="0" t="s">
        <v>7132</v>
      </c>
      <c r="P105" s="0" t="s">
        <v>7133</v>
      </c>
      <c r="Q105" s="0" t="s">
        <v>3274</v>
      </c>
      <c r="R105" s="5" t="s">
        <v>162</v>
      </c>
      <c r="S105" s="0" t="s">
        <v>163</v>
      </c>
      <c r="T105" s="5" t="s">
        <v>162</v>
      </c>
      <c r="U105" s="5" t="s">
        <v>561</v>
      </c>
      <c r="V105" s="0" t="s">
        <v>7134</v>
      </c>
      <c r="W105" s="0" t="s">
        <v>174</v>
      </c>
      <c r="X105" s="0" t="s">
        <v>4585</v>
      </c>
      <c r="Y105" s="0" t="n">
        <f aca="false">IF(EB105&lt;&gt;"Y","",COUNTIFS($EB$2:$EB$1000,"Y",$J$2:$J$1000,"&gt;"&amp;J105)+COUNTIFS($EB$2:$EB$1000,"Y",$J$2:$J$1000,J105,$ED$2:$ED$1000,"&lt;"&amp;ED105)+1)</f>
        <v>96</v>
      </c>
      <c r="Z105" s="0" t="n">
        <v>104</v>
      </c>
      <c r="AA105" s="0" t="s">
        <v>162</v>
      </c>
      <c r="AB105" s="0" t="s">
        <v>7135</v>
      </c>
      <c r="AC105" s="0" t="s">
        <v>4587</v>
      </c>
      <c r="AD105" s="0" t="s">
        <v>5008</v>
      </c>
      <c r="AE105" s="0" t="s">
        <v>172</v>
      </c>
      <c r="AF105" s="0" t="s">
        <v>7136</v>
      </c>
      <c r="AG105" s="0" t="s">
        <v>174</v>
      </c>
      <c r="AH105" s="0" t="s">
        <v>7137</v>
      </c>
      <c r="AI105" s="0" t="s">
        <v>4975</v>
      </c>
      <c r="AJ105" s="0" t="s">
        <v>7138</v>
      </c>
      <c r="AK105" s="0" t="s">
        <v>7139</v>
      </c>
      <c r="AL105" s="0" t="s">
        <v>168</v>
      </c>
      <c r="AM105" s="0" t="s">
        <v>7140</v>
      </c>
      <c r="AN105" s="0" t="s">
        <v>7128</v>
      </c>
      <c r="AO105" s="5" t="s">
        <v>162</v>
      </c>
      <c r="AR105" s="0" t="str">
        <f aca="false">IF(AND(AU105="pass",AO105&lt;&gt;"Y",C105&lt;&gt;""),"Y","N")</f>
        <v>Y</v>
      </c>
      <c r="AS105" s="0" t="str">
        <f aca="false">_xlfn.TEXTJOIN("; ",TRUE(),IF(AU105&lt;&gt;"pass","gated out",""),IF(AO105="Y","on hold: "&amp;AP105,""),IF(C105="","no contact named on an opened page",""))</f>
        <v/>
      </c>
      <c r="AU105" s="0" t="s">
        <v>181</v>
      </c>
      <c r="AW105" s="0" t="s">
        <v>182</v>
      </c>
      <c r="AX105" s="0" t="s">
        <v>6615</v>
      </c>
      <c r="AY105" s="0" t="s">
        <v>7139</v>
      </c>
      <c r="AZ105" s="0" t="s">
        <v>4595</v>
      </c>
      <c r="BA105" s="0" t="s">
        <v>4596</v>
      </c>
      <c r="BB105" s="0" t="s">
        <v>163</v>
      </c>
      <c r="BD105" s="0" t="s">
        <v>163</v>
      </c>
      <c r="BE105" s="0" t="s">
        <v>7141</v>
      </c>
      <c r="BF105" s="0" t="s">
        <v>168</v>
      </c>
      <c r="BG105" s="0" t="s">
        <v>168</v>
      </c>
      <c r="BH105" s="0" t="s">
        <v>163</v>
      </c>
      <c r="BJ105" s="0" t="s">
        <v>5143</v>
      </c>
      <c r="BK105" s="0" t="s">
        <v>162</v>
      </c>
      <c r="BL105" s="0" t="s">
        <v>162</v>
      </c>
      <c r="BO105" s="0" t="s">
        <v>162</v>
      </c>
      <c r="BP105" s="0" t="n">
        <v>0</v>
      </c>
      <c r="BS105" s="0" t="s">
        <v>7142</v>
      </c>
      <c r="BU105" s="0" t="s">
        <v>4694</v>
      </c>
      <c r="BV105" s="0" t="n">
        <v>17</v>
      </c>
      <c r="BX105" s="0" t="s">
        <v>7130</v>
      </c>
      <c r="BY105" s="0" t="s">
        <v>7143</v>
      </c>
      <c r="CA105" s="0" t="s">
        <v>7144</v>
      </c>
      <c r="CB105" s="0" t="s">
        <v>7144</v>
      </c>
      <c r="CC105" s="0" t="s">
        <v>163</v>
      </c>
      <c r="CD105" s="0" t="s">
        <v>4625</v>
      </c>
      <c r="CE105" s="0" t="s">
        <v>6723</v>
      </c>
      <c r="CF105" s="0" t="s">
        <v>5008</v>
      </c>
      <c r="CG105" s="0" t="s">
        <v>7143</v>
      </c>
      <c r="CK105" s="0" t="s">
        <v>158</v>
      </c>
      <c r="CL105" s="0" t="n">
        <v>44</v>
      </c>
      <c r="CM105" s="0" t="n">
        <v>6</v>
      </c>
      <c r="CN105" s="0" t="n">
        <v>20</v>
      </c>
      <c r="CO105" s="0" t="n">
        <v>8</v>
      </c>
      <c r="CP105" s="0" t="n">
        <v>5</v>
      </c>
      <c r="CQ105" s="0" t="n">
        <v>7</v>
      </c>
      <c r="CR105" s="0" t="n">
        <v>3</v>
      </c>
      <c r="CS105" s="0" t="n">
        <f aca="false">IF(R105="Y",10,0)</f>
        <v>0</v>
      </c>
      <c r="CT105" s="0" t="n">
        <v>-5</v>
      </c>
      <c r="CU105" s="0" t="s">
        <v>7145</v>
      </c>
      <c r="CV105" s="0" t="s">
        <v>5150</v>
      </c>
      <c r="CW105" s="0" t="s">
        <v>7146</v>
      </c>
      <c r="CX105" s="0" t="s">
        <v>7147</v>
      </c>
      <c r="CZ105" s="0" t="s">
        <v>7136</v>
      </c>
      <c r="DA105" s="0" t="s">
        <v>6234</v>
      </c>
      <c r="DC105" s="0" t="s">
        <v>172</v>
      </c>
      <c r="DY105" s="0" t="str">
        <f aca="false">IF(ISNUMBER(MATCH(U105,{"queued","contacted","replied","call_booked","call_done","yes_in_principle","materials_sent"},0)),"Y","N")</f>
        <v>N</v>
      </c>
      <c r="DZ105" s="0" t="str">
        <f aca="false">IF(COUNTIFS($AN$2:$AN$1000,AN105,$DY$2:$DY$1000,"Y")+COUNTIFS($AN$2:$AN$1000,AN105,$T$2:$T$1000,"Y")&gt;0,"Y","N")</f>
        <v>N</v>
      </c>
      <c r="EA105" s="0" t="str">
        <f aca="false">IF(AND(U105="new",T105="N",AR105="Y",AQ105="",DZ105="N"),"Y","N")</f>
        <v>Y</v>
      </c>
      <c r="EB105" s="0" t="str">
        <f aca="false">IF(EA105&lt;&gt;"Y","N",IF(COUNTIFS($AN$2:$AN$1000,AN105,$EA$2:$EA$1000,"Y",$J$2:$J$1000,"&gt;"&amp;J105)+COUNTIFS($AN$2:$AN$1000,AN105,$EA$2:$EA$1000,"Y",$J$2:$J$1000,J105,$ED$2:$ED$1000,"&lt;"&amp;ED105)=0,"Y","N"))</f>
        <v>Y</v>
      </c>
      <c r="EC105" s="0" t="str">
        <f aca="false">IF(Y105="","N",IF(Y105&lt;=10,"Y","N"))</f>
        <v>N</v>
      </c>
      <c r="ED105" s="0" t="n">
        <f aca="false">ROW()-1</f>
        <v>104</v>
      </c>
    </row>
    <row r="106" customFormat="false" ht="15" hidden="false" customHeight="false" outlineLevel="0" collapsed="false">
      <c r="A106" s="0" t="s">
        <v>7148</v>
      </c>
      <c r="B106" s="0" t="s">
        <v>7149</v>
      </c>
      <c r="H106" s="5" t="s">
        <v>158</v>
      </c>
      <c r="I106" s="5"/>
      <c r="J106" s="0" t="n">
        <f aca="false">IF(AU106="pass",CM106+CN106+CO106+CP106+CQ106+CR106+CS106+CT106,0)</f>
        <v>44</v>
      </c>
      <c r="K106" s="0" t="s">
        <v>7150</v>
      </c>
      <c r="M106" s="0" t="s">
        <v>5291</v>
      </c>
      <c r="N106" s="0" t="s">
        <v>598</v>
      </c>
      <c r="O106" s="0" t="s">
        <v>7151</v>
      </c>
      <c r="P106" s="0" t="s">
        <v>7152</v>
      </c>
      <c r="Q106" s="0" t="s">
        <v>7153</v>
      </c>
      <c r="R106" s="5" t="s">
        <v>162</v>
      </c>
      <c r="S106" s="0" t="s">
        <v>163</v>
      </c>
      <c r="T106" s="5" t="s">
        <v>162</v>
      </c>
      <c r="U106" s="5" t="s">
        <v>561</v>
      </c>
      <c r="V106" s="0" t="s">
        <v>7154</v>
      </c>
      <c r="W106" s="0" t="s">
        <v>166</v>
      </c>
      <c r="X106" s="0" t="s">
        <v>4585</v>
      </c>
      <c r="Y106" s="0" t="str">
        <f aca="false">IF(EB106&lt;&gt;"Y","",COUNTIFS($EB$2:$EB$1000,"Y",$J$2:$J$1000,"&gt;"&amp;J106)+COUNTIFS($EB$2:$EB$1000,"Y",$J$2:$J$1000,J106,$ED$2:$ED$1000,"&lt;"&amp;ED106)+1)</f>
        <v/>
      </c>
      <c r="Z106" s="0" t="n">
        <v>105</v>
      </c>
      <c r="AA106" s="0" t="s">
        <v>162</v>
      </c>
      <c r="AB106" s="0" t="s">
        <v>7155</v>
      </c>
      <c r="AD106" s="0" t="s">
        <v>158</v>
      </c>
      <c r="AH106" s="0" t="s">
        <v>7156</v>
      </c>
      <c r="AI106" s="0" t="s">
        <v>5736</v>
      </c>
      <c r="AJ106" s="0" t="s">
        <v>4634</v>
      </c>
      <c r="AK106" s="0" t="s">
        <v>7157</v>
      </c>
      <c r="AL106" s="0" t="s">
        <v>168</v>
      </c>
      <c r="AM106" s="0" t="s">
        <v>7158</v>
      </c>
      <c r="AN106" s="0" t="s">
        <v>7148</v>
      </c>
      <c r="AO106" s="5" t="s">
        <v>162</v>
      </c>
      <c r="AR106" s="0" t="str">
        <f aca="false">IF(AND(AU106="pass",AO106&lt;&gt;"Y",C106&lt;&gt;""),"Y","N")</f>
        <v>N</v>
      </c>
      <c r="AS106" s="0" t="str">
        <f aca="false">_xlfn.TEXTJOIN("; ",TRUE(),IF(AU106&lt;&gt;"pass","gated out",""),IF(AO106="Y","on hold: "&amp;AP106,""),IF(C106="","no contact named on an opened page",""))</f>
        <v>no contact named on an opened page</v>
      </c>
      <c r="AU106" s="0" t="s">
        <v>181</v>
      </c>
      <c r="AW106" s="0" t="s">
        <v>182</v>
      </c>
      <c r="AX106" s="0" t="s">
        <v>6615</v>
      </c>
      <c r="AY106" s="0" t="s">
        <v>7157</v>
      </c>
      <c r="AZ106" s="0" t="s">
        <v>4595</v>
      </c>
      <c r="BA106" s="0" t="s">
        <v>4596</v>
      </c>
      <c r="BB106" s="0" t="s">
        <v>163</v>
      </c>
      <c r="BD106" s="0" t="s">
        <v>168</v>
      </c>
      <c r="BE106" s="0" t="s">
        <v>7159</v>
      </c>
      <c r="BF106" s="0" t="s">
        <v>168</v>
      </c>
      <c r="BG106" s="0" t="s">
        <v>168</v>
      </c>
      <c r="BH106" s="0" t="s">
        <v>163</v>
      </c>
      <c r="BJ106" s="0" t="s">
        <v>5549</v>
      </c>
      <c r="BK106" s="0" t="s">
        <v>162</v>
      </c>
      <c r="BL106" s="0" t="s">
        <v>162</v>
      </c>
      <c r="BO106" s="0" t="s">
        <v>162</v>
      </c>
      <c r="BP106" s="0" t="n">
        <v>0</v>
      </c>
      <c r="BS106" s="0" t="s">
        <v>7160</v>
      </c>
      <c r="BT106" s="0" t="s">
        <v>7152</v>
      </c>
      <c r="BU106" s="0" t="s">
        <v>4694</v>
      </c>
      <c r="BV106" s="0" t="n">
        <v>115</v>
      </c>
      <c r="CF106" s="0" t="s">
        <v>158</v>
      </c>
      <c r="CK106" s="0" t="s">
        <v>158</v>
      </c>
      <c r="CL106" s="0" t="n">
        <v>44</v>
      </c>
      <c r="CM106" s="0" t="n">
        <v>6</v>
      </c>
      <c r="CN106" s="0" t="n">
        <v>20</v>
      </c>
      <c r="CO106" s="0" t="n">
        <v>8</v>
      </c>
      <c r="CP106" s="0" t="n">
        <v>5</v>
      </c>
      <c r="CQ106" s="0" t="n">
        <v>10</v>
      </c>
      <c r="CR106" s="0" t="n">
        <v>0</v>
      </c>
      <c r="CS106" s="0" t="n">
        <f aca="false">IF(R106="Y",10,0)</f>
        <v>0</v>
      </c>
      <c r="CT106" s="0" t="n">
        <v>-5</v>
      </c>
      <c r="CU106" s="0" t="s">
        <v>163</v>
      </c>
      <c r="CV106" s="0" t="s">
        <v>5562</v>
      </c>
      <c r="CW106" s="0" t="s">
        <v>7161</v>
      </c>
      <c r="CX106" s="0" t="s">
        <v>7162</v>
      </c>
      <c r="CY106" s="0" t="s">
        <v>7163</v>
      </c>
      <c r="DA106" s="0" t="s">
        <v>6234</v>
      </c>
      <c r="DY106" s="0" t="str">
        <f aca="false">IF(ISNUMBER(MATCH(U106,{"queued","contacted","replied","call_booked","call_done","yes_in_principle","materials_sent"},0)),"Y","N")</f>
        <v>N</v>
      </c>
      <c r="DZ106" s="0" t="str">
        <f aca="false">IF(COUNTIFS($AN$2:$AN$1000,AN106,$DY$2:$DY$1000,"Y")+COUNTIFS($AN$2:$AN$1000,AN106,$T$2:$T$1000,"Y")&gt;0,"Y","N")</f>
        <v>N</v>
      </c>
      <c r="EA106" s="0" t="str">
        <f aca="false">IF(AND(U106="new",T106="N",AR106="Y",AQ106="",DZ106="N"),"Y","N")</f>
        <v>N</v>
      </c>
      <c r="EB106" s="0" t="str">
        <f aca="false">IF(EA106&lt;&gt;"Y","N",IF(COUNTIFS($AN$2:$AN$1000,AN106,$EA$2:$EA$1000,"Y",$J$2:$J$1000,"&gt;"&amp;J106)+COUNTIFS($AN$2:$AN$1000,AN106,$EA$2:$EA$1000,"Y",$J$2:$J$1000,J106,$ED$2:$ED$1000,"&lt;"&amp;ED106)=0,"Y","N"))</f>
        <v>N</v>
      </c>
      <c r="EC106" s="0" t="str">
        <f aca="false">IF(Y106="","N",IF(Y106&lt;=10,"Y","N"))</f>
        <v>N</v>
      </c>
      <c r="ED106" s="0" t="n">
        <f aca="false">ROW()-1</f>
        <v>105</v>
      </c>
    </row>
    <row r="107" customFormat="false" ht="15" hidden="false" customHeight="false" outlineLevel="0" collapsed="false">
      <c r="A107" s="0" t="s">
        <v>7164</v>
      </c>
      <c r="B107" s="0" t="s">
        <v>7165</v>
      </c>
      <c r="C107" s="0" t="s">
        <v>7166</v>
      </c>
      <c r="D107" s="0" t="s">
        <v>7167</v>
      </c>
      <c r="E107" s="0" t="s">
        <v>4625</v>
      </c>
      <c r="H107" s="5" t="s">
        <v>158</v>
      </c>
      <c r="I107" s="5" t="s">
        <v>159</v>
      </c>
      <c r="J107" s="0" t="n">
        <f aca="false">IF(AU107="pass",CM107+CN107+CO107+CP107+CQ107+CR107+CS107+CT107,0)</f>
        <v>43</v>
      </c>
      <c r="K107" s="0" t="s">
        <v>7168</v>
      </c>
      <c r="M107" s="0" t="s">
        <v>4580</v>
      </c>
      <c r="N107" s="0" t="s">
        <v>4581</v>
      </c>
      <c r="O107" s="0" t="s">
        <v>7169</v>
      </c>
      <c r="P107" s="0" t="s">
        <v>7170</v>
      </c>
      <c r="Q107" s="0" t="s">
        <v>3274</v>
      </c>
      <c r="R107" s="5" t="s">
        <v>162</v>
      </c>
      <c r="S107" s="0" t="s">
        <v>163</v>
      </c>
      <c r="T107" s="5" t="s">
        <v>162</v>
      </c>
      <c r="U107" s="5" t="s">
        <v>561</v>
      </c>
      <c r="V107" s="0" t="s">
        <v>7170</v>
      </c>
      <c r="W107" s="0" t="s">
        <v>166</v>
      </c>
      <c r="X107" s="0" t="s">
        <v>4585</v>
      </c>
      <c r="Y107" s="0" t="n">
        <f aca="false">IF(EB107&lt;&gt;"Y","",COUNTIFS($EB$2:$EB$1000,"Y",$J$2:$J$1000,"&gt;"&amp;J107)+COUNTIFS($EB$2:$EB$1000,"Y",$J$2:$J$1000,J107,$ED$2:$ED$1000,"&lt;"&amp;ED107)+1)</f>
        <v>97</v>
      </c>
      <c r="Z107" s="0" t="n">
        <v>106</v>
      </c>
      <c r="AA107" s="0" t="s">
        <v>162</v>
      </c>
      <c r="AB107" s="0" t="s">
        <v>7171</v>
      </c>
      <c r="AC107" s="0" t="s">
        <v>4587</v>
      </c>
      <c r="AD107" s="0" t="s">
        <v>171</v>
      </c>
      <c r="AE107" s="0" t="s">
        <v>1189</v>
      </c>
      <c r="AF107" s="0" t="s">
        <v>7170</v>
      </c>
      <c r="AG107" s="0" t="s">
        <v>166</v>
      </c>
      <c r="AH107" s="0" t="s">
        <v>7172</v>
      </c>
      <c r="AI107" s="0" t="s">
        <v>4722</v>
      </c>
      <c r="AJ107" s="0" t="s">
        <v>192</v>
      </c>
      <c r="AK107" s="0" t="s">
        <v>7173</v>
      </c>
      <c r="AL107" s="0" t="s">
        <v>168</v>
      </c>
      <c r="AM107" s="0" t="s">
        <v>7174</v>
      </c>
      <c r="AN107" s="0" t="s">
        <v>7164</v>
      </c>
      <c r="AO107" s="5" t="s">
        <v>162</v>
      </c>
      <c r="AR107" s="0" t="str">
        <f aca="false">IF(AND(AU107="pass",AO107&lt;&gt;"Y",C107&lt;&gt;""),"Y","N")</f>
        <v>Y</v>
      </c>
      <c r="AS107" s="0" t="str">
        <f aca="false">_xlfn.TEXTJOIN("; ",TRUE(),IF(AU107&lt;&gt;"pass","gated out",""),IF(AO107="Y","on hold: "&amp;AP107,""),IF(C107="","no contact named on an opened page",""))</f>
        <v/>
      </c>
      <c r="AU107" s="0" t="s">
        <v>181</v>
      </c>
      <c r="AW107" s="0" t="s">
        <v>182</v>
      </c>
      <c r="AX107" s="0" t="s">
        <v>7175</v>
      </c>
      <c r="AY107" s="0" t="s">
        <v>7173</v>
      </c>
      <c r="AZ107" s="0" t="s">
        <v>4595</v>
      </c>
      <c r="BA107" s="0" t="s">
        <v>4596</v>
      </c>
      <c r="BB107" s="0" t="s">
        <v>7176</v>
      </c>
      <c r="BC107" s="0" t="s">
        <v>7177</v>
      </c>
      <c r="BD107" s="0" t="s">
        <v>263</v>
      </c>
      <c r="BE107" s="0" t="s">
        <v>7178</v>
      </c>
      <c r="BF107" s="0" t="s">
        <v>168</v>
      </c>
      <c r="BG107" s="0" t="s">
        <v>168</v>
      </c>
      <c r="BH107" s="0" t="s">
        <v>7179</v>
      </c>
      <c r="BI107" s="0" t="s">
        <v>6457</v>
      </c>
      <c r="BJ107" s="0" t="s">
        <v>7180</v>
      </c>
      <c r="BK107" s="0" t="s">
        <v>162</v>
      </c>
      <c r="BL107" s="0" t="s">
        <v>162</v>
      </c>
      <c r="BN107" s="0" t="n">
        <v>0</v>
      </c>
      <c r="BO107" s="0" t="s">
        <v>168</v>
      </c>
      <c r="BP107" s="0" t="n">
        <v>3</v>
      </c>
      <c r="BQ107" s="0" t="s">
        <v>4669</v>
      </c>
      <c r="BS107" s="0" t="s">
        <v>7181</v>
      </c>
      <c r="BT107" s="0" t="s">
        <v>7182</v>
      </c>
      <c r="BU107" s="0" t="s">
        <v>4604</v>
      </c>
      <c r="BV107" s="0" t="n">
        <v>17</v>
      </c>
      <c r="BX107" s="0" t="s">
        <v>7183</v>
      </c>
      <c r="CA107" s="0" t="s">
        <v>7184</v>
      </c>
      <c r="CE107" s="0" t="s">
        <v>6260</v>
      </c>
      <c r="CF107" s="0" t="s">
        <v>598</v>
      </c>
      <c r="CG107" s="0" t="s">
        <v>7105</v>
      </c>
      <c r="CK107" s="0" t="s">
        <v>158</v>
      </c>
      <c r="CL107" s="0" t="n">
        <v>43</v>
      </c>
      <c r="CM107" s="0" t="n">
        <v>25</v>
      </c>
      <c r="CN107" s="0" t="n">
        <v>20</v>
      </c>
      <c r="CO107" s="0" t="n">
        <v>15</v>
      </c>
      <c r="CP107" s="0" t="n">
        <v>0</v>
      </c>
      <c r="CQ107" s="0" t="n">
        <v>8</v>
      </c>
      <c r="CR107" s="0" t="n">
        <v>10</v>
      </c>
      <c r="CS107" s="0" t="n">
        <f aca="false">IF(R107="Y",10,0)</f>
        <v>0</v>
      </c>
      <c r="CT107" s="0" t="n">
        <v>-35</v>
      </c>
      <c r="CU107" s="0" t="s">
        <v>7185</v>
      </c>
      <c r="CV107" s="0" t="s">
        <v>4703</v>
      </c>
      <c r="CW107" s="0" t="s">
        <v>7186</v>
      </c>
      <c r="CX107" s="0" t="s">
        <v>7187</v>
      </c>
      <c r="CY107" s="0" t="s">
        <v>7188</v>
      </c>
      <c r="DA107" s="0" t="s">
        <v>6234</v>
      </c>
      <c r="DC107" s="0" t="s">
        <v>163</v>
      </c>
      <c r="DY107" s="0" t="str">
        <f aca="false">IF(ISNUMBER(MATCH(U107,{"queued","contacted","replied","call_booked","call_done","yes_in_principle","materials_sent"},0)),"Y","N")</f>
        <v>N</v>
      </c>
      <c r="DZ107" s="0" t="str">
        <f aca="false">IF(COUNTIFS($AN$2:$AN$1000,AN107,$DY$2:$DY$1000,"Y")+COUNTIFS($AN$2:$AN$1000,AN107,$T$2:$T$1000,"Y")&gt;0,"Y","N")</f>
        <v>N</v>
      </c>
      <c r="EA107" s="0" t="str">
        <f aca="false">IF(AND(U107="new",T107="N",AR107="Y",AQ107="",DZ107="N"),"Y","N")</f>
        <v>Y</v>
      </c>
      <c r="EB107" s="0" t="str">
        <f aca="false">IF(EA107&lt;&gt;"Y","N",IF(COUNTIFS($AN$2:$AN$1000,AN107,$EA$2:$EA$1000,"Y",$J$2:$J$1000,"&gt;"&amp;J107)+COUNTIFS($AN$2:$AN$1000,AN107,$EA$2:$EA$1000,"Y",$J$2:$J$1000,J107,$ED$2:$ED$1000,"&lt;"&amp;ED107)=0,"Y","N"))</f>
        <v>Y</v>
      </c>
      <c r="EC107" s="0" t="str">
        <f aca="false">IF(Y107="","N",IF(Y107&lt;=10,"Y","N"))</f>
        <v>N</v>
      </c>
      <c r="ED107" s="0" t="n">
        <f aca="false">ROW()-1</f>
        <v>106</v>
      </c>
    </row>
    <row r="108" customFormat="false" ht="15" hidden="false" customHeight="false" outlineLevel="0" collapsed="false">
      <c r="A108" s="0" t="s">
        <v>7189</v>
      </c>
      <c r="B108" s="0" t="s">
        <v>7190</v>
      </c>
      <c r="C108" s="0" t="s">
        <v>7191</v>
      </c>
      <c r="D108" s="0" t="s">
        <v>7192</v>
      </c>
      <c r="E108" s="0" t="s">
        <v>4771</v>
      </c>
      <c r="H108" s="5" t="s">
        <v>158</v>
      </c>
      <c r="I108" s="5" t="s">
        <v>159</v>
      </c>
      <c r="J108" s="0" t="n">
        <f aca="false">IF(AU108="pass",CM108+CN108+CO108+CP108+CQ108+CR108+CS108+CT108,0)</f>
        <v>43</v>
      </c>
      <c r="K108" s="0" t="s">
        <v>7193</v>
      </c>
      <c r="M108" s="0" t="s">
        <v>4580</v>
      </c>
      <c r="N108" s="0" t="s">
        <v>4581</v>
      </c>
      <c r="O108" s="0" t="s">
        <v>7194</v>
      </c>
      <c r="P108" s="0" t="s">
        <v>7195</v>
      </c>
      <c r="Q108" s="0" t="s">
        <v>6097</v>
      </c>
      <c r="R108" s="5" t="s">
        <v>162</v>
      </c>
      <c r="S108" s="0" t="s">
        <v>163</v>
      </c>
      <c r="T108" s="5" t="s">
        <v>162</v>
      </c>
      <c r="U108" s="5" t="s">
        <v>561</v>
      </c>
      <c r="V108" s="0" t="s">
        <v>7196</v>
      </c>
      <c r="W108" s="0" t="s">
        <v>166</v>
      </c>
      <c r="X108" s="0" t="s">
        <v>4585</v>
      </c>
      <c r="Y108" s="0" t="n">
        <f aca="false">IF(EB108&lt;&gt;"Y","",COUNTIFS($EB$2:$EB$1000,"Y",$J$2:$J$1000,"&gt;"&amp;J108)+COUNTIFS($EB$2:$EB$1000,"Y",$J$2:$J$1000,J108,$ED$2:$ED$1000,"&lt;"&amp;ED108)+1)</f>
        <v>98</v>
      </c>
      <c r="Z108" s="0" t="n">
        <v>107</v>
      </c>
      <c r="AA108" s="0" t="s">
        <v>162</v>
      </c>
      <c r="AB108" s="0" t="s">
        <v>7197</v>
      </c>
      <c r="AC108" s="0" t="s">
        <v>4587</v>
      </c>
      <c r="AD108" s="0" t="s">
        <v>171</v>
      </c>
      <c r="AE108" s="0" t="s">
        <v>172</v>
      </c>
      <c r="AF108" s="0" t="s">
        <v>7196</v>
      </c>
      <c r="AG108" s="0" t="s">
        <v>166</v>
      </c>
      <c r="AH108" s="0" t="s">
        <v>7198</v>
      </c>
      <c r="AI108" s="0" t="s">
        <v>5079</v>
      </c>
      <c r="AJ108" s="0" t="s">
        <v>7199</v>
      </c>
      <c r="AK108" s="0" t="s">
        <v>7200</v>
      </c>
      <c r="AL108" s="0" t="s">
        <v>168</v>
      </c>
      <c r="AM108" s="0" t="s">
        <v>7201</v>
      </c>
      <c r="AN108" s="0" t="s">
        <v>7189</v>
      </c>
      <c r="AO108" s="5" t="s">
        <v>162</v>
      </c>
      <c r="AR108" s="0" t="str">
        <f aca="false">IF(AND(AU108="pass",AO108&lt;&gt;"Y",C108&lt;&gt;""),"Y","N")</f>
        <v>Y</v>
      </c>
      <c r="AS108" s="0" t="str">
        <f aca="false">_xlfn.TEXTJOIN("; ",TRUE(),IF(AU108&lt;&gt;"pass","gated out",""),IF(AO108="Y","on hold: "&amp;AP108,""),IF(C108="","no contact named on an opened page",""))</f>
        <v/>
      </c>
      <c r="AU108" s="0" t="s">
        <v>181</v>
      </c>
      <c r="AW108" s="0" t="s">
        <v>182</v>
      </c>
      <c r="AX108" s="0" t="s">
        <v>5221</v>
      </c>
      <c r="AY108" s="0" t="s">
        <v>7200</v>
      </c>
      <c r="AZ108" s="0" t="s">
        <v>6386</v>
      </c>
      <c r="BA108" s="0" t="s">
        <v>5329</v>
      </c>
      <c r="BB108" s="0" t="s">
        <v>163</v>
      </c>
      <c r="BD108" s="0" t="s">
        <v>263</v>
      </c>
      <c r="BE108" s="0" t="s">
        <v>7202</v>
      </c>
      <c r="BF108" s="0" t="s">
        <v>168</v>
      </c>
      <c r="BG108" s="0" t="s">
        <v>168</v>
      </c>
      <c r="BH108" s="0" t="s">
        <v>163</v>
      </c>
      <c r="BJ108" s="0" t="s">
        <v>163</v>
      </c>
      <c r="BK108" s="0" t="s">
        <v>162</v>
      </c>
      <c r="BL108" s="0" t="s">
        <v>162</v>
      </c>
      <c r="BN108" s="0" t="n">
        <v>0</v>
      </c>
      <c r="BO108" s="0" t="s">
        <v>168</v>
      </c>
      <c r="BP108" s="0" t="n">
        <v>3</v>
      </c>
      <c r="BQ108" s="0" t="s">
        <v>4669</v>
      </c>
      <c r="BS108" s="0" t="s">
        <v>7203</v>
      </c>
      <c r="BT108" s="0" t="s">
        <v>7204</v>
      </c>
      <c r="BU108" s="0" t="s">
        <v>4694</v>
      </c>
      <c r="BV108" s="0" t="n">
        <v>11</v>
      </c>
      <c r="BX108" s="0" t="s">
        <v>7205</v>
      </c>
      <c r="CF108" s="0" t="s">
        <v>158</v>
      </c>
      <c r="CK108" s="0" t="s">
        <v>158</v>
      </c>
      <c r="CL108" s="0" t="n">
        <v>43</v>
      </c>
      <c r="CM108" s="0" t="n">
        <v>25</v>
      </c>
      <c r="CN108" s="0" t="n">
        <v>3</v>
      </c>
      <c r="CO108" s="0" t="n">
        <v>8</v>
      </c>
      <c r="CP108" s="0" t="n">
        <v>5</v>
      </c>
      <c r="CQ108" s="0" t="n">
        <v>8</v>
      </c>
      <c r="CR108" s="0" t="n">
        <v>6</v>
      </c>
      <c r="CS108" s="0" t="n">
        <f aca="false">IF(R108="Y",10,0)</f>
        <v>0</v>
      </c>
      <c r="CT108" s="0" t="n">
        <v>-12</v>
      </c>
      <c r="CU108" s="0" t="s">
        <v>7206</v>
      </c>
      <c r="CV108" s="0" t="s">
        <v>4703</v>
      </c>
      <c r="CW108" s="0" t="s">
        <v>7207</v>
      </c>
      <c r="CX108" s="0" t="s">
        <v>7208</v>
      </c>
      <c r="CY108" s="0" t="s">
        <v>7209</v>
      </c>
      <c r="DA108" s="0" t="s">
        <v>6234</v>
      </c>
      <c r="DY108" s="0" t="str">
        <f aca="false">IF(ISNUMBER(MATCH(U108,{"queued","contacted","replied","call_booked","call_done","yes_in_principle","materials_sent"},0)),"Y","N")</f>
        <v>N</v>
      </c>
      <c r="DZ108" s="0" t="str">
        <f aca="false">IF(COUNTIFS($AN$2:$AN$1000,AN108,$DY$2:$DY$1000,"Y")+COUNTIFS($AN$2:$AN$1000,AN108,$T$2:$T$1000,"Y")&gt;0,"Y","N")</f>
        <v>N</v>
      </c>
      <c r="EA108" s="0" t="str">
        <f aca="false">IF(AND(U108="new",T108="N",AR108="Y",AQ108="",DZ108="N"),"Y","N")</f>
        <v>Y</v>
      </c>
      <c r="EB108" s="0" t="str">
        <f aca="false">IF(EA108&lt;&gt;"Y","N",IF(COUNTIFS($AN$2:$AN$1000,AN108,$EA$2:$EA$1000,"Y",$J$2:$J$1000,"&gt;"&amp;J108)+COUNTIFS($AN$2:$AN$1000,AN108,$EA$2:$EA$1000,"Y",$J$2:$J$1000,J108,$ED$2:$ED$1000,"&lt;"&amp;ED108)=0,"Y","N"))</f>
        <v>Y</v>
      </c>
      <c r="EC108" s="0" t="str">
        <f aca="false">IF(Y108="","N",IF(Y108&lt;=10,"Y","N"))</f>
        <v>N</v>
      </c>
      <c r="ED108" s="0" t="n">
        <f aca="false">ROW()-1</f>
        <v>107</v>
      </c>
    </row>
    <row r="109" customFormat="false" ht="15" hidden="false" customHeight="false" outlineLevel="0" collapsed="false">
      <c r="A109" s="0" t="s">
        <v>7210</v>
      </c>
      <c r="B109" s="0" t="s">
        <v>7211</v>
      </c>
      <c r="H109" s="5" t="s">
        <v>158</v>
      </c>
      <c r="I109" s="5"/>
      <c r="J109" s="0" t="n">
        <f aca="false">IF(AU109="pass",CM109+CN109+CO109+CP109+CQ109+CR109+CS109+CT109,0)</f>
        <v>43</v>
      </c>
      <c r="K109" s="0" t="s">
        <v>7212</v>
      </c>
      <c r="M109" s="0" t="s">
        <v>4580</v>
      </c>
      <c r="N109" s="0" t="s">
        <v>4581</v>
      </c>
      <c r="O109" s="0" t="s">
        <v>7213</v>
      </c>
      <c r="P109" s="0" t="s">
        <v>7214</v>
      </c>
      <c r="Q109" s="0" t="s">
        <v>7215</v>
      </c>
      <c r="R109" s="5" t="s">
        <v>162</v>
      </c>
      <c r="S109" s="0" t="s">
        <v>163</v>
      </c>
      <c r="T109" s="5" t="s">
        <v>162</v>
      </c>
      <c r="U109" s="5" t="s">
        <v>561</v>
      </c>
      <c r="V109" s="0" t="s">
        <v>7216</v>
      </c>
      <c r="W109" s="0" t="s">
        <v>166</v>
      </c>
      <c r="X109" s="0" t="s">
        <v>4585</v>
      </c>
      <c r="Y109" s="0" t="str">
        <f aca="false">IF(EB109&lt;&gt;"Y","",COUNTIFS($EB$2:$EB$1000,"Y",$J$2:$J$1000,"&gt;"&amp;J109)+COUNTIFS($EB$2:$EB$1000,"Y",$J$2:$J$1000,J109,$ED$2:$ED$1000,"&lt;"&amp;ED109)+1)</f>
        <v/>
      </c>
      <c r="Z109" s="0" t="n">
        <v>108</v>
      </c>
      <c r="AA109" s="0" t="s">
        <v>162</v>
      </c>
      <c r="AB109" s="0" t="s">
        <v>7217</v>
      </c>
      <c r="AD109" s="0" t="s">
        <v>158</v>
      </c>
      <c r="AH109" s="0" t="s">
        <v>7218</v>
      </c>
      <c r="AI109" s="0" t="s">
        <v>4664</v>
      </c>
      <c r="AJ109" s="0" t="s">
        <v>7219</v>
      </c>
      <c r="AK109" s="0" t="s">
        <v>7220</v>
      </c>
      <c r="AL109" s="0" t="s">
        <v>168</v>
      </c>
      <c r="AM109" s="0" t="s">
        <v>7221</v>
      </c>
      <c r="AN109" s="0" t="s">
        <v>7210</v>
      </c>
      <c r="AO109" s="5" t="s">
        <v>162</v>
      </c>
      <c r="AR109" s="0" t="str">
        <f aca="false">IF(AND(AU109="pass",AO109&lt;&gt;"Y",C109&lt;&gt;""),"Y","N")</f>
        <v>N</v>
      </c>
      <c r="AS109" s="0" t="str">
        <f aca="false">_xlfn.TEXTJOIN("; ",TRUE(),IF(AU109&lt;&gt;"pass","gated out",""),IF(AO109="Y","on hold: "&amp;AP109,""),IF(C109="","no contact named on an opened page",""))</f>
        <v>no contact named on an opened page</v>
      </c>
      <c r="AU109" s="0" t="s">
        <v>181</v>
      </c>
      <c r="AW109" s="0" t="s">
        <v>182</v>
      </c>
      <c r="AX109" s="0" t="s">
        <v>4594</v>
      </c>
      <c r="AY109" s="0" t="s">
        <v>7220</v>
      </c>
      <c r="AZ109" s="0" t="s">
        <v>7222</v>
      </c>
      <c r="BA109" s="0" t="s">
        <v>5329</v>
      </c>
      <c r="BB109" s="0" t="s">
        <v>163</v>
      </c>
      <c r="BD109" s="0" t="s">
        <v>263</v>
      </c>
      <c r="BE109" s="0" t="s">
        <v>7223</v>
      </c>
      <c r="BF109" s="0" t="s">
        <v>163</v>
      </c>
      <c r="BG109" s="0" t="s">
        <v>168</v>
      </c>
      <c r="BH109" s="0" t="s">
        <v>163</v>
      </c>
      <c r="BJ109" s="0" t="s">
        <v>163</v>
      </c>
      <c r="BK109" s="0" t="s">
        <v>162</v>
      </c>
      <c r="BL109" s="0" t="s">
        <v>162</v>
      </c>
      <c r="BN109" s="0" t="n">
        <v>0</v>
      </c>
      <c r="BO109" s="0" t="s">
        <v>168</v>
      </c>
      <c r="BP109" s="0" t="n">
        <v>3</v>
      </c>
      <c r="BQ109" s="0" t="s">
        <v>4669</v>
      </c>
      <c r="BS109" s="0" t="s">
        <v>4692</v>
      </c>
      <c r="BT109" s="0" t="s">
        <v>7224</v>
      </c>
      <c r="BU109" s="0" t="s">
        <v>4694</v>
      </c>
      <c r="BV109" s="0" t="n">
        <v>23</v>
      </c>
      <c r="CF109" s="0" t="s">
        <v>158</v>
      </c>
      <c r="CK109" s="0" t="s">
        <v>158</v>
      </c>
      <c r="CL109" s="0" t="n">
        <v>43</v>
      </c>
      <c r="CM109" s="0" t="n">
        <v>25</v>
      </c>
      <c r="CN109" s="0" t="n">
        <v>3</v>
      </c>
      <c r="CO109" s="0" t="n">
        <v>8</v>
      </c>
      <c r="CP109" s="0" t="n">
        <v>5</v>
      </c>
      <c r="CQ109" s="0" t="n">
        <v>6</v>
      </c>
      <c r="CR109" s="0" t="n">
        <v>0</v>
      </c>
      <c r="CS109" s="0" t="n">
        <f aca="false">IF(R109="Y",10,0)</f>
        <v>0</v>
      </c>
      <c r="CT109" s="0" t="n">
        <v>-4</v>
      </c>
      <c r="CU109" s="0" t="s">
        <v>7225</v>
      </c>
      <c r="CV109" s="0" t="s">
        <v>4703</v>
      </c>
      <c r="CW109" s="0" t="s">
        <v>7226</v>
      </c>
      <c r="CX109" s="0" t="s">
        <v>7227</v>
      </c>
      <c r="DA109" s="0" t="s">
        <v>6234</v>
      </c>
      <c r="DY109" s="0" t="str">
        <f aca="false">IF(ISNUMBER(MATCH(U109,{"queued","contacted","replied","call_booked","call_done","yes_in_principle","materials_sent"},0)),"Y","N")</f>
        <v>N</v>
      </c>
      <c r="DZ109" s="0" t="str">
        <f aca="false">IF(COUNTIFS($AN$2:$AN$1000,AN109,$DY$2:$DY$1000,"Y")+COUNTIFS($AN$2:$AN$1000,AN109,$T$2:$T$1000,"Y")&gt;0,"Y","N")</f>
        <v>N</v>
      </c>
      <c r="EA109" s="0" t="str">
        <f aca="false">IF(AND(U109="new",T109="N",AR109="Y",AQ109="",DZ109="N"),"Y","N")</f>
        <v>N</v>
      </c>
      <c r="EB109" s="0" t="str">
        <f aca="false">IF(EA109&lt;&gt;"Y","N",IF(COUNTIFS($AN$2:$AN$1000,AN109,$EA$2:$EA$1000,"Y",$J$2:$J$1000,"&gt;"&amp;J109)+COUNTIFS($AN$2:$AN$1000,AN109,$EA$2:$EA$1000,"Y",$J$2:$J$1000,J109,$ED$2:$ED$1000,"&lt;"&amp;ED109)=0,"Y","N"))</f>
        <v>N</v>
      </c>
      <c r="EC109" s="0" t="str">
        <f aca="false">IF(Y109="","N",IF(Y109&lt;=10,"Y","N"))</f>
        <v>N</v>
      </c>
      <c r="ED109" s="0" t="n">
        <f aca="false">ROW()-1</f>
        <v>108</v>
      </c>
    </row>
    <row r="110" customFormat="false" ht="15" hidden="false" customHeight="false" outlineLevel="0" collapsed="false">
      <c r="A110" s="0" t="s">
        <v>7228</v>
      </c>
      <c r="B110" s="0" t="s">
        <v>7229</v>
      </c>
      <c r="C110" s="0" t="s">
        <v>5208</v>
      </c>
      <c r="D110" s="0" t="s">
        <v>7230</v>
      </c>
      <c r="E110" s="0" t="s">
        <v>4656</v>
      </c>
      <c r="H110" s="5" t="s">
        <v>158</v>
      </c>
      <c r="I110" s="5" t="s">
        <v>159</v>
      </c>
      <c r="J110" s="0" t="n">
        <f aca="false">IF(AU110="pass",CM110+CN110+CO110+CP110+CQ110+CR110+CS110+CT110,0)</f>
        <v>43</v>
      </c>
      <c r="K110" s="0" t="s">
        <v>7231</v>
      </c>
      <c r="M110" s="0" t="s">
        <v>5291</v>
      </c>
      <c r="N110" s="0" t="s">
        <v>598</v>
      </c>
      <c r="O110" s="0" t="s">
        <v>7232</v>
      </c>
      <c r="P110" s="0" t="s">
        <v>7233</v>
      </c>
      <c r="Q110" s="0" t="s">
        <v>3863</v>
      </c>
      <c r="R110" s="5" t="s">
        <v>162</v>
      </c>
      <c r="S110" s="0" t="s">
        <v>163</v>
      </c>
      <c r="T110" s="5" t="s">
        <v>162</v>
      </c>
      <c r="U110" s="5" t="s">
        <v>561</v>
      </c>
      <c r="V110" s="0" t="s">
        <v>7233</v>
      </c>
      <c r="W110" s="0" t="s">
        <v>166</v>
      </c>
      <c r="X110" s="0" t="s">
        <v>4585</v>
      </c>
      <c r="Y110" s="0" t="n">
        <f aca="false">IF(EB110&lt;&gt;"Y","",COUNTIFS($EB$2:$EB$1000,"Y",$J$2:$J$1000,"&gt;"&amp;J110)+COUNTIFS($EB$2:$EB$1000,"Y",$J$2:$J$1000,J110,$ED$2:$ED$1000,"&lt;"&amp;ED110)+1)</f>
        <v>99</v>
      </c>
      <c r="Z110" s="0" t="n">
        <v>109</v>
      </c>
      <c r="AA110" s="0" t="s">
        <v>162</v>
      </c>
      <c r="AB110" s="0" t="s">
        <v>7234</v>
      </c>
      <c r="AC110" s="0" t="s">
        <v>4587</v>
      </c>
      <c r="AD110" s="0" t="s">
        <v>171</v>
      </c>
      <c r="AE110" s="0" t="s">
        <v>1189</v>
      </c>
      <c r="AF110" s="0" t="s">
        <v>7233</v>
      </c>
      <c r="AG110" s="0" t="s">
        <v>166</v>
      </c>
      <c r="AH110" s="0" t="s">
        <v>7235</v>
      </c>
      <c r="AI110" s="0" t="s">
        <v>5461</v>
      </c>
      <c r="AJ110" s="0" t="s">
        <v>7236</v>
      </c>
      <c r="AK110" s="0" t="s">
        <v>7237</v>
      </c>
      <c r="AL110" s="0" t="s">
        <v>168</v>
      </c>
      <c r="AM110" s="0" t="s">
        <v>7238</v>
      </c>
      <c r="AN110" s="0" t="s">
        <v>7228</v>
      </c>
      <c r="AO110" s="5" t="s">
        <v>162</v>
      </c>
      <c r="AR110" s="0" t="str">
        <f aca="false">IF(AND(AU110="pass",AO110&lt;&gt;"Y",C110&lt;&gt;""),"Y","N")</f>
        <v>Y</v>
      </c>
      <c r="AS110" s="0" t="str">
        <f aca="false">_xlfn.TEXTJOIN("; ",TRUE(),IF(AU110&lt;&gt;"pass","gated out",""),IF(AO110="Y","on hold: "&amp;AP110,""),IF(C110="","no contact named on an opened page",""))</f>
        <v/>
      </c>
      <c r="AU110" s="0" t="s">
        <v>181</v>
      </c>
      <c r="AW110" s="0" t="s">
        <v>182</v>
      </c>
      <c r="AX110" s="0" t="s">
        <v>282</v>
      </c>
      <c r="AY110" s="0" t="s">
        <v>7237</v>
      </c>
      <c r="AZ110" s="0" t="s">
        <v>7239</v>
      </c>
      <c r="BA110" s="0" t="s">
        <v>5329</v>
      </c>
      <c r="BB110" s="0" t="s">
        <v>163</v>
      </c>
      <c r="BD110" s="0" t="s">
        <v>168</v>
      </c>
      <c r="BE110" s="0" t="s">
        <v>7240</v>
      </c>
      <c r="BF110" s="0" t="s">
        <v>168</v>
      </c>
      <c r="BG110" s="0" t="s">
        <v>168</v>
      </c>
      <c r="BH110" s="0" t="s">
        <v>163</v>
      </c>
      <c r="BJ110" s="0" t="s">
        <v>163</v>
      </c>
      <c r="BK110" s="0" t="s">
        <v>162</v>
      </c>
      <c r="BL110" s="0" t="s">
        <v>162</v>
      </c>
      <c r="BO110" s="0" t="s">
        <v>162</v>
      </c>
      <c r="BP110" s="0" t="n">
        <v>0</v>
      </c>
      <c r="BS110" s="0" t="s">
        <v>7241</v>
      </c>
      <c r="BT110" s="0" t="s">
        <v>7233</v>
      </c>
      <c r="BU110" s="0" t="s">
        <v>4604</v>
      </c>
      <c r="BV110" s="0" t="n">
        <v>4</v>
      </c>
      <c r="BX110" s="0" t="s">
        <v>7242</v>
      </c>
      <c r="CF110" s="0" t="s">
        <v>158</v>
      </c>
      <c r="CK110" s="0" t="s">
        <v>158</v>
      </c>
      <c r="CL110" s="0" t="n">
        <v>43</v>
      </c>
      <c r="CM110" s="0" t="n">
        <v>6</v>
      </c>
      <c r="CN110" s="0" t="n">
        <v>3</v>
      </c>
      <c r="CO110" s="0" t="n">
        <v>15</v>
      </c>
      <c r="CP110" s="0" t="n">
        <v>5</v>
      </c>
      <c r="CQ110" s="0" t="n">
        <v>10</v>
      </c>
      <c r="CR110" s="0" t="n">
        <v>6</v>
      </c>
      <c r="CS110" s="0" t="n">
        <f aca="false">IF(R110="Y",10,0)</f>
        <v>0</v>
      </c>
      <c r="CT110" s="0" t="n">
        <v>-2</v>
      </c>
      <c r="CU110" s="0" t="s">
        <v>163</v>
      </c>
      <c r="CV110" s="0" t="s">
        <v>4841</v>
      </c>
      <c r="CW110" s="0" t="s">
        <v>7243</v>
      </c>
      <c r="CX110" s="0" t="s">
        <v>7244</v>
      </c>
      <c r="CY110" s="0" t="s">
        <v>7245</v>
      </c>
      <c r="DA110" s="0" t="s">
        <v>6234</v>
      </c>
      <c r="DY110" s="0" t="str">
        <f aca="false">IF(ISNUMBER(MATCH(U110,{"queued","contacted","replied","call_booked","call_done","yes_in_principle","materials_sent"},0)),"Y","N")</f>
        <v>N</v>
      </c>
      <c r="DZ110" s="0" t="str">
        <f aca="false">IF(COUNTIFS($AN$2:$AN$1000,AN110,$DY$2:$DY$1000,"Y")+COUNTIFS($AN$2:$AN$1000,AN110,$T$2:$T$1000,"Y")&gt;0,"Y","N")</f>
        <v>N</v>
      </c>
      <c r="EA110" s="0" t="str">
        <f aca="false">IF(AND(U110="new",T110="N",AR110="Y",AQ110="",DZ110="N"),"Y","N")</f>
        <v>Y</v>
      </c>
      <c r="EB110" s="0" t="str">
        <f aca="false">IF(EA110&lt;&gt;"Y","N",IF(COUNTIFS($AN$2:$AN$1000,AN110,$EA$2:$EA$1000,"Y",$J$2:$J$1000,"&gt;"&amp;J110)+COUNTIFS($AN$2:$AN$1000,AN110,$EA$2:$EA$1000,"Y",$J$2:$J$1000,J110,$ED$2:$ED$1000,"&lt;"&amp;ED110)=0,"Y","N"))</f>
        <v>Y</v>
      </c>
      <c r="EC110" s="0" t="str">
        <f aca="false">IF(Y110="","N",IF(Y110&lt;=10,"Y","N"))</f>
        <v>N</v>
      </c>
      <c r="ED110" s="0" t="n">
        <f aca="false">ROW()-1</f>
        <v>109</v>
      </c>
    </row>
    <row r="111" customFormat="false" ht="15" hidden="false" customHeight="false" outlineLevel="0" collapsed="false">
      <c r="A111" s="0" t="s">
        <v>7246</v>
      </c>
      <c r="B111" s="0" t="s">
        <v>7247</v>
      </c>
      <c r="C111" s="0" t="s">
        <v>7248</v>
      </c>
      <c r="D111" s="0" t="s">
        <v>7249</v>
      </c>
      <c r="E111" s="0" t="s">
        <v>4771</v>
      </c>
      <c r="H111" s="5" t="s">
        <v>158</v>
      </c>
      <c r="I111" s="5" t="s">
        <v>159</v>
      </c>
      <c r="J111" s="0" t="n">
        <f aca="false">IF(AU111="pass",CM111+CN111+CO111+CP111+CQ111+CR111+CS111+CT111,0)</f>
        <v>43</v>
      </c>
      <c r="K111" s="0" t="s">
        <v>7250</v>
      </c>
      <c r="M111" s="0" t="s">
        <v>5291</v>
      </c>
      <c r="N111" s="0" t="s">
        <v>598</v>
      </c>
      <c r="O111" s="0" t="s">
        <v>7251</v>
      </c>
      <c r="P111" s="0" t="s">
        <v>5293</v>
      </c>
      <c r="Q111" s="0" t="s">
        <v>1775</v>
      </c>
      <c r="R111" s="5" t="s">
        <v>162</v>
      </c>
      <c r="S111" s="0" t="s">
        <v>168</v>
      </c>
      <c r="T111" s="5" t="s">
        <v>162</v>
      </c>
      <c r="U111" s="5" t="s">
        <v>561</v>
      </c>
      <c r="V111" s="0" t="s">
        <v>7252</v>
      </c>
      <c r="W111" s="0" t="s">
        <v>174</v>
      </c>
      <c r="X111" s="0" t="s">
        <v>4585</v>
      </c>
      <c r="Y111" s="0" t="n">
        <f aca="false">IF(EB111&lt;&gt;"Y","",COUNTIFS($EB$2:$EB$1000,"Y",$J$2:$J$1000,"&gt;"&amp;J111)+COUNTIFS($EB$2:$EB$1000,"Y",$J$2:$J$1000,J111,$ED$2:$ED$1000,"&lt;"&amp;ED111)+1)</f>
        <v>100</v>
      </c>
      <c r="Z111" s="0" t="n">
        <v>110</v>
      </c>
      <c r="AA111" s="0" t="s">
        <v>162</v>
      </c>
      <c r="AB111" s="0" t="s">
        <v>7253</v>
      </c>
      <c r="AC111" s="0" t="s">
        <v>4587</v>
      </c>
      <c r="AD111" s="0" t="s">
        <v>171</v>
      </c>
      <c r="AE111" s="0" t="s">
        <v>1189</v>
      </c>
      <c r="AF111" s="0" t="s">
        <v>6197</v>
      </c>
      <c r="AG111" s="0" t="s">
        <v>174</v>
      </c>
      <c r="AH111" s="0" t="s">
        <v>7254</v>
      </c>
      <c r="AI111" s="0" t="s">
        <v>4826</v>
      </c>
      <c r="AJ111" s="0" t="s">
        <v>7255</v>
      </c>
      <c r="AK111" s="0" t="s">
        <v>7256</v>
      </c>
      <c r="AL111" s="0" t="s">
        <v>168</v>
      </c>
      <c r="AM111" s="0" t="s">
        <v>7257</v>
      </c>
      <c r="AN111" s="0" t="s">
        <v>7246</v>
      </c>
      <c r="AO111" s="5" t="s">
        <v>162</v>
      </c>
      <c r="AR111" s="0" t="str">
        <f aca="false">IF(AND(AU111="pass",AO111&lt;&gt;"Y",C111&lt;&gt;""),"Y","N")</f>
        <v>Y</v>
      </c>
      <c r="AS111" s="0" t="str">
        <f aca="false">_xlfn.TEXTJOIN("; ",TRUE(),IF(AU111&lt;&gt;"pass","gated out",""),IF(AO111="Y","on hold: "&amp;AP111,""),IF(C111="","no contact named on an opened page",""))</f>
        <v/>
      </c>
      <c r="AU111" s="0" t="s">
        <v>181</v>
      </c>
      <c r="AW111" s="0" t="s">
        <v>182</v>
      </c>
      <c r="AX111" s="0" t="s">
        <v>282</v>
      </c>
      <c r="AY111" s="0" t="s">
        <v>7258</v>
      </c>
      <c r="AZ111" s="0" t="s">
        <v>5328</v>
      </c>
      <c r="BA111" s="0" t="s">
        <v>5329</v>
      </c>
      <c r="BB111" s="0" t="s">
        <v>163</v>
      </c>
      <c r="BD111" s="0" t="s">
        <v>168</v>
      </c>
      <c r="BE111" s="0" t="s">
        <v>7259</v>
      </c>
      <c r="BF111" s="0" t="s">
        <v>168</v>
      </c>
      <c r="BG111" s="0" t="s">
        <v>168</v>
      </c>
      <c r="BH111" s="0" t="s">
        <v>163</v>
      </c>
      <c r="BJ111" s="0" t="s">
        <v>7260</v>
      </c>
      <c r="BK111" s="0" t="s">
        <v>162</v>
      </c>
      <c r="BL111" s="0" t="s">
        <v>162</v>
      </c>
      <c r="BO111" s="0" t="s">
        <v>162</v>
      </c>
      <c r="BP111" s="0" t="n">
        <v>0</v>
      </c>
      <c r="BS111" s="0" t="s">
        <v>7261</v>
      </c>
      <c r="BU111" s="0" t="s">
        <v>4604</v>
      </c>
      <c r="BV111" s="0" t="n">
        <v>144</v>
      </c>
      <c r="BW111" s="0" t="s">
        <v>5134</v>
      </c>
      <c r="BX111" s="0" t="s">
        <v>7262</v>
      </c>
      <c r="CF111" s="0" t="s">
        <v>158</v>
      </c>
      <c r="CK111" s="0" t="s">
        <v>158</v>
      </c>
      <c r="CL111" s="0" t="n">
        <v>43</v>
      </c>
      <c r="CM111" s="0" t="n">
        <v>6</v>
      </c>
      <c r="CN111" s="0" t="n">
        <v>3</v>
      </c>
      <c r="CO111" s="0" t="n">
        <v>15</v>
      </c>
      <c r="CP111" s="0" t="n">
        <v>5</v>
      </c>
      <c r="CQ111" s="0" t="n">
        <v>10</v>
      </c>
      <c r="CR111" s="0" t="n">
        <v>6</v>
      </c>
      <c r="CS111" s="0" t="n">
        <f aca="false">IF(R111="Y",10,0)</f>
        <v>0</v>
      </c>
      <c r="CT111" s="0" t="n">
        <v>-2</v>
      </c>
      <c r="CU111" s="0" t="s">
        <v>7263</v>
      </c>
      <c r="CV111" s="0" t="s">
        <v>5150</v>
      </c>
      <c r="CW111" s="0" t="s">
        <v>7264</v>
      </c>
      <c r="CX111" s="0" t="s">
        <v>7265</v>
      </c>
      <c r="DA111" s="0" t="s">
        <v>6234</v>
      </c>
      <c r="DY111" s="0" t="str">
        <f aca="false">IF(ISNUMBER(MATCH(U111,{"queued","contacted","replied","call_booked","call_done","yes_in_principle","materials_sent"},0)),"Y","N")</f>
        <v>N</v>
      </c>
      <c r="DZ111" s="0" t="str">
        <f aca="false">IF(COUNTIFS($AN$2:$AN$1000,AN111,$DY$2:$DY$1000,"Y")+COUNTIFS($AN$2:$AN$1000,AN111,$T$2:$T$1000,"Y")&gt;0,"Y","N")</f>
        <v>N</v>
      </c>
      <c r="EA111" s="0" t="str">
        <f aca="false">IF(AND(U111="new",T111="N",AR111="Y",AQ111="",DZ111="N"),"Y","N")</f>
        <v>Y</v>
      </c>
      <c r="EB111" s="0" t="str">
        <f aca="false">IF(EA111&lt;&gt;"Y","N",IF(COUNTIFS($AN$2:$AN$1000,AN111,$EA$2:$EA$1000,"Y",$J$2:$J$1000,"&gt;"&amp;J111)+COUNTIFS($AN$2:$AN$1000,AN111,$EA$2:$EA$1000,"Y",$J$2:$J$1000,J111,$ED$2:$ED$1000,"&lt;"&amp;ED111)=0,"Y","N"))</f>
        <v>Y</v>
      </c>
      <c r="EC111" s="0" t="str">
        <f aca="false">IF(Y111="","N",IF(Y111&lt;=10,"Y","N"))</f>
        <v>N</v>
      </c>
      <c r="ED111" s="0" t="n">
        <f aca="false">ROW()-1</f>
        <v>110</v>
      </c>
    </row>
    <row r="112" customFormat="false" ht="15" hidden="false" customHeight="false" outlineLevel="0" collapsed="false">
      <c r="A112" s="0" t="s">
        <v>7266</v>
      </c>
      <c r="B112" s="0" t="s">
        <v>7267</v>
      </c>
      <c r="C112" s="0" t="s">
        <v>7268</v>
      </c>
      <c r="D112" s="0" t="s">
        <v>7269</v>
      </c>
      <c r="E112" s="0" t="s">
        <v>4910</v>
      </c>
      <c r="H112" s="5" t="s">
        <v>158</v>
      </c>
      <c r="I112" s="5" t="s">
        <v>159</v>
      </c>
      <c r="J112" s="0" t="n">
        <f aca="false">IF(AU112="pass",CM112+CN112+CO112+CP112+CQ112+CR112+CS112+CT112,0)</f>
        <v>43</v>
      </c>
      <c r="K112" s="0" t="s">
        <v>7270</v>
      </c>
      <c r="M112" s="0" t="s">
        <v>5291</v>
      </c>
      <c r="N112" s="0" t="s">
        <v>598</v>
      </c>
      <c r="O112" s="0" t="s">
        <v>7271</v>
      </c>
      <c r="P112" s="0" t="s">
        <v>5732</v>
      </c>
      <c r="Q112" s="0" t="s">
        <v>3102</v>
      </c>
      <c r="R112" s="5" t="s">
        <v>162</v>
      </c>
      <c r="S112" s="0" t="s">
        <v>168</v>
      </c>
      <c r="T112" s="5" t="s">
        <v>162</v>
      </c>
      <c r="U112" s="5" t="s">
        <v>561</v>
      </c>
      <c r="V112" s="0" t="s">
        <v>7272</v>
      </c>
      <c r="W112" s="0" t="s">
        <v>166</v>
      </c>
      <c r="X112" s="0" t="s">
        <v>4585</v>
      </c>
      <c r="Y112" s="0" t="n">
        <f aca="false">IF(EB112&lt;&gt;"Y","",COUNTIFS($EB$2:$EB$1000,"Y",$J$2:$J$1000,"&gt;"&amp;J112)+COUNTIFS($EB$2:$EB$1000,"Y",$J$2:$J$1000,J112,$ED$2:$ED$1000,"&lt;"&amp;ED112)+1)</f>
        <v>101</v>
      </c>
      <c r="Z112" s="0" t="n">
        <v>111</v>
      </c>
      <c r="AA112" s="0" t="s">
        <v>162</v>
      </c>
      <c r="AB112" s="0" t="s">
        <v>7273</v>
      </c>
      <c r="AC112" s="0" t="s">
        <v>4587</v>
      </c>
      <c r="AD112" s="0" t="s">
        <v>171</v>
      </c>
      <c r="AE112" s="0" t="s">
        <v>172</v>
      </c>
      <c r="AF112" s="0" t="s">
        <v>7272</v>
      </c>
      <c r="AG112" s="0" t="s">
        <v>166</v>
      </c>
      <c r="AH112" s="0" t="s">
        <v>7274</v>
      </c>
      <c r="AI112" s="0" t="s">
        <v>5736</v>
      </c>
      <c r="AJ112" s="0" t="s">
        <v>7275</v>
      </c>
      <c r="AK112" s="0" t="s">
        <v>7276</v>
      </c>
      <c r="AL112" s="0" t="s">
        <v>168</v>
      </c>
      <c r="AM112" s="0" t="s">
        <v>7277</v>
      </c>
      <c r="AN112" s="0" t="s">
        <v>7266</v>
      </c>
      <c r="AO112" s="5" t="s">
        <v>162</v>
      </c>
      <c r="AR112" s="0" t="str">
        <f aca="false">IF(AND(AU112="pass",AO112&lt;&gt;"Y",C112&lt;&gt;""),"Y","N")</f>
        <v>Y</v>
      </c>
      <c r="AS112" s="0" t="str">
        <f aca="false">_xlfn.TEXTJOIN("; ",TRUE(),IF(AU112&lt;&gt;"pass","gated out",""),IF(AO112="Y","on hold: "&amp;AP112,""),IF(C112="","no contact named on an opened page",""))</f>
        <v/>
      </c>
      <c r="AU112" s="0" t="s">
        <v>181</v>
      </c>
      <c r="AW112" s="0" t="s">
        <v>182</v>
      </c>
      <c r="AX112" s="0" t="s">
        <v>282</v>
      </c>
      <c r="AY112" s="0" t="s">
        <v>7276</v>
      </c>
      <c r="AZ112" s="0" t="s">
        <v>5657</v>
      </c>
      <c r="BA112" s="0" t="s">
        <v>5329</v>
      </c>
      <c r="BB112" s="0" t="s">
        <v>163</v>
      </c>
      <c r="BD112" s="0" t="s">
        <v>168</v>
      </c>
      <c r="BE112" s="0" t="s">
        <v>7278</v>
      </c>
      <c r="BF112" s="0" t="s">
        <v>168</v>
      </c>
      <c r="BG112" s="0" t="s">
        <v>168</v>
      </c>
      <c r="BH112" s="0" t="s">
        <v>163</v>
      </c>
      <c r="BJ112" s="0" t="s">
        <v>5549</v>
      </c>
      <c r="BK112" s="0" t="s">
        <v>162</v>
      </c>
      <c r="BL112" s="0" t="s">
        <v>162</v>
      </c>
      <c r="BO112" s="0" t="s">
        <v>162</v>
      </c>
      <c r="BP112" s="0" t="n">
        <v>0</v>
      </c>
      <c r="BS112" s="0" t="s">
        <v>7279</v>
      </c>
      <c r="BT112" s="0" t="s">
        <v>7280</v>
      </c>
      <c r="BU112" s="0" t="s">
        <v>4604</v>
      </c>
      <c r="BV112" s="0" t="n">
        <v>79</v>
      </c>
      <c r="BW112" s="0" t="s">
        <v>5732</v>
      </c>
      <c r="BX112" s="0" t="s">
        <v>7281</v>
      </c>
      <c r="CF112" s="0" t="s">
        <v>158</v>
      </c>
      <c r="CK112" s="0" t="s">
        <v>158</v>
      </c>
      <c r="CL112" s="0" t="n">
        <v>43</v>
      </c>
      <c r="CM112" s="0" t="n">
        <v>6</v>
      </c>
      <c r="CN112" s="0" t="n">
        <v>3</v>
      </c>
      <c r="CO112" s="0" t="n">
        <v>15</v>
      </c>
      <c r="CP112" s="0" t="n">
        <v>5</v>
      </c>
      <c r="CQ112" s="0" t="n">
        <v>10</v>
      </c>
      <c r="CR112" s="0" t="n">
        <v>6</v>
      </c>
      <c r="CS112" s="0" t="n">
        <f aca="false">IF(R112="Y",10,0)</f>
        <v>0</v>
      </c>
      <c r="CT112" s="0" t="n">
        <v>-2</v>
      </c>
      <c r="CU112" s="0" t="s">
        <v>163</v>
      </c>
      <c r="CV112" s="0" t="s">
        <v>5562</v>
      </c>
      <c r="CW112" s="0" t="s">
        <v>7282</v>
      </c>
      <c r="CX112" s="0" t="s">
        <v>7283</v>
      </c>
      <c r="DA112" s="0" t="s">
        <v>6234</v>
      </c>
      <c r="DY112" s="0" t="str">
        <f aca="false">IF(ISNUMBER(MATCH(U112,{"queued","contacted","replied","call_booked","call_done","yes_in_principle","materials_sent"},0)),"Y","N")</f>
        <v>N</v>
      </c>
      <c r="DZ112" s="0" t="str">
        <f aca="false">IF(COUNTIFS($AN$2:$AN$1000,AN112,$DY$2:$DY$1000,"Y")+COUNTIFS($AN$2:$AN$1000,AN112,$T$2:$T$1000,"Y")&gt;0,"Y","N")</f>
        <v>N</v>
      </c>
      <c r="EA112" s="0" t="str">
        <f aca="false">IF(AND(U112="new",T112="N",AR112="Y",AQ112="",DZ112="N"),"Y","N")</f>
        <v>Y</v>
      </c>
      <c r="EB112" s="0" t="str">
        <f aca="false">IF(EA112&lt;&gt;"Y","N",IF(COUNTIFS($AN$2:$AN$1000,AN112,$EA$2:$EA$1000,"Y",$J$2:$J$1000,"&gt;"&amp;J112)+COUNTIFS($AN$2:$AN$1000,AN112,$EA$2:$EA$1000,"Y",$J$2:$J$1000,J112,$ED$2:$ED$1000,"&lt;"&amp;ED112)=0,"Y","N"))</f>
        <v>Y</v>
      </c>
      <c r="EC112" s="0" t="str">
        <f aca="false">IF(Y112="","N",IF(Y112&lt;=10,"Y","N"))</f>
        <v>N</v>
      </c>
      <c r="ED112" s="0" t="n">
        <f aca="false">ROW()-1</f>
        <v>111</v>
      </c>
    </row>
    <row r="113" customFormat="false" ht="15" hidden="false" customHeight="false" outlineLevel="0" collapsed="false">
      <c r="A113" s="0" t="s">
        <v>7284</v>
      </c>
      <c r="B113" s="0" t="s">
        <v>7285</v>
      </c>
      <c r="C113" s="0" t="s">
        <v>7286</v>
      </c>
      <c r="D113" s="0" t="s">
        <v>7287</v>
      </c>
      <c r="E113" s="0" t="s">
        <v>4625</v>
      </c>
      <c r="H113" s="5" t="s">
        <v>158</v>
      </c>
      <c r="I113" s="5" t="s">
        <v>159</v>
      </c>
      <c r="J113" s="0" t="n">
        <f aca="false">IF(AU113="pass",CM113+CN113+CO113+CP113+CQ113+CR113+CS113+CT113,0)</f>
        <v>43</v>
      </c>
      <c r="K113" s="0" t="s">
        <v>7288</v>
      </c>
      <c r="M113" s="0" t="s">
        <v>5291</v>
      </c>
      <c r="N113" s="0" t="s">
        <v>598</v>
      </c>
      <c r="O113" s="0" t="s">
        <v>7289</v>
      </c>
      <c r="P113" s="0" t="s">
        <v>7290</v>
      </c>
      <c r="Q113" s="0" t="s">
        <v>3528</v>
      </c>
      <c r="R113" s="5" t="s">
        <v>162</v>
      </c>
      <c r="S113" s="0" t="s">
        <v>168</v>
      </c>
      <c r="T113" s="5" t="s">
        <v>162</v>
      </c>
      <c r="U113" s="5" t="s">
        <v>561</v>
      </c>
      <c r="V113" s="0" t="s">
        <v>7291</v>
      </c>
      <c r="W113" s="0" t="s">
        <v>166</v>
      </c>
      <c r="X113" s="0" t="s">
        <v>4585</v>
      </c>
      <c r="Y113" s="0" t="n">
        <f aca="false">IF(EB113&lt;&gt;"Y","",COUNTIFS($EB$2:$EB$1000,"Y",$J$2:$J$1000,"&gt;"&amp;J113)+COUNTIFS($EB$2:$EB$1000,"Y",$J$2:$J$1000,J113,$ED$2:$ED$1000,"&lt;"&amp;ED113)+1)</f>
        <v>102</v>
      </c>
      <c r="Z113" s="0" t="n">
        <v>112</v>
      </c>
      <c r="AA113" s="0" t="s">
        <v>162</v>
      </c>
      <c r="AB113" s="0" t="s">
        <v>7292</v>
      </c>
      <c r="AC113" s="0" t="s">
        <v>4587</v>
      </c>
      <c r="AD113" s="0" t="s">
        <v>171</v>
      </c>
      <c r="AE113" s="0" t="s">
        <v>172</v>
      </c>
      <c r="AF113" s="0" t="s">
        <v>7291</v>
      </c>
      <c r="AG113" s="0" t="s">
        <v>166</v>
      </c>
      <c r="AH113" s="0" t="s">
        <v>7293</v>
      </c>
      <c r="AI113" s="0" t="s">
        <v>4633</v>
      </c>
      <c r="AJ113" s="0" t="s">
        <v>7294</v>
      </c>
      <c r="AK113" s="0" t="s">
        <v>7295</v>
      </c>
      <c r="AL113" s="0" t="s">
        <v>162</v>
      </c>
      <c r="AN113" s="0" t="s">
        <v>7284</v>
      </c>
      <c r="AO113" s="5" t="s">
        <v>162</v>
      </c>
      <c r="AR113" s="0" t="str">
        <f aca="false">IF(AND(AU113="pass",AO113&lt;&gt;"Y",C113&lt;&gt;""),"Y","N")</f>
        <v>Y</v>
      </c>
      <c r="AS113" s="0" t="str">
        <f aca="false">_xlfn.TEXTJOIN("; ",TRUE(),IF(AU113&lt;&gt;"pass","gated out",""),IF(AO113="Y","on hold: "&amp;AP113,""),IF(C113="","no contact named on an opened page",""))</f>
        <v/>
      </c>
      <c r="AU113" s="0" t="s">
        <v>181</v>
      </c>
      <c r="AW113" s="0" t="s">
        <v>182</v>
      </c>
      <c r="AY113" s="0" t="s">
        <v>7295</v>
      </c>
      <c r="AZ113" s="0" t="s">
        <v>5873</v>
      </c>
      <c r="BA113" s="0" t="s">
        <v>5329</v>
      </c>
      <c r="BB113" s="0" t="s">
        <v>163</v>
      </c>
      <c r="BD113" s="0" t="s">
        <v>168</v>
      </c>
      <c r="BE113" s="0" t="s">
        <v>7296</v>
      </c>
      <c r="BF113" s="0" t="s">
        <v>163</v>
      </c>
      <c r="BG113" s="0" t="s">
        <v>168</v>
      </c>
      <c r="BH113" s="0" t="s">
        <v>163</v>
      </c>
      <c r="BJ113" s="0" t="s">
        <v>163</v>
      </c>
      <c r="BK113" s="0" t="s">
        <v>162</v>
      </c>
      <c r="BL113" s="0" t="s">
        <v>162</v>
      </c>
      <c r="BO113" s="0" t="s">
        <v>162</v>
      </c>
      <c r="BP113" s="0" t="n">
        <v>0</v>
      </c>
      <c r="BR113" s="0" t="s">
        <v>6762</v>
      </c>
      <c r="BS113" s="0" t="s">
        <v>6809</v>
      </c>
      <c r="BT113" s="0" t="s">
        <v>7297</v>
      </c>
      <c r="BU113" s="0" t="s">
        <v>4604</v>
      </c>
      <c r="BV113" s="0" t="n">
        <v>37</v>
      </c>
      <c r="BW113" s="0" t="s">
        <v>5732</v>
      </c>
      <c r="BX113" s="0" t="s">
        <v>7298</v>
      </c>
      <c r="CA113" s="0" t="s">
        <v>7299</v>
      </c>
      <c r="CB113" s="0" t="s">
        <v>7300</v>
      </c>
      <c r="CC113" s="0" t="s">
        <v>7301</v>
      </c>
      <c r="CD113" s="0" t="s">
        <v>4625</v>
      </c>
      <c r="CE113" s="0" t="s">
        <v>6723</v>
      </c>
      <c r="CF113" s="0" t="s">
        <v>171</v>
      </c>
      <c r="CK113" s="0" t="s">
        <v>158</v>
      </c>
      <c r="CL113" s="0" t="n">
        <v>43</v>
      </c>
      <c r="CM113" s="0" t="n">
        <v>6</v>
      </c>
      <c r="CN113" s="0" t="n">
        <v>3</v>
      </c>
      <c r="CO113" s="0" t="n">
        <v>15</v>
      </c>
      <c r="CP113" s="0" t="n">
        <v>5</v>
      </c>
      <c r="CQ113" s="0" t="n">
        <v>8</v>
      </c>
      <c r="CR113" s="0" t="n">
        <v>6</v>
      </c>
      <c r="CS113" s="0" t="n">
        <f aca="false">IF(R113="Y",10,0)</f>
        <v>0</v>
      </c>
      <c r="CT113" s="0" t="n">
        <v>0</v>
      </c>
      <c r="CU113" s="0" t="s">
        <v>7302</v>
      </c>
      <c r="CV113" s="0" t="s">
        <v>4841</v>
      </c>
      <c r="CW113" s="0" t="s">
        <v>7303</v>
      </c>
      <c r="CX113" s="0" t="s">
        <v>7304</v>
      </c>
      <c r="CY113" s="0" t="s">
        <v>7305</v>
      </c>
      <c r="CZ113" s="0" t="s">
        <v>7291</v>
      </c>
      <c r="DA113" s="0" t="s">
        <v>6234</v>
      </c>
      <c r="DC113" s="0" t="s">
        <v>172</v>
      </c>
      <c r="DY113" s="0" t="str">
        <f aca="false">IF(ISNUMBER(MATCH(U113,{"queued","contacted","replied","call_booked","call_done","yes_in_principle","materials_sent"},0)),"Y","N")</f>
        <v>N</v>
      </c>
      <c r="DZ113" s="0" t="str">
        <f aca="false">IF(COUNTIFS($AN$2:$AN$1000,AN113,$DY$2:$DY$1000,"Y")+COUNTIFS($AN$2:$AN$1000,AN113,$T$2:$T$1000,"Y")&gt;0,"Y","N")</f>
        <v>N</v>
      </c>
      <c r="EA113" s="0" t="str">
        <f aca="false">IF(AND(U113="new",T113="N",AR113="Y",AQ113="",DZ113="N"),"Y","N")</f>
        <v>Y</v>
      </c>
      <c r="EB113" s="0" t="str">
        <f aca="false">IF(EA113&lt;&gt;"Y","N",IF(COUNTIFS($AN$2:$AN$1000,AN113,$EA$2:$EA$1000,"Y",$J$2:$J$1000,"&gt;"&amp;J113)+COUNTIFS($AN$2:$AN$1000,AN113,$EA$2:$EA$1000,"Y",$J$2:$J$1000,J113,$ED$2:$ED$1000,"&lt;"&amp;ED113)=0,"Y","N"))</f>
        <v>Y</v>
      </c>
      <c r="EC113" s="0" t="str">
        <f aca="false">IF(Y113="","N",IF(Y113&lt;=10,"Y","N"))</f>
        <v>N</v>
      </c>
      <c r="ED113" s="0" t="n">
        <f aca="false">ROW()-1</f>
        <v>112</v>
      </c>
    </row>
    <row r="114" customFormat="false" ht="15" hidden="false" customHeight="false" outlineLevel="0" collapsed="false">
      <c r="A114" s="0" t="s">
        <v>7306</v>
      </c>
      <c r="B114" s="0" t="s">
        <v>7307</v>
      </c>
      <c r="C114" s="0" t="s">
        <v>7308</v>
      </c>
      <c r="D114" s="0" t="s">
        <v>7309</v>
      </c>
      <c r="E114" s="0" t="s">
        <v>5316</v>
      </c>
      <c r="H114" s="5" t="s">
        <v>158</v>
      </c>
      <c r="I114" s="5" t="s">
        <v>159</v>
      </c>
      <c r="J114" s="0" t="n">
        <f aca="false">IF(AU114="pass",CM114+CN114+CO114+CP114+CQ114+CR114+CS114+CT114,0)</f>
        <v>43</v>
      </c>
      <c r="K114" s="0" t="s">
        <v>7310</v>
      </c>
      <c r="M114" s="0" t="s">
        <v>5291</v>
      </c>
      <c r="N114" s="0" t="s">
        <v>598</v>
      </c>
      <c r="O114" s="0" t="s">
        <v>7311</v>
      </c>
      <c r="P114" s="0" t="s">
        <v>7312</v>
      </c>
      <c r="Q114" s="0" t="s">
        <v>3528</v>
      </c>
      <c r="R114" s="5" t="s">
        <v>162</v>
      </c>
      <c r="S114" s="0" t="s">
        <v>163</v>
      </c>
      <c r="T114" s="5" t="s">
        <v>162</v>
      </c>
      <c r="U114" s="5" t="s">
        <v>561</v>
      </c>
      <c r="V114" s="0" t="s">
        <v>7313</v>
      </c>
      <c r="W114" s="0" t="s">
        <v>166</v>
      </c>
      <c r="X114" s="0" t="s">
        <v>4585</v>
      </c>
      <c r="Y114" s="0" t="n">
        <f aca="false">IF(EB114&lt;&gt;"Y","",COUNTIFS($EB$2:$EB$1000,"Y",$J$2:$J$1000,"&gt;"&amp;J114)+COUNTIFS($EB$2:$EB$1000,"Y",$J$2:$J$1000,J114,$ED$2:$ED$1000,"&lt;"&amp;ED114)+1)</f>
        <v>103</v>
      </c>
      <c r="Z114" s="0" t="n">
        <v>113</v>
      </c>
      <c r="AA114" s="0" t="s">
        <v>162</v>
      </c>
      <c r="AB114" s="0" t="s">
        <v>7314</v>
      </c>
      <c r="AC114" s="0" t="s">
        <v>4587</v>
      </c>
      <c r="AD114" s="0" t="s">
        <v>171</v>
      </c>
      <c r="AE114" s="0" t="s">
        <v>172</v>
      </c>
      <c r="AF114" s="0" t="s">
        <v>7315</v>
      </c>
      <c r="AG114" s="0" t="s">
        <v>166</v>
      </c>
      <c r="AH114" s="0" t="s">
        <v>7316</v>
      </c>
      <c r="AI114" s="0" t="s">
        <v>4826</v>
      </c>
      <c r="AJ114" s="0" t="s">
        <v>7317</v>
      </c>
      <c r="AK114" s="0" t="s">
        <v>7318</v>
      </c>
      <c r="AL114" s="0" t="s">
        <v>162</v>
      </c>
      <c r="AN114" s="0" t="s">
        <v>7306</v>
      </c>
      <c r="AO114" s="5" t="s">
        <v>162</v>
      </c>
      <c r="AR114" s="0" t="str">
        <f aca="false">IF(AND(AU114="pass",AO114&lt;&gt;"Y",C114&lt;&gt;""),"Y","N")</f>
        <v>Y</v>
      </c>
      <c r="AS114" s="0" t="str">
        <f aca="false">_xlfn.TEXTJOIN("; ",TRUE(),IF(AU114&lt;&gt;"pass","gated out",""),IF(AO114="Y","on hold: "&amp;AP114,""),IF(C114="","no contact named on an opened page",""))</f>
        <v/>
      </c>
      <c r="AU114" s="0" t="s">
        <v>181</v>
      </c>
      <c r="AW114" s="0" t="s">
        <v>182</v>
      </c>
      <c r="AY114" s="0" t="s">
        <v>7319</v>
      </c>
      <c r="AZ114" s="0" t="s">
        <v>7320</v>
      </c>
      <c r="BA114" s="0" t="s">
        <v>4923</v>
      </c>
      <c r="BB114" s="0" t="s">
        <v>163</v>
      </c>
      <c r="BD114" s="0" t="s">
        <v>168</v>
      </c>
      <c r="BE114" s="0" t="s">
        <v>7321</v>
      </c>
      <c r="BF114" s="0" t="s">
        <v>168</v>
      </c>
      <c r="BG114" s="0" t="s">
        <v>168</v>
      </c>
      <c r="BH114" s="0" t="s">
        <v>163</v>
      </c>
      <c r="BJ114" s="0" t="s">
        <v>163</v>
      </c>
      <c r="BK114" s="0" t="s">
        <v>162</v>
      </c>
      <c r="BL114" s="0" t="s">
        <v>162</v>
      </c>
      <c r="BO114" s="0" t="s">
        <v>162</v>
      </c>
      <c r="BP114" s="0" t="n">
        <v>0</v>
      </c>
      <c r="BR114" s="0" t="s">
        <v>6762</v>
      </c>
      <c r="BS114" s="0" t="s">
        <v>7322</v>
      </c>
      <c r="BT114" s="0" t="s">
        <v>7323</v>
      </c>
      <c r="BU114" s="0" t="s">
        <v>4694</v>
      </c>
      <c r="BV114" s="0" t="n">
        <v>37</v>
      </c>
      <c r="BX114" s="0" t="s">
        <v>7324</v>
      </c>
      <c r="CF114" s="0" t="s">
        <v>158</v>
      </c>
      <c r="CK114" s="0" t="s">
        <v>158</v>
      </c>
      <c r="CL114" s="0" t="n">
        <v>43</v>
      </c>
      <c r="CM114" s="0" t="n">
        <v>6</v>
      </c>
      <c r="CN114" s="0" t="n">
        <v>8</v>
      </c>
      <c r="CO114" s="0" t="n">
        <v>8</v>
      </c>
      <c r="CP114" s="0" t="n">
        <v>5</v>
      </c>
      <c r="CQ114" s="0" t="n">
        <v>10</v>
      </c>
      <c r="CR114" s="0" t="n">
        <v>6</v>
      </c>
      <c r="CS114" s="0" t="n">
        <f aca="false">IF(R114="Y",10,0)</f>
        <v>0</v>
      </c>
      <c r="CT114" s="0" t="n">
        <v>0</v>
      </c>
      <c r="CU114" s="0" t="s">
        <v>7325</v>
      </c>
      <c r="CV114" s="0" t="s">
        <v>4841</v>
      </c>
      <c r="CW114" s="0" t="s">
        <v>7326</v>
      </c>
      <c r="CX114" s="0" t="s">
        <v>7327</v>
      </c>
      <c r="CY114" s="0" t="s">
        <v>7328</v>
      </c>
      <c r="DA114" s="0" t="s">
        <v>6234</v>
      </c>
      <c r="DY114" s="0" t="str">
        <f aca="false">IF(ISNUMBER(MATCH(U114,{"queued","contacted","replied","call_booked","call_done","yes_in_principle","materials_sent"},0)),"Y","N")</f>
        <v>N</v>
      </c>
      <c r="DZ114" s="0" t="str">
        <f aca="false">IF(COUNTIFS($AN$2:$AN$1000,AN114,$DY$2:$DY$1000,"Y")+COUNTIFS($AN$2:$AN$1000,AN114,$T$2:$T$1000,"Y")&gt;0,"Y","N")</f>
        <v>N</v>
      </c>
      <c r="EA114" s="0" t="str">
        <f aca="false">IF(AND(U114="new",T114="N",AR114="Y",AQ114="",DZ114="N"),"Y","N")</f>
        <v>Y</v>
      </c>
      <c r="EB114" s="0" t="str">
        <f aca="false">IF(EA114&lt;&gt;"Y","N",IF(COUNTIFS($AN$2:$AN$1000,AN114,$EA$2:$EA$1000,"Y",$J$2:$J$1000,"&gt;"&amp;J114)+COUNTIFS($AN$2:$AN$1000,AN114,$EA$2:$EA$1000,"Y",$J$2:$J$1000,J114,$ED$2:$ED$1000,"&lt;"&amp;ED114)=0,"Y","N"))</f>
        <v>Y</v>
      </c>
      <c r="EC114" s="0" t="str">
        <f aca="false">IF(Y114="","N",IF(Y114&lt;=10,"Y","N"))</f>
        <v>N</v>
      </c>
      <c r="ED114" s="0" t="n">
        <f aca="false">ROW()-1</f>
        <v>113</v>
      </c>
    </row>
    <row r="115" customFormat="false" ht="15" hidden="false" customHeight="false" outlineLevel="0" collapsed="false">
      <c r="A115" s="0" t="s">
        <v>7329</v>
      </c>
      <c r="B115" s="0" t="s">
        <v>7330</v>
      </c>
      <c r="C115" s="0" t="s">
        <v>7331</v>
      </c>
      <c r="D115" s="0" t="s">
        <v>7332</v>
      </c>
      <c r="E115" s="0" t="s">
        <v>4771</v>
      </c>
      <c r="H115" s="5" t="s">
        <v>158</v>
      </c>
      <c r="I115" s="5" t="s">
        <v>159</v>
      </c>
      <c r="J115" s="0" t="n">
        <f aca="false">IF(AU115="pass",CM115+CN115+CO115+CP115+CQ115+CR115+CS115+CT115,0)</f>
        <v>43</v>
      </c>
      <c r="K115" s="0" t="s">
        <v>7333</v>
      </c>
      <c r="M115" s="0" t="s">
        <v>5291</v>
      </c>
      <c r="N115" s="0" t="s">
        <v>598</v>
      </c>
      <c r="O115" s="0" t="s">
        <v>7334</v>
      </c>
      <c r="P115" s="0" t="s">
        <v>7335</v>
      </c>
      <c r="Q115" s="0" t="s">
        <v>4159</v>
      </c>
      <c r="R115" s="5" t="s">
        <v>162</v>
      </c>
      <c r="S115" s="0" t="s">
        <v>163</v>
      </c>
      <c r="T115" s="5" t="s">
        <v>162</v>
      </c>
      <c r="U115" s="5" t="s">
        <v>561</v>
      </c>
      <c r="V115" s="0" t="s">
        <v>7336</v>
      </c>
      <c r="W115" s="0" t="s">
        <v>166</v>
      </c>
      <c r="X115" s="0" t="s">
        <v>4585</v>
      </c>
      <c r="Y115" s="0" t="n">
        <f aca="false">IF(EB115&lt;&gt;"Y","",COUNTIFS($EB$2:$EB$1000,"Y",$J$2:$J$1000,"&gt;"&amp;J115)+COUNTIFS($EB$2:$EB$1000,"Y",$J$2:$J$1000,J115,$ED$2:$ED$1000,"&lt;"&amp;ED115)+1)</f>
        <v>104</v>
      </c>
      <c r="Z115" s="0" t="n">
        <v>114</v>
      </c>
      <c r="AA115" s="0" t="s">
        <v>162</v>
      </c>
      <c r="AB115" s="0" t="s">
        <v>7337</v>
      </c>
      <c r="AC115" s="0" t="s">
        <v>4587</v>
      </c>
      <c r="AD115" s="0" t="s">
        <v>171</v>
      </c>
      <c r="AE115" s="0" t="s">
        <v>172</v>
      </c>
      <c r="AF115" s="0" t="s">
        <v>7336</v>
      </c>
      <c r="AG115" s="0" t="s">
        <v>166</v>
      </c>
      <c r="AH115" s="0" t="s">
        <v>7338</v>
      </c>
      <c r="AI115" s="0" t="s">
        <v>4664</v>
      </c>
      <c r="AJ115" s="0" t="s">
        <v>7339</v>
      </c>
      <c r="AK115" s="0" t="s">
        <v>7340</v>
      </c>
      <c r="AL115" s="0" t="s">
        <v>168</v>
      </c>
      <c r="AM115" s="0" t="s">
        <v>7341</v>
      </c>
      <c r="AN115" s="0" t="s">
        <v>7329</v>
      </c>
      <c r="AO115" s="5" t="s">
        <v>162</v>
      </c>
      <c r="AR115" s="0" t="str">
        <f aca="false">IF(AND(AU115="pass",AO115&lt;&gt;"Y",C115&lt;&gt;""),"Y","N")</f>
        <v>Y</v>
      </c>
      <c r="AS115" s="0" t="str">
        <f aca="false">_xlfn.TEXTJOIN("; ",TRUE(),IF(AU115&lt;&gt;"pass","gated out",""),IF(AO115="Y","on hold: "&amp;AP115,""),IF(C115="","no contact named on an opened page",""))</f>
        <v/>
      </c>
      <c r="AU115" s="0" t="s">
        <v>181</v>
      </c>
      <c r="AW115" s="0" t="s">
        <v>182</v>
      </c>
      <c r="AX115" s="0" t="s">
        <v>6031</v>
      </c>
      <c r="AY115" s="0" t="s">
        <v>7340</v>
      </c>
      <c r="AZ115" s="0" t="s">
        <v>4595</v>
      </c>
      <c r="BA115" s="0" t="s">
        <v>4596</v>
      </c>
      <c r="BB115" s="0" t="s">
        <v>163</v>
      </c>
      <c r="BD115" s="0" t="s">
        <v>263</v>
      </c>
      <c r="BE115" s="0" t="s">
        <v>7342</v>
      </c>
      <c r="BF115" s="0" t="s">
        <v>168</v>
      </c>
      <c r="BG115" s="0" t="s">
        <v>168</v>
      </c>
      <c r="BH115" s="0" t="s">
        <v>163</v>
      </c>
      <c r="BJ115" s="0" t="s">
        <v>163</v>
      </c>
      <c r="BK115" s="0" t="s">
        <v>162</v>
      </c>
      <c r="BL115" s="0" t="s">
        <v>162</v>
      </c>
      <c r="BO115" s="0" t="s">
        <v>162</v>
      </c>
      <c r="BP115" s="0" t="n">
        <v>0</v>
      </c>
      <c r="BS115" s="0" t="s">
        <v>7343</v>
      </c>
      <c r="BT115" s="0" t="s">
        <v>7344</v>
      </c>
      <c r="BU115" s="0" t="s">
        <v>4694</v>
      </c>
      <c r="BV115" s="0" t="n">
        <v>2</v>
      </c>
      <c r="BX115" s="0" t="s">
        <v>7345</v>
      </c>
      <c r="CF115" s="0" t="s">
        <v>158</v>
      </c>
      <c r="CK115" s="0" t="s">
        <v>158</v>
      </c>
      <c r="CL115" s="0" t="n">
        <v>43</v>
      </c>
      <c r="CM115" s="0" t="n">
        <v>6</v>
      </c>
      <c r="CN115" s="0" t="n">
        <v>20</v>
      </c>
      <c r="CO115" s="0" t="n">
        <v>8</v>
      </c>
      <c r="CP115" s="0" t="n">
        <v>5</v>
      </c>
      <c r="CQ115" s="0" t="n">
        <v>8</v>
      </c>
      <c r="CR115" s="0" t="n">
        <v>6</v>
      </c>
      <c r="CS115" s="0" t="n">
        <f aca="false">IF(R115="Y",10,0)</f>
        <v>0</v>
      </c>
      <c r="CT115" s="0" t="n">
        <v>-10</v>
      </c>
      <c r="CU115" s="0" t="s">
        <v>7346</v>
      </c>
      <c r="CV115" s="0" t="s">
        <v>4703</v>
      </c>
      <c r="CW115" s="0" t="s">
        <v>7347</v>
      </c>
      <c r="CX115" s="0" t="s">
        <v>7348</v>
      </c>
      <c r="CY115" s="0" t="s">
        <v>7349</v>
      </c>
      <c r="DA115" s="0" t="s">
        <v>6234</v>
      </c>
      <c r="DY115" s="0" t="str">
        <f aca="false">IF(ISNUMBER(MATCH(U115,{"queued","contacted","replied","call_booked","call_done","yes_in_principle","materials_sent"},0)),"Y","N")</f>
        <v>N</v>
      </c>
      <c r="DZ115" s="0" t="str">
        <f aca="false">IF(COUNTIFS($AN$2:$AN$1000,AN115,$DY$2:$DY$1000,"Y")+COUNTIFS($AN$2:$AN$1000,AN115,$T$2:$T$1000,"Y")&gt;0,"Y","N")</f>
        <v>N</v>
      </c>
      <c r="EA115" s="0" t="str">
        <f aca="false">IF(AND(U115="new",T115="N",AR115="Y",AQ115="",DZ115="N"),"Y","N")</f>
        <v>Y</v>
      </c>
      <c r="EB115" s="0" t="str">
        <f aca="false">IF(EA115&lt;&gt;"Y","N",IF(COUNTIFS($AN$2:$AN$1000,AN115,$EA$2:$EA$1000,"Y",$J$2:$J$1000,"&gt;"&amp;J115)+COUNTIFS($AN$2:$AN$1000,AN115,$EA$2:$EA$1000,"Y",$J$2:$J$1000,J115,$ED$2:$ED$1000,"&lt;"&amp;ED115)=0,"Y","N"))</f>
        <v>Y</v>
      </c>
      <c r="EC115" s="0" t="str">
        <f aca="false">IF(Y115="","N",IF(Y115&lt;=10,"Y","N"))</f>
        <v>N</v>
      </c>
      <c r="ED115" s="0" t="n">
        <f aca="false">ROW()-1</f>
        <v>114</v>
      </c>
    </row>
    <row r="116" customFormat="false" ht="15" hidden="false" customHeight="false" outlineLevel="0" collapsed="false">
      <c r="A116" s="0" t="s">
        <v>7350</v>
      </c>
      <c r="B116" s="0" t="s">
        <v>7351</v>
      </c>
      <c r="C116" s="0" t="s">
        <v>7352</v>
      </c>
      <c r="D116" s="0" t="s">
        <v>7353</v>
      </c>
      <c r="E116" s="0" t="s">
        <v>7354</v>
      </c>
      <c r="H116" s="5" t="s">
        <v>158</v>
      </c>
      <c r="I116" s="5" t="s">
        <v>159</v>
      </c>
      <c r="J116" s="0" t="n">
        <f aca="false">IF(AU116="pass",CM116+CN116+CO116+CP116+CQ116+CR116+CS116+CT116,0)</f>
        <v>43</v>
      </c>
      <c r="K116" s="0" t="s">
        <v>7355</v>
      </c>
      <c r="M116" s="0" t="s">
        <v>5291</v>
      </c>
      <c r="N116" s="0" t="s">
        <v>598</v>
      </c>
      <c r="O116" s="0" t="s">
        <v>7356</v>
      </c>
      <c r="P116" s="0" t="s">
        <v>7357</v>
      </c>
      <c r="Q116" s="0" t="s">
        <v>4119</v>
      </c>
      <c r="R116" s="5" t="s">
        <v>162</v>
      </c>
      <c r="S116" s="0" t="s">
        <v>168</v>
      </c>
      <c r="T116" s="5" t="s">
        <v>162</v>
      </c>
      <c r="U116" s="5" t="s">
        <v>561</v>
      </c>
      <c r="V116" s="0" t="s">
        <v>7358</v>
      </c>
      <c r="W116" s="0" t="s">
        <v>166</v>
      </c>
      <c r="X116" s="0" t="s">
        <v>4585</v>
      </c>
      <c r="Y116" s="0" t="n">
        <f aca="false">IF(EB116&lt;&gt;"Y","",COUNTIFS($EB$2:$EB$1000,"Y",$J$2:$J$1000,"&gt;"&amp;J116)+COUNTIFS($EB$2:$EB$1000,"Y",$J$2:$J$1000,J116,$ED$2:$ED$1000,"&lt;"&amp;ED116)+1)</f>
        <v>105</v>
      </c>
      <c r="Z116" s="0" t="n">
        <v>115</v>
      </c>
      <c r="AA116" s="0" t="s">
        <v>162</v>
      </c>
      <c r="AB116" s="0" t="s">
        <v>7359</v>
      </c>
      <c r="AC116" s="0" t="s">
        <v>4587</v>
      </c>
      <c r="AD116" s="0" t="s">
        <v>171</v>
      </c>
      <c r="AE116" s="0" t="s">
        <v>1189</v>
      </c>
      <c r="AF116" s="0" t="s">
        <v>7360</v>
      </c>
      <c r="AG116" s="0" t="s">
        <v>166</v>
      </c>
      <c r="AH116" s="0" t="s">
        <v>7361</v>
      </c>
      <c r="AI116" s="0" t="s">
        <v>5461</v>
      </c>
      <c r="AJ116" s="0" t="s">
        <v>7362</v>
      </c>
      <c r="AK116" s="0" t="s">
        <v>7363</v>
      </c>
      <c r="AL116" s="0" t="s">
        <v>162</v>
      </c>
      <c r="AN116" s="0" t="s">
        <v>7350</v>
      </c>
      <c r="AO116" s="5" t="s">
        <v>162</v>
      </c>
      <c r="AR116" s="0" t="str">
        <f aca="false">IF(AND(AU116="pass",AO116&lt;&gt;"Y",C116&lt;&gt;""),"Y","N")</f>
        <v>Y</v>
      </c>
      <c r="AS116" s="0" t="str">
        <f aca="false">_xlfn.TEXTJOIN("; ",TRUE(),IF(AU116&lt;&gt;"pass","gated out",""),IF(AO116="Y","on hold: "&amp;AP116,""),IF(C116="","no contact named on an opened page",""))</f>
        <v/>
      </c>
      <c r="AU116" s="0" t="s">
        <v>181</v>
      </c>
      <c r="AW116" s="0" t="s">
        <v>182</v>
      </c>
      <c r="AY116" s="0" t="s">
        <v>7363</v>
      </c>
      <c r="AZ116" s="0" t="s">
        <v>6689</v>
      </c>
      <c r="BA116" s="0" t="s">
        <v>5191</v>
      </c>
      <c r="BB116" s="0" t="s">
        <v>163</v>
      </c>
      <c r="BD116" s="0" t="s">
        <v>168</v>
      </c>
      <c r="BE116" s="0" t="s">
        <v>7364</v>
      </c>
      <c r="BF116" s="0" t="s">
        <v>168</v>
      </c>
      <c r="BG116" s="0" t="s">
        <v>168</v>
      </c>
      <c r="BH116" s="0" t="s">
        <v>163</v>
      </c>
      <c r="BJ116" s="0" t="s">
        <v>163</v>
      </c>
      <c r="BK116" s="0" t="s">
        <v>162</v>
      </c>
      <c r="BL116" s="0" t="s">
        <v>162</v>
      </c>
      <c r="BO116" s="0" t="s">
        <v>162</v>
      </c>
      <c r="BP116" s="0" t="n">
        <v>0</v>
      </c>
      <c r="BS116" s="0" t="s">
        <v>7365</v>
      </c>
      <c r="BT116" s="0" t="s">
        <v>7366</v>
      </c>
      <c r="BU116" s="0" t="s">
        <v>4694</v>
      </c>
      <c r="BV116" s="0" t="n">
        <v>80</v>
      </c>
      <c r="BW116" s="0" t="s">
        <v>7360</v>
      </c>
      <c r="BX116" s="0" t="s">
        <v>7367</v>
      </c>
      <c r="CF116" s="0" t="s">
        <v>158</v>
      </c>
      <c r="CK116" s="0" t="s">
        <v>158</v>
      </c>
      <c r="CL116" s="0" t="n">
        <v>43</v>
      </c>
      <c r="CM116" s="0" t="n">
        <v>6</v>
      </c>
      <c r="CN116" s="0" t="n">
        <v>8</v>
      </c>
      <c r="CO116" s="0" t="n">
        <v>8</v>
      </c>
      <c r="CP116" s="0" t="n">
        <v>5</v>
      </c>
      <c r="CQ116" s="0" t="n">
        <v>10</v>
      </c>
      <c r="CR116" s="0" t="n">
        <v>6</v>
      </c>
      <c r="CS116" s="0" t="n">
        <f aca="false">IF(R116="Y",10,0)</f>
        <v>0</v>
      </c>
      <c r="CT116" s="0" t="n">
        <v>0</v>
      </c>
      <c r="CU116" s="0" t="s">
        <v>163</v>
      </c>
      <c r="CV116" s="0" t="s">
        <v>4841</v>
      </c>
      <c r="CW116" s="0" t="s">
        <v>7368</v>
      </c>
      <c r="CX116" s="0" t="s">
        <v>7369</v>
      </c>
      <c r="CY116" s="0" t="s">
        <v>7370</v>
      </c>
      <c r="DA116" s="0" t="s">
        <v>6234</v>
      </c>
      <c r="DY116" s="0" t="str">
        <f aca="false">IF(ISNUMBER(MATCH(U116,{"queued","contacted","replied","call_booked","call_done","yes_in_principle","materials_sent"},0)),"Y","N")</f>
        <v>N</v>
      </c>
      <c r="DZ116" s="0" t="str">
        <f aca="false">IF(COUNTIFS($AN$2:$AN$1000,AN116,$DY$2:$DY$1000,"Y")+COUNTIFS($AN$2:$AN$1000,AN116,$T$2:$T$1000,"Y")&gt;0,"Y","N")</f>
        <v>N</v>
      </c>
      <c r="EA116" s="0" t="str">
        <f aca="false">IF(AND(U116="new",T116="N",AR116="Y",AQ116="",DZ116="N"),"Y","N")</f>
        <v>Y</v>
      </c>
      <c r="EB116" s="0" t="str">
        <f aca="false">IF(EA116&lt;&gt;"Y","N",IF(COUNTIFS($AN$2:$AN$1000,AN116,$EA$2:$EA$1000,"Y",$J$2:$J$1000,"&gt;"&amp;J116)+COUNTIFS($AN$2:$AN$1000,AN116,$EA$2:$EA$1000,"Y",$J$2:$J$1000,J116,$ED$2:$ED$1000,"&lt;"&amp;ED116)=0,"Y","N"))</f>
        <v>Y</v>
      </c>
      <c r="EC116" s="0" t="str">
        <f aca="false">IF(Y116="","N",IF(Y116&lt;=10,"Y","N"))</f>
        <v>N</v>
      </c>
      <c r="ED116" s="0" t="n">
        <f aca="false">ROW()-1</f>
        <v>115</v>
      </c>
    </row>
    <row r="117" customFormat="false" ht="15" hidden="false" customHeight="false" outlineLevel="0" collapsed="false">
      <c r="A117" s="0" t="s">
        <v>7371</v>
      </c>
      <c r="B117" s="0" t="s">
        <v>7372</v>
      </c>
      <c r="H117" s="5" t="s">
        <v>158</v>
      </c>
      <c r="I117" s="5"/>
      <c r="J117" s="0" t="n">
        <f aca="false">IF(AU117="pass",CM117+CN117+CO117+CP117+CQ117+CR117+CS117+CT117,0)</f>
        <v>43</v>
      </c>
      <c r="K117" s="0" t="s">
        <v>7373</v>
      </c>
      <c r="M117" s="0" t="s">
        <v>5291</v>
      </c>
      <c r="N117" s="0" t="s">
        <v>598</v>
      </c>
      <c r="O117" s="0" t="s">
        <v>7374</v>
      </c>
      <c r="P117" s="0" t="s">
        <v>7375</v>
      </c>
      <c r="Q117" s="0" t="s">
        <v>5679</v>
      </c>
      <c r="R117" s="5" t="s">
        <v>162</v>
      </c>
      <c r="S117" s="0" t="s">
        <v>163</v>
      </c>
      <c r="T117" s="5" t="s">
        <v>162</v>
      </c>
      <c r="U117" s="5" t="s">
        <v>561</v>
      </c>
      <c r="V117" s="0" t="s">
        <v>7376</v>
      </c>
      <c r="W117" s="0" t="s">
        <v>166</v>
      </c>
      <c r="X117" s="0" t="s">
        <v>4585</v>
      </c>
      <c r="Y117" s="0" t="str">
        <f aca="false">IF(EB117&lt;&gt;"Y","",COUNTIFS($EB$2:$EB$1000,"Y",$J$2:$J$1000,"&gt;"&amp;J117)+COUNTIFS($EB$2:$EB$1000,"Y",$J$2:$J$1000,J117,$ED$2:$ED$1000,"&lt;"&amp;ED117)+1)</f>
        <v/>
      </c>
      <c r="Z117" s="0" t="n">
        <v>116</v>
      </c>
      <c r="AA117" s="0" t="s">
        <v>162</v>
      </c>
      <c r="AB117" s="0" t="s">
        <v>6315</v>
      </c>
      <c r="AC117" s="0" t="s">
        <v>4587</v>
      </c>
      <c r="AD117" s="0" t="s">
        <v>598</v>
      </c>
      <c r="AE117" s="0" t="s">
        <v>163</v>
      </c>
      <c r="AG117" s="0" t="s">
        <v>166</v>
      </c>
      <c r="AH117" s="0" t="s">
        <v>7377</v>
      </c>
      <c r="AI117" s="0" t="s">
        <v>5736</v>
      </c>
      <c r="AJ117" s="0" t="s">
        <v>192</v>
      </c>
      <c r="AK117" s="0" t="s">
        <v>7376</v>
      </c>
      <c r="AL117" s="0" t="s">
        <v>168</v>
      </c>
      <c r="AM117" s="0" t="s">
        <v>7378</v>
      </c>
      <c r="AN117" s="0" t="s">
        <v>7371</v>
      </c>
      <c r="AO117" s="5" t="s">
        <v>162</v>
      </c>
      <c r="AR117" s="0" t="str">
        <f aca="false">IF(AND(AU117="pass",AO117&lt;&gt;"Y",C117&lt;&gt;""),"Y","N")</f>
        <v>N</v>
      </c>
      <c r="AS117" s="0" t="str">
        <f aca="false">_xlfn.TEXTJOIN("; ",TRUE(),IF(AU117&lt;&gt;"pass","gated out",""),IF(AO117="Y","on hold: "&amp;AP117,""),IF(C117="","no contact named on an opened page",""))</f>
        <v>no contact named on an opened page</v>
      </c>
      <c r="AU117" s="0" t="s">
        <v>181</v>
      </c>
      <c r="AW117" s="0" t="s">
        <v>182</v>
      </c>
      <c r="AX117" s="0" t="s">
        <v>282</v>
      </c>
      <c r="AY117" s="0" t="s">
        <v>7376</v>
      </c>
      <c r="AZ117" s="0" t="s">
        <v>4595</v>
      </c>
      <c r="BA117" s="0" t="s">
        <v>4596</v>
      </c>
      <c r="BB117" s="0" t="s">
        <v>163</v>
      </c>
      <c r="BD117" s="0" t="s">
        <v>163</v>
      </c>
      <c r="BE117" s="0" t="s">
        <v>5927</v>
      </c>
      <c r="BF117" s="0" t="s">
        <v>168</v>
      </c>
      <c r="BG117" s="0" t="s">
        <v>168</v>
      </c>
      <c r="BH117" s="0" t="s">
        <v>163</v>
      </c>
      <c r="BJ117" s="0" t="s">
        <v>5549</v>
      </c>
      <c r="BK117" s="0" t="s">
        <v>162</v>
      </c>
      <c r="BL117" s="0" t="s">
        <v>162</v>
      </c>
      <c r="BO117" s="0" t="s">
        <v>162</v>
      </c>
      <c r="BP117" s="0" t="n">
        <v>0</v>
      </c>
      <c r="BS117" s="0" t="s">
        <v>7160</v>
      </c>
      <c r="BT117" s="0" t="s">
        <v>7379</v>
      </c>
      <c r="BU117" s="0" t="s">
        <v>4694</v>
      </c>
      <c r="BV117" s="0" t="n">
        <v>211</v>
      </c>
      <c r="BX117" s="0" t="s">
        <v>7380</v>
      </c>
      <c r="BY117" s="0" t="s">
        <v>7381</v>
      </c>
      <c r="CF117" s="0" t="s">
        <v>158</v>
      </c>
      <c r="CK117" s="0" t="s">
        <v>158</v>
      </c>
      <c r="CL117" s="0" t="n">
        <v>43</v>
      </c>
      <c r="CM117" s="0" t="n">
        <v>6</v>
      </c>
      <c r="CN117" s="0" t="n">
        <v>20</v>
      </c>
      <c r="CO117" s="0" t="n">
        <v>4</v>
      </c>
      <c r="CP117" s="0" t="n">
        <v>5</v>
      </c>
      <c r="CQ117" s="0" t="n">
        <v>7</v>
      </c>
      <c r="CR117" s="0" t="n">
        <v>3</v>
      </c>
      <c r="CS117" s="0" t="n">
        <f aca="false">IF(R117="Y",10,0)</f>
        <v>0</v>
      </c>
      <c r="CT117" s="0" t="n">
        <v>-2</v>
      </c>
      <c r="CU117" s="0" t="s">
        <v>7382</v>
      </c>
      <c r="CV117" s="0" t="s">
        <v>5562</v>
      </c>
      <c r="CW117" s="0" t="s">
        <v>7383</v>
      </c>
      <c r="CX117" s="0" t="s">
        <v>7384</v>
      </c>
      <c r="CY117" s="0" t="s">
        <v>7385</v>
      </c>
      <c r="DA117" s="0" t="s">
        <v>6234</v>
      </c>
      <c r="DY117" s="0" t="str">
        <f aca="false">IF(ISNUMBER(MATCH(U117,{"queued","contacted","replied","call_booked","call_done","yes_in_principle","materials_sent"},0)),"Y","N")</f>
        <v>N</v>
      </c>
      <c r="DZ117" s="0" t="str">
        <f aca="false">IF(COUNTIFS($AN$2:$AN$1000,AN117,$DY$2:$DY$1000,"Y")+COUNTIFS($AN$2:$AN$1000,AN117,$T$2:$T$1000,"Y")&gt;0,"Y","N")</f>
        <v>N</v>
      </c>
      <c r="EA117" s="0" t="str">
        <f aca="false">IF(AND(U117="new",T117="N",AR117="Y",AQ117="",DZ117="N"),"Y","N")</f>
        <v>N</v>
      </c>
      <c r="EB117" s="0" t="str">
        <f aca="false">IF(EA117&lt;&gt;"Y","N",IF(COUNTIFS($AN$2:$AN$1000,AN117,$EA$2:$EA$1000,"Y",$J$2:$J$1000,"&gt;"&amp;J117)+COUNTIFS($AN$2:$AN$1000,AN117,$EA$2:$EA$1000,"Y",$J$2:$J$1000,J117,$ED$2:$ED$1000,"&lt;"&amp;ED117)=0,"Y","N"))</f>
        <v>N</v>
      </c>
      <c r="EC117" s="0" t="str">
        <f aca="false">IF(Y117="","N",IF(Y117&lt;=10,"Y","N"))</f>
        <v>N</v>
      </c>
      <c r="ED117" s="0" t="n">
        <f aca="false">ROW()-1</f>
        <v>116</v>
      </c>
    </row>
    <row r="118" customFormat="false" ht="15" hidden="false" customHeight="false" outlineLevel="0" collapsed="false">
      <c r="A118" s="0" t="s">
        <v>7386</v>
      </c>
      <c r="B118" s="0" t="s">
        <v>7387</v>
      </c>
      <c r="H118" s="5" t="s">
        <v>158</v>
      </c>
      <c r="I118" s="5"/>
      <c r="J118" s="0" t="n">
        <f aca="false">IF(AU118="pass",CM118+CN118+CO118+CP118+CQ118+CR118+CS118+CT118,0)</f>
        <v>42</v>
      </c>
      <c r="K118" s="0" t="s">
        <v>7388</v>
      </c>
      <c r="M118" s="0" t="s">
        <v>4580</v>
      </c>
      <c r="N118" s="0" t="s">
        <v>4581</v>
      </c>
      <c r="O118" s="0" t="s">
        <v>7389</v>
      </c>
      <c r="P118" s="0" t="s">
        <v>7390</v>
      </c>
      <c r="Q118" s="0" t="s">
        <v>6933</v>
      </c>
      <c r="R118" s="5" t="s">
        <v>162</v>
      </c>
      <c r="S118" s="0" t="s">
        <v>163</v>
      </c>
      <c r="T118" s="5" t="s">
        <v>162</v>
      </c>
      <c r="U118" s="5" t="s">
        <v>561</v>
      </c>
      <c r="V118" s="0" t="s">
        <v>7391</v>
      </c>
      <c r="W118" s="0" t="s">
        <v>166</v>
      </c>
      <c r="X118" s="0" t="s">
        <v>4585</v>
      </c>
      <c r="Y118" s="0" t="str">
        <f aca="false">IF(EB118&lt;&gt;"Y","",COUNTIFS($EB$2:$EB$1000,"Y",$J$2:$J$1000,"&gt;"&amp;J118)+COUNTIFS($EB$2:$EB$1000,"Y",$J$2:$J$1000,J118,$ED$2:$ED$1000,"&lt;"&amp;ED118)+1)</f>
        <v/>
      </c>
      <c r="Z118" s="0" t="n">
        <v>117</v>
      </c>
      <c r="AA118" s="0" t="s">
        <v>162</v>
      </c>
      <c r="AB118" s="0" t="s">
        <v>7392</v>
      </c>
      <c r="AD118" s="0" t="s">
        <v>158</v>
      </c>
      <c r="AH118" s="0" t="s">
        <v>7393</v>
      </c>
      <c r="AI118" s="0" t="s">
        <v>4633</v>
      </c>
      <c r="AJ118" s="0" t="s">
        <v>7394</v>
      </c>
      <c r="AK118" s="0" t="s">
        <v>7395</v>
      </c>
      <c r="AL118" s="0" t="s">
        <v>168</v>
      </c>
      <c r="AM118" s="0" t="s">
        <v>7396</v>
      </c>
      <c r="AN118" s="0" t="s">
        <v>7386</v>
      </c>
      <c r="AO118" s="5" t="s">
        <v>162</v>
      </c>
      <c r="AR118" s="0" t="str">
        <f aca="false">IF(AND(AU118="pass",AO118&lt;&gt;"Y",C118&lt;&gt;""),"Y","N")</f>
        <v>N</v>
      </c>
      <c r="AS118" s="0" t="str">
        <f aca="false">_xlfn.TEXTJOIN("; ",TRUE(),IF(AU118&lt;&gt;"pass","gated out",""),IF(AO118="Y","on hold: "&amp;AP118,""),IF(C118="","no contact named on an opened page",""))</f>
        <v>no contact named on an opened page</v>
      </c>
      <c r="AU118" s="0" t="s">
        <v>181</v>
      </c>
      <c r="AW118" s="0" t="s">
        <v>182</v>
      </c>
      <c r="AX118" s="0" t="s">
        <v>6031</v>
      </c>
      <c r="AY118" s="0" t="s">
        <v>7395</v>
      </c>
      <c r="AZ118" s="0" t="s">
        <v>4922</v>
      </c>
      <c r="BA118" s="0" t="s">
        <v>5191</v>
      </c>
      <c r="BB118" s="0" t="s">
        <v>163</v>
      </c>
      <c r="BD118" s="0" t="s">
        <v>168</v>
      </c>
      <c r="BE118" s="0" t="s">
        <v>7397</v>
      </c>
      <c r="BF118" s="0" t="s">
        <v>168</v>
      </c>
      <c r="BG118" s="0" t="s">
        <v>168</v>
      </c>
      <c r="BH118" s="0" t="s">
        <v>163</v>
      </c>
      <c r="BJ118" s="0" t="s">
        <v>163</v>
      </c>
      <c r="BK118" s="0" t="s">
        <v>162</v>
      </c>
      <c r="BL118" s="0" t="s">
        <v>162</v>
      </c>
      <c r="BN118" s="0" t="n">
        <v>0</v>
      </c>
      <c r="BO118" s="0" t="s">
        <v>168</v>
      </c>
      <c r="BP118" s="0" t="n">
        <v>3</v>
      </c>
      <c r="BQ118" s="0" t="s">
        <v>4669</v>
      </c>
      <c r="BR118" s="0" t="s">
        <v>4670</v>
      </c>
      <c r="BS118" s="0" t="s">
        <v>7398</v>
      </c>
      <c r="BT118" s="0" t="s">
        <v>7399</v>
      </c>
      <c r="BU118" s="0" t="s">
        <v>4694</v>
      </c>
      <c r="BV118" s="0" t="n">
        <v>255</v>
      </c>
      <c r="CF118" s="0" t="s">
        <v>158</v>
      </c>
      <c r="CK118" s="0" t="s">
        <v>158</v>
      </c>
      <c r="CL118" s="0" t="n">
        <v>42</v>
      </c>
      <c r="CM118" s="0" t="n">
        <v>25</v>
      </c>
      <c r="CN118" s="0" t="n">
        <v>8</v>
      </c>
      <c r="CO118" s="0" t="n">
        <v>4</v>
      </c>
      <c r="CP118" s="0" t="n">
        <v>5</v>
      </c>
      <c r="CQ118" s="0" t="n">
        <v>10</v>
      </c>
      <c r="CR118" s="0" t="n">
        <v>0</v>
      </c>
      <c r="CS118" s="0" t="n">
        <f aca="false">IF(R118="Y",10,0)</f>
        <v>0</v>
      </c>
      <c r="CT118" s="0" t="n">
        <v>-10</v>
      </c>
      <c r="CV118" s="0" t="s">
        <v>4615</v>
      </c>
      <c r="CW118" s="0" t="s">
        <v>7400</v>
      </c>
      <c r="CX118" s="0" t="s">
        <v>7401</v>
      </c>
      <c r="CY118" s="0" t="s">
        <v>7402</v>
      </c>
      <c r="DA118" s="0" t="s">
        <v>6234</v>
      </c>
      <c r="DY118" s="0" t="str">
        <f aca="false">IF(ISNUMBER(MATCH(U118,{"queued","contacted","replied","call_booked","call_done","yes_in_principle","materials_sent"},0)),"Y","N")</f>
        <v>N</v>
      </c>
      <c r="DZ118" s="0" t="str">
        <f aca="false">IF(COUNTIFS($AN$2:$AN$1000,AN118,$DY$2:$DY$1000,"Y")+COUNTIFS($AN$2:$AN$1000,AN118,$T$2:$T$1000,"Y")&gt;0,"Y","N")</f>
        <v>N</v>
      </c>
      <c r="EA118" s="0" t="str">
        <f aca="false">IF(AND(U118="new",T118="N",AR118="Y",AQ118="",DZ118="N"),"Y","N")</f>
        <v>N</v>
      </c>
      <c r="EB118" s="0" t="str">
        <f aca="false">IF(EA118&lt;&gt;"Y","N",IF(COUNTIFS($AN$2:$AN$1000,AN118,$EA$2:$EA$1000,"Y",$J$2:$J$1000,"&gt;"&amp;J118)+COUNTIFS($AN$2:$AN$1000,AN118,$EA$2:$EA$1000,"Y",$J$2:$J$1000,J118,$ED$2:$ED$1000,"&lt;"&amp;ED118)=0,"Y","N"))</f>
        <v>N</v>
      </c>
      <c r="EC118" s="0" t="str">
        <f aca="false">IF(Y118="","N",IF(Y118&lt;=10,"Y","N"))</f>
        <v>N</v>
      </c>
      <c r="ED118" s="0" t="n">
        <f aca="false">ROW()-1</f>
        <v>117</v>
      </c>
    </row>
    <row r="119" customFormat="false" ht="15" hidden="false" customHeight="false" outlineLevel="0" collapsed="false">
      <c r="A119" s="0" t="s">
        <v>7403</v>
      </c>
      <c r="B119" s="0" t="s">
        <v>7404</v>
      </c>
      <c r="H119" s="5" t="s">
        <v>158</v>
      </c>
      <c r="I119" s="5"/>
      <c r="J119" s="0" t="n">
        <f aca="false">IF(AU119="pass",CM119+CN119+CO119+CP119+CQ119+CR119+CS119+CT119,0)</f>
        <v>42</v>
      </c>
      <c r="K119" s="0" t="s">
        <v>7405</v>
      </c>
      <c r="M119" s="0" t="s">
        <v>4580</v>
      </c>
      <c r="N119" s="0" t="s">
        <v>4581</v>
      </c>
      <c r="R119" s="5" t="s">
        <v>162</v>
      </c>
      <c r="S119" s="0" t="s">
        <v>163</v>
      </c>
      <c r="T119" s="5" t="s">
        <v>162</v>
      </c>
      <c r="U119" s="5" t="s">
        <v>561</v>
      </c>
      <c r="V119" s="0" t="s">
        <v>7406</v>
      </c>
      <c r="W119" s="0" t="s">
        <v>166</v>
      </c>
      <c r="X119" s="0" t="s">
        <v>4585</v>
      </c>
      <c r="Y119" s="0" t="str">
        <f aca="false">IF(EB119&lt;&gt;"Y","",COUNTIFS($EB$2:$EB$1000,"Y",$J$2:$J$1000,"&gt;"&amp;J119)+COUNTIFS($EB$2:$EB$1000,"Y",$J$2:$J$1000,J119,$ED$2:$ED$1000,"&lt;"&amp;ED119)+1)</f>
        <v/>
      </c>
      <c r="Z119" s="0" t="n">
        <v>118</v>
      </c>
      <c r="AA119" s="0" t="s">
        <v>162</v>
      </c>
      <c r="AB119" s="0" t="s">
        <v>7407</v>
      </c>
      <c r="AC119" s="0" t="s">
        <v>4587</v>
      </c>
      <c r="AD119" s="0" t="s">
        <v>598</v>
      </c>
      <c r="AE119" s="0" t="s">
        <v>163</v>
      </c>
      <c r="AG119" s="0" t="s">
        <v>166</v>
      </c>
      <c r="AH119" s="0" t="s">
        <v>7408</v>
      </c>
      <c r="AI119" s="0" t="s">
        <v>4722</v>
      </c>
      <c r="AJ119" s="0" t="s">
        <v>7409</v>
      </c>
      <c r="AL119" s="0" t="s">
        <v>168</v>
      </c>
      <c r="AM119" s="0" t="s">
        <v>7410</v>
      </c>
      <c r="AN119" s="0" t="s">
        <v>7403</v>
      </c>
      <c r="AO119" s="5" t="s">
        <v>162</v>
      </c>
      <c r="AR119" s="0" t="str">
        <f aca="false">IF(AND(AU119="pass",AO119&lt;&gt;"Y",C119&lt;&gt;""),"Y","N")</f>
        <v>N</v>
      </c>
      <c r="AS119" s="0" t="str">
        <f aca="false">_xlfn.TEXTJOIN("; ",TRUE(),IF(AU119&lt;&gt;"pass","gated out",""),IF(AO119="Y","on hold: "&amp;AP119,""),IF(C119="","no contact named on an opened page",""))</f>
        <v>no contact named on an opened page</v>
      </c>
      <c r="AU119" s="0" t="s">
        <v>181</v>
      </c>
      <c r="AW119" s="0" t="s">
        <v>182</v>
      </c>
      <c r="AX119" s="0" t="s">
        <v>282</v>
      </c>
      <c r="AY119" s="0" t="s">
        <v>7411</v>
      </c>
      <c r="AZ119" s="0" t="s">
        <v>4922</v>
      </c>
      <c r="BA119" s="0" t="s">
        <v>5191</v>
      </c>
      <c r="BB119" s="0" t="s">
        <v>163</v>
      </c>
      <c r="BD119" s="0" t="s">
        <v>163</v>
      </c>
      <c r="BE119" s="0" t="s">
        <v>7412</v>
      </c>
      <c r="BF119" s="0" t="s">
        <v>163</v>
      </c>
      <c r="BG119" s="0" t="s">
        <v>163</v>
      </c>
      <c r="BH119" s="0" t="s">
        <v>163</v>
      </c>
      <c r="BJ119" s="0" t="s">
        <v>163</v>
      </c>
      <c r="BK119" s="0" t="s">
        <v>162</v>
      </c>
      <c r="BL119" s="0" t="s">
        <v>162</v>
      </c>
      <c r="BN119" s="0" t="n">
        <v>0</v>
      </c>
      <c r="BO119" s="0" t="s">
        <v>168</v>
      </c>
      <c r="BP119" s="0" t="n">
        <v>1</v>
      </c>
      <c r="BQ119" s="0" t="s">
        <v>4980</v>
      </c>
      <c r="BR119" s="0" t="s">
        <v>4670</v>
      </c>
      <c r="BS119" s="0" t="s">
        <v>7413</v>
      </c>
      <c r="BT119" s="0" t="s">
        <v>7414</v>
      </c>
      <c r="BU119" s="0" t="s">
        <v>158</v>
      </c>
      <c r="BX119" s="0" t="s">
        <v>7415</v>
      </c>
      <c r="BY119" s="0" t="s">
        <v>7381</v>
      </c>
      <c r="CF119" s="0" t="s">
        <v>158</v>
      </c>
      <c r="CK119" s="0" t="s">
        <v>158</v>
      </c>
      <c r="CL119" s="0" t="n">
        <v>42</v>
      </c>
      <c r="CM119" s="0" t="n">
        <v>25</v>
      </c>
      <c r="CN119" s="0" t="n">
        <v>8</v>
      </c>
      <c r="CO119" s="0" t="n">
        <v>0</v>
      </c>
      <c r="CP119" s="0" t="n">
        <v>5</v>
      </c>
      <c r="CQ119" s="0" t="n">
        <v>3</v>
      </c>
      <c r="CR119" s="0" t="n">
        <v>3</v>
      </c>
      <c r="CS119" s="0" t="n">
        <f aca="false">IF(R119="Y",10,0)</f>
        <v>0</v>
      </c>
      <c r="CT119" s="0" t="n">
        <v>-2</v>
      </c>
      <c r="CV119" s="0" t="s">
        <v>4615</v>
      </c>
      <c r="CW119" s="0" t="s">
        <v>7416</v>
      </c>
      <c r="CX119" s="0" t="s">
        <v>7417</v>
      </c>
      <c r="CY119" s="0" t="s">
        <v>7418</v>
      </c>
      <c r="DA119" s="0" t="s">
        <v>6234</v>
      </c>
      <c r="DY119" s="0" t="str">
        <f aca="false">IF(ISNUMBER(MATCH(U119,{"queued","contacted","replied","call_booked","call_done","yes_in_principle","materials_sent"},0)),"Y","N")</f>
        <v>N</v>
      </c>
      <c r="DZ119" s="0" t="str">
        <f aca="false">IF(COUNTIFS($AN$2:$AN$1000,AN119,$DY$2:$DY$1000,"Y")+COUNTIFS($AN$2:$AN$1000,AN119,$T$2:$T$1000,"Y")&gt;0,"Y","N")</f>
        <v>N</v>
      </c>
      <c r="EA119" s="0" t="str">
        <f aca="false">IF(AND(U119="new",T119="N",AR119="Y",AQ119="",DZ119="N"),"Y","N")</f>
        <v>N</v>
      </c>
      <c r="EB119" s="0" t="str">
        <f aca="false">IF(EA119&lt;&gt;"Y","N",IF(COUNTIFS($AN$2:$AN$1000,AN119,$EA$2:$EA$1000,"Y",$J$2:$J$1000,"&gt;"&amp;J119)+COUNTIFS($AN$2:$AN$1000,AN119,$EA$2:$EA$1000,"Y",$J$2:$J$1000,J119,$ED$2:$ED$1000,"&lt;"&amp;ED119)=0,"Y","N"))</f>
        <v>N</v>
      </c>
      <c r="EC119" s="0" t="str">
        <f aca="false">IF(Y119="","N",IF(Y119&lt;=10,"Y","N"))</f>
        <v>N</v>
      </c>
      <c r="ED119" s="0" t="n">
        <f aca="false">ROW()-1</f>
        <v>118</v>
      </c>
    </row>
    <row r="120" customFormat="false" ht="15" hidden="false" customHeight="false" outlineLevel="0" collapsed="false">
      <c r="A120" s="0" t="s">
        <v>7419</v>
      </c>
      <c r="B120" s="0" t="s">
        <v>7420</v>
      </c>
      <c r="C120" s="0" t="s">
        <v>7421</v>
      </c>
      <c r="D120" s="0" t="s">
        <v>1078</v>
      </c>
      <c r="E120" s="0" t="s">
        <v>4625</v>
      </c>
      <c r="H120" s="5" t="s">
        <v>158</v>
      </c>
      <c r="I120" s="5" t="s">
        <v>159</v>
      </c>
      <c r="J120" s="0" t="n">
        <f aca="false">IF(AU120="pass",CM120+CN120+CO120+CP120+CQ120+CR120+CS120+CT120,0)</f>
        <v>42</v>
      </c>
      <c r="K120" s="0" t="s">
        <v>7422</v>
      </c>
      <c r="M120" s="0" t="s">
        <v>4580</v>
      </c>
      <c r="N120" s="0" t="s">
        <v>4581</v>
      </c>
      <c r="R120" s="5" t="s">
        <v>162</v>
      </c>
      <c r="S120" s="0" t="s">
        <v>163</v>
      </c>
      <c r="T120" s="5" t="s">
        <v>162</v>
      </c>
      <c r="U120" s="5" t="s">
        <v>561</v>
      </c>
      <c r="V120" s="0" t="s">
        <v>7423</v>
      </c>
      <c r="W120" s="0" t="s">
        <v>166</v>
      </c>
      <c r="X120" s="0" t="s">
        <v>4585</v>
      </c>
      <c r="Y120" s="0" t="n">
        <f aca="false">IF(EB120&lt;&gt;"Y","",COUNTIFS($EB$2:$EB$1000,"Y",$J$2:$J$1000,"&gt;"&amp;J120)+COUNTIFS($EB$2:$EB$1000,"Y",$J$2:$J$1000,J120,$ED$2:$ED$1000,"&lt;"&amp;ED120)+1)</f>
        <v>106</v>
      </c>
      <c r="Z120" s="0" t="n">
        <v>119</v>
      </c>
      <c r="AA120" s="0" t="s">
        <v>162</v>
      </c>
      <c r="AB120" s="0" t="s">
        <v>7424</v>
      </c>
      <c r="AC120" s="0" t="s">
        <v>4587</v>
      </c>
      <c r="AD120" s="0" t="s">
        <v>171</v>
      </c>
      <c r="AE120" s="0" t="s">
        <v>172</v>
      </c>
      <c r="AF120" s="0" t="s">
        <v>7425</v>
      </c>
      <c r="AG120" s="0" t="s">
        <v>166</v>
      </c>
      <c r="AH120" s="0" t="s">
        <v>7426</v>
      </c>
      <c r="AI120" s="0" t="s">
        <v>4633</v>
      </c>
      <c r="AJ120" s="0" t="s">
        <v>7427</v>
      </c>
      <c r="AL120" s="0" t="s">
        <v>168</v>
      </c>
      <c r="AM120" s="0" t="s">
        <v>7428</v>
      </c>
      <c r="AN120" s="0" t="s">
        <v>7419</v>
      </c>
      <c r="AO120" s="5" t="s">
        <v>162</v>
      </c>
      <c r="AR120" s="0" t="str">
        <f aca="false">IF(AND(AU120="pass",AO120&lt;&gt;"Y",C120&lt;&gt;""),"Y","N")</f>
        <v>Y</v>
      </c>
      <c r="AS120" s="0" t="str">
        <f aca="false">_xlfn.TEXTJOIN("; ",TRUE(),IF(AU120&lt;&gt;"pass","gated out",""),IF(AO120="Y","on hold: "&amp;AP120,""),IF(C120="","no contact named on an opened page",""))</f>
        <v/>
      </c>
      <c r="AU120" s="0" t="s">
        <v>181</v>
      </c>
      <c r="AW120" s="0" t="s">
        <v>182</v>
      </c>
      <c r="AX120" s="0" t="s">
        <v>282</v>
      </c>
      <c r="AY120" s="0" t="s">
        <v>7429</v>
      </c>
      <c r="AZ120" s="0" t="s">
        <v>5488</v>
      </c>
      <c r="BA120" s="0" t="s">
        <v>5329</v>
      </c>
      <c r="BB120" s="0" t="s">
        <v>163</v>
      </c>
      <c r="BD120" s="0" t="s">
        <v>168</v>
      </c>
      <c r="BE120" s="0" t="s">
        <v>7430</v>
      </c>
      <c r="BF120" s="0" t="s">
        <v>162</v>
      </c>
      <c r="BG120" s="0" t="s">
        <v>163</v>
      </c>
      <c r="BH120" s="0" t="s">
        <v>163</v>
      </c>
      <c r="BJ120" s="0" t="s">
        <v>163</v>
      </c>
      <c r="BK120" s="0" t="s">
        <v>162</v>
      </c>
      <c r="BL120" s="0" t="s">
        <v>162</v>
      </c>
      <c r="BN120" s="0" t="n">
        <v>0</v>
      </c>
      <c r="BO120" s="0" t="s">
        <v>168</v>
      </c>
      <c r="BP120" s="0" t="n">
        <v>2</v>
      </c>
      <c r="BQ120" s="0" t="s">
        <v>4781</v>
      </c>
      <c r="BS120" s="0" t="s">
        <v>4981</v>
      </c>
      <c r="BT120" s="0" t="s">
        <v>7431</v>
      </c>
      <c r="BU120" s="0" t="s">
        <v>158</v>
      </c>
      <c r="BX120" s="0" t="s">
        <v>7432</v>
      </c>
      <c r="CA120" s="0" t="s">
        <v>7433</v>
      </c>
      <c r="CB120" s="0" t="s">
        <v>7434</v>
      </c>
      <c r="CC120" s="0" t="s">
        <v>7435</v>
      </c>
      <c r="CD120" s="0" t="s">
        <v>4625</v>
      </c>
      <c r="CE120" s="0" t="s">
        <v>6723</v>
      </c>
      <c r="CF120" s="0" t="s">
        <v>171</v>
      </c>
      <c r="CK120" s="0" t="s">
        <v>158</v>
      </c>
      <c r="CL120" s="0" t="n">
        <v>42</v>
      </c>
      <c r="CM120" s="0" t="n">
        <v>25</v>
      </c>
      <c r="CN120" s="0" t="n">
        <v>3</v>
      </c>
      <c r="CO120" s="0" t="n">
        <v>0</v>
      </c>
      <c r="CP120" s="0" t="n">
        <v>5</v>
      </c>
      <c r="CQ120" s="0" t="n">
        <v>5</v>
      </c>
      <c r="CR120" s="0" t="n">
        <v>6</v>
      </c>
      <c r="CS120" s="0" t="n">
        <f aca="false">IF(R120="Y",10,0)</f>
        <v>0</v>
      </c>
      <c r="CT120" s="0" t="n">
        <v>-2</v>
      </c>
      <c r="CU120" s="0" t="s">
        <v>163</v>
      </c>
      <c r="CV120" s="0" t="s">
        <v>4841</v>
      </c>
      <c r="CW120" s="0" t="s">
        <v>7436</v>
      </c>
      <c r="CX120" s="0" t="s">
        <v>7437</v>
      </c>
      <c r="CY120" s="0" t="s">
        <v>7438</v>
      </c>
      <c r="CZ120" s="0" t="s">
        <v>7425</v>
      </c>
      <c r="DA120" s="0" t="s">
        <v>6234</v>
      </c>
      <c r="DC120" s="0" t="s">
        <v>172</v>
      </c>
      <c r="DY120" s="0" t="str">
        <f aca="false">IF(ISNUMBER(MATCH(U120,{"queued","contacted","replied","call_booked","call_done","yes_in_principle","materials_sent"},0)),"Y","N")</f>
        <v>N</v>
      </c>
      <c r="DZ120" s="0" t="str">
        <f aca="false">IF(COUNTIFS($AN$2:$AN$1000,AN120,$DY$2:$DY$1000,"Y")+COUNTIFS($AN$2:$AN$1000,AN120,$T$2:$T$1000,"Y")&gt;0,"Y","N")</f>
        <v>N</v>
      </c>
      <c r="EA120" s="0" t="str">
        <f aca="false">IF(AND(U120="new",T120="N",AR120="Y",AQ120="",DZ120="N"),"Y","N")</f>
        <v>Y</v>
      </c>
      <c r="EB120" s="0" t="str">
        <f aca="false">IF(EA120&lt;&gt;"Y","N",IF(COUNTIFS($AN$2:$AN$1000,AN120,$EA$2:$EA$1000,"Y",$J$2:$J$1000,"&gt;"&amp;J120)+COUNTIFS($AN$2:$AN$1000,AN120,$EA$2:$EA$1000,"Y",$J$2:$J$1000,J120,$ED$2:$ED$1000,"&lt;"&amp;ED120)=0,"Y","N"))</f>
        <v>Y</v>
      </c>
      <c r="EC120" s="0" t="str">
        <f aca="false">IF(Y120="","N",IF(Y120&lt;=10,"Y","N"))</f>
        <v>N</v>
      </c>
      <c r="ED120" s="0" t="n">
        <f aca="false">ROW()-1</f>
        <v>119</v>
      </c>
    </row>
    <row r="121" customFormat="false" ht="15" hidden="false" customHeight="false" outlineLevel="0" collapsed="false">
      <c r="A121" s="0" t="s">
        <v>7439</v>
      </c>
      <c r="B121" s="0" t="s">
        <v>7440</v>
      </c>
      <c r="H121" s="5" t="s">
        <v>158</v>
      </c>
      <c r="I121" s="5"/>
      <c r="J121" s="0" t="n">
        <f aca="false">IF(AU121="pass",CM121+CN121+CO121+CP121+CQ121+CR121+CS121+CT121,0)</f>
        <v>42</v>
      </c>
      <c r="K121" s="0" t="s">
        <v>7441</v>
      </c>
      <c r="M121" s="0" t="s">
        <v>4580</v>
      </c>
      <c r="N121" s="0" t="s">
        <v>4581</v>
      </c>
      <c r="R121" s="5" t="s">
        <v>162</v>
      </c>
      <c r="S121" s="0" t="s">
        <v>163</v>
      </c>
      <c r="T121" s="5" t="s">
        <v>162</v>
      </c>
      <c r="U121" s="5" t="s">
        <v>561</v>
      </c>
      <c r="V121" s="0" t="s">
        <v>7442</v>
      </c>
      <c r="W121" s="0" t="s">
        <v>166</v>
      </c>
      <c r="X121" s="0" t="s">
        <v>4585</v>
      </c>
      <c r="Y121" s="0" t="str">
        <f aca="false">IF(EB121&lt;&gt;"Y","",COUNTIFS($EB$2:$EB$1000,"Y",$J$2:$J$1000,"&gt;"&amp;J121)+COUNTIFS($EB$2:$EB$1000,"Y",$J$2:$J$1000,J121,$ED$2:$ED$1000,"&lt;"&amp;ED121)+1)</f>
        <v/>
      </c>
      <c r="Z121" s="0" t="n">
        <v>120</v>
      </c>
      <c r="AA121" s="0" t="s">
        <v>162</v>
      </c>
      <c r="AB121" s="0" t="s">
        <v>7443</v>
      </c>
      <c r="AC121" s="0" t="s">
        <v>4587</v>
      </c>
      <c r="AD121" s="0" t="s">
        <v>598</v>
      </c>
      <c r="AE121" s="0" t="s">
        <v>163</v>
      </c>
      <c r="AG121" s="0" t="s">
        <v>166</v>
      </c>
      <c r="AH121" s="0" t="s">
        <v>7444</v>
      </c>
      <c r="AI121" s="0" t="s">
        <v>5461</v>
      </c>
      <c r="AJ121" s="0" t="s">
        <v>7445</v>
      </c>
      <c r="AL121" s="0" t="s">
        <v>168</v>
      </c>
      <c r="AM121" s="0" t="s">
        <v>7446</v>
      </c>
      <c r="AN121" s="0" t="s">
        <v>7439</v>
      </c>
      <c r="AO121" s="5" t="s">
        <v>162</v>
      </c>
      <c r="AR121" s="0" t="str">
        <f aca="false">IF(AND(AU121="pass",AO121&lt;&gt;"Y",C121&lt;&gt;""),"Y","N")</f>
        <v>N</v>
      </c>
      <c r="AS121" s="0" t="str">
        <f aca="false">_xlfn.TEXTJOIN("; ",TRUE(),IF(AU121&lt;&gt;"pass","gated out",""),IF(AO121="Y","on hold: "&amp;AP121,""),IF(C121="","no contact named on an opened page",""))</f>
        <v>no contact named on an opened page</v>
      </c>
      <c r="AU121" s="0" t="s">
        <v>181</v>
      </c>
      <c r="AW121" s="0" t="s">
        <v>182</v>
      </c>
      <c r="AX121" s="0" t="s">
        <v>282</v>
      </c>
      <c r="AY121" s="0" t="s">
        <v>7447</v>
      </c>
      <c r="AZ121" s="0" t="s">
        <v>7448</v>
      </c>
      <c r="BA121" s="0" t="s">
        <v>5329</v>
      </c>
      <c r="BB121" s="0" t="s">
        <v>163</v>
      </c>
      <c r="BD121" s="0" t="s">
        <v>168</v>
      </c>
      <c r="BE121" s="0" t="s">
        <v>5464</v>
      </c>
      <c r="BF121" s="0" t="s">
        <v>168</v>
      </c>
      <c r="BG121" s="0" t="s">
        <v>163</v>
      </c>
      <c r="BH121" s="0" t="s">
        <v>163</v>
      </c>
      <c r="BJ121" s="0" t="s">
        <v>163</v>
      </c>
      <c r="BK121" s="0" t="s">
        <v>162</v>
      </c>
      <c r="BL121" s="0" t="s">
        <v>162</v>
      </c>
      <c r="BN121" s="0" t="n">
        <v>0</v>
      </c>
      <c r="BO121" s="0" t="s">
        <v>168</v>
      </c>
      <c r="BP121" s="0" t="n">
        <v>2</v>
      </c>
      <c r="BQ121" s="0" t="s">
        <v>4781</v>
      </c>
      <c r="BS121" s="0" t="s">
        <v>4981</v>
      </c>
      <c r="BT121" s="0" t="s">
        <v>7449</v>
      </c>
      <c r="BU121" s="0" t="s">
        <v>158</v>
      </c>
      <c r="BX121" s="0" t="s">
        <v>7450</v>
      </c>
      <c r="BY121" s="0" t="s">
        <v>7451</v>
      </c>
      <c r="CF121" s="0" t="s">
        <v>158</v>
      </c>
      <c r="CK121" s="0" t="s">
        <v>158</v>
      </c>
      <c r="CL121" s="0" t="n">
        <v>42</v>
      </c>
      <c r="CM121" s="0" t="n">
        <v>25</v>
      </c>
      <c r="CN121" s="0" t="n">
        <v>3</v>
      </c>
      <c r="CO121" s="0" t="n">
        <v>0</v>
      </c>
      <c r="CP121" s="0" t="n">
        <v>5</v>
      </c>
      <c r="CQ121" s="0" t="n">
        <v>8</v>
      </c>
      <c r="CR121" s="0" t="n">
        <v>3</v>
      </c>
      <c r="CS121" s="0" t="n">
        <f aca="false">IF(R121="Y",10,0)</f>
        <v>0</v>
      </c>
      <c r="CT121" s="0" t="n">
        <v>-2</v>
      </c>
      <c r="CU121" s="0" t="s">
        <v>163</v>
      </c>
      <c r="CV121" s="0" t="s">
        <v>4841</v>
      </c>
      <c r="CW121" s="0" t="s">
        <v>7452</v>
      </c>
      <c r="CX121" s="0" t="s">
        <v>7453</v>
      </c>
      <c r="CY121" s="0" t="s">
        <v>7454</v>
      </c>
      <c r="DA121" s="0" t="s">
        <v>6234</v>
      </c>
      <c r="DY121" s="0" t="str">
        <f aca="false">IF(ISNUMBER(MATCH(U121,{"queued","contacted","replied","call_booked","call_done","yes_in_principle","materials_sent"},0)),"Y","N")</f>
        <v>N</v>
      </c>
      <c r="DZ121" s="0" t="str">
        <f aca="false">IF(COUNTIFS($AN$2:$AN$1000,AN121,$DY$2:$DY$1000,"Y")+COUNTIFS($AN$2:$AN$1000,AN121,$T$2:$T$1000,"Y")&gt;0,"Y","N")</f>
        <v>N</v>
      </c>
      <c r="EA121" s="0" t="str">
        <f aca="false">IF(AND(U121="new",T121="N",AR121="Y",AQ121="",DZ121="N"),"Y","N")</f>
        <v>N</v>
      </c>
      <c r="EB121" s="0" t="str">
        <f aca="false">IF(EA121&lt;&gt;"Y","N",IF(COUNTIFS($AN$2:$AN$1000,AN121,$EA$2:$EA$1000,"Y",$J$2:$J$1000,"&gt;"&amp;J121)+COUNTIFS($AN$2:$AN$1000,AN121,$EA$2:$EA$1000,"Y",$J$2:$J$1000,J121,$ED$2:$ED$1000,"&lt;"&amp;ED121)=0,"Y","N"))</f>
        <v>N</v>
      </c>
      <c r="EC121" s="0" t="str">
        <f aca="false">IF(Y121="","N",IF(Y121&lt;=10,"Y","N"))</f>
        <v>N</v>
      </c>
      <c r="ED121" s="0" t="n">
        <f aca="false">ROW()-1</f>
        <v>120</v>
      </c>
    </row>
    <row r="122" customFormat="false" ht="15" hidden="false" customHeight="false" outlineLevel="0" collapsed="false">
      <c r="A122" s="0" t="s">
        <v>7455</v>
      </c>
      <c r="B122" s="0" t="s">
        <v>7456</v>
      </c>
      <c r="H122" s="5" t="s">
        <v>158</v>
      </c>
      <c r="I122" s="5"/>
      <c r="J122" s="0" t="n">
        <f aca="false">IF(AU122="pass",CM122+CN122+CO122+CP122+CQ122+CR122+CS122+CT122,0)</f>
        <v>42</v>
      </c>
      <c r="K122" s="0" t="s">
        <v>7457</v>
      </c>
      <c r="M122" s="0" t="s">
        <v>5291</v>
      </c>
      <c r="N122" s="0" t="s">
        <v>598</v>
      </c>
      <c r="O122" s="0" t="s">
        <v>7458</v>
      </c>
      <c r="P122" s="0" t="s">
        <v>5598</v>
      </c>
      <c r="Q122" s="0" t="s">
        <v>2613</v>
      </c>
      <c r="R122" s="5" t="s">
        <v>162</v>
      </c>
      <c r="S122" s="0" t="s">
        <v>163</v>
      </c>
      <c r="T122" s="5" t="s">
        <v>162</v>
      </c>
      <c r="U122" s="5" t="s">
        <v>561</v>
      </c>
      <c r="V122" s="0" t="s">
        <v>5598</v>
      </c>
      <c r="W122" s="0" t="s">
        <v>174</v>
      </c>
      <c r="X122" s="0" t="s">
        <v>4585</v>
      </c>
      <c r="Y122" s="0" t="str">
        <f aca="false">IF(EB122&lt;&gt;"Y","",COUNTIFS($EB$2:$EB$1000,"Y",$J$2:$J$1000,"&gt;"&amp;J122)+COUNTIFS($EB$2:$EB$1000,"Y",$J$2:$J$1000,J122,$ED$2:$ED$1000,"&lt;"&amp;ED122)+1)</f>
        <v/>
      </c>
      <c r="Z122" s="0" t="n">
        <v>121</v>
      </c>
      <c r="AA122" s="0" t="s">
        <v>162</v>
      </c>
      <c r="AB122" s="0" t="s">
        <v>6315</v>
      </c>
      <c r="AD122" s="0" t="s">
        <v>158</v>
      </c>
      <c r="AH122" s="0" t="s">
        <v>7459</v>
      </c>
      <c r="AI122" s="0" t="s">
        <v>4664</v>
      </c>
      <c r="AJ122" s="0" t="s">
        <v>7460</v>
      </c>
      <c r="AK122" s="0" t="s">
        <v>7461</v>
      </c>
      <c r="AL122" s="0" t="s">
        <v>168</v>
      </c>
      <c r="AM122" s="0" t="s">
        <v>7462</v>
      </c>
      <c r="AN122" s="0" t="s">
        <v>7455</v>
      </c>
      <c r="AO122" s="5" t="s">
        <v>162</v>
      </c>
      <c r="AR122" s="0" t="str">
        <f aca="false">IF(AND(AU122="pass",AO122&lt;&gt;"Y",C122&lt;&gt;""),"Y","N")</f>
        <v>N</v>
      </c>
      <c r="AS122" s="0" t="str">
        <f aca="false">_xlfn.TEXTJOIN("; ",TRUE(),IF(AU122&lt;&gt;"pass","gated out",""),IF(AO122="Y","on hold: "&amp;AP122,""),IF(C122="","no contact named on an opened page",""))</f>
        <v>no contact named on an opened page</v>
      </c>
      <c r="AU122" s="0" t="s">
        <v>181</v>
      </c>
      <c r="AW122" s="0" t="s">
        <v>182</v>
      </c>
      <c r="AX122" s="0" t="s">
        <v>282</v>
      </c>
      <c r="AY122" s="0" t="s">
        <v>7461</v>
      </c>
      <c r="AZ122" s="0" t="s">
        <v>6032</v>
      </c>
      <c r="BA122" s="0" t="s">
        <v>5191</v>
      </c>
      <c r="BB122" s="0" t="s">
        <v>163</v>
      </c>
      <c r="BD122" s="0" t="s">
        <v>168</v>
      </c>
      <c r="BE122" s="0" t="s">
        <v>7463</v>
      </c>
      <c r="BF122" s="0" t="s">
        <v>168</v>
      </c>
      <c r="BG122" s="0" t="s">
        <v>168</v>
      </c>
      <c r="BH122" s="0" t="s">
        <v>163</v>
      </c>
      <c r="BJ122" s="0" t="s">
        <v>5143</v>
      </c>
      <c r="BK122" s="0" t="s">
        <v>162</v>
      </c>
      <c r="BL122" s="0" t="s">
        <v>162</v>
      </c>
      <c r="BO122" s="0" t="s">
        <v>162</v>
      </c>
      <c r="BP122" s="0" t="n">
        <v>0</v>
      </c>
      <c r="BS122" s="0" t="s">
        <v>163</v>
      </c>
      <c r="BU122" s="0" t="s">
        <v>4604</v>
      </c>
      <c r="BV122" s="0" t="n">
        <v>5</v>
      </c>
      <c r="CF122" s="0" t="s">
        <v>158</v>
      </c>
      <c r="CK122" s="0" t="s">
        <v>158</v>
      </c>
      <c r="CL122" s="0" t="n">
        <v>42</v>
      </c>
      <c r="CM122" s="0" t="n">
        <v>6</v>
      </c>
      <c r="CN122" s="0" t="n">
        <v>8</v>
      </c>
      <c r="CO122" s="0" t="n">
        <v>15</v>
      </c>
      <c r="CP122" s="0" t="n">
        <v>5</v>
      </c>
      <c r="CQ122" s="0" t="n">
        <v>10</v>
      </c>
      <c r="CR122" s="0" t="n">
        <v>0</v>
      </c>
      <c r="CS122" s="0" t="n">
        <f aca="false">IF(R122="Y",10,0)</f>
        <v>0</v>
      </c>
      <c r="CT122" s="0" t="n">
        <v>-2</v>
      </c>
      <c r="CU122" s="0" t="s">
        <v>7464</v>
      </c>
      <c r="CV122" s="0" t="s">
        <v>5150</v>
      </c>
      <c r="CW122" s="0" t="s">
        <v>7465</v>
      </c>
      <c r="CX122" s="0" t="s">
        <v>7466</v>
      </c>
      <c r="DA122" s="0" t="s">
        <v>6234</v>
      </c>
      <c r="DY122" s="0" t="str">
        <f aca="false">IF(ISNUMBER(MATCH(U122,{"queued","contacted","replied","call_booked","call_done","yes_in_principle","materials_sent"},0)),"Y","N")</f>
        <v>N</v>
      </c>
      <c r="DZ122" s="0" t="str">
        <f aca="false">IF(COUNTIFS($AN$2:$AN$1000,AN122,$DY$2:$DY$1000,"Y")+COUNTIFS($AN$2:$AN$1000,AN122,$T$2:$T$1000,"Y")&gt;0,"Y","N")</f>
        <v>N</v>
      </c>
      <c r="EA122" s="0" t="str">
        <f aca="false">IF(AND(U122="new",T122="N",AR122="Y",AQ122="",DZ122="N"),"Y","N")</f>
        <v>N</v>
      </c>
      <c r="EB122" s="0" t="str">
        <f aca="false">IF(EA122&lt;&gt;"Y","N",IF(COUNTIFS($AN$2:$AN$1000,AN122,$EA$2:$EA$1000,"Y",$J$2:$J$1000,"&gt;"&amp;J122)+COUNTIFS($AN$2:$AN$1000,AN122,$EA$2:$EA$1000,"Y",$J$2:$J$1000,J122,$ED$2:$ED$1000,"&lt;"&amp;ED122)=0,"Y","N"))</f>
        <v>N</v>
      </c>
      <c r="EC122" s="0" t="str">
        <f aca="false">IF(Y122="","N",IF(Y122&lt;=10,"Y","N"))</f>
        <v>N</v>
      </c>
      <c r="ED122" s="0" t="n">
        <f aca="false">ROW()-1</f>
        <v>121</v>
      </c>
    </row>
    <row r="123" customFormat="false" ht="15" hidden="false" customHeight="false" outlineLevel="0" collapsed="false">
      <c r="A123" s="0" t="s">
        <v>7467</v>
      </c>
      <c r="B123" s="0" t="s">
        <v>7468</v>
      </c>
      <c r="F123" s="0" t="s">
        <v>7469</v>
      </c>
      <c r="H123" s="5" t="s">
        <v>158</v>
      </c>
      <c r="I123" s="5"/>
      <c r="J123" s="0" t="n">
        <f aca="false">IF(AU123="pass",CM123+CN123+CO123+CP123+CQ123+CR123+CS123+CT123,0)</f>
        <v>42</v>
      </c>
      <c r="K123" s="0" t="s">
        <v>7470</v>
      </c>
      <c r="M123" s="0" t="s">
        <v>5291</v>
      </c>
      <c r="N123" s="0" t="s">
        <v>598</v>
      </c>
      <c r="O123" s="0" t="s">
        <v>7471</v>
      </c>
      <c r="P123" s="0" t="s">
        <v>6706</v>
      </c>
      <c r="Q123" s="0" t="s">
        <v>6707</v>
      </c>
      <c r="R123" s="5" t="s">
        <v>162</v>
      </c>
      <c r="S123" s="0" t="s">
        <v>168</v>
      </c>
      <c r="T123" s="5" t="s">
        <v>162</v>
      </c>
      <c r="U123" s="5" t="s">
        <v>561</v>
      </c>
      <c r="V123" s="0" t="s">
        <v>7472</v>
      </c>
      <c r="W123" s="0" t="s">
        <v>166</v>
      </c>
      <c r="X123" s="0" t="s">
        <v>4585</v>
      </c>
      <c r="Y123" s="0" t="str">
        <f aca="false">IF(EB123&lt;&gt;"Y","",COUNTIFS($EB$2:$EB$1000,"Y",$J$2:$J$1000,"&gt;"&amp;J123)+COUNTIFS($EB$2:$EB$1000,"Y",$J$2:$J$1000,J123,$ED$2:$ED$1000,"&lt;"&amp;ED123)+1)</f>
        <v/>
      </c>
      <c r="Z123" s="0" t="n">
        <v>122</v>
      </c>
      <c r="AA123" s="0" t="s">
        <v>162</v>
      </c>
      <c r="AB123" s="0" t="s">
        <v>7473</v>
      </c>
      <c r="AC123" s="0" t="s">
        <v>4587</v>
      </c>
      <c r="AD123" s="0" t="s">
        <v>598</v>
      </c>
      <c r="AE123" s="0" t="s">
        <v>163</v>
      </c>
      <c r="AG123" s="0" t="s">
        <v>166</v>
      </c>
      <c r="AH123" s="0" t="s">
        <v>7474</v>
      </c>
      <c r="AI123" s="0" t="s">
        <v>5763</v>
      </c>
      <c r="AJ123" s="0" t="s">
        <v>7475</v>
      </c>
      <c r="AK123" s="0" t="s">
        <v>7476</v>
      </c>
      <c r="AL123" s="0" t="s">
        <v>168</v>
      </c>
      <c r="AM123" s="0" t="s">
        <v>7477</v>
      </c>
      <c r="AN123" s="0" t="s">
        <v>7467</v>
      </c>
      <c r="AO123" s="5" t="s">
        <v>162</v>
      </c>
      <c r="AR123" s="0" t="str">
        <f aca="false">IF(AND(AU123="pass",AO123&lt;&gt;"Y",C123&lt;&gt;""),"Y","N")</f>
        <v>N</v>
      </c>
      <c r="AS123" s="0" t="str">
        <f aca="false">_xlfn.TEXTJOIN("; ",TRUE(),IF(AU123&lt;&gt;"pass","gated out",""),IF(AO123="Y","on hold: "&amp;AP123,""),IF(C123="","no contact named on an opened page",""))</f>
        <v>no contact named on an opened page</v>
      </c>
      <c r="AU123" s="0" t="s">
        <v>181</v>
      </c>
      <c r="AW123" s="0" t="s">
        <v>182</v>
      </c>
      <c r="AX123" s="0" t="s">
        <v>6127</v>
      </c>
      <c r="AY123" s="0" t="s">
        <v>7476</v>
      </c>
      <c r="AZ123" s="0" t="s">
        <v>6476</v>
      </c>
      <c r="BA123" s="0" t="s">
        <v>5191</v>
      </c>
      <c r="BB123" s="0" t="s">
        <v>7478</v>
      </c>
      <c r="BC123" s="0" t="s">
        <v>7472</v>
      </c>
      <c r="BD123" s="0" t="s">
        <v>168</v>
      </c>
      <c r="BE123" s="0" t="s">
        <v>7479</v>
      </c>
      <c r="BF123" s="0" t="s">
        <v>168</v>
      </c>
      <c r="BG123" s="0" t="s">
        <v>168</v>
      </c>
      <c r="BH123" s="0" t="s">
        <v>163</v>
      </c>
      <c r="BJ123" s="0" t="s">
        <v>7480</v>
      </c>
      <c r="BK123" s="0" t="s">
        <v>162</v>
      </c>
      <c r="BL123" s="0" t="s">
        <v>162</v>
      </c>
      <c r="BO123" s="0" t="s">
        <v>162</v>
      </c>
      <c r="BP123" s="0" t="n">
        <v>0</v>
      </c>
      <c r="BS123" s="0" t="s">
        <v>7481</v>
      </c>
      <c r="BU123" s="0" t="s">
        <v>4604</v>
      </c>
      <c r="BV123" s="0" t="n">
        <v>61</v>
      </c>
      <c r="BW123" s="0" t="s">
        <v>5732</v>
      </c>
      <c r="BX123" s="0" t="s">
        <v>7482</v>
      </c>
      <c r="BZ123" s="0" t="s">
        <v>7483</v>
      </c>
      <c r="CF123" s="0" t="s">
        <v>158</v>
      </c>
      <c r="CK123" s="0" t="s">
        <v>158</v>
      </c>
      <c r="CL123" s="0" t="n">
        <v>42</v>
      </c>
      <c r="CM123" s="0" t="n">
        <v>6</v>
      </c>
      <c r="CN123" s="0" t="n">
        <v>8</v>
      </c>
      <c r="CO123" s="0" t="n">
        <v>15</v>
      </c>
      <c r="CP123" s="0" t="n">
        <v>5</v>
      </c>
      <c r="CQ123" s="0" t="n">
        <v>10</v>
      </c>
      <c r="CR123" s="0" t="n">
        <v>3</v>
      </c>
      <c r="CS123" s="0" t="n">
        <f aca="false">IF(R123="Y",10,0)</f>
        <v>0</v>
      </c>
      <c r="CT123" s="0" t="n">
        <v>-5</v>
      </c>
      <c r="CV123" s="0" t="s">
        <v>4615</v>
      </c>
      <c r="CW123" s="0" t="s">
        <v>7484</v>
      </c>
      <c r="CX123" s="0" t="s">
        <v>7485</v>
      </c>
      <c r="CY123" s="0" t="s">
        <v>7486</v>
      </c>
      <c r="DA123" s="0" t="s">
        <v>6234</v>
      </c>
      <c r="DY123" s="0" t="str">
        <f aca="false">IF(ISNUMBER(MATCH(U123,{"queued","contacted","replied","call_booked","call_done","yes_in_principle","materials_sent"},0)),"Y","N")</f>
        <v>N</v>
      </c>
      <c r="DZ123" s="0" t="str">
        <f aca="false">IF(COUNTIFS($AN$2:$AN$1000,AN123,$DY$2:$DY$1000,"Y")+COUNTIFS($AN$2:$AN$1000,AN123,$T$2:$T$1000,"Y")&gt;0,"Y","N")</f>
        <v>N</v>
      </c>
      <c r="EA123" s="0" t="str">
        <f aca="false">IF(AND(U123="new",T123="N",AR123="Y",AQ123="",DZ123="N"),"Y","N")</f>
        <v>N</v>
      </c>
      <c r="EB123" s="0" t="str">
        <f aca="false">IF(EA123&lt;&gt;"Y","N",IF(COUNTIFS($AN$2:$AN$1000,AN123,$EA$2:$EA$1000,"Y",$J$2:$J$1000,"&gt;"&amp;J123)+COUNTIFS($AN$2:$AN$1000,AN123,$EA$2:$EA$1000,"Y",$J$2:$J$1000,J123,$ED$2:$ED$1000,"&lt;"&amp;ED123)=0,"Y","N"))</f>
        <v>N</v>
      </c>
      <c r="EC123" s="0" t="str">
        <f aca="false">IF(Y123="","N",IF(Y123&lt;=10,"Y","N"))</f>
        <v>N</v>
      </c>
      <c r="ED123" s="0" t="n">
        <f aca="false">ROW()-1</f>
        <v>122</v>
      </c>
    </row>
    <row r="124" customFormat="false" ht="15" hidden="false" customHeight="false" outlineLevel="0" collapsed="false">
      <c r="A124" s="0" t="s">
        <v>7487</v>
      </c>
      <c r="B124" s="0" t="s">
        <v>7488</v>
      </c>
      <c r="H124" s="5" t="s">
        <v>158</v>
      </c>
      <c r="I124" s="5"/>
      <c r="J124" s="0" t="n">
        <f aca="false">IF(AU124="pass",CM124+CN124+CO124+CP124+CQ124+CR124+CS124+CT124,0)</f>
        <v>42</v>
      </c>
      <c r="K124" s="0" t="s">
        <v>7489</v>
      </c>
      <c r="M124" s="0" t="s">
        <v>5291</v>
      </c>
      <c r="N124" s="0" t="s">
        <v>598</v>
      </c>
      <c r="O124" s="0" t="s">
        <v>7490</v>
      </c>
      <c r="P124" s="0" t="s">
        <v>7491</v>
      </c>
      <c r="Q124" s="0" t="s">
        <v>884</v>
      </c>
      <c r="R124" s="5" t="s">
        <v>162</v>
      </c>
      <c r="S124" s="0" t="s">
        <v>163</v>
      </c>
      <c r="T124" s="5" t="s">
        <v>162</v>
      </c>
      <c r="U124" s="5" t="s">
        <v>561</v>
      </c>
      <c r="V124" s="0" t="s">
        <v>7492</v>
      </c>
      <c r="W124" s="0" t="s">
        <v>166</v>
      </c>
      <c r="X124" s="0" t="s">
        <v>4585</v>
      </c>
      <c r="Y124" s="0" t="str">
        <f aca="false">IF(EB124&lt;&gt;"Y","",COUNTIFS($EB$2:$EB$1000,"Y",$J$2:$J$1000,"&gt;"&amp;J124)+COUNTIFS($EB$2:$EB$1000,"Y",$J$2:$J$1000,J124,$ED$2:$ED$1000,"&lt;"&amp;ED124)+1)</f>
        <v/>
      </c>
      <c r="Z124" s="0" t="n">
        <v>123</v>
      </c>
      <c r="AA124" s="0" t="s">
        <v>162</v>
      </c>
      <c r="AB124" s="0" t="s">
        <v>6315</v>
      </c>
      <c r="AD124" s="0" t="s">
        <v>158</v>
      </c>
      <c r="AH124" s="0" t="s">
        <v>7493</v>
      </c>
      <c r="AI124" s="0" t="s">
        <v>4722</v>
      </c>
      <c r="AJ124" s="0" t="s">
        <v>7494</v>
      </c>
      <c r="AK124" s="0" t="s">
        <v>7495</v>
      </c>
      <c r="AL124" s="0" t="s">
        <v>168</v>
      </c>
      <c r="AM124" s="0" t="s">
        <v>7496</v>
      </c>
      <c r="AN124" s="0" t="s">
        <v>7487</v>
      </c>
      <c r="AO124" s="5" t="s">
        <v>162</v>
      </c>
      <c r="AR124" s="0" t="str">
        <f aca="false">IF(AND(AU124="pass",AO124&lt;&gt;"Y",C124&lt;&gt;""),"Y","N")</f>
        <v>N</v>
      </c>
      <c r="AS124" s="0" t="str">
        <f aca="false">_xlfn.TEXTJOIN("; ",TRUE(),IF(AU124&lt;&gt;"pass","gated out",""),IF(AO124="Y","on hold: "&amp;AP124,""),IF(C124="","no contact named on an opened page",""))</f>
        <v>no contact named on an opened page</v>
      </c>
      <c r="AU124" s="0" t="s">
        <v>181</v>
      </c>
      <c r="AW124" s="0" t="s">
        <v>182</v>
      </c>
      <c r="AX124" s="0" t="s">
        <v>282</v>
      </c>
      <c r="AY124" s="0" t="s">
        <v>7495</v>
      </c>
      <c r="AZ124" s="0" t="s">
        <v>4595</v>
      </c>
      <c r="BA124" s="0" t="s">
        <v>4596</v>
      </c>
      <c r="BB124" s="0" t="s">
        <v>163</v>
      </c>
      <c r="BD124" s="0" t="s">
        <v>163</v>
      </c>
      <c r="BE124" s="0" t="s">
        <v>7497</v>
      </c>
      <c r="BF124" s="0" t="s">
        <v>163</v>
      </c>
      <c r="BG124" s="0" t="s">
        <v>168</v>
      </c>
      <c r="BH124" s="0" t="s">
        <v>163</v>
      </c>
      <c r="BJ124" s="0" t="s">
        <v>163</v>
      </c>
      <c r="BK124" s="0" t="s">
        <v>162</v>
      </c>
      <c r="BL124" s="0" t="s">
        <v>162</v>
      </c>
      <c r="BO124" s="0" t="s">
        <v>162</v>
      </c>
      <c r="BP124" s="0" t="n">
        <v>0</v>
      </c>
      <c r="BT124" s="0" t="s">
        <v>7498</v>
      </c>
      <c r="BU124" s="0" t="s">
        <v>4694</v>
      </c>
      <c r="BV124" s="0" t="n">
        <v>45</v>
      </c>
      <c r="CF124" s="0" t="s">
        <v>158</v>
      </c>
      <c r="CK124" s="0" t="s">
        <v>158</v>
      </c>
      <c r="CL124" s="0" t="n">
        <v>42</v>
      </c>
      <c r="CM124" s="0" t="n">
        <v>6</v>
      </c>
      <c r="CN124" s="0" t="n">
        <v>20</v>
      </c>
      <c r="CO124" s="0" t="n">
        <v>8</v>
      </c>
      <c r="CP124" s="0" t="n">
        <v>5</v>
      </c>
      <c r="CQ124" s="0" t="n">
        <v>5</v>
      </c>
      <c r="CR124" s="0" t="n">
        <v>0</v>
      </c>
      <c r="CS124" s="0" t="n">
        <f aca="false">IF(R124="Y",10,0)</f>
        <v>0</v>
      </c>
      <c r="CT124" s="0" t="n">
        <v>-2</v>
      </c>
      <c r="CU124" s="0" t="s">
        <v>7499</v>
      </c>
      <c r="CV124" s="0" t="s">
        <v>4703</v>
      </c>
      <c r="CW124" s="0" t="s">
        <v>7500</v>
      </c>
      <c r="CX124" s="0" t="s">
        <v>7501</v>
      </c>
      <c r="DA124" s="0" t="s">
        <v>6234</v>
      </c>
      <c r="DY124" s="0" t="str">
        <f aca="false">IF(ISNUMBER(MATCH(U124,{"queued","contacted","replied","call_booked","call_done","yes_in_principle","materials_sent"},0)),"Y","N")</f>
        <v>N</v>
      </c>
      <c r="DZ124" s="0" t="str">
        <f aca="false">IF(COUNTIFS($AN$2:$AN$1000,AN124,$DY$2:$DY$1000,"Y")+COUNTIFS($AN$2:$AN$1000,AN124,$T$2:$T$1000,"Y")&gt;0,"Y","N")</f>
        <v>N</v>
      </c>
      <c r="EA124" s="0" t="str">
        <f aca="false">IF(AND(U124="new",T124="N",AR124="Y",AQ124="",DZ124="N"),"Y","N")</f>
        <v>N</v>
      </c>
      <c r="EB124" s="0" t="str">
        <f aca="false">IF(EA124&lt;&gt;"Y","N",IF(COUNTIFS($AN$2:$AN$1000,AN124,$EA$2:$EA$1000,"Y",$J$2:$J$1000,"&gt;"&amp;J124)+COUNTIFS($AN$2:$AN$1000,AN124,$EA$2:$EA$1000,"Y",$J$2:$J$1000,J124,$ED$2:$ED$1000,"&lt;"&amp;ED124)=0,"Y","N"))</f>
        <v>N</v>
      </c>
      <c r="EC124" s="0" t="str">
        <f aca="false">IF(Y124="","N",IF(Y124&lt;=10,"Y","N"))</f>
        <v>N</v>
      </c>
      <c r="ED124" s="0" t="n">
        <f aca="false">ROW()-1</f>
        <v>123</v>
      </c>
    </row>
    <row r="125" customFormat="false" ht="15" hidden="false" customHeight="false" outlineLevel="0" collapsed="false">
      <c r="A125" s="0" t="s">
        <v>7502</v>
      </c>
      <c r="B125" s="0" t="s">
        <v>7503</v>
      </c>
      <c r="H125" s="5" t="s">
        <v>158</v>
      </c>
      <c r="I125" s="5"/>
      <c r="J125" s="0" t="n">
        <f aca="false">IF(AU125="pass",CM125+CN125+CO125+CP125+CQ125+CR125+CS125+CT125,0)</f>
        <v>42</v>
      </c>
      <c r="K125" s="0" t="s">
        <v>7504</v>
      </c>
      <c r="M125" s="0" t="s">
        <v>5291</v>
      </c>
      <c r="N125" s="0" t="s">
        <v>598</v>
      </c>
      <c r="O125" s="0" t="s">
        <v>7505</v>
      </c>
      <c r="P125" s="0" t="s">
        <v>7506</v>
      </c>
      <c r="Q125" s="0" t="s">
        <v>7507</v>
      </c>
      <c r="R125" s="5" t="s">
        <v>162</v>
      </c>
      <c r="S125" s="0" t="s">
        <v>163</v>
      </c>
      <c r="T125" s="5" t="s">
        <v>162</v>
      </c>
      <c r="U125" s="5" t="s">
        <v>561</v>
      </c>
      <c r="V125" s="0" t="s">
        <v>6643</v>
      </c>
      <c r="W125" s="0" t="s">
        <v>174</v>
      </c>
      <c r="X125" s="0" t="s">
        <v>4585</v>
      </c>
      <c r="Y125" s="0" t="str">
        <f aca="false">IF(EB125&lt;&gt;"Y","",COUNTIFS($EB$2:$EB$1000,"Y",$J$2:$J$1000,"&gt;"&amp;J125)+COUNTIFS($EB$2:$EB$1000,"Y",$J$2:$J$1000,J125,$ED$2:$ED$1000,"&lt;"&amp;ED125)+1)</f>
        <v/>
      </c>
      <c r="Z125" s="0" t="n">
        <v>124</v>
      </c>
      <c r="AA125" s="0" t="s">
        <v>162</v>
      </c>
      <c r="AB125" s="0" t="s">
        <v>7473</v>
      </c>
      <c r="AD125" s="0" t="s">
        <v>158</v>
      </c>
      <c r="AH125" s="0" t="s">
        <v>7508</v>
      </c>
      <c r="AI125" s="0" t="s">
        <v>4664</v>
      </c>
      <c r="AJ125" s="0" t="s">
        <v>4634</v>
      </c>
      <c r="AK125" s="0" t="s">
        <v>7509</v>
      </c>
      <c r="AL125" s="0" t="s">
        <v>168</v>
      </c>
      <c r="AM125" s="0" t="s">
        <v>7510</v>
      </c>
      <c r="AN125" s="0" t="s">
        <v>7502</v>
      </c>
      <c r="AO125" s="5" t="s">
        <v>162</v>
      </c>
      <c r="AR125" s="0" t="str">
        <f aca="false">IF(AND(AU125="pass",AO125&lt;&gt;"Y",C125&lt;&gt;""),"Y","N")</f>
        <v>N</v>
      </c>
      <c r="AS125" s="0" t="str">
        <f aca="false">_xlfn.TEXTJOIN("; ",TRUE(),IF(AU125&lt;&gt;"pass","gated out",""),IF(AO125="Y","on hold: "&amp;AP125,""),IF(C125="","no contact named on an opened page",""))</f>
        <v>no contact named on an opened page</v>
      </c>
      <c r="AU125" s="0" t="s">
        <v>181</v>
      </c>
      <c r="AW125" s="0" t="s">
        <v>182</v>
      </c>
      <c r="AX125" s="0" t="s">
        <v>6127</v>
      </c>
      <c r="AY125" s="0" t="s">
        <v>7509</v>
      </c>
      <c r="AZ125" s="0" t="s">
        <v>4595</v>
      </c>
      <c r="BA125" s="0" t="s">
        <v>4596</v>
      </c>
      <c r="BB125" s="0" t="s">
        <v>163</v>
      </c>
      <c r="BD125" s="0" t="s">
        <v>168</v>
      </c>
      <c r="BE125" s="0" t="s">
        <v>7511</v>
      </c>
      <c r="BF125" s="0" t="s">
        <v>163</v>
      </c>
      <c r="BG125" s="0" t="s">
        <v>168</v>
      </c>
      <c r="BH125" s="0" t="s">
        <v>163</v>
      </c>
      <c r="BJ125" s="0" t="s">
        <v>5143</v>
      </c>
      <c r="BK125" s="0" t="s">
        <v>162</v>
      </c>
      <c r="BL125" s="0" t="s">
        <v>162</v>
      </c>
      <c r="BO125" s="0" t="s">
        <v>162</v>
      </c>
      <c r="BP125" s="0" t="n">
        <v>0</v>
      </c>
      <c r="BS125" s="0" t="s">
        <v>163</v>
      </c>
      <c r="BU125" s="0" t="s">
        <v>4694</v>
      </c>
      <c r="BV125" s="0" t="n">
        <v>20</v>
      </c>
      <c r="CF125" s="0" t="s">
        <v>158</v>
      </c>
      <c r="CK125" s="0" t="s">
        <v>158</v>
      </c>
      <c r="CL125" s="0" t="n">
        <v>42</v>
      </c>
      <c r="CM125" s="0" t="n">
        <v>6</v>
      </c>
      <c r="CN125" s="0" t="n">
        <v>20</v>
      </c>
      <c r="CO125" s="0" t="n">
        <v>8</v>
      </c>
      <c r="CP125" s="0" t="n">
        <v>5</v>
      </c>
      <c r="CQ125" s="0" t="n">
        <v>8</v>
      </c>
      <c r="CR125" s="0" t="n">
        <v>0</v>
      </c>
      <c r="CS125" s="0" t="n">
        <f aca="false">IF(R125="Y",10,0)</f>
        <v>0</v>
      </c>
      <c r="CT125" s="0" t="n">
        <v>-5</v>
      </c>
      <c r="CU125" s="0" t="s">
        <v>7512</v>
      </c>
      <c r="CV125" s="0" t="s">
        <v>5150</v>
      </c>
      <c r="CW125" s="0" t="s">
        <v>7513</v>
      </c>
      <c r="CX125" s="0" t="s">
        <v>7514</v>
      </c>
      <c r="DA125" s="0" t="s">
        <v>6234</v>
      </c>
      <c r="DY125" s="0" t="str">
        <f aca="false">IF(ISNUMBER(MATCH(U125,{"queued","contacted","replied","call_booked","call_done","yes_in_principle","materials_sent"},0)),"Y","N")</f>
        <v>N</v>
      </c>
      <c r="DZ125" s="0" t="str">
        <f aca="false">IF(COUNTIFS($AN$2:$AN$1000,AN125,$DY$2:$DY$1000,"Y")+COUNTIFS($AN$2:$AN$1000,AN125,$T$2:$T$1000,"Y")&gt;0,"Y","N")</f>
        <v>N</v>
      </c>
      <c r="EA125" s="0" t="str">
        <f aca="false">IF(AND(U125="new",T125="N",AR125="Y",AQ125="",DZ125="N"),"Y","N")</f>
        <v>N</v>
      </c>
      <c r="EB125" s="0" t="str">
        <f aca="false">IF(EA125&lt;&gt;"Y","N",IF(COUNTIFS($AN$2:$AN$1000,AN125,$EA$2:$EA$1000,"Y",$J$2:$J$1000,"&gt;"&amp;J125)+COUNTIFS($AN$2:$AN$1000,AN125,$EA$2:$EA$1000,"Y",$J$2:$J$1000,J125,$ED$2:$ED$1000,"&lt;"&amp;ED125)=0,"Y","N"))</f>
        <v>N</v>
      </c>
      <c r="EC125" s="0" t="str">
        <f aca="false">IF(Y125="","N",IF(Y125&lt;=10,"Y","N"))</f>
        <v>N</v>
      </c>
      <c r="ED125" s="0" t="n">
        <f aca="false">ROW()-1</f>
        <v>124</v>
      </c>
    </row>
    <row r="126" customFormat="false" ht="15" hidden="false" customHeight="false" outlineLevel="0" collapsed="false">
      <c r="A126" s="0" t="s">
        <v>7515</v>
      </c>
      <c r="B126" s="0" t="s">
        <v>7516</v>
      </c>
      <c r="H126" s="5" t="s">
        <v>158</v>
      </c>
      <c r="I126" s="5"/>
      <c r="J126" s="0" t="n">
        <f aca="false">IF(AU126="pass",CM126+CN126+CO126+CP126+CQ126+CR126+CS126+CT126,0)</f>
        <v>42</v>
      </c>
      <c r="K126" s="0" t="s">
        <v>7517</v>
      </c>
      <c r="M126" s="0" t="s">
        <v>5291</v>
      </c>
      <c r="N126" s="0" t="s">
        <v>598</v>
      </c>
      <c r="O126" s="0" t="s">
        <v>7518</v>
      </c>
      <c r="P126" s="0" t="s">
        <v>7519</v>
      </c>
      <c r="Q126" s="0" t="s">
        <v>5724</v>
      </c>
      <c r="R126" s="5" t="s">
        <v>162</v>
      </c>
      <c r="S126" s="0" t="s">
        <v>163</v>
      </c>
      <c r="T126" s="5" t="s">
        <v>162</v>
      </c>
      <c r="U126" s="5" t="s">
        <v>561</v>
      </c>
      <c r="V126" s="0" t="s">
        <v>7520</v>
      </c>
      <c r="W126" s="0" t="s">
        <v>166</v>
      </c>
      <c r="X126" s="0" t="s">
        <v>4585</v>
      </c>
      <c r="Y126" s="0" t="str">
        <f aca="false">IF(EB126&lt;&gt;"Y","",COUNTIFS($EB$2:$EB$1000,"Y",$J$2:$J$1000,"&gt;"&amp;J126)+COUNTIFS($EB$2:$EB$1000,"Y",$J$2:$J$1000,J126,$ED$2:$ED$1000,"&lt;"&amp;ED126)+1)</f>
        <v/>
      </c>
      <c r="Z126" s="0" t="n">
        <v>125</v>
      </c>
      <c r="AA126" s="0" t="s">
        <v>162</v>
      </c>
      <c r="AB126" s="0" t="s">
        <v>6915</v>
      </c>
      <c r="AD126" s="0" t="s">
        <v>158</v>
      </c>
      <c r="AH126" s="0" t="s">
        <v>7521</v>
      </c>
      <c r="AI126" s="0" t="s">
        <v>5763</v>
      </c>
      <c r="AJ126" s="0" t="s">
        <v>192</v>
      </c>
      <c r="AK126" s="0" t="s">
        <v>7520</v>
      </c>
      <c r="AL126" s="0" t="s">
        <v>168</v>
      </c>
      <c r="AM126" s="0" t="s">
        <v>7522</v>
      </c>
      <c r="AN126" s="0" t="s">
        <v>7515</v>
      </c>
      <c r="AO126" s="5" t="s">
        <v>162</v>
      </c>
      <c r="AR126" s="0" t="str">
        <f aca="false">IF(AND(AU126="pass",AO126&lt;&gt;"Y",C126&lt;&gt;""),"Y","N")</f>
        <v>N</v>
      </c>
      <c r="AS126" s="0" t="str">
        <f aca="false">_xlfn.TEXTJOIN("; ",TRUE(),IF(AU126&lt;&gt;"pass","gated out",""),IF(AO126="Y","on hold: "&amp;AP126,""),IF(C126="","no contact named on an opened page",""))</f>
        <v>no contact named on an opened page</v>
      </c>
      <c r="AU126" s="0" t="s">
        <v>181</v>
      </c>
      <c r="AW126" s="0" t="s">
        <v>182</v>
      </c>
      <c r="AX126" s="0" t="s">
        <v>4594</v>
      </c>
      <c r="AY126" s="0" t="s">
        <v>7520</v>
      </c>
      <c r="AZ126" s="0" t="s">
        <v>4595</v>
      </c>
      <c r="BA126" s="0" t="s">
        <v>4596</v>
      </c>
      <c r="BB126" s="0" t="s">
        <v>163</v>
      </c>
      <c r="BD126" s="0" t="s">
        <v>163</v>
      </c>
      <c r="BE126" s="0" t="s">
        <v>5927</v>
      </c>
      <c r="BF126" s="0" t="s">
        <v>168</v>
      </c>
      <c r="BG126" s="0" t="s">
        <v>168</v>
      </c>
      <c r="BH126" s="0" t="s">
        <v>163</v>
      </c>
      <c r="BJ126" s="0" t="s">
        <v>5549</v>
      </c>
      <c r="BK126" s="0" t="s">
        <v>162</v>
      </c>
      <c r="BL126" s="0" t="s">
        <v>162</v>
      </c>
      <c r="BO126" s="0" t="s">
        <v>162</v>
      </c>
      <c r="BP126" s="0" t="n">
        <v>0</v>
      </c>
      <c r="BS126" s="0" t="s">
        <v>7160</v>
      </c>
      <c r="BT126" s="0" t="s">
        <v>7523</v>
      </c>
      <c r="BU126" s="0" t="s">
        <v>4694</v>
      </c>
      <c r="BV126" s="0" t="n">
        <v>26</v>
      </c>
      <c r="CF126" s="0" t="s">
        <v>158</v>
      </c>
      <c r="CK126" s="0" t="s">
        <v>158</v>
      </c>
      <c r="CL126" s="0" t="n">
        <v>42</v>
      </c>
      <c r="CM126" s="0" t="n">
        <v>6</v>
      </c>
      <c r="CN126" s="0" t="n">
        <v>20</v>
      </c>
      <c r="CO126" s="0" t="n">
        <v>8</v>
      </c>
      <c r="CP126" s="0" t="n">
        <v>5</v>
      </c>
      <c r="CQ126" s="0" t="n">
        <v>7</v>
      </c>
      <c r="CR126" s="0" t="n">
        <v>0</v>
      </c>
      <c r="CS126" s="0" t="n">
        <f aca="false">IF(R126="Y",10,0)</f>
        <v>0</v>
      </c>
      <c r="CT126" s="0" t="n">
        <v>-4</v>
      </c>
      <c r="CU126" s="0" t="s">
        <v>163</v>
      </c>
      <c r="CV126" s="0" t="s">
        <v>5562</v>
      </c>
      <c r="CW126" s="0" t="s">
        <v>7524</v>
      </c>
      <c r="CX126" s="0" t="s">
        <v>7525</v>
      </c>
      <c r="CY126" s="0" t="s">
        <v>7526</v>
      </c>
      <c r="DA126" s="0" t="s">
        <v>6234</v>
      </c>
      <c r="DY126" s="0" t="str">
        <f aca="false">IF(ISNUMBER(MATCH(U126,{"queued","contacted","replied","call_booked","call_done","yes_in_principle","materials_sent"},0)),"Y","N")</f>
        <v>N</v>
      </c>
      <c r="DZ126" s="0" t="str">
        <f aca="false">IF(COUNTIFS($AN$2:$AN$1000,AN126,$DY$2:$DY$1000,"Y")+COUNTIFS($AN$2:$AN$1000,AN126,$T$2:$T$1000,"Y")&gt;0,"Y","N")</f>
        <v>N</v>
      </c>
      <c r="EA126" s="0" t="str">
        <f aca="false">IF(AND(U126="new",T126="N",AR126="Y",AQ126="",DZ126="N"),"Y","N")</f>
        <v>N</v>
      </c>
      <c r="EB126" s="0" t="str">
        <f aca="false">IF(EA126&lt;&gt;"Y","N",IF(COUNTIFS($AN$2:$AN$1000,AN126,$EA$2:$EA$1000,"Y",$J$2:$J$1000,"&gt;"&amp;J126)+COUNTIFS($AN$2:$AN$1000,AN126,$EA$2:$EA$1000,"Y",$J$2:$J$1000,J126,$ED$2:$ED$1000,"&lt;"&amp;ED126)=0,"Y","N"))</f>
        <v>N</v>
      </c>
      <c r="EC126" s="0" t="str">
        <f aca="false">IF(Y126="","N",IF(Y126&lt;=10,"Y","N"))</f>
        <v>N</v>
      </c>
      <c r="ED126" s="0" t="n">
        <f aca="false">ROW()-1</f>
        <v>125</v>
      </c>
    </row>
    <row r="127" customFormat="false" ht="15" hidden="false" customHeight="false" outlineLevel="0" collapsed="false">
      <c r="A127" s="0" t="s">
        <v>7527</v>
      </c>
      <c r="B127" s="0" t="s">
        <v>7528</v>
      </c>
      <c r="C127" s="0" t="s">
        <v>320</v>
      </c>
      <c r="D127" s="0" t="s">
        <v>7529</v>
      </c>
      <c r="E127" s="0" t="s">
        <v>4771</v>
      </c>
      <c r="H127" s="5" t="s">
        <v>158</v>
      </c>
      <c r="I127" s="5" t="s">
        <v>159</v>
      </c>
      <c r="J127" s="0" t="n">
        <f aca="false">IF(AU127="pass",CM127+CN127+CO127+CP127+CQ127+CR127+CS127+CT127,0)</f>
        <v>42</v>
      </c>
      <c r="K127" s="0" t="s">
        <v>7530</v>
      </c>
      <c r="M127" s="0" t="s">
        <v>5291</v>
      </c>
      <c r="N127" s="0" t="s">
        <v>598</v>
      </c>
      <c r="O127" s="0" t="s">
        <v>7531</v>
      </c>
      <c r="P127" s="0" t="s">
        <v>7532</v>
      </c>
      <c r="Q127" s="0" t="s">
        <v>4159</v>
      </c>
      <c r="R127" s="5" t="s">
        <v>162</v>
      </c>
      <c r="S127" s="0" t="s">
        <v>163</v>
      </c>
      <c r="T127" s="5" t="s">
        <v>162</v>
      </c>
      <c r="U127" s="5" t="s">
        <v>561</v>
      </c>
      <c r="V127" s="0" t="s">
        <v>7533</v>
      </c>
      <c r="W127" s="0" t="s">
        <v>166</v>
      </c>
      <c r="X127" s="0" t="s">
        <v>4585</v>
      </c>
      <c r="Y127" s="0" t="n">
        <f aca="false">IF(EB127&lt;&gt;"Y","",COUNTIFS($EB$2:$EB$1000,"Y",$J$2:$J$1000,"&gt;"&amp;J127)+COUNTIFS($EB$2:$EB$1000,"Y",$J$2:$J$1000,J127,$ED$2:$ED$1000,"&lt;"&amp;ED127)+1)</f>
        <v>107</v>
      </c>
      <c r="Z127" s="0" t="n">
        <v>126</v>
      </c>
      <c r="AA127" s="0" t="s">
        <v>162</v>
      </c>
      <c r="AB127" s="0" t="s">
        <v>7534</v>
      </c>
      <c r="AC127" s="0" t="s">
        <v>4587</v>
      </c>
      <c r="AD127" s="0" t="s">
        <v>171</v>
      </c>
      <c r="AE127" s="0" t="s">
        <v>172</v>
      </c>
      <c r="AF127" s="0" t="s">
        <v>7533</v>
      </c>
      <c r="AG127" s="0" t="s">
        <v>166</v>
      </c>
      <c r="AH127" s="0" t="s">
        <v>7535</v>
      </c>
      <c r="AI127" s="0" t="s">
        <v>4633</v>
      </c>
      <c r="AJ127" s="0" t="s">
        <v>7536</v>
      </c>
      <c r="AK127" s="0" t="s">
        <v>7537</v>
      </c>
      <c r="AL127" s="0" t="s">
        <v>168</v>
      </c>
      <c r="AM127" s="0" t="s">
        <v>7538</v>
      </c>
      <c r="AN127" s="0" t="s">
        <v>7527</v>
      </c>
      <c r="AO127" s="5" t="s">
        <v>162</v>
      </c>
      <c r="AR127" s="0" t="str">
        <f aca="false">IF(AND(AU127="pass",AO127&lt;&gt;"Y",C127&lt;&gt;""),"Y","N")</f>
        <v>Y</v>
      </c>
      <c r="AS127" s="0" t="str">
        <f aca="false">_xlfn.TEXTJOIN("; ",TRUE(),IF(AU127&lt;&gt;"pass","gated out",""),IF(AO127="Y","on hold: "&amp;AP127,""),IF(C127="","no contact named on an opened page",""))</f>
        <v/>
      </c>
      <c r="AU127" s="0" t="s">
        <v>181</v>
      </c>
      <c r="AW127" s="0" t="s">
        <v>182</v>
      </c>
      <c r="AX127" s="0" t="s">
        <v>5516</v>
      </c>
      <c r="AY127" s="0" t="s">
        <v>7537</v>
      </c>
      <c r="AZ127" s="0" t="s">
        <v>4595</v>
      </c>
      <c r="BA127" s="0" t="s">
        <v>4951</v>
      </c>
      <c r="BB127" s="0" t="s">
        <v>163</v>
      </c>
      <c r="BD127" s="0" t="s">
        <v>168</v>
      </c>
      <c r="BE127" s="0" t="s">
        <v>7539</v>
      </c>
      <c r="BF127" s="0" t="s">
        <v>163</v>
      </c>
      <c r="BG127" s="0" t="s">
        <v>168</v>
      </c>
      <c r="BH127" s="0" t="s">
        <v>163</v>
      </c>
      <c r="BJ127" s="0" t="s">
        <v>163</v>
      </c>
      <c r="BK127" s="0" t="s">
        <v>162</v>
      </c>
      <c r="BL127" s="0" t="s">
        <v>162</v>
      </c>
      <c r="BO127" s="0" t="s">
        <v>162</v>
      </c>
      <c r="BP127" s="0" t="n">
        <v>0</v>
      </c>
      <c r="BS127" s="0" t="s">
        <v>7540</v>
      </c>
      <c r="BT127" s="0" t="s">
        <v>7541</v>
      </c>
      <c r="BU127" s="0" t="s">
        <v>4694</v>
      </c>
      <c r="BV127" s="0" t="n">
        <v>2</v>
      </c>
      <c r="BX127" s="0" t="s">
        <v>7542</v>
      </c>
      <c r="CF127" s="0" t="s">
        <v>158</v>
      </c>
      <c r="CK127" s="0" t="s">
        <v>158</v>
      </c>
      <c r="CL127" s="0" t="n">
        <v>42</v>
      </c>
      <c r="CM127" s="0" t="n">
        <v>6</v>
      </c>
      <c r="CN127" s="0" t="n">
        <v>13</v>
      </c>
      <c r="CO127" s="0" t="n">
        <v>8</v>
      </c>
      <c r="CP127" s="0" t="n">
        <v>5</v>
      </c>
      <c r="CQ127" s="0" t="n">
        <v>8</v>
      </c>
      <c r="CR127" s="0" t="n">
        <v>6</v>
      </c>
      <c r="CS127" s="0" t="n">
        <f aca="false">IF(R127="Y",10,0)</f>
        <v>0</v>
      </c>
      <c r="CT127" s="0" t="n">
        <v>-4</v>
      </c>
      <c r="CV127" s="0" t="s">
        <v>4615</v>
      </c>
      <c r="CW127" s="0" t="s">
        <v>7543</v>
      </c>
      <c r="CX127" s="0" t="s">
        <v>7544</v>
      </c>
      <c r="CY127" s="0" t="s">
        <v>7545</v>
      </c>
      <c r="DA127" s="0" t="s">
        <v>6234</v>
      </c>
      <c r="DY127" s="0" t="str">
        <f aca="false">IF(ISNUMBER(MATCH(U127,{"queued","contacted","replied","call_booked","call_done","yes_in_principle","materials_sent"},0)),"Y","N")</f>
        <v>N</v>
      </c>
      <c r="DZ127" s="0" t="str">
        <f aca="false">IF(COUNTIFS($AN$2:$AN$1000,AN127,$DY$2:$DY$1000,"Y")+COUNTIFS($AN$2:$AN$1000,AN127,$T$2:$T$1000,"Y")&gt;0,"Y","N")</f>
        <v>N</v>
      </c>
      <c r="EA127" s="0" t="str">
        <f aca="false">IF(AND(U127="new",T127="N",AR127="Y",AQ127="",DZ127="N"),"Y","N")</f>
        <v>Y</v>
      </c>
      <c r="EB127" s="0" t="str">
        <f aca="false">IF(EA127&lt;&gt;"Y","N",IF(COUNTIFS($AN$2:$AN$1000,AN127,$EA$2:$EA$1000,"Y",$J$2:$J$1000,"&gt;"&amp;J127)+COUNTIFS($AN$2:$AN$1000,AN127,$EA$2:$EA$1000,"Y",$J$2:$J$1000,J127,$ED$2:$ED$1000,"&lt;"&amp;ED127)=0,"Y","N"))</f>
        <v>Y</v>
      </c>
      <c r="EC127" s="0" t="str">
        <f aca="false">IF(Y127="","N",IF(Y127&lt;=10,"Y","N"))</f>
        <v>N</v>
      </c>
      <c r="ED127" s="0" t="n">
        <f aca="false">ROW()-1</f>
        <v>126</v>
      </c>
    </row>
    <row r="128" customFormat="false" ht="15" hidden="false" customHeight="false" outlineLevel="0" collapsed="false">
      <c r="A128" s="0" t="s">
        <v>7546</v>
      </c>
      <c r="B128" s="0" t="s">
        <v>7547</v>
      </c>
      <c r="C128" s="0" t="s">
        <v>5888</v>
      </c>
      <c r="D128" s="0" t="s">
        <v>7548</v>
      </c>
      <c r="E128" s="0" t="s">
        <v>4771</v>
      </c>
      <c r="H128" s="5" t="s">
        <v>158</v>
      </c>
      <c r="I128" s="5" t="s">
        <v>159</v>
      </c>
      <c r="J128" s="0" t="n">
        <f aca="false">IF(AU128="pass",CM128+CN128+CO128+CP128+CQ128+CR128+CS128+CT128,0)</f>
        <v>42</v>
      </c>
      <c r="K128" s="0" t="s">
        <v>7549</v>
      </c>
      <c r="M128" s="0" t="s">
        <v>5291</v>
      </c>
      <c r="N128" s="0" t="s">
        <v>598</v>
      </c>
      <c r="O128" s="0" t="s">
        <v>7550</v>
      </c>
      <c r="P128" s="0" t="s">
        <v>7551</v>
      </c>
      <c r="Q128" s="0" t="s">
        <v>7552</v>
      </c>
      <c r="R128" s="5" t="s">
        <v>162</v>
      </c>
      <c r="S128" s="0" t="s">
        <v>168</v>
      </c>
      <c r="T128" s="5" t="s">
        <v>162</v>
      </c>
      <c r="U128" s="5" t="s">
        <v>561</v>
      </c>
      <c r="V128" s="0" t="s">
        <v>7553</v>
      </c>
      <c r="W128" s="0" t="s">
        <v>166</v>
      </c>
      <c r="X128" s="0" t="s">
        <v>4585</v>
      </c>
      <c r="Y128" s="0" t="n">
        <f aca="false">IF(EB128&lt;&gt;"Y","",COUNTIFS($EB$2:$EB$1000,"Y",$J$2:$J$1000,"&gt;"&amp;J128)+COUNTIFS($EB$2:$EB$1000,"Y",$J$2:$J$1000,J128,$ED$2:$ED$1000,"&lt;"&amp;ED128)+1)</f>
        <v>108</v>
      </c>
      <c r="Z128" s="0" t="n">
        <v>127</v>
      </c>
      <c r="AA128" s="0" t="s">
        <v>162</v>
      </c>
      <c r="AB128" s="0" t="s">
        <v>7554</v>
      </c>
      <c r="AC128" s="0" t="s">
        <v>4587</v>
      </c>
      <c r="AD128" s="0" t="s">
        <v>171</v>
      </c>
      <c r="AE128" s="0" t="s">
        <v>1189</v>
      </c>
      <c r="AF128" s="0" t="s">
        <v>7551</v>
      </c>
      <c r="AG128" s="0" t="s">
        <v>166</v>
      </c>
      <c r="AH128" s="0" t="s">
        <v>7555</v>
      </c>
      <c r="AI128" s="0" t="s">
        <v>5461</v>
      </c>
      <c r="AJ128" s="0" t="s">
        <v>192</v>
      </c>
      <c r="AK128" s="0" t="s">
        <v>7556</v>
      </c>
      <c r="AL128" s="0" t="s">
        <v>168</v>
      </c>
      <c r="AM128" s="0" t="s">
        <v>7557</v>
      </c>
      <c r="AN128" s="0" t="s">
        <v>7546</v>
      </c>
      <c r="AO128" s="5" t="s">
        <v>162</v>
      </c>
      <c r="AR128" s="0" t="str">
        <f aca="false">IF(AND(AU128="pass",AO128&lt;&gt;"Y",C128&lt;&gt;""),"Y","N")</f>
        <v>Y</v>
      </c>
      <c r="AS128" s="0" t="str">
        <f aca="false">_xlfn.TEXTJOIN("; ",TRUE(),IF(AU128&lt;&gt;"pass","gated out",""),IF(AO128="Y","on hold: "&amp;AP128,""),IF(C128="","no contact named on an opened page",""))</f>
        <v/>
      </c>
      <c r="AU128" s="0" t="s">
        <v>181</v>
      </c>
      <c r="AW128" s="0" t="s">
        <v>182</v>
      </c>
      <c r="AX128" s="0" t="s">
        <v>6127</v>
      </c>
      <c r="AY128" s="0" t="s">
        <v>7556</v>
      </c>
      <c r="AZ128" s="0" t="s">
        <v>4595</v>
      </c>
      <c r="BA128" s="0" t="s">
        <v>4596</v>
      </c>
      <c r="BB128" s="0" t="s">
        <v>7558</v>
      </c>
      <c r="BC128" s="0" t="s">
        <v>7551</v>
      </c>
      <c r="BD128" s="0" t="s">
        <v>168</v>
      </c>
      <c r="BE128" s="0" t="s">
        <v>7559</v>
      </c>
      <c r="BF128" s="0" t="s">
        <v>168</v>
      </c>
      <c r="BG128" s="0" t="s">
        <v>168</v>
      </c>
      <c r="BH128" s="0" t="s">
        <v>163</v>
      </c>
      <c r="BJ128" s="0" t="s">
        <v>7560</v>
      </c>
      <c r="BK128" s="0" t="s">
        <v>162</v>
      </c>
      <c r="BL128" s="0" t="s">
        <v>162</v>
      </c>
      <c r="BO128" s="0" t="s">
        <v>162</v>
      </c>
      <c r="BP128" s="0" t="n">
        <v>0</v>
      </c>
      <c r="BR128" s="0" t="s">
        <v>6762</v>
      </c>
      <c r="BS128" s="0" t="s">
        <v>7561</v>
      </c>
      <c r="BT128" s="0" t="s">
        <v>7562</v>
      </c>
      <c r="BU128" s="0" t="s">
        <v>598</v>
      </c>
      <c r="BV128" s="0" t="n">
        <v>110</v>
      </c>
      <c r="BW128" s="0" t="s">
        <v>7551</v>
      </c>
      <c r="BX128" s="0" t="s">
        <v>7563</v>
      </c>
      <c r="CF128" s="0" t="s">
        <v>158</v>
      </c>
      <c r="CK128" s="0" t="s">
        <v>158</v>
      </c>
      <c r="CL128" s="0" t="n">
        <v>42</v>
      </c>
      <c r="CM128" s="0" t="n">
        <v>6</v>
      </c>
      <c r="CN128" s="0" t="n">
        <v>20</v>
      </c>
      <c r="CO128" s="0" t="n">
        <v>0</v>
      </c>
      <c r="CP128" s="0" t="n">
        <v>5</v>
      </c>
      <c r="CQ128" s="0" t="n">
        <v>10</v>
      </c>
      <c r="CR128" s="0" t="n">
        <v>6</v>
      </c>
      <c r="CS128" s="0" t="n">
        <f aca="false">IF(R128="Y",10,0)</f>
        <v>0</v>
      </c>
      <c r="CT128" s="0" t="n">
        <v>-5</v>
      </c>
      <c r="CU128" s="0" t="s">
        <v>7564</v>
      </c>
      <c r="CV128" s="0" t="s">
        <v>4841</v>
      </c>
      <c r="CW128" s="0" t="s">
        <v>7565</v>
      </c>
      <c r="CX128" s="0" t="s">
        <v>7566</v>
      </c>
      <c r="CY128" s="0" t="s">
        <v>7567</v>
      </c>
      <c r="DA128" s="0" t="s">
        <v>6234</v>
      </c>
      <c r="DY128" s="0" t="str">
        <f aca="false">IF(ISNUMBER(MATCH(U128,{"queued","contacted","replied","call_booked","call_done","yes_in_principle","materials_sent"},0)),"Y","N")</f>
        <v>N</v>
      </c>
      <c r="DZ128" s="0" t="str">
        <f aca="false">IF(COUNTIFS($AN$2:$AN$1000,AN128,$DY$2:$DY$1000,"Y")+COUNTIFS($AN$2:$AN$1000,AN128,$T$2:$T$1000,"Y")&gt;0,"Y","N")</f>
        <v>N</v>
      </c>
      <c r="EA128" s="0" t="str">
        <f aca="false">IF(AND(U128="new",T128="N",AR128="Y",AQ128="",DZ128="N"),"Y","N")</f>
        <v>Y</v>
      </c>
      <c r="EB128" s="0" t="str">
        <f aca="false">IF(EA128&lt;&gt;"Y","N",IF(COUNTIFS($AN$2:$AN$1000,AN128,$EA$2:$EA$1000,"Y",$J$2:$J$1000,"&gt;"&amp;J128)+COUNTIFS($AN$2:$AN$1000,AN128,$EA$2:$EA$1000,"Y",$J$2:$J$1000,J128,$ED$2:$ED$1000,"&lt;"&amp;ED128)=0,"Y","N"))</f>
        <v>Y</v>
      </c>
      <c r="EC128" s="0" t="str">
        <f aca="false">IF(Y128="","N",IF(Y128&lt;=10,"Y","N"))</f>
        <v>N</v>
      </c>
      <c r="ED128" s="0" t="n">
        <f aca="false">ROW()-1</f>
        <v>127</v>
      </c>
    </row>
    <row r="129" customFormat="false" ht="15" hidden="false" customHeight="false" outlineLevel="0" collapsed="false">
      <c r="A129" s="0" t="s">
        <v>7568</v>
      </c>
      <c r="B129" s="0" t="s">
        <v>7569</v>
      </c>
      <c r="H129" s="5" t="s">
        <v>158</v>
      </c>
      <c r="I129" s="5"/>
      <c r="J129" s="0" t="n">
        <f aca="false">IF(AU129="pass",CM129+CN129+CO129+CP129+CQ129+CR129+CS129+CT129,0)</f>
        <v>41</v>
      </c>
      <c r="K129" s="0" t="s">
        <v>7570</v>
      </c>
      <c r="M129" s="0" t="s">
        <v>4627</v>
      </c>
      <c r="N129" s="0" t="s">
        <v>4581</v>
      </c>
      <c r="O129" s="0" t="s">
        <v>7571</v>
      </c>
      <c r="P129" s="0" t="s">
        <v>7572</v>
      </c>
      <c r="Q129" s="0" t="s">
        <v>5783</v>
      </c>
      <c r="R129" s="5" t="s">
        <v>162</v>
      </c>
      <c r="S129" s="0" t="s">
        <v>163</v>
      </c>
      <c r="T129" s="5" t="s">
        <v>162</v>
      </c>
      <c r="U129" s="5" t="s">
        <v>561</v>
      </c>
      <c r="V129" s="0" t="s">
        <v>7573</v>
      </c>
      <c r="W129" s="0" t="s">
        <v>166</v>
      </c>
      <c r="X129" s="0" t="s">
        <v>4585</v>
      </c>
      <c r="Y129" s="0" t="str">
        <f aca="false">IF(EB129&lt;&gt;"Y","",COUNTIFS($EB$2:$EB$1000,"Y",$J$2:$J$1000,"&gt;"&amp;J129)+COUNTIFS($EB$2:$EB$1000,"Y",$J$2:$J$1000,J129,$ED$2:$ED$1000,"&lt;"&amp;ED129)+1)</f>
        <v/>
      </c>
      <c r="Z129" s="0" t="n">
        <v>128</v>
      </c>
      <c r="AA129" s="0" t="s">
        <v>162</v>
      </c>
      <c r="AB129" s="0" t="s">
        <v>7574</v>
      </c>
      <c r="AD129" s="0" t="s">
        <v>158</v>
      </c>
      <c r="AH129" s="0" t="s">
        <v>7575</v>
      </c>
      <c r="AI129" s="0" t="s">
        <v>4633</v>
      </c>
      <c r="AJ129" s="0" t="s">
        <v>7576</v>
      </c>
      <c r="AK129" s="0" t="s">
        <v>7577</v>
      </c>
      <c r="AL129" s="0" t="s">
        <v>168</v>
      </c>
      <c r="AM129" s="0" t="s">
        <v>7578</v>
      </c>
      <c r="AN129" s="0" t="s">
        <v>7568</v>
      </c>
      <c r="AO129" s="5" t="s">
        <v>162</v>
      </c>
      <c r="AR129" s="0" t="str">
        <f aca="false">IF(AND(AU129="pass",AO129&lt;&gt;"Y",C129&lt;&gt;""),"Y","N")</f>
        <v>N</v>
      </c>
      <c r="AS129" s="0" t="str">
        <f aca="false">_xlfn.TEXTJOIN("; ",TRUE(),IF(AU129&lt;&gt;"pass","gated out",""),IF(AO129="Y","on hold: "&amp;AP129,""),IF(C129="","no contact named on an opened page",""))</f>
        <v>no contact named on an opened page</v>
      </c>
      <c r="AU129" s="0" t="s">
        <v>181</v>
      </c>
      <c r="AW129" s="0" t="s">
        <v>182</v>
      </c>
      <c r="AX129" s="0" t="s">
        <v>7579</v>
      </c>
      <c r="AY129" s="0" t="s">
        <v>7577</v>
      </c>
      <c r="AZ129" s="0" t="s">
        <v>6689</v>
      </c>
      <c r="BA129" s="0" t="s">
        <v>5191</v>
      </c>
      <c r="BB129" s="0" t="s">
        <v>7580</v>
      </c>
      <c r="BD129" s="0" t="s">
        <v>168</v>
      </c>
      <c r="BE129" s="0" t="s">
        <v>7581</v>
      </c>
      <c r="BF129" s="0" t="s">
        <v>162</v>
      </c>
      <c r="BG129" s="0" t="s">
        <v>168</v>
      </c>
      <c r="BH129" s="0" t="s">
        <v>163</v>
      </c>
      <c r="BJ129" s="0" t="s">
        <v>163</v>
      </c>
      <c r="BK129" s="0" t="s">
        <v>162</v>
      </c>
      <c r="BL129" s="0" t="s">
        <v>162</v>
      </c>
      <c r="BN129" s="0" t="n">
        <v>0</v>
      </c>
      <c r="BO129" s="0" t="s">
        <v>168</v>
      </c>
      <c r="BP129" s="0" t="n">
        <v>1</v>
      </c>
      <c r="BQ129" s="0" t="s">
        <v>4637</v>
      </c>
      <c r="BS129" s="0" t="s">
        <v>7582</v>
      </c>
      <c r="BT129" s="0" t="s">
        <v>7583</v>
      </c>
      <c r="BU129" s="0" t="s">
        <v>4694</v>
      </c>
      <c r="BV129" s="0" t="n">
        <v>8</v>
      </c>
      <c r="CF129" s="0" t="s">
        <v>158</v>
      </c>
      <c r="CK129" s="0" t="s">
        <v>158</v>
      </c>
      <c r="CL129" s="0" t="n">
        <v>41</v>
      </c>
      <c r="CM129" s="0" t="n">
        <v>25</v>
      </c>
      <c r="CN129" s="0" t="n">
        <v>8</v>
      </c>
      <c r="CO129" s="0" t="n">
        <v>8</v>
      </c>
      <c r="CP129" s="0" t="n">
        <v>5</v>
      </c>
      <c r="CQ129" s="0" t="n">
        <v>7</v>
      </c>
      <c r="CR129" s="0" t="n">
        <v>0</v>
      </c>
      <c r="CS129" s="0" t="n">
        <f aca="false">IF(R129="Y",10,0)</f>
        <v>0</v>
      </c>
      <c r="CT129" s="0" t="n">
        <v>-12</v>
      </c>
      <c r="CU129" s="0" t="s">
        <v>163</v>
      </c>
      <c r="CV129" s="0" t="s">
        <v>4841</v>
      </c>
      <c r="CW129" s="0" t="s">
        <v>7584</v>
      </c>
      <c r="CX129" s="0" t="s">
        <v>7585</v>
      </c>
      <c r="DA129" s="0" t="s">
        <v>6234</v>
      </c>
      <c r="DY129" s="0" t="str">
        <f aca="false">IF(ISNUMBER(MATCH(U129,{"queued","contacted","replied","call_booked","call_done","yes_in_principle","materials_sent"},0)),"Y","N")</f>
        <v>N</v>
      </c>
      <c r="DZ129" s="0" t="str">
        <f aca="false">IF(COUNTIFS($AN$2:$AN$1000,AN129,$DY$2:$DY$1000,"Y")+COUNTIFS($AN$2:$AN$1000,AN129,$T$2:$T$1000,"Y")&gt;0,"Y","N")</f>
        <v>N</v>
      </c>
      <c r="EA129" s="0" t="str">
        <f aca="false">IF(AND(U129="new",T129="N",AR129="Y",AQ129="",DZ129="N"),"Y","N")</f>
        <v>N</v>
      </c>
      <c r="EB129" s="0" t="str">
        <f aca="false">IF(EA129&lt;&gt;"Y","N",IF(COUNTIFS($AN$2:$AN$1000,AN129,$EA$2:$EA$1000,"Y",$J$2:$J$1000,"&gt;"&amp;J129)+COUNTIFS($AN$2:$AN$1000,AN129,$EA$2:$EA$1000,"Y",$J$2:$J$1000,J129,$ED$2:$ED$1000,"&lt;"&amp;ED129)=0,"Y","N"))</f>
        <v>N</v>
      </c>
      <c r="EC129" s="0" t="str">
        <f aca="false">IF(Y129="","N",IF(Y129&lt;=10,"Y","N"))</f>
        <v>N</v>
      </c>
      <c r="ED129" s="0" t="n">
        <f aca="false">ROW()-1</f>
        <v>128</v>
      </c>
    </row>
    <row r="130" customFormat="false" ht="15" hidden="false" customHeight="false" outlineLevel="0" collapsed="false">
      <c r="A130" s="0" t="s">
        <v>7586</v>
      </c>
      <c r="B130" s="0" t="s">
        <v>7587</v>
      </c>
      <c r="C130" s="0" t="s">
        <v>7588</v>
      </c>
      <c r="D130" s="0" t="s">
        <v>163</v>
      </c>
      <c r="E130" s="0" t="s">
        <v>4771</v>
      </c>
      <c r="H130" s="5" t="s">
        <v>158</v>
      </c>
      <c r="I130" s="5" t="s">
        <v>159</v>
      </c>
      <c r="J130" s="0" t="n">
        <f aca="false">IF(AU130="pass",CM130+CN130+CO130+CP130+CQ130+CR130+CS130+CT130,0)</f>
        <v>41</v>
      </c>
      <c r="K130" s="0" t="s">
        <v>7589</v>
      </c>
      <c r="M130" s="0" t="s">
        <v>4627</v>
      </c>
      <c r="N130" s="0" t="s">
        <v>4581</v>
      </c>
      <c r="R130" s="5" t="s">
        <v>162</v>
      </c>
      <c r="S130" s="0" t="s">
        <v>163</v>
      </c>
      <c r="T130" s="5" t="s">
        <v>162</v>
      </c>
      <c r="U130" s="5" t="s">
        <v>561</v>
      </c>
      <c r="V130" s="0" t="s">
        <v>7590</v>
      </c>
      <c r="W130" s="0" t="s">
        <v>166</v>
      </c>
      <c r="X130" s="0" t="s">
        <v>4585</v>
      </c>
      <c r="Y130" s="0" t="n">
        <f aca="false">IF(EB130&lt;&gt;"Y","",COUNTIFS($EB$2:$EB$1000,"Y",$J$2:$J$1000,"&gt;"&amp;J130)+COUNTIFS($EB$2:$EB$1000,"Y",$J$2:$J$1000,J130,$ED$2:$ED$1000,"&lt;"&amp;ED130)+1)</f>
        <v>109</v>
      </c>
      <c r="Z130" s="0" t="n">
        <v>129</v>
      </c>
      <c r="AA130" s="0" t="s">
        <v>162</v>
      </c>
      <c r="AB130" s="0" t="s">
        <v>7591</v>
      </c>
      <c r="AC130" s="0" t="s">
        <v>4587</v>
      </c>
      <c r="AD130" s="0" t="s">
        <v>5008</v>
      </c>
      <c r="AE130" s="0" t="s">
        <v>172</v>
      </c>
      <c r="AF130" s="0" t="s">
        <v>7590</v>
      </c>
      <c r="AG130" s="0" t="s">
        <v>166</v>
      </c>
      <c r="AH130" s="0" t="s">
        <v>7592</v>
      </c>
      <c r="AI130" s="0" t="s">
        <v>4722</v>
      </c>
      <c r="AJ130" s="0" t="s">
        <v>7593</v>
      </c>
      <c r="AL130" s="0" t="s">
        <v>168</v>
      </c>
      <c r="AM130" s="0" t="s">
        <v>7594</v>
      </c>
      <c r="AN130" s="0" t="s">
        <v>7586</v>
      </c>
      <c r="AO130" s="5" t="s">
        <v>162</v>
      </c>
      <c r="AR130" s="0" t="str">
        <f aca="false">IF(AND(AU130="pass",AO130&lt;&gt;"Y",C130&lt;&gt;""),"Y","N")</f>
        <v>Y</v>
      </c>
      <c r="AS130" s="0" t="str">
        <f aca="false">_xlfn.TEXTJOIN("; ",TRUE(),IF(AU130&lt;&gt;"pass","gated out",""),IF(AO130="Y","on hold: "&amp;AP130,""),IF(C130="","no contact named on an opened page",""))</f>
        <v/>
      </c>
      <c r="AU130" s="0" t="s">
        <v>181</v>
      </c>
      <c r="AW130" s="0" t="s">
        <v>182</v>
      </c>
      <c r="AX130" s="0" t="s">
        <v>7595</v>
      </c>
      <c r="AY130" s="0" t="s">
        <v>7596</v>
      </c>
      <c r="AZ130" s="0" t="s">
        <v>4595</v>
      </c>
      <c r="BA130" s="0" t="s">
        <v>4951</v>
      </c>
      <c r="BB130" s="0" t="s">
        <v>163</v>
      </c>
      <c r="BD130" s="0" t="s">
        <v>163</v>
      </c>
      <c r="BE130" s="0" t="s">
        <v>7597</v>
      </c>
      <c r="BF130" s="0" t="s">
        <v>163</v>
      </c>
      <c r="BG130" s="0" t="s">
        <v>163</v>
      </c>
      <c r="BH130" s="0" t="s">
        <v>163</v>
      </c>
      <c r="BJ130" s="0" t="s">
        <v>163</v>
      </c>
      <c r="BK130" s="0" t="s">
        <v>162</v>
      </c>
      <c r="BL130" s="0" t="s">
        <v>162</v>
      </c>
      <c r="BN130" s="0" t="n">
        <v>0</v>
      </c>
      <c r="BO130" s="0" t="s">
        <v>168</v>
      </c>
      <c r="BP130" s="0" t="n">
        <v>1</v>
      </c>
      <c r="BQ130" s="0" t="s">
        <v>4637</v>
      </c>
      <c r="BS130" s="0" t="s">
        <v>7598</v>
      </c>
      <c r="BT130" s="0" t="s">
        <v>7599</v>
      </c>
      <c r="BU130" s="0" t="s">
        <v>158</v>
      </c>
      <c r="BX130" s="0" t="s">
        <v>7588</v>
      </c>
      <c r="BY130" s="0" t="s">
        <v>7600</v>
      </c>
      <c r="CF130" s="0" t="s">
        <v>158</v>
      </c>
      <c r="CK130" s="0" t="s">
        <v>158</v>
      </c>
      <c r="CL130" s="0" t="n">
        <v>41</v>
      </c>
      <c r="CM130" s="0" t="n">
        <v>25</v>
      </c>
      <c r="CN130" s="0" t="n">
        <v>13</v>
      </c>
      <c r="CO130" s="0" t="n">
        <v>0</v>
      </c>
      <c r="CP130" s="0" t="n">
        <v>5</v>
      </c>
      <c r="CQ130" s="0" t="n">
        <v>3</v>
      </c>
      <c r="CR130" s="0" t="n">
        <v>3</v>
      </c>
      <c r="CS130" s="0" t="n">
        <f aca="false">IF(R130="Y",10,0)</f>
        <v>0</v>
      </c>
      <c r="CT130" s="0" t="n">
        <v>-8</v>
      </c>
      <c r="CU130" s="0" t="s">
        <v>7601</v>
      </c>
      <c r="CV130" s="0" t="s">
        <v>4703</v>
      </c>
      <c r="CW130" s="0" t="s">
        <v>7602</v>
      </c>
      <c r="CX130" s="0" t="s">
        <v>7603</v>
      </c>
      <c r="DA130" s="0" t="s">
        <v>6234</v>
      </c>
      <c r="DY130" s="0" t="str">
        <f aca="false">IF(ISNUMBER(MATCH(U130,{"queued","contacted","replied","call_booked","call_done","yes_in_principle","materials_sent"},0)),"Y","N")</f>
        <v>N</v>
      </c>
      <c r="DZ130" s="0" t="str">
        <f aca="false">IF(COUNTIFS($AN$2:$AN$1000,AN130,$DY$2:$DY$1000,"Y")+COUNTIFS($AN$2:$AN$1000,AN130,$T$2:$T$1000,"Y")&gt;0,"Y","N")</f>
        <v>N</v>
      </c>
      <c r="EA130" s="0" t="str">
        <f aca="false">IF(AND(U130="new",T130="N",AR130="Y",AQ130="",DZ130="N"),"Y","N")</f>
        <v>Y</v>
      </c>
      <c r="EB130" s="0" t="str">
        <f aca="false">IF(EA130&lt;&gt;"Y","N",IF(COUNTIFS($AN$2:$AN$1000,AN130,$EA$2:$EA$1000,"Y",$J$2:$J$1000,"&gt;"&amp;J130)+COUNTIFS($AN$2:$AN$1000,AN130,$EA$2:$EA$1000,"Y",$J$2:$J$1000,J130,$ED$2:$ED$1000,"&lt;"&amp;ED130)=0,"Y","N"))</f>
        <v>Y</v>
      </c>
      <c r="EC130" s="0" t="str">
        <f aca="false">IF(Y130="","N",IF(Y130&lt;=10,"Y","N"))</f>
        <v>N</v>
      </c>
      <c r="ED130" s="0" t="n">
        <f aca="false">ROW()-1</f>
        <v>129</v>
      </c>
    </row>
    <row r="131" customFormat="false" ht="15" hidden="false" customHeight="false" outlineLevel="0" collapsed="false">
      <c r="A131" s="0" t="s">
        <v>7604</v>
      </c>
      <c r="B131" s="0" t="s">
        <v>7605</v>
      </c>
      <c r="C131" s="0" t="s">
        <v>805</v>
      </c>
      <c r="D131" s="0" t="s">
        <v>7606</v>
      </c>
      <c r="E131" s="0" t="s">
        <v>4625</v>
      </c>
      <c r="H131" s="5" t="s">
        <v>158</v>
      </c>
      <c r="I131" s="5" t="s">
        <v>159</v>
      </c>
      <c r="J131" s="0" t="n">
        <f aca="false">IF(AU131="pass",CM131+CN131+CO131+CP131+CQ131+CR131+CS131+CT131,0)</f>
        <v>41</v>
      </c>
      <c r="K131" s="0" t="s">
        <v>7607</v>
      </c>
      <c r="M131" s="0" t="s">
        <v>4580</v>
      </c>
      <c r="N131" s="0" t="s">
        <v>4581</v>
      </c>
      <c r="R131" s="5" t="s">
        <v>162</v>
      </c>
      <c r="S131" s="0" t="s">
        <v>163</v>
      </c>
      <c r="T131" s="5" t="s">
        <v>162</v>
      </c>
      <c r="U131" s="5" t="s">
        <v>561</v>
      </c>
      <c r="V131" s="0" t="s">
        <v>7608</v>
      </c>
      <c r="W131" s="0" t="s">
        <v>166</v>
      </c>
      <c r="X131" s="0" t="s">
        <v>4585</v>
      </c>
      <c r="Y131" s="0" t="n">
        <f aca="false">IF(EB131&lt;&gt;"Y","",COUNTIFS($EB$2:$EB$1000,"Y",$J$2:$J$1000,"&gt;"&amp;J131)+COUNTIFS($EB$2:$EB$1000,"Y",$J$2:$J$1000,J131,$ED$2:$ED$1000,"&lt;"&amp;ED131)+1)</f>
        <v>110</v>
      </c>
      <c r="Z131" s="0" t="n">
        <v>130</v>
      </c>
      <c r="AA131" s="0" t="s">
        <v>162</v>
      </c>
      <c r="AB131" s="0" t="s">
        <v>7609</v>
      </c>
      <c r="AC131" s="0" t="s">
        <v>4587</v>
      </c>
      <c r="AD131" s="0" t="s">
        <v>171</v>
      </c>
      <c r="AE131" s="0" t="s">
        <v>172</v>
      </c>
      <c r="AF131" s="0" t="s">
        <v>7608</v>
      </c>
      <c r="AG131" s="0" t="s">
        <v>166</v>
      </c>
      <c r="AH131" s="0" t="s">
        <v>7610</v>
      </c>
      <c r="AI131" s="0" t="s">
        <v>4664</v>
      </c>
      <c r="AJ131" s="0" t="s">
        <v>7611</v>
      </c>
      <c r="AK131" s="0" t="s">
        <v>7612</v>
      </c>
      <c r="AL131" s="0" t="s">
        <v>168</v>
      </c>
      <c r="AM131" s="0" t="s">
        <v>7613</v>
      </c>
      <c r="AN131" s="0" t="s">
        <v>7604</v>
      </c>
      <c r="AO131" s="5" t="s">
        <v>162</v>
      </c>
      <c r="AR131" s="0" t="str">
        <f aca="false">IF(AND(AU131="pass",AO131&lt;&gt;"Y",C131&lt;&gt;""),"Y","N")</f>
        <v>Y</v>
      </c>
      <c r="AS131" s="0" t="str">
        <f aca="false">_xlfn.TEXTJOIN("; ",TRUE(),IF(AU131&lt;&gt;"pass","gated out",""),IF(AO131="Y","on hold: "&amp;AP131,""),IF(C131="","no contact named on an opened page",""))</f>
        <v/>
      </c>
      <c r="AU131" s="0" t="s">
        <v>181</v>
      </c>
      <c r="AW131" s="0" t="s">
        <v>182</v>
      </c>
      <c r="AX131" s="0" t="s">
        <v>7614</v>
      </c>
      <c r="AY131" s="0" t="s">
        <v>7612</v>
      </c>
      <c r="AZ131" s="0" t="s">
        <v>4595</v>
      </c>
      <c r="BA131" s="0" t="s">
        <v>4596</v>
      </c>
      <c r="BB131" s="0" t="s">
        <v>7615</v>
      </c>
      <c r="BD131" s="0" t="s">
        <v>168</v>
      </c>
      <c r="BE131" s="0" t="s">
        <v>7616</v>
      </c>
      <c r="BF131" s="0" t="s">
        <v>168</v>
      </c>
      <c r="BG131" s="0" t="s">
        <v>168</v>
      </c>
      <c r="BH131" s="0" t="s">
        <v>163</v>
      </c>
      <c r="BJ131" s="0" t="s">
        <v>163</v>
      </c>
      <c r="BK131" s="0" t="s">
        <v>162</v>
      </c>
      <c r="BL131" s="0" t="s">
        <v>162</v>
      </c>
      <c r="BN131" s="0" t="n">
        <v>0</v>
      </c>
      <c r="BO131" s="0" t="s">
        <v>168</v>
      </c>
      <c r="BP131" s="0" t="n">
        <v>3</v>
      </c>
      <c r="BQ131" s="0" t="s">
        <v>4669</v>
      </c>
      <c r="BR131" s="0" t="s">
        <v>4670</v>
      </c>
      <c r="BS131" s="0" t="s">
        <v>7617</v>
      </c>
      <c r="BT131" s="0" t="s">
        <v>7618</v>
      </c>
      <c r="BU131" s="0" t="s">
        <v>158</v>
      </c>
      <c r="BX131" s="0" t="s">
        <v>7619</v>
      </c>
      <c r="CF131" s="0" t="s">
        <v>158</v>
      </c>
      <c r="CK131" s="0" t="s">
        <v>158</v>
      </c>
      <c r="CL131" s="0" t="n">
        <v>41</v>
      </c>
      <c r="CM131" s="0" t="n">
        <v>25</v>
      </c>
      <c r="CN131" s="0" t="n">
        <v>20</v>
      </c>
      <c r="CO131" s="0" t="n">
        <v>0</v>
      </c>
      <c r="CP131" s="0" t="n">
        <v>5</v>
      </c>
      <c r="CQ131" s="0" t="n">
        <v>10</v>
      </c>
      <c r="CR131" s="0" t="n">
        <v>6</v>
      </c>
      <c r="CS131" s="0" t="n">
        <f aca="false">IF(R131="Y",10,0)</f>
        <v>0</v>
      </c>
      <c r="CT131" s="0" t="n">
        <v>-25</v>
      </c>
      <c r="CV131" s="0" t="s">
        <v>4615</v>
      </c>
      <c r="CW131" s="0" t="s">
        <v>7620</v>
      </c>
      <c r="CX131" s="0" t="s">
        <v>7621</v>
      </c>
      <c r="CY131" s="0" t="s">
        <v>7622</v>
      </c>
      <c r="DA131" s="0" t="s">
        <v>6234</v>
      </c>
      <c r="DY131" s="0" t="str">
        <f aca="false">IF(ISNUMBER(MATCH(U131,{"queued","contacted","replied","call_booked","call_done","yes_in_principle","materials_sent"},0)),"Y","N")</f>
        <v>N</v>
      </c>
      <c r="DZ131" s="0" t="str">
        <f aca="false">IF(COUNTIFS($AN$2:$AN$1000,AN131,$DY$2:$DY$1000,"Y")+COUNTIFS($AN$2:$AN$1000,AN131,$T$2:$T$1000,"Y")&gt;0,"Y","N")</f>
        <v>N</v>
      </c>
      <c r="EA131" s="0" t="str">
        <f aca="false">IF(AND(U131="new",T131="N",AR131="Y",AQ131="",DZ131="N"),"Y","N")</f>
        <v>Y</v>
      </c>
      <c r="EB131" s="0" t="str">
        <f aca="false">IF(EA131&lt;&gt;"Y","N",IF(COUNTIFS($AN$2:$AN$1000,AN131,$EA$2:$EA$1000,"Y",$J$2:$J$1000,"&gt;"&amp;J131)+COUNTIFS($AN$2:$AN$1000,AN131,$EA$2:$EA$1000,"Y",$J$2:$J$1000,J131,$ED$2:$ED$1000,"&lt;"&amp;ED131)=0,"Y","N"))</f>
        <v>Y</v>
      </c>
      <c r="EC131" s="0" t="str">
        <f aca="false">IF(Y131="","N",IF(Y131&lt;=10,"Y","N"))</f>
        <v>N</v>
      </c>
      <c r="ED131" s="0" t="n">
        <f aca="false">ROW()-1</f>
        <v>130</v>
      </c>
    </row>
    <row r="132" customFormat="false" ht="15" hidden="false" customHeight="false" outlineLevel="0" collapsed="false">
      <c r="A132" s="0" t="s">
        <v>7623</v>
      </c>
      <c r="B132" s="0" t="s">
        <v>7624</v>
      </c>
      <c r="C132" s="0" t="s">
        <v>7625</v>
      </c>
      <c r="D132" s="0" t="s">
        <v>163</v>
      </c>
      <c r="E132" s="0" t="s">
        <v>4771</v>
      </c>
      <c r="H132" s="5" t="s">
        <v>158</v>
      </c>
      <c r="I132" s="5" t="s">
        <v>159</v>
      </c>
      <c r="J132" s="0" t="n">
        <f aca="false">IF(AU132="pass",CM132+CN132+CO132+CP132+CQ132+CR132+CS132+CT132,0)</f>
        <v>41</v>
      </c>
      <c r="K132" s="0" t="s">
        <v>7626</v>
      </c>
      <c r="M132" s="0" t="s">
        <v>4627</v>
      </c>
      <c r="N132" s="0" t="s">
        <v>4581</v>
      </c>
      <c r="R132" s="5" t="s">
        <v>162</v>
      </c>
      <c r="S132" s="0" t="s">
        <v>163</v>
      </c>
      <c r="T132" s="5" t="s">
        <v>162</v>
      </c>
      <c r="U132" s="5" t="s">
        <v>561</v>
      </c>
      <c r="V132" s="0" t="s">
        <v>7627</v>
      </c>
      <c r="W132" s="0" t="s">
        <v>166</v>
      </c>
      <c r="X132" s="0" t="s">
        <v>4585</v>
      </c>
      <c r="Y132" s="0" t="n">
        <f aca="false">IF(EB132&lt;&gt;"Y","",COUNTIFS($EB$2:$EB$1000,"Y",$J$2:$J$1000,"&gt;"&amp;J132)+COUNTIFS($EB$2:$EB$1000,"Y",$J$2:$J$1000,J132,$ED$2:$ED$1000,"&lt;"&amp;ED132)+1)</f>
        <v>111</v>
      </c>
      <c r="Z132" s="0" t="n">
        <v>131</v>
      </c>
      <c r="AA132" s="0" t="s">
        <v>162</v>
      </c>
      <c r="AB132" s="0" t="s">
        <v>7628</v>
      </c>
      <c r="AC132" s="0" t="s">
        <v>4587</v>
      </c>
      <c r="AD132" s="0" t="s">
        <v>5008</v>
      </c>
      <c r="AE132" s="0" t="s">
        <v>172</v>
      </c>
      <c r="AF132" s="0" t="s">
        <v>7627</v>
      </c>
      <c r="AG132" s="0" t="s">
        <v>166</v>
      </c>
      <c r="AH132" s="0" t="s">
        <v>7629</v>
      </c>
      <c r="AI132" s="0" t="s">
        <v>4633</v>
      </c>
      <c r="AJ132" s="0" t="s">
        <v>6382</v>
      </c>
      <c r="AK132" s="0" t="s">
        <v>7630</v>
      </c>
      <c r="AL132" s="0" t="s">
        <v>168</v>
      </c>
      <c r="AM132" s="0" t="s">
        <v>7631</v>
      </c>
      <c r="AN132" s="0" t="s">
        <v>7623</v>
      </c>
      <c r="AO132" s="5" t="s">
        <v>162</v>
      </c>
      <c r="AR132" s="0" t="str">
        <f aca="false">IF(AND(AU132="pass",AO132&lt;&gt;"Y",C132&lt;&gt;""),"Y","N")</f>
        <v>Y</v>
      </c>
      <c r="AS132" s="0" t="str">
        <f aca="false">_xlfn.TEXTJOIN("; ",TRUE(),IF(AU132&lt;&gt;"pass","gated out",""),IF(AO132="Y","on hold: "&amp;AP132,""),IF(C132="","no contact named on an opened page",""))</f>
        <v/>
      </c>
      <c r="AU132" s="0" t="s">
        <v>181</v>
      </c>
      <c r="AW132" s="0" t="s">
        <v>182</v>
      </c>
      <c r="AX132" s="0" t="s">
        <v>282</v>
      </c>
      <c r="AY132" s="0" t="s">
        <v>7630</v>
      </c>
      <c r="AZ132" s="0" t="s">
        <v>6386</v>
      </c>
      <c r="BA132" s="0" t="s">
        <v>5329</v>
      </c>
      <c r="BB132" s="0" t="s">
        <v>163</v>
      </c>
      <c r="BD132" s="0" t="s">
        <v>168</v>
      </c>
      <c r="BE132" s="0" t="s">
        <v>7632</v>
      </c>
      <c r="BF132" s="0" t="s">
        <v>168</v>
      </c>
      <c r="BG132" s="0" t="s">
        <v>162</v>
      </c>
      <c r="BH132" s="0" t="s">
        <v>163</v>
      </c>
      <c r="BJ132" s="0" t="s">
        <v>163</v>
      </c>
      <c r="BK132" s="0" t="s">
        <v>162</v>
      </c>
      <c r="BL132" s="0" t="s">
        <v>162</v>
      </c>
      <c r="BN132" s="0" t="n">
        <v>0</v>
      </c>
      <c r="BO132" s="0" t="s">
        <v>168</v>
      </c>
      <c r="BP132" s="0" t="n">
        <v>1</v>
      </c>
      <c r="BQ132" s="0" t="s">
        <v>4637</v>
      </c>
      <c r="BS132" s="0" t="s">
        <v>4981</v>
      </c>
      <c r="BT132" s="0" t="s">
        <v>7633</v>
      </c>
      <c r="BU132" s="0" t="s">
        <v>158</v>
      </c>
      <c r="BX132" s="0" t="s">
        <v>7625</v>
      </c>
      <c r="BY132" s="0" t="s">
        <v>7634</v>
      </c>
      <c r="CF132" s="0" t="s">
        <v>158</v>
      </c>
      <c r="CK132" s="0" t="s">
        <v>158</v>
      </c>
      <c r="CL132" s="0" t="n">
        <v>41</v>
      </c>
      <c r="CM132" s="0" t="n">
        <v>25</v>
      </c>
      <c r="CN132" s="0" t="n">
        <v>3</v>
      </c>
      <c r="CO132" s="0" t="n">
        <v>0</v>
      </c>
      <c r="CP132" s="0" t="n">
        <v>5</v>
      </c>
      <c r="CQ132" s="0" t="n">
        <v>7</v>
      </c>
      <c r="CR132" s="0" t="n">
        <v>3</v>
      </c>
      <c r="CS132" s="0" t="n">
        <f aca="false">IF(R132="Y",10,0)</f>
        <v>0</v>
      </c>
      <c r="CT132" s="0" t="n">
        <v>-2</v>
      </c>
      <c r="CU132" s="0" t="s">
        <v>163</v>
      </c>
      <c r="CV132" s="0" t="s">
        <v>4841</v>
      </c>
      <c r="CW132" s="0" t="s">
        <v>7635</v>
      </c>
      <c r="CX132" s="0" t="s">
        <v>7636</v>
      </c>
      <c r="DA132" s="0" t="s">
        <v>6234</v>
      </c>
      <c r="DE132" s="0" t="s">
        <v>7637</v>
      </c>
      <c r="DY132" s="0" t="str">
        <f aca="false">IF(ISNUMBER(MATCH(U132,{"queued","contacted","replied","call_booked","call_done","yes_in_principle","materials_sent"},0)),"Y","N")</f>
        <v>N</v>
      </c>
      <c r="DZ132" s="0" t="str">
        <f aca="false">IF(COUNTIFS($AN$2:$AN$1000,AN132,$DY$2:$DY$1000,"Y")+COUNTIFS($AN$2:$AN$1000,AN132,$T$2:$T$1000,"Y")&gt;0,"Y","N")</f>
        <v>N</v>
      </c>
      <c r="EA132" s="0" t="str">
        <f aca="false">IF(AND(U132="new",T132="N",AR132="Y",AQ132="",DZ132="N"),"Y","N")</f>
        <v>Y</v>
      </c>
      <c r="EB132" s="0" t="str">
        <f aca="false">IF(EA132&lt;&gt;"Y","N",IF(COUNTIFS($AN$2:$AN$1000,AN132,$EA$2:$EA$1000,"Y",$J$2:$J$1000,"&gt;"&amp;J132)+COUNTIFS($AN$2:$AN$1000,AN132,$EA$2:$EA$1000,"Y",$J$2:$J$1000,J132,$ED$2:$ED$1000,"&lt;"&amp;ED132)=0,"Y","N"))</f>
        <v>Y</v>
      </c>
      <c r="EC132" s="0" t="str">
        <f aca="false">IF(Y132="","N",IF(Y132&lt;=10,"Y","N"))</f>
        <v>N</v>
      </c>
      <c r="ED132" s="0" t="n">
        <f aca="false">ROW()-1</f>
        <v>131</v>
      </c>
    </row>
    <row r="133" customFormat="false" ht="15" hidden="false" customHeight="false" outlineLevel="0" collapsed="false">
      <c r="A133" s="0" t="s">
        <v>7638</v>
      </c>
      <c r="B133" s="0" t="s">
        <v>7639</v>
      </c>
      <c r="C133" s="0" t="s">
        <v>7640</v>
      </c>
      <c r="D133" s="0" t="s">
        <v>7641</v>
      </c>
      <c r="E133" s="0" t="s">
        <v>4625</v>
      </c>
      <c r="H133" s="5" t="s">
        <v>158</v>
      </c>
      <c r="I133" s="5" t="s">
        <v>159</v>
      </c>
      <c r="J133" s="0" t="n">
        <f aca="false">IF(AU133="pass",CM133+CN133+CO133+CP133+CQ133+CR133+CS133+CT133,0)</f>
        <v>41</v>
      </c>
      <c r="K133" s="0" t="s">
        <v>7642</v>
      </c>
      <c r="M133" s="0" t="s">
        <v>5291</v>
      </c>
      <c r="N133" s="0" t="s">
        <v>598</v>
      </c>
      <c r="O133" s="0" t="s">
        <v>7643</v>
      </c>
      <c r="P133" s="0" t="s">
        <v>7644</v>
      </c>
      <c r="Q133" s="0" t="s">
        <v>7645</v>
      </c>
      <c r="R133" s="5" t="s">
        <v>162</v>
      </c>
      <c r="S133" s="0" t="s">
        <v>168</v>
      </c>
      <c r="T133" s="5" t="s">
        <v>162</v>
      </c>
      <c r="U133" s="5" t="s">
        <v>561</v>
      </c>
      <c r="V133" s="0" t="s">
        <v>7646</v>
      </c>
      <c r="W133" s="0" t="s">
        <v>166</v>
      </c>
      <c r="X133" s="0" t="s">
        <v>4585</v>
      </c>
      <c r="Y133" s="0" t="n">
        <f aca="false">IF(EB133&lt;&gt;"Y","",COUNTIFS($EB$2:$EB$1000,"Y",$J$2:$J$1000,"&gt;"&amp;J133)+COUNTIFS($EB$2:$EB$1000,"Y",$J$2:$J$1000,J133,$ED$2:$ED$1000,"&lt;"&amp;ED133)+1)</f>
        <v>112</v>
      </c>
      <c r="Z133" s="0" t="n">
        <v>132</v>
      </c>
      <c r="AA133" s="0" t="s">
        <v>162</v>
      </c>
      <c r="AB133" s="0" t="s">
        <v>7647</v>
      </c>
      <c r="AC133" s="0" t="s">
        <v>4587</v>
      </c>
      <c r="AD133" s="0" t="s">
        <v>171</v>
      </c>
      <c r="AE133" s="0" t="s">
        <v>172</v>
      </c>
      <c r="AF133" s="0" t="s">
        <v>7646</v>
      </c>
      <c r="AG133" s="0" t="s">
        <v>166</v>
      </c>
      <c r="AH133" s="0" t="s">
        <v>7648</v>
      </c>
      <c r="AI133" s="0" t="s">
        <v>5461</v>
      </c>
      <c r="AJ133" s="0" t="s">
        <v>5354</v>
      </c>
      <c r="AK133" s="0" t="s">
        <v>7649</v>
      </c>
      <c r="AL133" s="0" t="s">
        <v>168</v>
      </c>
      <c r="AM133" s="0" t="s">
        <v>7650</v>
      </c>
      <c r="AN133" s="0" t="s">
        <v>7638</v>
      </c>
      <c r="AO133" s="5" t="s">
        <v>162</v>
      </c>
      <c r="AR133" s="0" t="str">
        <f aca="false">IF(AND(AU133="pass",AO133&lt;&gt;"Y",C133&lt;&gt;""),"Y","N")</f>
        <v>Y</v>
      </c>
      <c r="AS133" s="0" t="str">
        <f aca="false">_xlfn.TEXTJOIN("; ",TRUE(),IF(AU133&lt;&gt;"pass","gated out",""),IF(AO133="Y","on hold: "&amp;AP133,""),IF(C133="","no contact named on an opened page",""))</f>
        <v/>
      </c>
      <c r="AU133" s="0" t="s">
        <v>181</v>
      </c>
      <c r="AW133" s="0" t="s">
        <v>182</v>
      </c>
      <c r="AX133" s="0" t="s">
        <v>4594</v>
      </c>
      <c r="AY133" s="0" t="s">
        <v>7649</v>
      </c>
      <c r="AZ133" s="0" t="s">
        <v>5356</v>
      </c>
      <c r="BA133" s="0" t="s">
        <v>5329</v>
      </c>
      <c r="BB133" s="0" t="s">
        <v>163</v>
      </c>
      <c r="BD133" s="0" t="s">
        <v>168</v>
      </c>
      <c r="BE133" s="0" t="s">
        <v>7651</v>
      </c>
      <c r="BF133" s="0" t="s">
        <v>168</v>
      </c>
      <c r="BG133" s="0" t="s">
        <v>168</v>
      </c>
      <c r="BH133" s="0" t="s">
        <v>163</v>
      </c>
      <c r="BJ133" s="0" t="s">
        <v>163</v>
      </c>
      <c r="BK133" s="0" t="s">
        <v>162</v>
      </c>
      <c r="BL133" s="0" t="s">
        <v>162</v>
      </c>
      <c r="BO133" s="0" t="s">
        <v>162</v>
      </c>
      <c r="BP133" s="0" t="n">
        <v>0</v>
      </c>
      <c r="BS133" s="0" t="s">
        <v>7652</v>
      </c>
      <c r="BT133" s="0" t="s">
        <v>7653</v>
      </c>
      <c r="BU133" s="0" t="s">
        <v>4604</v>
      </c>
      <c r="BV133" s="0" t="n">
        <v>87</v>
      </c>
      <c r="BW133" s="0" t="s">
        <v>7644</v>
      </c>
      <c r="BX133" s="0" t="s">
        <v>7654</v>
      </c>
      <c r="BY133" s="0" t="s">
        <v>7655</v>
      </c>
      <c r="CA133" s="0" t="s">
        <v>5888</v>
      </c>
      <c r="CB133" s="0" t="s">
        <v>5888</v>
      </c>
      <c r="CC133" s="0" t="s">
        <v>163</v>
      </c>
      <c r="CD133" s="0" t="s">
        <v>4625</v>
      </c>
      <c r="CE133" s="0" t="s">
        <v>6723</v>
      </c>
      <c r="CF133" s="0" t="s">
        <v>5008</v>
      </c>
      <c r="CG133" s="0" t="s">
        <v>7655</v>
      </c>
      <c r="CK133" s="0" t="s">
        <v>158</v>
      </c>
      <c r="CL133" s="0" t="n">
        <v>41</v>
      </c>
      <c r="CM133" s="0" t="n">
        <v>6</v>
      </c>
      <c r="CN133" s="0" t="n">
        <v>3</v>
      </c>
      <c r="CO133" s="0" t="n">
        <v>15</v>
      </c>
      <c r="CP133" s="0" t="n">
        <v>5</v>
      </c>
      <c r="CQ133" s="0" t="n">
        <v>10</v>
      </c>
      <c r="CR133" s="0" t="n">
        <v>6</v>
      </c>
      <c r="CS133" s="0" t="n">
        <f aca="false">IF(R133="Y",10,0)</f>
        <v>0</v>
      </c>
      <c r="CT133" s="0" t="n">
        <v>-4</v>
      </c>
      <c r="CU133" s="0" t="s">
        <v>163</v>
      </c>
      <c r="CV133" s="0" t="s">
        <v>4841</v>
      </c>
      <c r="CW133" s="0" t="s">
        <v>7656</v>
      </c>
      <c r="CX133" s="0" t="s">
        <v>7657</v>
      </c>
      <c r="CY133" s="0" t="s">
        <v>7658</v>
      </c>
      <c r="CZ133" s="0" t="s">
        <v>7646</v>
      </c>
      <c r="DA133" s="0" t="s">
        <v>6234</v>
      </c>
      <c r="DC133" s="0" t="s">
        <v>172</v>
      </c>
      <c r="DY133" s="0" t="str">
        <f aca="false">IF(ISNUMBER(MATCH(U133,{"queued","contacted","replied","call_booked","call_done","yes_in_principle","materials_sent"},0)),"Y","N")</f>
        <v>N</v>
      </c>
      <c r="DZ133" s="0" t="str">
        <f aca="false">IF(COUNTIFS($AN$2:$AN$1000,AN133,$DY$2:$DY$1000,"Y")+COUNTIFS($AN$2:$AN$1000,AN133,$T$2:$T$1000,"Y")&gt;0,"Y","N")</f>
        <v>N</v>
      </c>
      <c r="EA133" s="0" t="str">
        <f aca="false">IF(AND(U133="new",T133="N",AR133="Y",AQ133="",DZ133="N"),"Y","N")</f>
        <v>Y</v>
      </c>
      <c r="EB133" s="0" t="str">
        <f aca="false">IF(EA133&lt;&gt;"Y","N",IF(COUNTIFS($AN$2:$AN$1000,AN133,$EA$2:$EA$1000,"Y",$J$2:$J$1000,"&gt;"&amp;J133)+COUNTIFS($AN$2:$AN$1000,AN133,$EA$2:$EA$1000,"Y",$J$2:$J$1000,J133,$ED$2:$ED$1000,"&lt;"&amp;ED133)=0,"Y","N"))</f>
        <v>Y</v>
      </c>
      <c r="EC133" s="0" t="str">
        <f aca="false">IF(Y133="","N",IF(Y133&lt;=10,"Y","N"))</f>
        <v>N</v>
      </c>
      <c r="ED133" s="0" t="n">
        <f aca="false">ROW()-1</f>
        <v>132</v>
      </c>
    </row>
    <row r="134" customFormat="false" ht="15" hidden="false" customHeight="false" outlineLevel="0" collapsed="false">
      <c r="A134" s="0" t="s">
        <v>7659</v>
      </c>
      <c r="B134" s="0" t="s">
        <v>7660</v>
      </c>
      <c r="C134" s="0" t="s">
        <v>7661</v>
      </c>
      <c r="D134" s="0" t="s">
        <v>3193</v>
      </c>
      <c r="E134" s="0" t="s">
        <v>4771</v>
      </c>
      <c r="H134" s="5" t="s">
        <v>158</v>
      </c>
      <c r="I134" s="5" t="s">
        <v>159</v>
      </c>
      <c r="J134" s="0" t="n">
        <f aca="false">IF(AU134="pass",CM134+CN134+CO134+CP134+CQ134+CR134+CS134+CT134,0)</f>
        <v>41</v>
      </c>
      <c r="K134" s="0" t="s">
        <v>7662</v>
      </c>
      <c r="M134" s="0" t="s">
        <v>5291</v>
      </c>
      <c r="N134" s="0" t="s">
        <v>598</v>
      </c>
      <c r="O134" s="0" t="s">
        <v>7663</v>
      </c>
      <c r="P134" s="0" t="s">
        <v>7664</v>
      </c>
      <c r="Q134" s="0" t="s">
        <v>3387</v>
      </c>
      <c r="R134" s="5" t="s">
        <v>162</v>
      </c>
      <c r="S134" s="0" t="s">
        <v>163</v>
      </c>
      <c r="T134" s="5" t="s">
        <v>162</v>
      </c>
      <c r="U134" s="5" t="s">
        <v>561</v>
      </c>
      <c r="V134" s="0" t="s">
        <v>7665</v>
      </c>
      <c r="W134" s="0" t="s">
        <v>166</v>
      </c>
      <c r="X134" s="0" t="s">
        <v>4585</v>
      </c>
      <c r="Y134" s="0" t="n">
        <f aca="false">IF(EB134&lt;&gt;"Y","",COUNTIFS($EB$2:$EB$1000,"Y",$J$2:$J$1000,"&gt;"&amp;J134)+COUNTIFS($EB$2:$EB$1000,"Y",$J$2:$J$1000,J134,$ED$2:$ED$1000,"&lt;"&amp;ED134)+1)</f>
        <v>113</v>
      </c>
      <c r="Z134" s="0" t="n">
        <v>133</v>
      </c>
      <c r="AA134" s="0" t="s">
        <v>162</v>
      </c>
      <c r="AB134" s="0" t="s">
        <v>7666</v>
      </c>
      <c r="AC134" s="0" t="s">
        <v>4587</v>
      </c>
      <c r="AD134" s="0" t="s">
        <v>171</v>
      </c>
      <c r="AE134" s="0" t="s">
        <v>1189</v>
      </c>
      <c r="AF134" s="0" t="s">
        <v>7667</v>
      </c>
      <c r="AG134" s="0" t="s">
        <v>166</v>
      </c>
      <c r="AH134" s="0" t="s">
        <v>7668</v>
      </c>
      <c r="AI134" s="0" t="s">
        <v>5736</v>
      </c>
      <c r="AJ134" s="0" t="s">
        <v>2954</v>
      </c>
      <c r="AK134" s="0" t="s">
        <v>7669</v>
      </c>
      <c r="AL134" s="0" t="s">
        <v>168</v>
      </c>
      <c r="AM134" s="0" t="s">
        <v>7670</v>
      </c>
      <c r="AN134" s="0" t="s">
        <v>7659</v>
      </c>
      <c r="AO134" s="5" t="s">
        <v>162</v>
      </c>
      <c r="AR134" s="0" t="str">
        <f aca="false">IF(AND(AU134="pass",AO134&lt;&gt;"Y",C134&lt;&gt;""),"Y","N")</f>
        <v>Y</v>
      </c>
      <c r="AS134" s="0" t="str">
        <f aca="false">_xlfn.TEXTJOIN("; ",TRUE(),IF(AU134&lt;&gt;"pass","gated out",""),IF(AO134="Y","on hold: "&amp;AP134,""),IF(C134="","no contact named on an opened page",""))</f>
        <v/>
      </c>
      <c r="AU134" s="0" t="s">
        <v>181</v>
      </c>
      <c r="AW134" s="0" t="s">
        <v>182</v>
      </c>
      <c r="AX134" s="0" t="s">
        <v>4594</v>
      </c>
      <c r="AY134" s="0" t="s">
        <v>7669</v>
      </c>
      <c r="AZ134" s="0" t="s">
        <v>5657</v>
      </c>
      <c r="BA134" s="0" t="s">
        <v>5329</v>
      </c>
      <c r="BB134" s="0" t="s">
        <v>163</v>
      </c>
      <c r="BD134" s="0" t="s">
        <v>168</v>
      </c>
      <c r="BE134" s="0" t="s">
        <v>7671</v>
      </c>
      <c r="BF134" s="0" t="s">
        <v>168</v>
      </c>
      <c r="BG134" s="0" t="s">
        <v>168</v>
      </c>
      <c r="BH134" s="0" t="s">
        <v>163</v>
      </c>
      <c r="BJ134" s="0" t="s">
        <v>5549</v>
      </c>
      <c r="BK134" s="0" t="s">
        <v>162</v>
      </c>
      <c r="BL134" s="0" t="s">
        <v>162</v>
      </c>
      <c r="BO134" s="0" t="s">
        <v>162</v>
      </c>
      <c r="BP134" s="0" t="n">
        <v>0</v>
      </c>
      <c r="BS134" s="0" t="s">
        <v>7672</v>
      </c>
      <c r="BT134" s="0" t="s">
        <v>7673</v>
      </c>
      <c r="BU134" s="0" t="s">
        <v>4604</v>
      </c>
      <c r="BV134" s="0" t="n">
        <v>137</v>
      </c>
      <c r="BX134" s="0" t="s">
        <v>7674</v>
      </c>
      <c r="CF134" s="0" t="s">
        <v>158</v>
      </c>
      <c r="CK134" s="0" t="s">
        <v>158</v>
      </c>
      <c r="CL134" s="0" t="n">
        <v>41</v>
      </c>
      <c r="CM134" s="0" t="n">
        <v>6</v>
      </c>
      <c r="CN134" s="0" t="n">
        <v>3</v>
      </c>
      <c r="CO134" s="0" t="n">
        <v>15</v>
      </c>
      <c r="CP134" s="0" t="n">
        <v>5</v>
      </c>
      <c r="CQ134" s="0" t="n">
        <v>10</v>
      </c>
      <c r="CR134" s="0" t="n">
        <v>6</v>
      </c>
      <c r="CS134" s="0" t="n">
        <f aca="false">IF(R134="Y",10,0)</f>
        <v>0</v>
      </c>
      <c r="CT134" s="0" t="n">
        <v>-4</v>
      </c>
      <c r="CU134" s="0" t="s">
        <v>7675</v>
      </c>
      <c r="CV134" s="0" t="s">
        <v>5562</v>
      </c>
      <c r="CW134" s="0" t="s">
        <v>7676</v>
      </c>
      <c r="CX134" s="0" t="s">
        <v>7677</v>
      </c>
      <c r="CY134" s="0" t="s">
        <v>7678</v>
      </c>
      <c r="DA134" s="0" t="s">
        <v>6234</v>
      </c>
      <c r="DY134" s="0" t="str">
        <f aca="false">IF(ISNUMBER(MATCH(U134,{"queued","contacted","replied","call_booked","call_done","yes_in_principle","materials_sent"},0)),"Y","N")</f>
        <v>N</v>
      </c>
      <c r="DZ134" s="0" t="str">
        <f aca="false">IF(COUNTIFS($AN$2:$AN$1000,AN134,$DY$2:$DY$1000,"Y")+COUNTIFS($AN$2:$AN$1000,AN134,$T$2:$T$1000,"Y")&gt;0,"Y","N")</f>
        <v>N</v>
      </c>
      <c r="EA134" s="0" t="str">
        <f aca="false">IF(AND(U134="new",T134="N",AR134="Y",AQ134="",DZ134="N"),"Y","N")</f>
        <v>Y</v>
      </c>
      <c r="EB134" s="0" t="str">
        <f aca="false">IF(EA134&lt;&gt;"Y","N",IF(COUNTIFS($AN$2:$AN$1000,AN134,$EA$2:$EA$1000,"Y",$J$2:$J$1000,"&gt;"&amp;J134)+COUNTIFS($AN$2:$AN$1000,AN134,$EA$2:$EA$1000,"Y",$J$2:$J$1000,J134,$ED$2:$ED$1000,"&lt;"&amp;ED134)=0,"Y","N"))</f>
        <v>Y</v>
      </c>
      <c r="EC134" s="0" t="str">
        <f aca="false">IF(Y134="","N",IF(Y134&lt;=10,"Y","N"))</f>
        <v>N</v>
      </c>
      <c r="ED134" s="0" t="n">
        <f aca="false">ROW()-1</f>
        <v>133</v>
      </c>
    </row>
    <row r="135" customFormat="false" ht="15" hidden="false" customHeight="false" outlineLevel="0" collapsed="false">
      <c r="A135" s="0" t="s">
        <v>7679</v>
      </c>
      <c r="B135" s="0" t="s">
        <v>7680</v>
      </c>
      <c r="C135" s="0" t="s">
        <v>4837</v>
      </c>
      <c r="D135" s="0" t="s">
        <v>7681</v>
      </c>
      <c r="E135" s="0" t="s">
        <v>4771</v>
      </c>
      <c r="H135" s="5" t="s">
        <v>158</v>
      </c>
      <c r="I135" s="5" t="s">
        <v>159</v>
      </c>
      <c r="J135" s="0" t="n">
        <f aca="false">IF(AU135="pass",CM135+CN135+CO135+CP135+CQ135+CR135+CS135+CT135,0)</f>
        <v>41</v>
      </c>
      <c r="K135" s="0" t="s">
        <v>7682</v>
      </c>
      <c r="M135" s="0" t="s">
        <v>5291</v>
      </c>
      <c r="N135" s="0" t="s">
        <v>598</v>
      </c>
      <c r="O135" s="0" t="s">
        <v>7683</v>
      </c>
      <c r="P135" s="0" t="s">
        <v>7684</v>
      </c>
      <c r="Q135" s="0" t="s">
        <v>7685</v>
      </c>
      <c r="R135" s="5" t="s">
        <v>162</v>
      </c>
      <c r="S135" s="0" t="s">
        <v>163</v>
      </c>
      <c r="T135" s="5" t="s">
        <v>162</v>
      </c>
      <c r="U135" s="5" t="s">
        <v>561</v>
      </c>
      <c r="V135" s="0" t="s">
        <v>7686</v>
      </c>
      <c r="W135" s="0" t="s">
        <v>174</v>
      </c>
      <c r="X135" s="0" t="s">
        <v>4585</v>
      </c>
      <c r="Y135" s="0" t="n">
        <f aca="false">IF(EB135&lt;&gt;"Y","",COUNTIFS($EB$2:$EB$1000,"Y",$J$2:$J$1000,"&gt;"&amp;J135)+COUNTIFS($EB$2:$EB$1000,"Y",$J$2:$J$1000,J135,$ED$2:$ED$1000,"&lt;"&amp;ED135)+1)</f>
        <v>114</v>
      </c>
      <c r="Z135" s="0" t="n">
        <v>134</v>
      </c>
      <c r="AA135" s="0" t="s">
        <v>162</v>
      </c>
      <c r="AB135" s="0" t="s">
        <v>7687</v>
      </c>
      <c r="AC135" s="0" t="s">
        <v>4587</v>
      </c>
      <c r="AD135" s="0" t="s">
        <v>171</v>
      </c>
      <c r="AE135" s="0" t="s">
        <v>1189</v>
      </c>
      <c r="AF135" s="0" t="s">
        <v>7686</v>
      </c>
      <c r="AG135" s="0" t="s">
        <v>174</v>
      </c>
      <c r="AH135" s="0" t="s">
        <v>7688</v>
      </c>
      <c r="AI135" s="0" t="s">
        <v>4664</v>
      </c>
      <c r="AJ135" s="0" t="s">
        <v>7689</v>
      </c>
      <c r="AK135" s="0" t="s">
        <v>7690</v>
      </c>
      <c r="AL135" s="0" t="s">
        <v>168</v>
      </c>
      <c r="AM135" s="0" t="s">
        <v>7691</v>
      </c>
      <c r="AN135" s="0" t="s">
        <v>7679</v>
      </c>
      <c r="AO135" s="5" t="s">
        <v>162</v>
      </c>
      <c r="AR135" s="0" t="str">
        <f aca="false">IF(AND(AU135="pass",AO135&lt;&gt;"Y",C135&lt;&gt;""),"Y","N")</f>
        <v>Y</v>
      </c>
      <c r="AS135" s="0" t="str">
        <f aca="false">_xlfn.TEXTJOIN("; ",TRUE(),IF(AU135&lt;&gt;"pass","gated out",""),IF(AO135="Y","on hold: "&amp;AP135,""),IF(C135="","no contact named on an opened page",""))</f>
        <v/>
      </c>
      <c r="AU135" s="0" t="s">
        <v>181</v>
      </c>
      <c r="AW135" s="0" t="s">
        <v>182</v>
      </c>
      <c r="AX135" s="0" t="s">
        <v>282</v>
      </c>
      <c r="AY135" s="0" t="s">
        <v>7690</v>
      </c>
      <c r="AZ135" s="0" t="s">
        <v>7692</v>
      </c>
      <c r="BA135" s="0" t="s">
        <v>5191</v>
      </c>
      <c r="BB135" s="0" t="s">
        <v>163</v>
      </c>
      <c r="BD135" s="0" t="s">
        <v>168</v>
      </c>
      <c r="BE135" s="0" t="s">
        <v>7693</v>
      </c>
      <c r="BF135" s="0" t="s">
        <v>168</v>
      </c>
      <c r="BG135" s="0" t="s">
        <v>168</v>
      </c>
      <c r="BH135" s="0" t="s">
        <v>163</v>
      </c>
      <c r="BJ135" s="0" t="s">
        <v>5143</v>
      </c>
      <c r="BK135" s="0" t="s">
        <v>162</v>
      </c>
      <c r="BL135" s="0" t="s">
        <v>162</v>
      </c>
      <c r="BO135" s="0" t="s">
        <v>162</v>
      </c>
      <c r="BP135" s="0" t="n">
        <v>0</v>
      </c>
      <c r="BR135" s="0" t="s">
        <v>7694</v>
      </c>
      <c r="BS135" s="0" t="s">
        <v>7695</v>
      </c>
      <c r="BT135" s="0" t="s">
        <v>7696</v>
      </c>
      <c r="BU135" s="0" t="s">
        <v>4694</v>
      </c>
      <c r="BV135" s="0" t="n">
        <v>14</v>
      </c>
      <c r="BX135" s="0" t="s">
        <v>7697</v>
      </c>
      <c r="CA135" s="0" t="s">
        <v>7698</v>
      </c>
      <c r="CB135" s="0" t="s">
        <v>7699</v>
      </c>
      <c r="CC135" s="0" t="s">
        <v>7681</v>
      </c>
      <c r="CD135" s="0" t="s">
        <v>4771</v>
      </c>
      <c r="CE135" s="0" t="s">
        <v>6723</v>
      </c>
      <c r="CF135" s="0" t="s">
        <v>171</v>
      </c>
      <c r="CK135" s="0" t="s">
        <v>158</v>
      </c>
      <c r="CL135" s="0" t="n">
        <v>41</v>
      </c>
      <c r="CM135" s="0" t="n">
        <v>6</v>
      </c>
      <c r="CN135" s="0" t="n">
        <v>8</v>
      </c>
      <c r="CO135" s="0" t="n">
        <v>8</v>
      </c>
      <c r="CP135" s="0" t="n">
        <v>5</v>
      </c>
      <c r="CQ135" s="0" t="n">
        <v>10</v>
      </c>
      <c r="CR135" s="0" t="n">
        <v>6</v>
      </c>
      <c r="CS135" s="0" t="n">
        <f aca="false">IF(R135="Y",10,0)</f>
        <v>0</v>
      </c>
      <c r="CT135" s="0" t="n">
        <v>-2</v>
      </c>
      <c r="CU135" s="0" t="s">
        <v>7700</v>
      </c>
      <c r="CV135" s="0" t="s">
        <v>5150</v>
      </c>
      <c r="CW135" s="0" t="s">
        <v>7701</v>
      </c>
      <c r="CX135" s="0" t="s">
        <v>7702</v>
      </c>
      <c r="CZ135" s="0" t="s">
        <v>7686</v>
      </c>
      <c r="DA135" s="0" t="s">
        <v>6234</v>
      </c>
      <c r="DC135" s="0" t="s">
        <v>1189</v>
      </c>
      <c r="DY135" s="0" t="str">
        <f aca="false">IF(ISNUMBER(MATCH(U135,{"queued","contacted","replied","call_booked","call_done","yes_in_principle","materials_sent"},0)),"Y","N")</f>
        <v>N</v>
      </c>
      <c r="DZ135" s="0" t="str">
        <f aca="false">IF(COUNTIFS($AN$2:$AN$1000,AN135,$DY$2:$DY$1000,"Y")+COUNTIFS($AN$2:$AN$1000,AN135,$T$2:$T$1000,"Y")&gt;0,"Y","N")</f>
        <v>N</v>
      </c>
      <c r="EA135" s="0" t="str">
        <f aca="false">IF(AND(U135="new",T135="N",AR135="Y",AQ135="",DZ135="N"),"Y","N")</f>
        <v>Y</v>
      </c>
      <c r="EB135" s="0" t="str">
        <f aca="false">IF(EA135&lt;&gt;"Y","N",IF(COUNTIFS($AN$2:$AN$1000,AN135,$EA$2:$EA$1000,"Y",$J$2:$J$1000,"&gt;"&amp;J135)+COUNTIFS($AN$2:$AN$1000,AN135,$EA$2:$EA$1000,"Y",$J$2:$J$1000,J135,$ED$2:$ED$1000,"&lt;"&amp;ED135)=0,"Y","N"))</f>
        <v>Y</v>
      </c>
      <c r="EC135" s="0" t="str">
        <f aca="false">IF(Y135="","N",IF(Y135&lt;=10,"Y","N"))</f>
        <v>N</v>
      </c>
      <c r="ED135" s="0" t="n">
        <f aca="false">ROW()-1</f>
        <v>134</v>
      </c>
    </row>
    <row r="136" customFormat="false" ht="15" hidden="false" customHeight="false" outlineLevel="0" collapsed="false">
      <c r="A136" s="0" t="s">
        <v>7703</v>
      </c>
      <c r="B136" s="0" t="s">
        <v>7704</v>
      </c>
      <c r="C136" s="0" t="s">
        <v>7705</v>
      </c>
      <c r="D136" s="0" t="s">
        <v>7706</v>
      </c>
      <c r="E136" s="0" t="s">
        <v>7707</v>
      </c>
      <c r="H136" s="5" t="s">
        <v>158</v>
      </c>
      <c r="I136" s="5" t="s">
        <v>159</v>
      </c>
      <c r="J136" s="0" t="n">
        <f aca="false">IF(AU136="pass",CM136+CN136+CO136+CP136+CQ136+CR136+CS136+CT136,0)</f>
        <v>41</v>
      </c>
      <c r="K136" s="0" t="s">
        <v>7708</v>
      </c>
      <c r="M136" s="0" t="s">
        <v>5291</v>
      </c>
      <c r="N136" s="0" t="s">
        <v>598</v>
      </c>
      <c r="O136" s="0" t="s">
        <v>7709</v>
      </c>
      <c r="P136" s="0" t="s">
        <v>7710</v>
      </c>
      <c r="Q136" s="0" t="s">
        <v>5990</v>
      </c>
      <c r="R136" s="5" t="s">
        <v>162</v>
      </c>
      <c r="S136" s="0" t="s">
        <v>163</v>
      </c>
      <c r="T136" s="5" t="s">
        <v>162</v>
      </c>
      <c r="U136" s="5" t="s">
        <v>561</v>
      </c>
      <c r="V136" s="0" t="s">
        <v>7711</v>
      </c>
      <c r="W136" s="0" t="s">
        <v>166</v>
      </c>
      <c r="X136" s="0" t="s">
        <v>4585</v>
      </c>
      <c r="Y136" s="0" t="n">
        <f aca="false">IF(EB136&lt;&gt;"Y","",COUNTIFS($EB$2:$EB$1000,"Y",$J$2:$J$1000,"&gt;"&amp;J136)+COUNTIFS($EB$2:$EB$1000,"Y",$J$2:$J$1000,J136,$ED$2:$ED$1000,"&lt;"&amp;ED136)+1)</f>
        <v>115</v>
      </c>
      <c r="Z136" s="0" t="n">
        <v>135</v>
      </c>
      <c r="AA136" s="0" t="s">
        <v>162</v>
      </c>
      <c r="AB136" s="0" t="s">
        <v>7712</v>
      </c>
      <c r="AC136" s="0" t="s">
        <v>4587</v>
      </c>
      <c r="AD136" s="0" t="s">
        <v>171</v>
      </c>
      <c r="AE136" s="0" t="s">
        <v>172</v>
      </c>
      <c r="AF136" s="0" t="s">
        <v>7713</v>
      </c>
      <c r="AG136" s="0" t="s">
        <v>166</v>
      </c>
      <c r="AH136" s="0" t="s">
        <v>7714</v>
      </c>
      <c r="AI136" s="0" t="s">
        <v>5763</v>
      </c>
      <c r="AJ136" s="0" t="s">
        <v>7715</v>
      </c>
      <c r="AK136" s="0" t="s">
        <v>7716</v>
      </c>
      <c r="AL136" s="0" t="s">
        <v>168</v>
      </c>
      <c r="AM136" s="0" t="s">
        <v>7717</v>
      </c>
      <c r="AN136" s="0" t="s">
        <v>7703</v>
      </c>
      <c r="AO136" s="5" t="s">
        <v>162</v>
      </c>
      <c r="AR136" s="0" t="str">
        <f aca="false">IF(AND(AU136="pass",AO136&lt;&gt;"Y",C136&lt;&gt;""),"Y","N")</f>
        <v>Y</v>
      </c>
      <c r="AS136" s="0" t="str">
        <f aca="false">_xlfn.TEXTJOIN("; ",TRUE(),IF(AU136&lt;&gt;"pass","gated out",""),IF(AO136="Y","on hold: "&amp;AP136,""),IF(C136="","no contact named on an opened page",""))</f>
        <v/>
      </c>
      <c r="AU136" s="0" t="s">
        <v>181</v>
      </c>
      <c r="AW136" s="0" t="s">
        <v>182</v>
      </c>
      <c r="AX136" s="0" t="s">
        <v>4594</v>
      </c>
      <c r="AY136" s="0" t="s">
        <v>7718</v>
      </c>
      <c r="AZ136" s="0" t="s">
        <v>4595</v>
      </c>
      <c r="BA136" s="0" t="s">
        <v>4951</v>
      </c>
      <c r="BB136" s="0" t="s">
        <v>7719</v>
      </c>
      <c r="BC136" s="0" t="s">
        <v>7713</v>
      </c>
      <c r="BD136" s="0" t="s">
        <v>163</v>
      </c>
      <c r="BE136" s="0" t="s">
        <v>7720</v>
      </c>
      <c r="BF136" s="0" t="s">
        <v>168</v>
      </c>
      <c r="BG136" s="0" t="s">
        <v>168</v>
      </c>
      <c r="BH136" s="0" t="s">
        <v>163</v>
      </c>
      <c r="BJ136" s="0" t="s">
        <v>5549</v>
      </c>
      <c r="BK136" s="0" t="s">
        <v>162</v>
      </c>
      <c r="BL136" s="0" t="s">
        <v>162</v>
      </c>
      <c r="BO136" s="0" t="s">
        <v>162</v>
      </c>
      <c r="BP136" s="0" t="n">
        <v>0</v>
      </c>
      <c r="BS136" s="0" t="s">
        <v>7721</v>
      </c>
      <c r="BU136" s="0" t="s">
        <v>4694</v>
      </c>
      <c r="BV136" s="0" t="n">
        <v>120</v>
      </c>
      <c r="BX136" s="0" t="s">
        <v>7722</v>
      </c>
      <c r="CF136" s="0" t="s">
        <v>158</v>
      </c>
      <c r="CK136" s="0" t="s">
        <v>158</v>
      </c>
      <c r="CL136" s="0" t="n">
        <v>41</v>
      </c>
      <c r="CM136" s="0" t="n">
        <v>6</v>
      </c>
      <c r="CN136" s="0" t="n">
        <v>13</v>
      </c>
      <c r="CO136" s="0" t="n">
        <v>8</v>
      </c>
      <c r="CP136" s="0" t="n">
        <v>5</v>
      </c>
      <c r="CQ136" s="0" t="n">
        <v>7</v>
      </c>
      <c r="CR136" s="0" t="n">
        <v>6</v>
      </c>
      <c r="CS136" s="0" t="n">
        <f aca="false">IF(R136="Y",10,0)</f>
        <v>0</v>
      </c>
      <c r="CT136" s="0" t="n">
        <v>-4</v>
      </c>
      <c r="CU136" s="0" t="s">
        <v>7723</v>
      </c>
      <c r="CV136" s="0" t="s">
        <v>5562</v>
      </c>
      <c r="CW136" s="0" t="s">
        <v>7724</v>
      </c>
      <c r="CX136" s="0" t="s">
        <v>7725</v>
      </c>
      <c r="CY136" s="0" t="s">
        <v>7726</v>
      </c>
      <c r="DA136" s="0" t="s">
        <v>6234</v>
      </c>
      <c r="DY136" s="0" t="str">
        <f aca="false">IF(ISNUMBER(MATCH(U136,{"queued","contacted","replied","call_booked","call_done","yes_in_principle","materials_sent"},0)),"Y","N")</f>
        <v>N</v>
      </c>
      <c r="DZ136" s="0" t="str">
        <f aca="false">IF(COUNTIFS($AN$2:$AN$1000,AN136,$DY$2:$DY$1000,"Y")+COUNTIFS($AN$2:$AN$1000,AN136,$T$2:$T$1000,"Y")&gt;0,"Y","N")</f>
        <v>N</v>
      </c>
      <c r="EA136" s="0" t="str">
        <f aca="false">IF(AND(U136="new",T136="N",AR136="Y",AQ136="",DZ136="N"),"Y","N")</f>
        <v>Y</v>
      </c>
      <c r="EB136" s="0" t="str">
        <f aca="false">IF(EA136&lt;&gt;"Y","N",IF(COUNTIFS($AN$2:$AN$1000,AN136,$EA$2:$EA$1000,"Y",$J$2:$J$1000,"&gt;"&amp;J136)+COUNTIFS($AN$2:$AN$1000,AN136,$EA$2:$EA$1000,"Y",$J$2:$J$1000,J136,$ED$2:$ED$1000,"&lt;"&amp;ED136)=0,"Y","N"))</f>
        <v>Y</v>
      </c>
      <c r="EC136" s="0" t="str">
        <f aca="false">IF(Y136="","N",IF(Y136&lt;=10,"Y","N"))</f>
        <v>N</v>
      </c>
      <c r="ED136" s="0" t="n">
        <f aca="false">ROW()-1</f>
        <v>135</v>
      </c>
    </row>
    <row r="137" customFormat="false" ht="15" hidden="false" customHeight="false" outlineLevel="0" collapsed="false">
      <c r="A137" s="0" t="s">
        <v>7727</v>
      </c>
      <c r="B137" s="0" t="s">
        <v>7728</v>
      </c>
      <c r="C137" s="0" t="s">
        <v>7729</v>
      </c>
      <c r="D137" s="0" t="s">
        <v>7730</v>
      </c>
      <c r="E137" s="0" t="s">
        <v>7731</v>
      </c>
      <c r="H137" s="5" t="s">
        <v>158</v>
      </c>
      <c r="I137" s="5" t="s">
        <v>159</v>
      </c>
      <c r="J137" s="0" t="n">
        <f aca="false">IF(AU137="pass",CM137+CN137+CO137+CP137+CQ137+CR137+CS137+CT137,0)</f>
        <v>41</v>
      </c>
      <c r="K137" s="0" t="s">
        <v>7732</v>
      </c>
      <c r="M137" s="0" t="s">
        <v>5291</v>
      </c>
      <c r="N137" s="0" t="s">
        <v>598</v>
      </c>
      <c r="O137" s="0" t="s">
        <v>7733</v>
      </c>
      <c r="P137" s="0" t="s">
        <v>7734</v>
      </c>
      <c r="Q137" s="0" t="s">
        <v>3528</v>
      </c>
      <c r="R137" s="5" t="s">
        <v>162</v>
      </c>
      <c r="S137" s="0" t="s">
        <v>163</v>
      </c>
      <c r="T137" s="5" t="s">
        <v>162</v>
      </c>
      <c r="U137" s="5" t="s">
        <v>561</v>
      </c>
      <c r="V137" s="0" t="s">
        <v>7734</v>
      </c>
      <c r="W137" s="0" t="s">
        <v>166</v>
      </c>
      <c r="X137" s="0" t="s">
        <v>4585</v>
      </c>
      <c r="Y137" s="0" t="n">
        <f aca="false">IF(EB137&lt;&gt;"Y","",COUNTIFS($EB$2:$EB$1000,"Y",$J$2:$J$1000,"&gt;"&amp;J137)+COUNTIFS($EB$2:$EB$1000,"Y",$J$2:$J$1000,J137,$ED$2:$ED$1000,"&lt;"&amp;ED137)+1)</f>
        <v>116</v>
      </c>
      <c r="Z137" s="0" t="n">
        <v>136</v>
      </c>
      <c r="AA137" s="0" t="s">
        <v>162</v>
      </c>
      <c r="AB137" s="0" t="s">
        <v>7735</v>
      </c>
      <c r="AC137" s="0" t="s">
        <v>4587</v>
      </c>
      <c r="AD137" s="0" t="s">
        <v>171</v>
      </c>
      <c r="AE137" s="0" t="s">
        <v>1189</v>
      </c>
      <c r="AF137" s="0" t="s">
        <v>7736</v>
      </c>
      <c r="AG137" s="0" t="s">
        <v>166</v>
      </c>
      <c r="AH137" s="0" t="s">
        <v>7737</v>
      </c>
      <c r="AI137" s="0" t="s">
        <v>4664</v>
      </c>
      <c r="AJ137" s="0" t="s">
        <v>7738</v>
      </c>
      <c r="AK137" s="0" t="s">
        <v>7739</v>
      </c>
      <c r="AL137" s="0" t="s">
        <v>168</v>
      </c>
      <c r="AM137" s="0" t="s">
        <v>7740</v>
      </c>
      <c r="AN137" s="0" t="s">
        <v>7727</v>
      </c>
      <c r="AO137" s="5" t="s">
        <v>162</v>
      </c>
      <c r="AR137" s="0" t="str">
        <f aca="false">IF(AND(AU137="pass",AO137&lt;&gt;"Y",C137&lt;&gt;""),"Y","N")</f>
        <v>Y</v>
      </c>
      <c r="AS137" s="0" t="str">
        <f aca="false">_xlfn.TEXTJOIN("; ",TRUE(),IF(AU137&lt;&gt;"pass","gated out",""),IF(AO137="Y","on hold: "&amp;AP137,""),IF(C137="","no contact named on an opened page",""))</f>
        <v/>
      </c>
      <c r="AU137" s="0" t="s">
        <v>181</v>
      </c>
      <c r="AW137" s="0" t="s">
        <v>182</v>
      </c>
      <c r="AX137" s="0" t="s">
        <v>7741</v>
      </c>
      <c r="AY137" s="0" t="s">
        <v>7739</v>
      </c>
      <c r="AZ137" s="0" t="s">
        <v>4595</v>
      </c>
      <c r="BA137" s="0" t="s">
        <v>4596</v>
      </c>
      <c r="BB137" s="0" t="s">
        <v>163</v>
      </c>
      <c r="BD137" s="0" t="s">
        <v>263</v>
      </c>
      <c r="BE137" s="0" t="s">
        <v>7742</v>
      </c>
      <c r="BF137" s="0" t="s">
        <v>163</v>
      </c>
      <c r="BG137" s="0" t="s">
        <v>168</v>
      </c>
      <c r="BH137" s="0" t="s">
        <v>163</v>
      </c>
      <c r="BJ137" s="0" t="s">
        <v>163</v>
      </c>
      <c r="BK137" s="0" t="s">
        <v>162</v>
      </c>
      <c r="BL137" s="0" t="s">
        <v>162</v>
      </c>
      <c r="BO137" s="0" t="s">
        <v>162</v>
      </c>
      <c r="BP137" s="0" t="n">
        <v>0</v>
      </c>
      <c r="BS137" s="0" t="s">
        <v>7743</v>
      </c>
      <c r="BT137" s="0" t="s">
        <v>7744</v>
      </c>
      <c r="BU137" s="0" t="s">
        <v>4694</v>
      </c>
      <c r="BV137" s="0" t="n">
        <v>37</v>
      </c>
      <c r="BX137" s="0" t="s">
        <v>7745</v>
      </c>
      <c r="CF137" s="0" t="s">
        <v>158</v>
      </c>
      <c r="CK137" s="0" t="s">
        <v>158</v>
      </c>
      <c r="CL137" s="0" t="n">
        <v>41</v>
      </c>
      <c r="CM137" s="0" t="n">
        <v>6</v>
      </c>
      <c r="CN137" s="0" t="n">
        <v>20</v>
      </c>
      <c r="CO137" s="0" t="n">
        <v>8</v>
      </c>
      <c r="CP137" s="0" t="n">
        <v>5</v>
      </c>
      <c r="CQ137" s="0" t="n">
        <v>6</v>
      </c>
      <c r="CR137" s="0" t="n">
        <v>6</v>
      </c>
      <c r="CS137" s="0" t="n">
        <f aca="false">IF(R137="Y",10,0)</f>
        <v>0</v>
      </c>
      <c r="CT137" s="0" t="n">
        <v>-10</v>
      </c>
      <c r="CU137" s="0" t="s">
        <v>7746</v>
      </c>
      <c r="CV137" s="0" t="s">
        <v>4703</v>
      </c>
      <c r="CW137" s="0" t="s">
        <v>7747</v>
      </c>
      <c r="CX137" s="0" t="s">
        <v>7748</v>
      </c>
      <c r="CY137" s="0" t="s">
        <v>7749</v>
      </c>
      <c r="DA137" s="0" t="s">
        <v>6234</v>
      </c>
      <c r="DY137" s="0" t="str">
        <f aca="false">IF(ISNUMBER(MATCH(U137,{"queued","contacted","replied","call_booked","call_done","yes_in_principle","materials_sent"},0)),"Y","N")</f>
        <v>N</v>
      </c>
      <c r="DZ137" s="0" t="str">
        <f aca="false">IF(COUNTIFS($AN$2:$AN$1000,AN137,$DY$2:$DY$1000,"Y")+COUNTIFS($AN$2:$AN$1000,AN137,$T$2:$T$1000,"Y")&gt;0,"Y","N")</f>
        <v>N</v>
      </c>
      <c r="EA137" s="0" t="str">
        <f aca="false">IF(AND(U137="new",T137="N",AR137="Y",AQ137="",DZ137="N"),"Y","N")</f>
        <v>Y</v>
      </c>
      <c r="EB137" s="0" t="str">
        <f aca="false">IF(EA137&lt;&gt;"Y","N",IF(COUNTIFS($AN$2:$AN$1000,AN137,$EA$2:$EA$1000,"Y",$J$2:$J$1000,"&gt;"&amp;J137)+COUNTIFS($AN$2:$AN$1000,AN137,$EA$2:$EA$1000,"Y",$J$2:$J$1000,J137,$ED$2:$ED$1000,"&lt;"&amp;ED137)=0,"Y","N"))</f>
        <v>Y</v>
      </c>
      <c r="EC137" s="0" t="str">
        <f aca="false">IF(Y137="","N",IF(Y137&lt;=10,"Y","N"))</f>
        <v>N</v>
      </c>
      <c r="ED137" s="0" t="n">
        <f aca="false">ROW()-1</f>
        <v>136</v>
      </c>
    </row>
    <row r="138" customFormat="false" ht="15" hidden="false" customHeight="false" outlineLevel="0" collapsed="false">
      <c r="A138" s="0" t="s">
        <v>7750</v>
      </c>
      <c r="B138" s="0" t="s">
        <v>7751</v>
      </c>
      <c r="H138" s="5" t="s">
        <v>158</v>
      </c>
      <c r="I138" s="5"/>
      <c r="J138" s="0" t="n">
        <f aca="false">IF(AU138="pass",CM138+CN138+CO138+CP138+CQ138+CR138+CS138+CT138,0)</f>
        <v>41</v>
      </c>
      <c r="K138" s="0" t="s">
        <v>7752</v>
      </c>
      <c r="M138" s="0" t="s">
        <v>5291</v>
      </c>
      <c r="N138" s="0" t="s">
        <v>598</v>
      </c>
      <c r="O138" s="0" t="s">
        <v>7753</v>
      </c>
      <c r="P138" s="0" t="s">
        <v>7754</v>
      </c>
      <c r="Q138" s="0" t="s">
        <v>7755</v>
      </c>
      <c r="R138" s="5" t="s">
        <v>162</v>
      </c>
      <c r="S138" s="0" t="s">
        <v>163</v>
      </c>
      <c r="T138" s="5" t="s">
        <v>162</v>
      </c>
      <c r="U138" s="5" t="s">
        <v>561</v>
      </c>
      <c r="V138" s="0" t="s">
        <v>7756</v>
      </c>
      <c r="W138" s="0" t="s">
        <v>174</v>
      </c>
      <c r="X138" s="0" t="s">
        <v>4585</v>
      </c>
      <c r="Y138" s="0" t="str">
        <f aca="false">IF(EB138&lt;&gt;"Y","",COUNTIFS($EB$2:$EB$1000,"Y",$J$2:$J$1000,"&gt;"&amp;J138)+COUNTIFS($EB$2:$EB$1000,"Y",$J$2:$J$1000,J138,$ED$2:$ED$1000,"&lt;"&amp;ED138)+1)</f>
        <v/>
      </c>
      <c r="Z138" s="0" t="n">
        <v>137</v>
      </c>
      <c r="AA138" s="0" t="s">
        <v>162</v>
      </c>
      <c r="AB138" s="0" t="s">
        <v>7757</v>
      </c>
      <c r="AC138" s="0" t="s">
        <v>4587</v>
      </c>
      <c r="AD138" s="0" t="s">
        <v>598</v>
      </c>
      <c r="AE138" s="0" t="s">
        <v>172</v>
      </c>
      <c r="AF138" s="0" t="s">
        <v>7758</v>
      </c>
      <c r="AG138" s="0" t="s">
        <v>174</v>
      </c>
      <c r="AH138" s="0" t="s">
        <v>7759</v>
      </c>
      <c r="AI138" s="0" t="s">
        <v>4664</v>
      </c>
      <c r="AJ138" s="0" t="s">
        <v>7760</v>
      </c>
      <c r="AK138" s="0" t="s">
        <v>7758</v>
      </c>
      <c r="AL138" s="0" t="s">
        <v>168</v>
      </c>
      <c r="AM138" s="0" t="s">
        <v>7761</v>
      </c>
      <c r="AN138" s="0" t="s">
        <v>7750</v>
      </c>
      <c r="AO138" s="5" t="s">
        <v>162</v>
      </c>
      <c r="AR138" s="0" t="str">
        <f aca="false">IF(AND(AU138="pass",AO138&lt;&gt;"Y",C138&lt;&gt;""),"Y","N")</f>
        <v>N</v>
      </c>
      <c r="AS138" s="0" t="str">
        <f aca="false">_xlfn.TEXTJOIN("; ",TRUE(),IF(AU138&lt;&gt;"pass","gated out",""),IF(AO138="Y","on hold: "&amp;AP138,""),IF(C138="","no contact named on an opened page",""))</f>
        <v>no contact named on an opened page</v>
      </c>
      <c r="AU138" s="0" t="s">
        <v>181</v>
      </c>
      <c r="AW138" s="0" t="s">
        <v>182</v>
      </c>
      <c r="AX138" s="0" t="s">
        <v>7595</v>
      </c>
      <c r="AY138" s="0" t="s">
        <v>7758</v>
      </c>
      <c r="AZ138" s="0" t="s">
        <v>4595</v>
      </c>
      <c r="BA138" s="0" t="s">
        <v>4596</v>
      </c>
      <c r="BB138" s="0" t="s">
        <v>163</v>
      </c>
      <c r="BD138" s="0" t="s">
        <v>163</v>
      </c>
      <c r="BE138" s="0" t="s">
        <v>7762</v>
      </c>
      <c r="BF138" s="0" t="s">
        <v>168</v>
      </c>
      <c r="BG138" s="0" t="s">
        <v>168</v>
      </c>
      <c r="BH138" s="0" t="s">
        <v>163</v>
      </c>
      <c r="BJ138" s="0" t="s">
        <v>5143</v>
      </c>
      <c r="BK138" s="0" t="s">
        <v>162</v>
      </c>
      <c r="BL138" s="0" t="s">
        <v>162</v>
      </c>
      <c r="BO138" s="0" t="s">
        <v>162</v>
      </c>
      <c r="BP138" s="0" t="n">
        <v>0</v>
      </c>
      <c r="BS138" s="0" t="s">
        <v>163</v>
      </c>
      <c r="BU138" s="0" t="s">
        <v>4694</v>
      </c>
      <c r="BV138" s="0" t="n">
        <v>170</v>
      </c>
      <c r="BX138" s="0" t="s">
        <v>7763</v>
      </c>
      <c r="BY138" s="0" t="s">
        <v>7764</v>
      </c>
      <c r="CF138" s="0" t="s">
        <v>158</v>
      </c>
      <c r="CK138" s="0" t="s">
        <v>158</v>
      </c>
      <c r="CL138" s="0" t="n">
        <v>41</v>
      </c>
      <c r="CM138" s="0" t="n">
        <v>6</v>
      </c>
      <c r="CN138" s="0" t="n">
        <v>20</v>
      </c>
      <c r="CO138" s="0" t="n">
        <v>8</v>
      </c>
      <c r="CP138" s="0" t="n">
        <v>5</v>
      </c>
      <c r="CQ138" s="0" t="n">
        <v>7</v>
      </c>
      <c r="CR138" s="0" t="n">
        <v>3</v>
      </c>
      <c r="CS138" s="0" t="n">
        <f aca="false">IF(R138="Y",10,0)</f>
        <v>0</v>
      </c>
      <c r="CT138" s="0" t="n">
        <v>-8</v>
      </c>
      <c r="CU138" s="0" t="s">
        <v>7765</v>
      </c>
      <c r="CV138" s="0" t="s">
        <v>5150</v>
      </c>
      <c r="CW138" s="0" t="s">
        <v>7766</v>
      </c>
      <c r="CX138" s="0" t="s">
        <v>7767</v>
      </c>
      <c r="DA138" s="0" t="s">
        <v>6234</v>
      </c>
      <c r="DY138" s="0" t="str">
        <f aca="false">IF(ISNUMBER(MATCH(U138,{"queued","contacted","replied","call_booked","call_done","yes_in_principle","materials_sent"},0)),"Y","N")</f>
        <v>N</v>
      </c>
      <c r="DZ138" s="0" t="str">
        <f aca="false">IF(COUNTIFS($AN$2:$AN$1000,AN138,$DY$2:$DY$1000,"Y")+COUNTIFS($AN$2:$AN$1000,AN138,$T$2:$T$1000,"Y")&gt;0,"Y","N")</f>
        <v>N</v>
      </c>
      <c r="EA138" s="0" t="str">
        <f aca="false">IF(AND(U138="new",T138="N",AR138="Y",AQ138="",DZ138="N"),"Y","N")</f>
        <v>N</v>
      </c>
      <c r="EB138" s="0" t="str">
        <f aca="false">IF(EA138&lt;&gt;"Y","N",IF(COUNTIFS($AN$2:$AN$1000,AN138,$EA$2:$EA$1000,"Y",$J$2:$J$1000,"&gt;"&amp;J138)+COUNTIFS($AN$2:$AN$1000,AN138,$EA$2:$EA$1000,"Y",$J$2:$J$1000,J138,$ED$2:$ED$1000,"&lt;"&amp;ED138)=0,"Y","N"))</f>
        <v>N</v>
      </c>
      <c r="EC138" s="0" t="str">
        <f aca="false">IF(Y138="","N",IF(Y138&lt;=10,"Y","N"))</f>
        <v>N</v>
      </c>
      <c r="ED138" s="0" t="n">
        <f aca="false">ROW()-1</f>
        <v>137</v>
      </c>
    </row>
    <row r="139" customFormat="false" ht="15" hidden="false" customHeight="false" outlineLevel="0" collapsed="false">
      <c r="A139" s="0" t="s">
        <v>7768</v>
      </c>
      <c r="B139" s="0" t="s">
        <v>7769</v>
      </c>
      <c r="C139" s="0" t="s">
        <v>7770</v>
      </c>
      <c r="D139" s="0" t="s">
        <v>7771</v>
      </c>
      <c r="E139" s="0" t="s">
        <v>4625</v>
      </c>
      <c r="H139" s="5" t="s">
        <v>158</v>
      </c>
      <c r="I139" s="5" t="s">
        <v>159</v>
      </c>
      <c r="J139" s="0" t="n">
        <f aca="false">IF(AU139="pass",CM139+CN139+CO139+CP139+CQ139+CR139+CS139+CT139,0)</f>
        <v>41</v>
      </c>
      <c r="K139" s="0" t="s">
        <v>7772</v>
      </c>
      <c r="M139" s="0" t="s">
        <v>5291</v>
      </c>
      <c r="N139" s="0" t="s">
        <v>598</v>
      </c>
      <c r="O139" s="0" t="s">
        <v>7773</v>
      </c>
      <c r="P139" s="0" t="s">
        <v>7774</v>
      </c>
      <c r="Q139" s="0" t="s">
        <v>4821</v>
      </c>
      <c r="R139" s="5" t="s">
        <v>162</v>
      </c>
      <c r="S139" s="0" t="s">
        <v>163</v>
      </c>
      <c r="T139" s="5" t="s">
        <v>162</v>
      </c>
      <c r="U139" s="5" t="s">
        <v>561</v>
      </c>
      <c r="V139" s="0" t="s">
        <v>7775</v>
      </c>
      <c r="W139" s="0" t="s">
        <v>174</v>
      </c>
      <c r="X139" s="0" t="s">
        <v>4585</v>
      </c>
      <c r="Y139" s="0" t="n">
        <f aca="false">IF(EB139&lt;&gt;"Y","",COUNTIFS($EB$2:$EB$1000,"Y",$J$2:$J$1000,"&gt;"&amp;J139)+COUNTIFS($EB$2:$EB$1000,"Y",$J$2:$J$1000,J139,$ED$2:$ED$1000,"&lt;"&amp;ED139)+1)</f>
        <v>117</v>
      </c>
      <c r="Z139" s="0" t="n">
        <v>138</v>
      </c>
      <c r="AA139" s="0" t="s">
        <v>162</v>
      </c>
      <c r="AB139" s="0" t="s">
        <v>7776</v>
      </c>
      <c r="AC139" s="0" t="s">
        <v>4587</v>
      </c>
      <c r="AD139" s="0" t="s">
        <v>171</v>
      </c>
      <c r="AE139" s="0" t="s">
        <v>172</v>
      </c>
      <c r="AF139" s="0" t="s">
        <v>7777</v>
      </c>
      <c r="AG139" s="0" t="s">
        <v>174</v>
      </c>
      <c r="AH139" s="0" t="s">
        <v>7778</v>
      </c>
      <c r="AI139" s="0" t="s">
        <v>4664</v>
      </c>
      <c r="AJ139" s="0" t="s">
        <v>7779</v>
      </c>
      <c r="AK139" s="0" t="s">
        <v>7780</v>
      </c>
      <c r="AL139" s="0" t="s">
        <v>168</v>
      </c>
      <c r="AM139" s="0" t="s">
        <v>7781</v>
      </c>
      <c r="AN139" s="0" t="s">
        <v>7768</v>
      </c>
      <c r="AO139" s="5" t="s">
        <v>162</v>
      </c>
      <c r="AR139" s="0" t="str">
        <f aca="false">IF(AND(AU139="pass",AO139&lt;&gt;"Y",C139&lt;&gt;""),"Y","N")</f>
        <v>Y</v>
      </c>
      <c r="AS139" s="0" t="str">
        <f aca="false">_xlfn.TEXTJOIN("; ",TRUE(),IF(AU139&lt;&gt;"pass","gated out",""),IF(AO139="Y","on hold: "&amp;AP139,""),IF(C139="","no contact named on an opened page",""))</f>
        <v/>
      </c>
      <c r="AU139" s="0" t="s">
        <v>181</v>
      </c>
      <c r="AW139" s="0" t="s">
        <v>182</v>
      </c>
      <c r="AX139" s="0" t="s">
        <v>282</v>
      </c>
      <c r="AY139" s="0" t="s">
        <v>7780</v>
      </c>
      <c r="AZ139" s="0" t="s">
        <v>6689</v>
      </c>
      <c r="BA139" s="0" t="s">
        <v>5191</v>
      </c>
      <c r="BB139" s="0" t="s">
        <v>163</v>
      </c>
      <c r="BD139" s="0" t="s">
        <v>168</v>
      </c>
      <c r="BE139" s="0" t="s">
        <v>7782</v>
      </c>
      <c r="BF139" s="0" t="s">
        <v>168</v>
      </c>
      <c r="BG139" s="0" t="s">
        <v>168</v>
      </c>
      <c r="BH139" s="0" t="s">
        <v>163</v>
      </c>
      <c r="BJ139" s="0" t="s">
        <v>5143</v>
      </c>
      <c r="BK139" s="0" t="s">
        <v>162</v>
      </c>
      <c r="BL139" s="0" t="s">
        <v>162</v>
      </c>
      <c r="BO139" s="0" t="s">
        <v>162</v>
      </c>
      <c r="BP139" s="0" t="n">
        <v>0</v>
      </c>
      <c r="BS139" s="0" t="s">
        <v>163</v>
      </c>
      <c r="BU139" s="0" t="s">
        <v>4694</v>
      </c>
      <c r="BV139" s="0" t="n">
        <v>12</v>
      </c>
      <c r="BX139" s="0" t="s">
        <v>7783</v>
      </c>
      <c r="CA139" s="0" t="s">
        <v>7784</v>
      </c>
      <c r="CB139" s="0" t="s">
        <v>7785</v>
      </c>
      <c r="CC139" s="0" t="s">
        <v>7786</v>
      </c>
      <c r="CD139" s="0" t="s">
        <v>4625</v>
      </c>
      <c r="CE139" s="0" t="s">
        <v>6723</v>
      </c>
      <c r="CF139" s="0" t="s">
        <v>171</v>
      </c>
      <c r="CK139" s="0" t="s">
        <v>158</v>
      </c>
      <c r="CL139" s="0" t="n">
        <v>41</v>
      </c>
      <c r="CM139" s="0" t="n">
        <v>6</v>
      </c>
      <c r="CN139" s="0" t="n">
        <v>8</v>
      </c>
      <c r="CO139" s="0" t="n">
        <v>8</v>
      </c>
      <c r="CP139" s="0" t="n">
        <v>5</v>
      </c>
      <c r="CQ139" s="0" t="n">
        <v>10</v>
      </c>
      <c r="CR139" s="0" t="n">
        <v>6</v>
      </c>
      <c r="CS139" s="0" t="n">
        <f aca="false">IF(R139="Y",10,0)</f>
        <v>0</v>
      </c>
      <c r="CT139" s="0" t="n">
        <v>-2</v>
      </c>
      <c r="CU139" s="0" t="s">
        <v>7787</v>
      </c>
      <c r="CV139" s="0" t="s">
        <v>5150</v>
      </c>
      <c r="CW139" s="0" t="s">
        <v>7788</v>
      </c>
      <c r="CX139" s="0" t="s">
        <v>7789</v>
      </c>
      <c r="CZ139" s="0" t="s">
        <v>7777</v>
      </c>
      <c r="DA139" s="0" t="s">
        <v>6234</v>
      </c>
      <c r="DC139" s="0" t="s">
        <v>172</v>
      </c>
      <c r="DY139" s="0" t="str">
        <f aca="false">IF(ISNUMBER(MATCH(U139,{"queued","contacted","replied","call_booked","call_done","yes_in_principle","materials_sent"},0)),"Y","N")</f>
        <v>N</v>
      </c>
      <c r="DZ139" s="0" t="str">
        <f aca="false">IF(COUNTIFS($AN$2:$AN$1000,AN139,$DY$2:$DY$1000,"Y")+COUNTIFS($AN$2:$AN$1000,AN139,$T$2:$T$1000,"Y")&gt;0,"Y","N")</f>
        <v>N</v>
      </c>
      <c r="EA139" s="0" t="str">
        <f aca="false">IF(AND(U139="new",T139="N",AR139="Y",AQ139="",DZ139="N"),"Y","N")</f>
        <v>Y</v>
      </c>
      <c r="EB139" s="0" t="str">
        <f aca="false">IF(EA139&lt;&gt;"Y","N",IF(COUNTIFS($AN$2:$AN$1000,AN139,$EA$2:$EA$1000,"Y",$J$2:$J$1000,"&gt;"&amp;J139)+COUNTIFS($AN$2:$AN$1000,AN139,$EA$2:$EA$1000,"Y",$J$2:$J$1000,J139,$ED$2:$ED$1000,"&lt;"&amp;ED139)=0,"Y","N"))</f>
        <v>Y</v>
      </c>
      <c r="EC139" s="0" t="str">
        <f aca="false">IF(Y139="","N",IF(Y139&lt;=10,"Y","N"))</f>
        <v>N</v>
      </c>
      <c r="ED139" s="0" t="n">
        <f aca="false">ROW()-1</f>
        <v>138</v>
      </c>
    </row>
    <row r="140" customFormat="false" ht="15" hidden="false" customHeight="false" outlineLevel="0" collapsed="false">
      <c r="A140" s="0" t="s">
        <v>7790</v>
      </c>
      <c r="B140" s="0" t="s">
        <v>7791</v>
      </c>
      <c r="C140" s="0" t="s">
        <v>5888</v>
      </c>
      <c r="D140" s="0" t="s">
        <v>7792</v>
      </c>
      <c r="E140" s="0" t="s">
        <v>4771</v>
      </c>
      <c r="H140" s="5" t="s">
        <v>158</v>
      </c>
      <c r="I140" s="5" t="s">
        <v>159</v>
      </c>
      <c r="J140" s="0" t="n">
        <f aca="false">IF(AU140="pass",CM140+CN140+CO140+CP140+CQ140+CR140+CS140+CT140,0)</f>
        <v>41</v>
      </c>
      <c r="K140" s="0" t="s">
        <v>7793</v>
      </c>
      <c r="M140" s="0" t="s">
        <v>5291</v>
      </c>
      <c r="N140" s="0" t="s">
        <v>598</v>
      </c>
      <c r="O140" s="0" t="s">
        <v>7794</v>
      </c>
      <c r="P140" s="0" t="s">
        <v>7795</v>
      </c>
      <c r="Q140" s="0" t="s">
        <v>4854</v>
      </c>
      <c r="R140" s="5" t="s">
        <v>162</v>
      </c>
      <c r="S140" s="0" t="s">
        <v>163</v>
      </c>
      <c r="T140" s="5" t="s">
        <v>162</v>
      </c>
      <c r="U140" s="5" t="s">
        <v>561</v>
      </c>
      <c r="V140" s="0" t="s">
        <v>7796</v>
      </c>
      <c r="W140" s="0" t="s">
        <v>166</v>
      </c>
      <c r="X140" s="0" t="s">
        <v>4585</v>
      </c>
      <c r="Y140" s="0" t="n">
        <f aca="false">IF(EB140&lt;&gt;"Y","",COUNTIFS($EB$2:$EB$1000,"Y",$J$2:$J$1000,"&gt;"&amp;J140)+COUNTIFS($EB$2:$EB$1000,"Y",$J$2:$J$1000,J140,$ED$2:$ED$1000,"&lt;"&amp;ED140)+1)</f>
        <v>118</v>
      </c>
      <c r="Z140" s="0" t="n">
        <v>139</v>
      </c>
      <c r="AA140" s="0" t="s">
        <v>162</v>
      </c>
      <c r="AB140" s="0" t="s">
        <v>7797</v>
      </c>
      <c r="AC140" s="0" t="s">
        <v>4587</v>
      </c>
      <c r="AD140" s="0" t="s">
        <v>171</v>
      </c>
      <c r="AE140" s="0" t="s">
        <v>1189</v>
      </c>
      <c r="AF140" s="0" t="s">
        <v>7798</v>
      </c>
      <c r="AG140" s="0" t="s">
        <v>166</v>
      </c>
      <c r="AH140" s="0" t="s">
        <v>7799</v>
      </c>
      <c r="AI140" s="0" t="s">
        <v>4590</v>
      </c>
      <c r="AJ140" s="0" t="s">
        <v>7800</v>
      </c>
      <c r="AK140" s="0" t="s">
        <v>7801</v>
      </c>
      <c r="AL140" s="0" t="s">
        <v>168</v>
      </c>
      <c r="AM140" s="0" t="s">
        <v>7802</v>
      </c>
      <c r="AN140" s="0" t="s">
        <v>7790</v>
      </c>
      <c r="AO140" s="5" t="s">
        <v>162</v>
      </c>
      <c r="AR140" s="0" t="str">
        <f aca="false">IF(AND(AU140="pass",AO140&lt;&gt;"Y",C140&lt;&gt;""),"Y","N")</f>
        <v>Y</v>
      </c>
      <c r="AS140" s="0" t="str">
        <f aca="false">_xlfn.TEXTJOIN("; ",TRUE(),IF(AU140&lt;&gt;"pass","gated out",""),IF(AO140="Y","on hold: "&amp;AP140,""),IF(C140="","no contact named on an opened page",""))</f>
        <v/>
      </c>
      <c r="AU140" s="0" t="s">
        <v>181</v>
      </c>
      <c r="AW140" s="0" t="s">
        <v>182</v>
      </c>
      <c r="AX140" s="0" t="s">
        <v>282</v>
      </c>
      <c r="AY140" s="0" t="s">
        <v>7801</v>
      </c>
      <c r="AZ140" s="0" t="s">
        <v>5190</v>
      </c>
      <c r="BA140" s="0" t="s">
        <v>5191</v>
      </c>
      <c r="BB140" s="0" t="s">
        <v>163</v>
      </c>
      <c r="BD140" s="0" t="s">
        <v>168</v>
      </c>
      <c r="BE140" s="0" t="s">
        <v>7803</v>
      </c>
      <c r="BF140" s="0" t="s">
        <v>168</v>
      </c>
      <c r="BG140" s="0" t="s">
        <v>168</v>
      </c>
      <c r="BH140" s="0" t="s">
        <v>163</v>
      </c>
      <c r="BJ140" s="0" t="s">
        <v>5549</v>
      </c>
      <c r="BK140" s="0" t="s">
        <v>162</v>
      </c>
      <c r="BL140" s="0" t="s">
        <v>162</v>
      </c>
      <c r="BO140" s="0" t="s">
        <v>162</v>
      </c>
      <c r="BP140" s="0" t="n">
        <v>0</v>
      </c>
      <c r="BS140" s="0" t="s">
        <v>6719</v>
      </c>
      <c r="BU140" s="0" t="s">
        <v>4694</v>
      </c>
      <c r="BV140" s="0" t="n">
        <v>241</v>
      </c>
      <c r="BX140" s="0" t="s">
        <v>7804</v>
      </c>
      <c r="CA140" s="0" t="s">
        <v>7805</v>
      </c>
      <c r="CB140" s="0" t="s">
        <v>6561</v>
      </c>
      <c r="CC140" s="0" t="s">
        <v>7806</v>
      </c>
      <c r="CD140" s="0" t="s">
        <v>7807</v>
      </c>
      <c r="CE140" s="0" t="s">
        <v>6260</v>
      </c>
      <c r="CF140" s="0" t="s">
        <v>171</v>
      </c>
      <c r="CK140" s="0" t="s">
        <v>158</v>
      </c>
      <c r="CL140" s="0" t="n">
        <v>41</v>
      </c>
      <c r="CM140" s="0" t="n">
        <v>6</v>
      </c>
      <c r="CN140" s="0" t="n">
        <v>8</v>
      </c>
      <c r="CO140" s="0" t="n">
        <v>4</v>
      </c>
      <c r="CP140" s="0" t="n">
        <v>5</v>
      </c>
      <c r="CQ140" s="0" t="n">
        <v>10</v>
      </c>
      <c r="CR140" s="0" t="n">
        <v>10</v>
      </c>
      <c r="CS140" s="0" t="n">
        <f aca="false">IF(R140="Y",10,0)</f>
        <v>0</v>
      </c>
      <c r="CT140" s="0" t="n">
        <v>-2</v>
      </c>
      <c r="CU140" s="0" t="s">
        <v>7808</v>
      </c>
      <c r="CV140" s="0" t="s">
        <v>5562</v>
      </c>
      <c r="CW140" s="0" t="s">
        <v>7809</v>
      </c>
      <c r="CX140" s="0" t="s">
        <v>7810</v>
      </c>
      <c r="CY140" s="0" t="s">
        <v>7811</v>
      </c>
      <c r="CZ140" s="0" t="s">
        <v>7812</v>
      </c>
      <c r="DA140" s="0" t="s">
        <v>6234</v>
      </c>
      <c r="DC140" s="0" t="s">
        <v>1189</v>
      </c>
      <c r="DY140" s="0" t="str">
        <f aca="false">IF(ISNUMBER(MATCH(U140,{"queued","contacted","replied","call_booked","call_done","yes_in_principle","materials_sent"},0)),"Y","N")</f>
        <v>N</v>
      </c>
      <c r="DZ140" s="0" t="str">
        <f aca="false">IF(COUNTIFS($AN$2:$AN$1000,AN140,$DY$2:$DY$1000,"Y")+COUNTIFS($AN$2:$AN$1000,AN140,$T$2:$T$1000,"Y")&gt;0,"Y","N")</f>
        <v>N</v>
      </c>
      <c r="EA140" s="0" t="str">
        <f aca="false">IF(AND(U140="new",T140="N",AR140="Y",AQ140="",DZ140="N"),"Y","N")</f>
        <v>Y</v>
      </c>
      <c r="EB140" s="0" t="str">
        <f aca="false">IF(EA140&lt;&gt;"Y","N",IF(COUNTIFS($AN$2:$AN$1000,AN140,$EA$2:$EA$1000,"Y",$J$2:$J$1000,"&gt;"&amp;J140)+COUNTIFS($AN$2:$AN$1000,AN140,$EA$2:$EA$1000,"Y",$J$2:$J$1000,J140,$ED$2:$ED$1000,"&lt;"&amp;ED140)=0,"Y","N"))</f>
        <v>Y</v>
      </c>
      <c r="EC140" s="0" t="str">
        <f aca="false">IF(Y140="","N",IF(Y140&lt;=10,"Y","N"))</f>
        <v>N</v>
      </c>
      <c r="ED140" s="0" t="n">
        <f aca="false">ROW()-1</f>
        <v>139</v>
      </c>
    </row>
    <row r="141" customFormat="false" ht="15" hidden="false" customHeight="false" outlineLevel="0" collapsed="false">
      <c r="A141" s="0" t="s">
        <v>7813</v>
      </c>
      <c r="B141" s="0" t="s">
        <v>7814</v>
      </c>
      <c r="C141" s="0" t="s">
        <v>7815</v>
      </c>
      <c r="D141" s="0" t="s">
        <v>7816</v>
      </c>
      <c r="E141" s="0" t="s">
        <v>7817</v>
      </c>
      <c r="H141" s="5" t="s">
        <v>158</v>
      </c>
      <c r="I141" s="5" t="s">
        <v>159</v>
      </c>
      <c r="J141" s="0" t="n">
        <f aca="false">IF(AU141="pass",CM141+CN141+CO141+CP141+CQ141+CR141+CS141+CT141,0)</f>
        <v>41</v>
      </c>
      <c r="K141" s="0" t="s">
        <v>7818</v>
      </c>
      <c r="M141" s="0" t="s">
        <v>5291</v>
      </c>
      <c r="N141" s="0" t="s">
        <v>598</v>
      </c>
      <c r="R141" s="5" t="s">
        <v>162</v>
      </c>
      <c r="S141" s="0" t="s">
        <v>163</v>
      </c>
      <c r="T141" s="5" t="s">
        <v>162</v>
      </c>
      <c r="U141" s="5" t="s">
        <v>561</v>
      </c>
      <c r="V141" s="0" t="s">
        <v>7819</v>
      </c>
      <c r="W141" s="0" t="s">
        <v>166</v>
      </c>
      <c r="X141" s="0" t="s">
        <v>4585</v>
      </c>
      <c r="Y141" s="0" t="n">
        <f aca="false">IF(EB141&lt;&gt;"Y","",COUNTIFS($EB$2:$EB$1000,"Y",$J$2:$J$1000,"&gt;"&amp;J141)+COUNTIFS($EB$2:$EB$1000,"Y",$J$2:$J$1000,J141,$ED$2:$ED$1000,"&lt;"&amp;ED141)+1)</f>
        <v>119</v>
      </c>
      <c r="Z141" s="0" t="n">
        <v>140</v>
      </c>
      <c r="AA141" s="0" t="s">
        <v>162</v>
      </c>
      <c r="AB141" s="0" t="s">
        <v>7820</v>
      </c>
      <c r="AC141" s="0" t="s">
        <v>4587</v>
      </c>
      <c r="AD141" s="0" t="s">
        <v>171</v>
      </c>
      <c r="AE141" s="0" t="s">
        <v>172</v>
      </c>
      <c r="AF141" s="0" t="s">
        <v>7821</v>
      </c>
      <c r="AG141" s="0" t="s">
        <v>166</v>
      </c>
      <c r="AH141" s="0" t="s">
        <v>7822</v>
      </c>
      <c r="AI141" s="0" t="s">
        <v>4664</v>
      </c>
      <c r="AJ141" s="0" t="s">
        <v>4634</v>
      </c>
      <c r="AK141" s="0" t="s">
        <v>7823</v>
      </c>
      <c r="AL141" s="0" t="s">
        <v>168</v>
      </c>
      <c r="AM141" s="0" t="s">
        <v>7824</v>
      </c>
      <c r="AN141" s="0" t="s">
        <v>7813</v>
      </c>
      <c r="AO141" s="5" t="s">
        <v>162</v>
      </c>
      <c r="AR141" s="0" t="str">
        <f aca="false">IF(AND(AU141="pass",AO141&lt;&gt;"Y",C141&lt;&gt;""),"Y","N")</f>
        <v>Y</v>
      </c>
      <c r="AS141" s="0" t="str">
        <f aca="false">_xlfn.TEXTJOIN("; ",TRUE(),IF(AU141&lt;&gt;"pass","gated out",""),IF(AO141="Y","on hold: "&amp;AP141,""),IF(C141="","no contact named on an opened page",""))</f>
        <v/>
      </c>
      <c r="AU141" s="0" t="s">
        <v>181</v>
      </c>
      <c r="AW141" s="0" t="s">
        <v>182</v>
      </c>
      <c r="AX141" s="0" t="s">
        <v>6031</v>
      </c>
      <c r="AY141" s="0" t="s">
        <v>7823</v>
      </c>
      <c r="AZ141" s="0" t="s">
        <v>4595</v>
      </c>
      <c r="BA141" s="0" t="s">
        <v>4596</v>
      </c>
      <c r="BB141" s="0" t="s">
        <v>7825</v>
      </c>
      <c r="BC141" s="0" t="s">
        <v>7819</v>
      </c>
      <c r="BD141" s="0" t="s">
        <v>168</v>
      </c>
      <c r="BE141" s="0" t="s">
        <v>7826</v>
      </c>
      <c r="BF141" s="0" t="s">
        <v>168</v>
      </c>
      <c r="BG141" s="0" t="s">
        <v>168</v>
      </c>
      <c r="BH141" s="0" t="s">
        <v>163</v>
      </c>
      <c r="BJ141" s="0" t="s">
        <v>163</v>
      </c>
      <c r="BK141" s="0" t="s">
        <v>162</v>
      </c>
      <c r="BL141" s="0" t="s">
        <v>162</v>
      </c>
      <c r="BO141" s="0" t="s">
        <v>162</v>
      </c>
      <c r="BP141" s="0" t="n">
        <v>0</v>
      </c>
      <c r="BS141" s="0" t="s">
        <v>7827</v>
      </c>
      <c r="BT141" s="0" t="s">
        <v>7828</v>
      </c>
      <c r="BU141" s="0" t="s">
        <v>158</v>
      </c>
      <c r="BX141" s="0" t="s">
        <v>7829</v>
      </c>
      <c r="CA141" s="0" t="s">
        <v>7830</v>
      </c>
      <c r="CB141" s="0" t="s">
        <v>7831</v>
      </c>
      <c r="CC141" s="0" t="s">
        <v>7832</v>
      </c>
      <c r="CD141" s="0" t="s">
        <v>5336</v>
      </c>
      <c r="CE141" s="0" t="s">
        <v>6260</v>
      </c>
      <c r="CF141" s="0" t="s">
        <v>171</v>
      </c>
      <c r="CK141" s="0" t="s">
        <v>158</v>
      </c>
      <c r="CL141" s="0" t="n">
        <v>41</v>
      </c>
      <c r="CM141" s="0" t="n">
        <v>6</v>
      </c>
      <c r="CN141" s="0" t="n">
        <v>20</v>
      </c>
      <c r="CO141" s="0" t="n">
        <v>0</v>
      </c>
      <c r="CP141" s="0" t="n">
        <v>5</v>
      </c>
      <c r="CQ141" s="0" t="n">
        <v>10</v>
      </c>
      <c r="CR141" s="0" t="n">
        <v>10</v>
      </c>
      <c r="CS141" s="0" t="n">
        <f aca="false">IF(R141="Y",10,0)</f>
        <v>0</v>
      </c>
      <c r="CT141" s="0" t="n">
        <v>-10</v>
      </c>
      <c r="CU141" s="0" t="s">
        <v>7833</v>
      </c>
      <c r="CV141" s="0" t="s">
        <v>4703</v>
      </c>
      <c r="CW141" s="0" t="s">
        <v>7834</v>
      </c>
      <c r="CX141" s="0" t="s">
        <v>7835</v>
      </c>
      <c r="CY141" s="0" t="s">
        <v>7836</v>
      </c>
      <c r="CZ141" s="0" t="s">
        <v>7821</v>
      </c>
      <c r="DA141" s="0" t="s">
        <v>6234</v>
      </c>
      <c r="DC141" s="0" t="s">
        <v>172</v>
      </c>
      <c r="DY141" s="0" t="str">
        <f aca="false">IF(ISNUMBER(MATCH(U141,{"queued","contacted","replied","call_booked","call_done","yes_in_principle","materials_sent"},0)),"Y","N")</f>
        <v>N</v>
      </c>
      <c r="DZ141" s="0" t="str">
        <f aca="false">IF(COUNTIFS($AN$2:$AN$1000,AN141,$DY$2:$DY$1000,"Y")+COUNTIFS($AN$2:$AN$1000,AN141,$T$2:$T$1000,"Y")&gt;0,"Y","N")</f>
        <v>N</v>
      </c>
      <c r="EA141" s="0" t="str">
        <f aca="false">IF(AND(U141="new",T141="N",AR141="Y",AQ141="",DZ141="N"),"Y","N")</f>
        <v>Y</v>
      </c>
      <c r="EB141" s="0" t="str">
        <f aca="false">IF(EA141&lt;&gt;"Y","N",IF(COUNTIFS($AN$2:$AN$1000,AN141,$EA$2:$EA$1000,"Y",$J$2:$J$1000,"&gt;"&amp;J141)+COUNTIFS($AN$2:$AN$1000,AN141,$EA$2:$EA$1000,"Y",$J$2:$J$1000,J141,$ED$2:$ED$1000,"&lt;"&amp;ED141)=0,"Y","N"))</f>
        <v>Y</v>
      </c>
      <c r="EC141" s="0" t="str">
        <f aca="false">IF(Y141="","N",IF(Y141&lt;=10,"Y","N"))</f>
        <v>N</v>
      </c>
      <c r="ED141" s="0" t="n">
        <f aca="false">ROW()-1</f>
        <v>140</v>
      </c>
    </row>
    <row r="142" customFormat="false" ht="15" hidden="false" customHeight="false" outlineLevel="0" collapsed="false">
      <c r="A142" s="0" t="s">
        <v>7837</v>
      </c>
      <c r="B142" s="0" t="s">
        <v>7838</v>
      </c>
      <c r="C142" s="0" t="s">
        <v>7839</v>
      </c>
      <c r="D142" s="0" t="s">
        <v>7840</v>
      </c>
      <c r="E142" s="0" t="s">
        <v>4771</v>
      </c>
      <c r="H142" s="5" t="s">
        <v>158</v>
      </c>
      <c r="I142" s="5" t="s">
        <v>159</v>
      </c>
      <c r="J142" s="0" t="n">
        <f aca="false">IF(AU142="pass",CM142+CN142+CO142+CP142+CQ142+CR142+CS142+CT142,0)</f>
        <v>40</v>
      </c>
      <c r="K142" s="0" t="s">
        <v>7841</v>
      </c>
      <c r="M142" s="0" t="s">
        <v>4627</v>
      </c>
      <c r="N142" s="0" t="s">
        <v>4581</v>
      </c>
      <c r="O142" s="0" t="s">
        <v>7842</v>
      </c>
      <c r="P142" s="0" t="s">
        <v>7843</v>
      </c>
      <c r="Q142" s="0" t="s">
        <v>7844</v>
      </c>
      <c r="R142" s="5" t="s">
        <v>162</v>
      </c>
      <c r="S142" s="0" t="s">
        <v>163</v>
      </c>
      <c r="T142" s="5" t="s">
        <v>162</v>
      </c>
      <c r="U142" s="5" t="s">
        <v>561</v>
      </c>
      <c r="V142" s="0" t="s">
        <v>7845</v>
      </c>
      <c r="W142" s="0" t="s">
        <v>166</v>
      </c>
      <c r="X142" s="0" t="s">
        <v>4585</v>
      </c>
      <c r="Y142" s="0" t="n">
        <f aca="false">IF(EB142&lt;&gt;"Y","",COUNTIFS($EB$2:$EB$1000,"Y",$J$2:$J$1000,"&gt;"&amp;J142)+COUNTIFS($EB$2:$EB$1000,"Y",$J$2:$J$1000,J142,$ED$2:$ED$1000,"&lt;"&amp;ED142)+1)</f>
        <v>120</v>
      </c>
      <c r="Z142" s="0" t="n">
        <v>141</v>
      </c>
      <c r="AA142" s="0" t="s">
        <v>162</v>
      </c>
      <c r="AB142" s="0" t="s">
        <v>7846</v>
      </c>
      <c r="AC142" s="0" t="s">
        <v>4587</v>
      </c>
      <c r="AD142" s="0" t="s">
        <v>171</v>
      </c>
      <c r="AE142" s="0" t="s">
        <v>172</v>
      </c>
      <c r="AF142" s="0" t="s">
        <v>7845</v>
      </c>
      <c r="AG142" s="0" t="s">
        <v>166</v>
      </c>
      <c r="AH142" s="0" t="s">
        <v>7847</v>
      </c>
      <c r="AI142" s="0" t="s">
        <v>4826</v>
      </c>
      <c r="AJ142" s="0" t="s">
        <v>2549</v>
      </c>
      <c r="AK142" s="0" t="s">
        <v>7848</v>
      </c>
      <c r="AL142" s="0" t="s">
        <v>168</v>
      </c>
      <c r="AM142" s="0" t="s">
        <v>7849</v>
      </c>
      <c r="AN142" s="0" t="s">
        <v>7837</v>
      </c>
      <c r="AO142" s="5" t="s">
        <v>162</v>
      </c>
      <c r="AR142" s="0" t="str">
        <f aca="false">IF(AND(AU142="pass",AO142&lt;&gt;"Y",C142&lt;&gt;""),"Y","N")</f>
        <v>Y</v>
      </c>
      <c r="AS142" s="0" t="str">
        <f aca="false">_xlfn.TEXTJOIN("; ",TRUE(),IF(AU142&lt;&gt;"pass","gated out",""),IF(AO142="Y","on hold: "&amp;AP142,""),IF(C142="","no contact named on an opened page",""))</f>
        <v/>
      </c>
      <c r="AU142" s="0" t="s">
        <v>181</v>
      </c>
      <c r="AW142" s="0" t="s">
        <v>182</v>
      </c>
      <c r="AX142" s="0" t="s">
        <v>7741</v>
      </c>
      <c r="AY142" s="0" t="s">
        <v>7848</v>
      </c>
      <c r="AZ142" s="0" t="s">
        <v>5657</v>
      </c>
      <c r="BA142" s="0" t="s">
        <v>5329</v>
      </c>
      <c r="BB142" s="0" t="s">
        <v>163</v>
      </c>
      <c r="BD142" s="0" t="s">
        <v>168</v>
      </c>
      <c r="BE142" s="0" t="s">
        <v>7850</v>
      </c>
      <c r="BF142" s="0" t="s">
        <v>162</v>
      </c>
      <c r="BG142" s="0" t="s">
        <v>168</v>
      </c>
      <c r="BH142" s="0" t="s">
        <v>163</v>
      </c>
      <c r="BJ142" s="0" t="s">
        <v>163</v>
      </c>
      <c r="BK142" s="0" t="s">
        <v>162</v>
      </c>
      <c r="BL142" s="0" t="s">
        <v>162</v>
      </c>
      <c r="BN142" s="0" t="n">
        <v>0</v>
      </c>
      <c r="BO142" s="0" t="s">
        <v>168</v>
      </c>
      <c r="BP142" s="0" t="n">
        <v>1</v>
      </c>
      <c r="BQ142" s="0" t="s">
        <v>4637</v>
      </c>
      <c r="BS142" s="0" t="s">
        <v>7851</v>
      </c>
      <c r="BT142" s="0" t="s">
        <v>7852</v>
      </c>
      <c r="BU142" s="0" t="s">
        <v>4694</v>
      </c>
      <c r="BV142" s="0" t="n">
        <v>327</v>
      </c>
      <c r="BX142" s="0" t="s">
        <v>7853</v>
      </c>
      <c r="CA142" s="0" t="s">
        <v>7854</v>
      </c>
      <c r="CB142" s="0" t="s">
        <v>7855</v>
      </c>
      <c r="CC142" s="0" t="s">
        <v>7856</v>
      </c>
      <c r="CD142" s="0" t="s">
        <v>4771</v>
      </c>
      <c r="CE142" s="0" t="s">
        <v>6723</v>
      </c>
      <c r="CF142" s="0" t="s">
        <v>171</v>
      </c>
      <c r="CK142" s="0" t="s">
        <v>158</v>
      </c>
      <c r="CL142" s="0" t="n">
        <v>40</v>
      </c>
      <c r="CM142" s="0" t="n">
        <v>25</v>
      </c>
      <c r="CN142" s="0" t="n">
        <v>3</v>
      </c>
      <c r="CO142" s="0" t="n">
        <v>4</v>
      </c>
      <c r="CP142" s="0" t="n">
        <v>5</v>
      </c>
      <c r="CQ142" s="0" t="n">
        <v>7</v>
      </c>
      <c r="CR142" s="0" t="n">
        <v>6</v>
      </c>
      <c r="CS142" s="0" t="n">
        <f aca="false">IF(R142="Y",10,0)</f>
        <v>0</v>
      </c>
      <c r="CT142" s="0" t="n">
        <v>-10</v>
      </c>
      <c r="CU142" s="0" t="s">
        <v>163</v>
      </c>
      <c r="CV142" s="0" t="s">
        <v>4841</v>
      </c>
      <c r="CW142" s="0" t="s">
        <v>7857</v>
      </c>
      <c r="CX142" s="0" t="s">
        <v>7858</v>
      </c>
      <c r="CY142" s="0" t="s">
        <v>7859</v>
      </c>
      <c r="CZ142" s="0" t="s">
        <v>7845</v>
      </c>
      <c r="DA142" s="0" t="s">
        <v>6234</v>
      </c>
      <c r="DC142" s="0" t="s">
        <v>172</v>
      </c>
      <c r="DY142" s="0" t="str">
        <f aca="false">IF(ISNUMBER(MATCH(U142,{"queued","contacted","replied","call_booked","call_done","yes_in_principle","materials_sent"},0)),"Y","N")</f>
        <v>N</v>
      </c>
      <c r="DZ142" s="0" t="str">
        <f aca="false">IF(COUNTIFS($AN$2:$AN$1000,AN142,$DY$2:$DY$1000,"Y")+COUNTIFS($AN$2:$AN$1000,AN142,$T$2:$T$1000,"Y")&gt;0,"Y","N")</f>
        <v>N</v>
      </c>
      <c r="EA142" s="0" t="str">
        <f aca="false">IF(AND(U142="new",T142="N",AR142="Y",AQ142="",DZ142="N"),"Y","N")</f>
        <v>Y</v>
      </c>
      <c r="EB142" s="0" t="str">
        <f aca="false">IF(EA142&lt;&gt;"Y","N",IF(COUNTIFS($AN$2:$AN$1000,AN142,$EA$2:$EA$1000,"Y",$J$2:$J$1000,"&gt;"&amp;J142)+COUNTIFS($AN$2:$AN$1000,AN142,$EA$2:$EA$1000,"Y",$J$2:$J$1000,J142,$ED$2:$ED$1000,"&lt;"&amp;ED142)=0,"Y","N"))</f>
        <v>Y</v>
      </c>
      <c r="EC142" s="0" t="str">
        <f aca="false">IF(Y142="","N",IF(Y142&lt;=10,"Y","N"))</f>
        <v>N</v>
      </c>
      <c r="ED142" s="0" t="n">
        <f aca="false">ROW()-1</f>
        <v>141</v>
      </c>
    </row>
    <row r="143" customFormat="false" ht="15" hidden="false" customHeight="false" outlineLevel="0" collapsed="false">
      <c r="A143" s="0" t="s">
        <v>7860</v>
      </c>
      <c r="B143" s="0" t="s">
        <v>7861</v>
      </c>
      <c r="C143" s="0" t="s">
        <v>7862</v>
      </c>
      <c r="D143" s="0" t="s">
        <v>7863</v>
      </c>
      <c r="E143" s="0" t="s">
        <v>6269</v>
      </c>
      <c r="H143" s="5" t="s">
        <v>158</v>
      </c>
      <c r="I143" s="5" t="s">
        <v>159</v>
      </c>
      <c r="J143" s="0" t="n">
        <f aca="false">IF(AU143="pass",CM143+CN143+CO143+CP143+CQ143+CR143+CS143+CT143,0)</f>
        <v>40</v>
      </c>
      <c r="K143" s="0" t="s">
        <v>7864</v>
      </c>
      <c r="M143" s="0" t="s">
        <v>7865</v>
      </c>
      <c r="N143" s="0" t="s">
        <v>5021</v>
      </c>
      <c r="O143" s="0" t="s">
        <v>7866</v>
      </c>
      <c r="P143" s="0" t="s">
        <v>7867</v>
      </c>
      <c r="Q143" s="0" t="s">
        <v>7153</v>
      </c>
      <c r="R143" s="5" t="s">
        <v>162</v>
      </c>
      <c r="S143" s="0" t="s">
        <v>163</v>
      </c>
      <c r="T143" s="5" t="s">
        <v>162</v>
      </c>
      <c r="U143" s="5" t="s">
        <v>561</v>
      </c>
      <c r="V143" s="0" t="s">
        <v>7868</v>
      </c>
      <c r="W143" s="0" t="s">
        <v>166</v>
      </c>
      <c r="X143" s="0" t="s">
        <v>4585</v>
      </c>
      <c r="Y143" s="0" t="n">
        <f aca="false">IF(EB143&lt;&gt;"Y","",COUNTIFS($EB$2:$EB$1000,"Y",$J$2:$J$1000,"&gt;"&amp;J143)+COUNTIFS($EB$2:$EB$1000,"Y",$J$2:$J$1000,J143,$ED$2:$ED$1000,"&lt;"&amp;ED143)+1)</f>
        <v>121</v>
      </c>
      <c r="Z143" s="0" t="n">
        <v>142</v>
      </c>
      <c r="AA143" s="0" t="s">
        <v>162</v>
      </c>
      <c r="AB143" s="0" t="s">
        <v>7869</v>
      </c>
      <c r="AC143" s="0" t="s">
        <v>4587</v>
      </c>
      <c r="AD143" s="0" t="s">
        <v>171</v>
      </c>
      <c r="AE143" s="0" t="s">
        <v>172</v>
      </c>
      <c r="AF143" s="0" t="s">
        <v>7870</v>
      </c>
      <c r="AG143" s="0" t="s">
        <v>166</v>
      </c>
      <c r="AH143" s="0" t="s">
        <v>7871</v>
      </c>
      <c r="AI143" s="0" t="s">
        <v>5763</v>
      </c>
      <c r="AJ143" s="0" t="s">
        <v>7872</v>
      </c>
      <c r="AK143" s="0" t="s">
        <v>7873</v>
      </c>
      <c r="AL143" s="0" t="s">
        <v>168</v>
      </c>
      <c r="AM143" s="0" t="s">
        <v>7874</v>
      </c>
      <c r="AN143" s="0" t="s">
        <v>7860</v>
      </c>
      <c r="AO143" s="5" t="s">
        <v>162</v>
      </c>
      <c r="AR143" s="0" t="str">
        <f aca="false">IF(AND(AU143="pass",AO143&lt;&gt;"Y",C143&lt;&gt;""),"Y","N")</f>
        <v>Y</v>
      </c>
      <c r="AS143" s="0" t="str">
        <f aca="false">_xlfn.TEXTJOIN("; ",TRUE(),IF(AU143&lt;&gt;"pass","gated out",""),IF(AO143="Y","on hold: "&amp;AP143,""),IF(C143="","no contact named on an opened page",""))</f>
        <v/>
      </c>
      <c r="AU143" s="0" t="s">
        <v>181</v>
      </c>
      <c r="AW143" s="0" t="s">
        <v>182</v>
      </c>
      <c r="AX143" s="0" t="s">
        <v>282</v>
      </c>
      <c r="AY143" s="0" t="s">
        <v>7873</v>
      </c>
      <c r="AZ143" s="0" t="s">
        <v>5057</v>
      </c>
      <c r="BA143" s="0" t="s">
        <v>5329</v>
      </c>
      <c r="BB143" s="0" t="s">
        <v>163</v>
      </c>
      <c r="BD143" s="0" t="s">
        <v>163</v>
      </c>
      <c r="BE143" s="0" t="s">
        <v>7875</v>
      </c>
      <c r="BF143" s="0" t="s">
        <v>168</v>
      </c>
      <c r="BG143" s="0" t="s">
        <v>168</v>
      </c>
      <c r="BH143" s="0" t="s">
        <v>163</v>
      </c>
      <c r="BJ143" s="0" t="s">
        <v>5549</v>
      </c>
      <c r="BK143" s="0" t="s">
        <v>162</v>
      </c>
      <c r="BL143" s="0" t="s">
        <v>162</v>
      </c>
      <c r="BN143" s="0" t="n">
        <v>0.9</v>
      </c>
      <c r="BO143" s="0" t="s">
        <v>162</v>
      </c>
      <c r="BP143" s="0" t="n">
        <v>8</v>
      </c>
      <c r="BQ143" s="0" t="s">
        <v>7876</v>
      </c>
      <c r="BS143" s="0" t="s">
        <v>7877</v>
      </c>
      <c r="BT143" s="0" t="s">
        <v>7878</v>
      </c>
      <c r="BU143" s="0" t="s">
        <v>4694</v>
      </c>
      <c r="BV143" s="0" t="n">
        <v>115</v>
      </c>
      <c r="BX143" s="0" t="s">
        <v>7879</v>
      </c>
      <c r="CA143" s="0" t="s">
        <v>7880</v>
      </c>
      <c r="CB143" s="0" t="s">
        <v>7881</v>
      </c>
      <c r="CC143" s="0" t="s">
        <v>7882</v>
      </c>
      <c r="CD143" s="0" t="s">
        <v>7883</v>
      </c>
      <c r="CE143" s="0" t="s">
        <v>6723</v>
      </c>
      <c r="CF143" s="0" t="s">
        <v>171</v>
      </c>
      <c r="CK143" s="0" t="s">
        <v>158</v>
      </c>
      <c r="CL143" s="0" t="n">
        <v>40</v>
      </c>
      <c r="CM143" s="0" t="n">
        <v>13</v>
      </c>
      <c r="CN143" s="0" t="n">
        <v>3</v>
      </c>
      <c r="CO143" s="0" t="n">
        <v>8</v>
      </c>
      <c r="CP143" s="0" t="n">
        <v>5</v>
      </c>
      <c r="CQ143" s="0" t="n">
        <v>7</v>
      </c>
      <c r="CR143" s="0" t="n">
        <v>6</v>
      </c>
      <c r="CS143" s="0" t="n">
        <f aca="false">IF(R143="Y",10,0)</f>
        <v>0</v>
      </c>
      <c r="CT143" s="0" t="n">
        <v>-2</v>
      </c>
      <c r="CU143" s="0" t="s">
        <v>7884</v>
      </c>
      <c r="CV143" s="0" t="s">
        <v>5562</v>
      </c>
      <c r="CW143" s="0" t="s">
        <v>7885</v>
      </c>
      <c r="CX143" s="0" t="s">
        <v>7886</v>
      </c>
      <c r="CY143" s="0" t="s">
        <v>7887</v>
      </c>
      <c r="CZ143" s="0" t="s">
        <v>7870</v>
      </c>
      <c r="DA143" s="0" t="s">
        <v>6234</v>
      </c>
      <c r="DC143" s="0" t="s">
        <v>172</v>
      </c>
      <c r="DY143" s="0" t="str">
        <f aca="false">IF(ISNUMBER(MATCH(U143,{"queued","contacted","replied","call_booked","call_done","yes_in_principle","materials_sent"},0)),"Y","N")</f>
        <v>N</v>
      </c>
      <c r="DZ143" s="0" t="str">
        <f aca="false">IF(COUNTIFS($AN$2:$AN$1000,AN143,$DY$2:$DY$1000,"Y")+COUNTIFS($AN$2:$AN$1000,AN143,$T$2:$T$1000,"Y")&gt;0,"Y","N")</f>
        <v>N</v>
      </c>
      <c r="EA143" s="0" t="str">
        <f aca="false">IF(AND(U143="new",T143="N",AR143="Y",AQ143="",DZ143="N"),"Y","N")</f>
        <v>Y</v>
      </c>
      <c r="EB143" s="0" t="str">
        <f aca="false">IF(EA143&lt;&gt;"Y","N",IF(COUNTIFS($AN$2:$AN$1000,AN143,$EA$2:$EA$1000,"Y",$J$2:$J$1000,"&gt;"&amp;J143)+COUNTIFS($AN$2:$AN$1000,AN143,$EA$2:$EA$1000,"Y",$J$2:$J$1000,J143,$ED$2:$ED$1000,"&lt;"&amp;ED143)=0,"Y","N"))</f>
        <v>Y</v>
      </c>
      <c r="EC143" s="0" t="str">
        <f aca="false">IF(Y143="","N",IF(Y143&lt;=10,"Y","N"))</f>
        <v>N</v>
      </c>
      <c r="ED143" s="0" t="n">
        <f aca="false">ROW()-1</f>
        <v>142</v>
      </c>
    </row>
    <row r="144" customFormat="false" ht="15" hidden="false" customHeight="false" outlineLevel="0" collapsed="false">
      <c r="A144" s="0" t="s">
        <v>7888</v>
      </c>
      <c r="B144" s="0" t="s">
        <v>7889</v>
      </c>
      <c r="C144" s="0" t="s">
        <v>7890</v>
      </c>
      <c r="D144" s="0" t="s">
        <v>7891</v>
      </c>
      <c r="E144" s="0" t="s">
        <v>7892</v>
      </c>
      <c r="H144" s="5" t="s">
        <v>158</v>
      </c>
      <c r="I144" s="5" t="s">
        <v>159</v>
      </c>
      <c r="J144" s="0" t="n">
        <f aca="false">IF(AU144="pass",CM144+CN144+CO144+CP144+CQ144+CR144+CS144+CT144,0)</f>
        <v>40</v>
      </c>
      <c r="K144" s="0" t="s">
        <v>7893</v>
      </c>
      <c r="M144" s="0" t="s">
        <v>5291</v>
      </c>
      <c r="N144" s="0" t="s">
        <v>598</v>
      </c>
      <c r="O144" s="0" t="s">
        <v>7894</v>
      </c>
      <c r="P144" s="0" t="s">
        <v>7895</v>
      </c>
      <c r="Q144" s="0" t="s">
        <v>6734</v>
      </c>
      <c r="R144" s="5" t="s">
        <v>162</v>
      </c>
      <c r="S144" s="0" t="s">
        <v>168</v>
      </c>
      <c r="T144" s="5" t="s">
        <v>162</v>
      </c>
      <c r="U144" s="5" t="s">
        <v>561</v>
      </c>
      <c r="V144" s="0" t="s">
        <v>7896</v>
      </c>
      <c r="W144" s="0" t="s">
        <v>166</v>
      </c>
      <c r="X144" s="0" t="s">
        <v>4585</v>
      </c>
      <c r="Y144" s="0" t="n">
        <f aca="false">IF(EB144&lt;&gt;"Y","",COUNTIFS($EB$2:$EB$1000,"Y",$J$2:$J$1000,"&gt;"&amp;J144)+COUNTIFS($EB$2:$EB$1000,"Y",$J$2:$J$1000,J144,$ED$2:$ED$1000,"&lt;"&amp;ED144)+1)</f>
        <v>122</v>
      </c>
      <c r="Z144" s="0" t="n">
        <v>143</v>
      </c>
      <c r="AA144" s="0" t="s">
        <v>162</v>
      </c>
      <c r="AB144" s="0" t="s">
        <v>7897</v>
      </c>
      <c r="AC144" s="0" t="s">
        <v>4587</v>
      </c>
      <c r="AD144" s="0" t="s">
        <v>171</v>
      </c>
      <c r="AE144" s="0" t="s">
        <v>1189</v>
      </c>
      <c r="AF144" s="0" t="s">
        <v>7898</v>
      </c>
      <c r="AG144" s="0" t="s">
        <v>166</v>
      </c>
      <c r="AH144" s="0" t="s">
        <v>7899</v>
      </c>
      <c r="AI144" s="0" t="s">
        <v>5924</v>
      </c>
      <c r="AJ144" s="0" t="s">
        <v>7900</v>
      </c>
      <c r="AK144" s="0" t="s">
        <v>7901</v>
      </c>
      <c r="AL144" s="0" t="s">
        <v>168</v>
      </c>
      <c r="AM144" s="0" t="s">
        <v>7902</v>
      </c>
      <c r="AN144" s="0" t="s">
        <v>7888</v>
      </c>
      <c r="AO144" s="5" t="s">
        <v>162</v>
      </c>
      <c r="AR144" s="0" t="str">
        <f aca="false">IF(AND(AU144="pass",AO144&lt;&gt;"Y",C144&lt;&gt;""),"Y","N")</f>
        <v>Y</v>
      </c>
      <c r="AS144" s="0" t="str">
        <f aca="false">_xlfn.TEXTJOIN("; ",TRUE(),IF(AU144&lt;&gt;"pass","gated out",""),IF(AO144="Y","on hold: "&amp;AP144,""),IF(C144="","no contact named on an opened page",""))</f>
        <v/>
      </c>
      <c r="AU144" s="0" t="s">
        <v>181</v>
      </c>
      <c r="AW144" s="0" t="s">
        <v>182</v>
      </c>
      <c r="AX144" s="0" t="s">
        <v>5270</v>
      </c>
      <c r="AY144" s="0" t="s">
        <v>7901</v>
      </c>
      <c r="AZ144" s="0" t="s">
        <v>5712</v>
      </c>
      <c r="BA144" s="0" t="s">
        <v>5329</v>
      </c>
      <c r="BB144" s="0" t="s">
        <v>163</v>
      </c>
      <c r="BD144" s="0" t="s">
        <v>168</v>
      </c>
      <c r="BE144" s="0" t="s">
        <v>7903</v>
      </c>
      <c r="BF144" s="0" t="s">
        <v>168</v>
      </c>
      <c r="BG144" s="0" t="s">
        <v>168</v>
      </c>
      <c r="BH144" s="0" t="s">
        <v>163</v>
      </c>
      <c r="BJ144" s="0" t="s">
        <v>5549</v>
      </c>
      <c r="BK144" s="0" t="s">
        <v>162</v>
      </c>
      <c r="BL144" s="0" t="s">
        <v>162</v>
      </c>
      <c r="BO144" s="0" t="s">
        <v>162</v>
      </c>
      <c r="BP144" s="0" t="n">
        <v>0</v>
      </c>
      <c r="BS144" s="0" t="s">
        <v>7160</v>
      </c>
      <c r="BT144" s="0" t="s">
        <v>7904</v>
      </c>
      <c r="BU144" s="0" t="s">
        <v>4604</v>
      </c>
      <c r="BV144" s="0" t="n">
        <v>60</v>
      </c>
      <c r="BW144" s="0" t="s">
        <v>7898</v>
      </c>
      <c r="BX144" s="0" t="s">
        <v>7905</v>
      </c>
      <c r="CA144" s="0" t="s">
        <v>7906</v>
      </c>
      <c r="CB144" s="0" t="s">
        <v>7907</v>
      </c>
      <c r="CC144" s="0" t="s">
        <v>7891</v>
      </c>
      <c r="CD144" s="0" t="s">
        <v>7908</v>
      </c>
      <c r="CE144" s="0" t="s">
        <v>6723</v>
      </c>
      <c r="CF144" s="0" t="s">
        <v>171</v>
      </c>
      <c r="CK144" s="0" t="s">
        <v>158</v>
      </c>
      <c r="CL144" s="0" t="n">
        <v>40</v>
      </c>
      <c r="CM144" s="0" t="n">
        <v>6</v>
      </c>
      <c r="CN144" s="0" t="n">
        <v>3</v>
      </c>
      <c r="CO144" s="0" t="n">
        <v>15</v>
      </c>
      <c r="CP144" s="0" t="n">
        <v>5</v>
      </c>
      <c r="CQ144" s="0" t="n">
        <v>10</v>
      </c>
      <c r="CR144" s="0" t="n">
        <v>6</v>
      </c>
      <c r="CS144" s="0" t="n">
        <f aca="false">IF(R144="Y",10,0)</f>
        <v>0</v>
      </c>
      <c r="CT144" s="0" t="n">
        <v>-5</v>
      </c>
      <c r="CU144" s="0" t="s">
        <v>163</v>
      </c>
      <c r="CV144" s="0" t="s">
        <v>5562</v>
      </c>
      <c r="CW144" s="0" t="s">
        <v>7909</v>
      </c>
      <c r="CX144" s="0" t="s">
        <v>7910</v>
      </c>
      <c r="CY144" s="0" t="s">
        <v>7911</v>
      </c>
      <c r="CZ144" s="0" t="s">
        <v>7898</v>
      </c>
      <c r="DA144" s="0" t="s">
        <v>6234</v>
      </c>
      <c r="DC144" s="0" t="s">
        <v>1189</v>
      </c>
      <c r="DY144" s="0" t="str">
        <f aca="false">IF(ISNUMBER(MATCH(U144,{"queued","contacted","replied","call_booked","call_done","yes_in_principle","materials_sent"},0)),"Y","N")</f>
        <v>N</v>
      </c>
      <c r="DZ144" s="0" t="str">
        <f aca="false">IF(COUNTIFS($AN$2:$AN$1000,AN144,$DY$2:$DY$1000,"Y")+COUNTIFS($AN$2:$AN$1000,AN144,$T$2:$T$1000,"Y")&gt;0,"Y","N")</f>
        <v>N</v>
      </c>
      <c r="EA144" s="0" t="str">
        <f aca="false">IF(AND(U144="new",T144="N",AR144="Y",AQ144="",DZ144="N"),"Y","N")</f>
        <v>Y</v>
      </c>
      <c r="EB144" s="0" t="str">
        <f aca="false">IF(EA144&lt;&gt;"Y","N",IF(COUNTIFS($AN$2:$AN$1000,AN144,$EA$2:$EA$1000,"Y",$J$2:$J$1000,"&gt;"&amp;J144)+COUNTIFS($AN$2:$AN$1000,AN144,$EA$2:$EA$1000,"Y",$J$2:$J$1000,J144,$ED$2:$ED$1000,"&lt;"&amp;ED144)=0,"Y","N"))</f>
        <v>Y</v>
      </c>
      <c r="EC144" s="0" t="str">
        <f aca="false">IF(Y144="","N",IF(Y144&lt;=10,"Y","N"))</f>
        <v>N</v>
      </c>
      <c r="ED144" s="0" t="n">
        <f aca="false">ROW()-1</f>
        <v>143</v>
      </c>
    </row>
    <row r="145" customFormat="false" ht="15" hidden="false" customHeight="false" outlineLevel="0" collapsed="false">
      <c r="A145" s="0" t="s">
        <v>7912</v>
      </c>
      <c r="B145" s="0" t="s">
        <v>7913</v>
      </c>
      <c r="H145" s="5" t="s">
        <v>158</v>
      </c>
      <c r="I145" s="5"/>
      <c r="J145" s="0" t="n">
        <f aca="false">IF(AU145="pass",CM145+CN145+CO145+CP145+CQ145+CR145+CS145+CT145,0)</f>
        <v>40</v>
      </c>
      <c r="K145" s="0" t="s">
        <v>7914</v>
      </c>
      <c r="M145" s="0" t="s">
        <v>5291</v>
      </c>
      <c r="N145" s="0" t="s">
        <v>598</v>
      </c>
      <c r="O145" s="0" t="s">
        <v>7915</v>
      </c>
      <c r="P145" s="0" t="s">
        <v>5134</v>
      </c>
      <c r="Q145" s="0" t="s">
        <v>5135</v>
      </c>
      <c r="R145" s="5" t="s">
        <v>162</v>
      </c>
      <c r="S145" s="0" t="s">
        <v>168</v>
      </c>
      <c r="T145" s="5" t="s">
        <v>162</v>
      </c>
      <c r="U145" s="5" t="s">
        <v>561</v>
      </c>
      <c r="V145" s="0" t="s">
        <v>7916</v>
      </c>
      <c r="W145" s="0" t="s">
        <v>174</v>
      </c>
      <c r="X145" s="0" t="s">
        <v>4585</v>
      </c>
      <c r="Y145" s="0" t="str">
        <f aca="false">IF(EB145&lt;&gt;"Y","",COUNTIFS($EB$2:$EB$1000,"Y",$J$2:$J$1000,"&gt;"&amp;J145)+COUNTIFS($EB$2:$EB$1000,"Y",$J$2:$J$1000,J145,$ED$2:$ED$1000,"&lt;"&amp;ED145)+1)</f>
        <v/>
      </c>
      <c r="Z145" s="0" t="n">
        <v>144</v>
      </c>
      <c r="AA145" s="0" t="s">
        <v>162</v>
      </c>
      <c r="AB145" s="0" t="s">
        <v>6915</v>
      </c>
      <c r="AD145" s="0" t="s">
        <v>158</v>
      </c>
      <c r="AH145" s="0" t="s">
        <v>7917</v>
      </c>
      <c r="AI145" s="0" t="s">
        <v>5383</v>
      </c>
      <c r="AJ145" s="0" t="s">
        <v>163</v>
      </c>
      <c r="AK145" s="0" t="s">
        <v>7918</v>
      </c>
      <c r="AL145" s="0" t="s">
        <v>168</v>
      </c>
      <c r="AM145" s="0" t="s">
        <v>7919</v>
      </c>
      <c r="AN145" s="0" t="s">
        <v>7912</v>
      </c>
      <c r="AO145" s="5" t="s">
        <v>162</v>
      </c>
      <c r="AR145" s="0" t="str">
        <f aca="false">IF(AND(AU145="pass",AO145&lt;&gt;"Y",C145&lt;&gt;""),"Y","N")</f>
        <v>N</v>
      </c>
      <c r="AS145" s="0" t="str">
        <f aca="false">_xlfn.TEXTJOIN("; ",TRUE(),IF(AU145&lt;&gt;"pass","gated out",""),IF(AO145="Y","on hold: "&amp;AP145,""),IF(C145="","no contact named on an opened page",""))</f>
        <v>no contact named on an opened page</v>
      </c>
      <c r="AU145" s="0" t="s">
        <v>181</v>
      </c>
      <c r="AW145" s="0" t="s">
        <v>182</v>
      </c>
      <c r="AX145" s="0" t="s">
        <v>4594</v>
      </c>
      <c r="AY145" s="0" t="s">
        <v>7920</v>
      </c>
      <c r="AZ145" s="0" t="s">
        <v>5190</v>
      </c>
      <c r="BA145" s="0" t="s">
        <v>5191</v>
      </c>
      <c r="BB145" s="0" t="s">
        <v>163</v>
      </c>
      <c r="BD145" s="0" t="s">
        <v>168</v>
      </c>
      <c r="BE145" s="0" t="s">
        <v>7921</v>
      </c>
      <c r="BF145" s="0" t="s">
        <v>168</v>
      </c>
      <c r="BG145" s="0" t="s">
        <v>168</v>
      </c>
      <c r="BH145" s="0" t="s">
        <v>163</v>
      </c>
      <c r="BJ145" s="0" t="s">
        <v>5143</v>
      </c>
      <c r="BK145" s="0" t="s">
        <v>162</v>
      </c>
      <c r="BL145" s="0" t="s">
        <v>162</v>
      </c>
      <c r="BO145" s="0" t="s">
        <v>162</v>
      </c>
      <c r="BP145" s="0" t="n">
        <v>0</v>
      </c>
      <c r="BS145" s="0" t="s">
        <v>163</v>
      </c>
      <c r="BU145" s="0" t="s">
        <v>4604</v>
      </c>
      <c r="BV145" s="0" t="n">
        <v>118</v>
      </c>
      <c r="BW145" s="0" t="s">
        <v>5134</v>
      </c>
      <c r="CF145" s="0" t="s">
        <v>158</v>
      </c>
      <c r="CK145" s="0" t="s">
        <v>158</v>
      </c>
      <c r="CL145" s="0" t="n">
        <v>40</v>
      </c>
      <c r="CM145" s="0" t="n">
        <v>6</v>
      </c>
      <c r="CN145" s="0" t="n">
        <v>8</v>
      </c>
      <c r="CO145" s="0" t="n">
        <v>15</v>
      </c>
      <c r="CP145" s="0" t="n">
        <v>5</v>
      </c>
      <c r="CQ145" s="0" t="n">
        <v>10</v>
      </c>
      <c r="CR145" s="0" t="n">
        <v>0</v>
      </c>
      <c r="CS145" s="0" t="n">
        <f aca="false">IF(R145="Y",10,0)</f>
        <v>0</v>
      </c>
      <c r="CT145" s="0" t="n">
        <v>-4</v>
      </c>
      <c r="CU145" s="0" t="s">
        <v>7922</v>
      </c>
      <c r="CV145" s="0" t="s">
        <v>5150</v>
      </c>
      <c r="CW145" s="0" t="s">
        <v>7923</v>
      </c>
      <c r="CX145" s="0" t="s">
        <v>7924</v>
      </c>
      <c r="CY145" s="0" t="s">
        <v>7925</v>
      </c>
      <c r="DA145" s="0" t="s">
        <v>6234</v>
      </c>
      <c r="DY145" s="0" t="str">
        <f aca="false">IF(ISNUMBER(MATCH(U145,{"queued","contacted","replied","call_booked","call_done","yes_in_principle","materials_sent"},0)),"Y","N")</f>
        <v>N</v>
      </c>
      <c r="DZ145" s="0" t="str">
        <f aca="false">IF(COUNTIFS($AN$2:$AN$1000,AN145,$DY$2:$DY$1000,"Y")+COUNTIFS($AN$2:$AN$1000,AN145,$T$2:$T$1000,"Y")&gt;0,"Y","N")</f>
        <v>N</v>
      </c>
      <c r="EA145" s="0" t="str">
        <f aca="false">IF(AND(U145="new",T145="N",AR145="Y",AQ145="",DZ145="N"),"Y","N")</f>
        <v>N</v>
      </c>
      <c r="EB145" s="0" t="str">
        <f aca="false">IF(EA145&lt;&gt;"Y","N",IF(COUNTIFS($AN$2:$AN$1000,AN145,$EA$2:$EA$1000,"Y",$J$2:$J$1000,"&gt;"&amp;J145)+COUNTIFS($AN$2:$AN$1000,AN145,$EA$2:$EA$1000,"Y",$J$2:$J$1000,J145,$ED$2:$ED$1000,"&lt;"&amp;ED145)=0,"Y","N"))</f>
        <v>N</v>
      </c>
      <c r="EC145" s="0" t="str">
        <f aca="false">IF(Y145="","N",IF(Y145&lt;=10,"Y","N"))</f>
        <v>N</v>
      </c>
      <c r="ED145" s="0" t="n">
        <f aca="false">ROW()-1</f>
        <v>144</v>
      </c>
    </row>
    <row r="146" customFormat="false" ht="15" hidden="false" customHeight="false" outlineLevel="0" collapsed="false">
      <c r="A146" s="0" t="s">
        <v>7926</v>
      </c>
      <c r="B146" s="0" t="s">
        <v>7927</v>
      </c>
      <c r="H146" s="5" t="s">
        <v>158</v>
      </c>
      <c r="I146" s="5"/>
      <c r="J146" s="0" t="n">
        <f aca="false">IF(AU146="pass",CM146+CN146+CO146+CP146+CQ146+CR146+CS146+CT146,0)</f>
        <v>40</v>
      </c>
      <c r="K146" s="0" t="s">
        <v>7914</v>
      </c>
      <c r="M146" s="0" t="s">
        <v>5291</v>
      </c>
      <c r="N146" s="0" t="s">
        <v>598</v>
      </c>
      <c r="O146" s="0" t="s">
        <v>7928</v>
      </c>
      <c r="P146" s="0" t="s">
        <v>7929</v>
      </c>
      <c r="Q146" s="0" t="s">
        <v>5135</v>
      </c>
      <c r="R146" s="5" t="s">
        <v>162</v>
      </c>
      <c r="S146" s="0" t="s">
        <v>163</v>
      </c>
      <c r="T146" s="5" t="s">
        <v>162</v>
      </c>
      <c r="U146" s="5" t="s">
        <v>561</v>
      </c>
      <c r="V146" s="0" t="s">
        <v>7929</v>
      </c>
      <c r="W146" s="0" t="s">
        <v>174</v>
      </c>
      <c r="X146" s="0" t="s">
        <v>4585</v>
      </c>
      <c r="Y146" s="0" t="str">
        <f aca="false">IF(EB146&lt;&gt;"Y","",COUNTIFS($EB$2:$EB$1000,"Y",$J$2:$J$1000,"&gt;"&amp;J146)+COUNTIFS($EB$2:$EB$1000,"Y",$J$2:$J$1000,J146,$ED$2:$ED$1000,"&lt;"&amp;ED146)+1)</f>
        <v/>
      </c>
      <c r="Z146" s="0" t="n">
        <v>145</v>
      </c>
      <c r="AA146" s="0" t="s">
        <v>162</v>
      </c>
      <c r="AB146" s="0" t="s">
        <v>6915</v>
      </c>
      <c r="AD146" s="0" t="s">
        <v>158</v>
      </c>
      <c r="AH146" s="0" t="s">
        <v>7930</v>
      </c>
      <c r="AI146" s="0" t="s">
        <v>4826</v>
      </c>
      <c r="AJ146" s="0" t="s">
        <v>163</v>
      </c>
      <c r="AK146" s="0" t="s">
        <v>7931</v>
      </c>
      <c r="AL146" s="0" t="s">
        <v>168</v>
      </c>
      <c r="AM146" s="0" t="s">
        <v>7932</v>
      </c>
      <c r="AN146" s="0" t="s">
        <v>7926</v>
      </c>
      <c r="AO146" s="5" t="s">
        <v>162</v>
      </c>
      <c r="AR146" s="0" t="str">
        <f aca="false">IF(AND(AU146="pass",AO146&lt;&gt;"Y",C146&lt;&gt;""),"Y","N")</f>
        <v>N</v>
      </c>
      <c r="AS146" s="0" t="str">
        <f aca="false">_xlfn.TEXTJOIN("; ",TRUE(),IF(AU146&lt;&gt;"pass","gated out",""),IF(AO146="Y","on hold: "&amp;AP146,""),IF(C146="","no contact named on an opened page",""))</f>
        <v>no contact named on an opened page</v>
      </c>
      <c r="AU146" s="0" t="s">
        <v>181</v>
      </c>
      <c r="AW146" s="0" t="s">
        <v>182</v>
      </c>
      <c r="AX146" s="0" t="s">
        <v>4594</v>
      </c>
      <c r="AY146" s="0" t="s">
        <v>7933</v>
      </c>
      <c r="AZ146" s="0" t="s">
        <v>4922</v>
      </c>
      <c r="BA146" s="0" t="s">
        <v>5191</v>
      </c>
      <c r="BB146" s="0" t="s">
        <v>163</v>
      </c>
      <c r="BD146" s="0" t="s">
        <v>168</v>
      </c>
      <c r="BE146" s="0" t="s">
        <v>7934</v>
      </c>
      <c r="BF146" s="0" t="s">
        <v>168</v>
      </c>
      <c r="BG146" s="0" t="s">
        <v>168</v>
      </c>
      <c r="BH146" s="0" t="s">
        <v>163</v>
      </c>
      <c r="BJ146" s="0" t="s">
        <v>5143</v>
      </c>
      <c r="BK146" s="0" t="s">
        <v>162</v>
      </c>
      <c r="BL146" s="0" t="s">
        <v>162</v>
      </c>
      <c r="BO146" s="0" t="s">
        <v>162</v>
      </c>
      <c r="BP146" s="0" t="n">
        <v>0</v>
      </c>
      <c r="BS146" s="0" t="s">
        <v>7935</v>
      </c>
      <c r="BU146" s="0" t="s">
        <v>4604</v>
      </c>
      <c r="BV146" s="0" t="n">
        <v>118</v>
      </c>
      <c r="CF146" s="0" t="s">
        <v>158</v>
      </c>
      <c r="CK146" s="0" t="s">
        <v>158</v>
      </c>
      <c r="CL146" s="0" t="n">
        <v>40</v>
      </c>
      <c r="CM146" s="0" t="n">
        <v>6</v>
      </c>
      <c r="CN146" s="0" t="n">
        <v>8</v>
      </c>
      <c r="CO146" s="0" t="n">
        <v>15</v>
      </c>
      <c r="CP146" s="0" t="n">
        <v>5</v>
      </c>
      <c r="CQ146" s="0" t="n">
        <v>10</v>
      </c>
      <c r="CR146" s="0" t="n">
        <v>0</v>
      </c>
      <c r="CS146" s="0" t="n">
        <f aca="false">IF(R146="Y",10,0)</f>
        <v>0</v>
      </c>
      <c r="CT146" s="0" t="n">
        <v>-4</v>
      </c>
      <c r="CU146" s="0" t="s">
        <v>7936</v>
      </c>
      <c r="CV146" s="0" t="s">
        <v>5150</v>
      </c>
      <c r="CW146" s="0" t="s">
        <v>7937</v>
      </c>
      <c r="CX146" s="0" t="s">
        <v>7938</v>
      </c>
      <c r="DA146" s="0" t="s">
        <v>6234</v>
      </c>
      <c r="DY146" s="0" t="str">
        <f aca="false">IF(ISNUMBER(MATCH(U146,{"queued","contacted","replied","call_booked","call_done","yes_in_principle","materials_sent"},0)),"Y","N")</f>
        <v>N</v>
      </c>
      <c r="DZ146" s="0" t="str">
        <f aca="false">IF(COUNTIFS($AN$2:$AN$1000,AN146,$DY$2:$DY$1000,"Y")+COUNTIFS($AN$2:$AN$1000,AN146,$T$2:$T$1000,"Y")&gt;0,"Y","N")</f>
        <v>N</v>
      </c>
      <c r="EA146" s="0" t="str">
        <f aca="false">IF(AND(U146="new",T146="N",AR146="Y",AQ146="",DZ146="N"),"Y","N")</f>
        <v>N</v>
      </c>
      <c r="EB146" s="0" t="str">
        <f aca="false">IF(EA146&lt;&gt;"Y","N",IF(COUNTIFS($AN$2:$AN$1000,AN146,$EA$2:$EA$1000,"Y",$J$2:$J$1000,"&gt;"&amp;J146)+COUNTIFS($AN$2:$AN$1000,AN146,$EA$2:$EA$1000,"Y",$J$2:$J$1000,J146,$ED$2:$ED$1000,"&lt;"&amp;ED146)=0,"Y","N"))</f>
        <v>N</v>
      </c>
      <c r="EC146" s="0" t="str">
        <f aca="false">IF(Y146="","N",IF(Y146&lt;=10,"Y","N"))</f>
        <v>N</v>
      </c>
      <c r="ED146" s="0" t="n">
        <f aca="false">ROW()-1</f>
        <v>145</v>
      </c>
    </row>
    <row r="147" customFormat="false" ht="15" hidden="false" customHeight="false" outlineLevel="0" collapsed="false">
      <c r="A147" s="0" t="s">
        <v>7939</v>
      </c>
      <c r="B147" s="0" t="s">
        <v>7940</v>
      </c>
      <c r="H147" s="5" t="s">
        <v>158</v>
      </c>
      <c r="I147" s="5"/>
      <c r="J147" s="0" t="n">
        <f aca="false">IF(AU147="pass",CM147+CN147+CO147+CP147+CQ147+CR147+CS147+CT147,0)</f>
        <v>40</v>
      </c>
      <c r="K147" s="0" t="s">
        <v>7941</v>
      </c>
      <c r="M147" s="0" t="s">
        <v>5291</v>
      </c>
      <c r="N147" s="0" t="s">
        <v>598</v>
      </c>
      <c r="O147" s="0" t="s">
        <v>7942</v>
      </c>
      <c r="P147" s="0" t="s">
        <v>7943</v>
      </c>
      <c r="Q147" s="0" t="s">
        <v>7944</v>
      </c>
      <c r="R147" s="5" t="s">
        <v>162</v>
      </c>
      <c r="S147" s="0" t="s">
        <v>163</v>
      </c>
      <c r="T147" s="5" t="s">
        <v>162</v>
      </c>
      <c r="U147" s="5" t="s">
        <v>561</v>
      </c>
      <c r="V147" s="0" t="s">
        <v>7945</v>
      </c>
      <c r="W147" s="0" t="s">
        <v>166</v>
      </c>
      <c r="X147" s="0" t="s">
        <v>4585</v>
      </c>
      <c r="Y147" s="0" t="str">
        <f aca="false">IF(EB147&lt;&gt;"Y","",COUNTIFS($EB$2:$EB$1000,"Y",$J$2:$J$1000,"&gt;"&amp;J147)+COUNTIFS($EB$2:$EB$1000,"Y",$J$2:$J$1000,J147,$ED$2:$ED$1000,"&lt;"&amp;ED147)+1)</f>
        <v/>
      </c>
      <c r="Z147" s="0" t="n">
        <v>146</v>
      </c>
      <c r="AA147" s="0" t="s">
        <v>162</v>
      </c>
      <c r="AB147" s="0" t="s">
        <v>6315</v>
      </c>
      <c r="AD147" s="0" t="s">
        <v>158</v>
      </c>
      <c r="AH147" s="0" t="s">
        <v>7946</v>
      </c>
      <c r="AI147" s="0" t="s">
        <v>5653</v>
      </c>
      <c r="AJ147" s="0" t="s">
        <v>7947</v>
      </c>
      <c r="AK147" s="0" t="s">
        <v>7948</v>
      </c>
      <c r="AL147" s="0" t="s">
        <v>168</v>
      </c>
      <c r="AM147" s="0" t="s">
        <v>7949</v>
      </c>
      <c r="AN147" s="0" t="s">
        <v>7939</v>
      </c>
      <c r="AO147" s="5" t="s">
        <v>162</v>
      </c>
      <c r="AR147" s="0" t="str">
        <f aca="false">IF(AND(AU147="pass",AO147&lt;&gt;"Y",C147&lt;&gt;""),"Y","N")</f>
        <v>N</v>
      </c>
      <c r="AS147" s="0" t="str">
        <f aca="false">_xlfn.TEXTJOIN("; ",TRUE(),IF(AU147&lt;&gt;"pass","gated out",""),IF(AO147="Y","on hold: "&amp;AP147,""),IF(C147="","no contact named on an opened page",""))</f>
        <v>no contact named on an opened page</v>
      </c>
      <c r="AU147" s="0" t="s">
        <v>181</v>
      </c>
      <c r="AW147" s="0" t="s">
        <v>182</v>
      </c>
      <c r="AX147" s="0" t="s">
        <v>282</v>
      </c>
      <c r="AY147" s="0" t="s">
        <v>7948</v>
      </c>
      <c r="AZ147" s="0" t="s">
        <v>4595</v>
      </c>
      <c r="BA147" s="0" t="s">
        <v>4951</v>
      </c>
      <c r="BB147" s="0" t="s">
        <v>163</v>
      </c>
      <c r="BD147" s="0" t="s">
        <v>168</v>
      </c>
      <c r="BE147" s="0" t="s">
        <v>7950</v>
      </c>
      <c r="BF147" s="0" t="s">
        <v>168</v>
      </c>
      <c r="BG147" s="0" t="s">
        <v>168</v>
      </c>
      <c r="BH147" s="0" t="s">
        <v>163</v>
      </c>
      <c r="BJ147" s="0" t="s">
        <v>163</v>
      </c>
      <c r="BK147" s="0" t="s">
        <v>162</v>
      </c>
      <c r="BL147" s="0" t="s">
        <v>162</v>
      </c>
      <c r="BO147" s="0" t="s">
        <v>162</v>
      </c>
      <c r="BP147" s="0" t="n">
        <v>0</v>
      </c>
      <c r="BS147" s="0" t="s">
        <v>7951</v>
      </c>
      <c r="BT147" s="0" t="s">
        <v>7952</v>
      </c>
      <c r="BU147" s="0" t="s">
        <v>4604</v>
      </c>
      <c r="BV147" s="0" t="n">
        <v>185</v>
      </c>
      <c r="CF147" s="0" t="s">
        <v>158</v>
      </c>
      <c r="CK147" s="0" t="s">
        <v>158</v>
      </c>
      <c r="CL147" s="0" t="n">
        <v>40</v>
      </c>
      <c r="CM147" s="0" t="n">
        <v>6</v>
      </c>
      <c r="CN147" s="0" t="n">
        <v>13</v>
      </c>
      <c r="CO147" s="0" t="n">
        <v>8</v>
      </c>
      <c r="CP147" s="0" t="n">
        <v>5</v>
      </c>
      <c r="CQ147" s="0" t="n">
        <v>10</v>
      </c>
      <c r="CR147" s="0" t="n">
        <v>0</v>
      </c>
      <c r="CS147" s="0" t="n">
        <f aca="false">IF(R147="Y",10,0)</f>
        <v>0</v>
      </c>
      <c r="CT147" s="0" t="n">
        <v>-2</v>
      </c>
      <c r="CU147" s="0" t="s">
        <v>7953</v>
      </c>
      <c r="CV147" s="0" t="s">
        <v>4615</v>
      </c>
      <c r="CW147" s="0" t="s">
        <v>7954</v>
      </c>
      <c r="CX147" s="0" t="s">
        <v>7955</v>
      </c>
      <c r="CY147" s="0" t="s">
        <v>7956</v>
      </c>
      <c r="DA147" s="0" t="s">
        <v>6234</v>
      </c>
      <c r="DY147" s="0" t="str">
        <f aca="false">IF(ISNUMBER(MATCH(U147,{"queued","contacted","replied","call_booked","call_done","yes_in_principle","materials_sent"},0)),"Y","N")</f>
        <v>N</v>
      </c>
      <c r="DZ147" s="0" t="str">
        <f aca="false">IF(COUNTIFS($AN$2:$AN$1000,AN147,$DY$2:$DY$1000,"Y")+COUNTIFS($AN$2:$AN$1000,AN147,$T$2:$T$1000,"Y")&gt;0,"Y","N")</f>
        <v>N</v>
      </c>
      <c r="EA147" s="0" t="str">
        <f aca="false">IF(AND(U147="new",T147="N",AR147="Y",AQ147="",DZ147="N"),"Y","N")</f>
        <v>N</v>
      </c>
      <c r="EB147" s="0" t="str">
        <f aca="false">IF(EA147&lt;&gt;"Y","N",IF(COUNTIFS($AN$2:$AN$1000,AN147,$EA$2:$EA$1000,"Y",$J$2:$J$1000,"&gt;"&amp;J147)+COUNTIFS($AN$2:$AN$1000,AN147,$EA$2:$EA$1000,"Y",$J$2:$J$1000,J147,$ED$2:$ED$1000,"&lt;"&amp;ED147)=0,"Y","N"))</f>
        <v>N</v>
      </c>
      <c r="EC147" s="0" t="str">
        <f aca="false">IF(Y147="","N",IF(Y147&lt;=10,"Y","N"))</f>
        <v>N</v>
      </c>
      <c r="ED147" s="0" t="n">
        <f aca="false">ROW()-1</f>
        <v>146</v>
      </c>
    </row>
    <row r="148" customFormat="false" ht="15" hidden="false" customHeight="false" outlineLevel="0" collapsed="false">
      <c r="A148" s="0" t="s">
        <v>7957</v>
      </c>
      <c r="B148" s="0" t="s">
        <v>7958</v>
      </c>
      <c r="H148" s="5" t="s">
        <v>158</v>
      </c>
      <c r="I148" s="5"/>
      <c r="J148" s="0" t="n">
        <f aca="false">IF(AU148="pass",CM148+CN148+CO148+CP148+CQ148+CR148+CS148+CT148,0)</f>
        <v>40</v>
      </c>
      <c r="K148" s="0" t="s">
        <v>7959</v>
      </c>
      <c r="M148" s="0" t="s">
        <v>5291</v>
      </c>
      <c r="N148" s="0" t="s">
        <v>598</v>
      </c>
      <c r="O148" s="0" t="s">
        <v>7960</v>
      </c>
      <c r="P148" s="0" t="s">
        <v>7961</v>
      </c>
      <c r="Q148" s="0" t="s">
        <v>7962</v>
      </c>
      <c r="R148" s="5" t="s">
        <v>162</v>
      </c>
      <c r="S148" s="0" t="s">
        <v>163</v>
      </c>
      <c r="T148" s="5" t="s">
        <v>162</v>
      </c>
      <c r="U148" s="5" t="s">
        <v>561</v>
      </c>
      <c r="V148" s="0" t="s">
        <v>7963</v>
      </c>
      <c r="W148" s="0" t="s">
        <v>166</v>
      </c>
      <c r="X148" s="0" t="s">
        <v>4585</v>
      </c>
      <c r="Y148" s="0" t="str">
        <f aca="false">IF(EB148&lt;&gt;"Y","",COUNTIFS($EB$2:$EB$1000,"Y",$J$2:$J$1000,"&gt;"&amp;J148)+COUNTIFS($EB$2:$EB$1000,"Y",$J$2:$J$1000,J148,$ED$2:$ED$1000,"&lt;"&amp;ED148)+1)</f>
        <v/>
      </c>
      <c r="Z148" s="0" t="n">
        <v>147</v>
      </c>
      <c r="AA148" s="0" t="s">
        <v>162</v>
      </c>
      <c r="AB148" s="0" t="s">
        <v>6315</v>
      </c>
      <c r="AC148" s="0" t="s">
        <v>4587</v>
      </c>
      <c r="AD148" s="0" t="s">
        <v>598</v>
      </c>
      <c r="AE148" s="0" t="s">
        <v>172</v>
      </c>
      <c r="AF148" s="0" t="s">
        <v>7964</v>
      </c>
      <c r="AG148" s="0" t="s">
        <v>166</v>
      </c>
      <c r="AH148" s="0" t="s">
        <v>7965</v>
      </c>
      <c r="AI148" s="0" t="s">
        <v>4664</v>
      </c>
      <c r="AJ148" s="0" t="s">
        <v>7966</v>
      </c>
      <c r="AK148" s="0" t="s">
        <v>7967</v>
      </c>
      <c r="AL148" s="0" t="s">
        <v>168</v>
      </c>
      <c r="AM148" s="0" t="s">
        <v>7968</v>
      </c>
      <c r="AN148" s="0" t="s">
        <v>7957</v>
      </c>
      <c r="AO148" s="5" t="s">
        <v>162</v>
      </c>
      <c r="AR148" s="0" t="str">
        <f aca="false">IF(AND(AU148="pass",AO148&lt;&gt;"Y",C148&lt;&gt;""),"Y","N")</f>
        <v>N</v>
      </c>
      <c r="AS148" s="0" t="str">
        <f aca="false">_xlfn.TEXTJOIN("; ",TRUE(),IF(AU148&lt;&gt;"pass","gated out",""),IF(AO148="Y","on hold: "&amp;AP148,""),IF(C148="","no contact named on an opened page",""))</f>
        <v>no contact named on an opened page</v>
      </c>
      <c r="AU148" s="0" t="s">
        <v>181</v>
      </c>
      <c r="AW148" s="0" t="s">
        <v>182</v>
      </c>
      <c r="AX148" s="0" t="s">
        <v>282</v>
      </c>
      <c r="AY148" s="0" t="s">
        <v>7967</v>
      </c>
      <c r="AZ148" s="0" t="s">
        <v>4595</v>
      </c>
      <c r="BA148" s="0" t="s">
        <v>4951</v>
      </c>
      <c r="BB148" s="0" t="s">
        <v>163</v>
      </c>
      <c r="BD148" s="0" t="s">
        <v>163</v>
      </c>
      <c r="BE148" s="0" t="s">
        <v>7969</v>
      </c>
      <c r="BF148" s="0" t="s">
        <v>168</v>
      </c>
      <c r="BG148" s="0" t="s">
        <v>168</v>
      </c>
      <c r="BH148" s="0" t="s">
        <v>163</v>
      </c>
      <c r="BJ148" s="0" t="s">
        <v>163</v>
      </c>
      <c r="BK148" s="0" t="s">
        <v>162</v>
      </c>
      <c r="BL148" s="0" t="s">
        <v>162</v>
      </c>
      <c r="BO148" s="0" t="s">
        <v>162</v>
      </c>
      <c r="BP148" s="0" t="n">
        <v>0</v>
      </c>
      <c r="BS148" s="0" t="s">
        <v>7970</v>
      </c>
      <c r="BU148" s="0" t="s">
        <v>4694</v>
      </c>
      <c r="BV148" s="0" t="n">
        <v>7</v>
      </c>
      <c r="BX148" s="0" t="s">
        <v>7971</v>
      </c>
      <c r="BY148" s="0" t="s">
        <v>7972</v>
      </c>
      <c r="CF148" s="0" t="s">
        <v>158</v>
      </c>
      <c r="CK148" s="0" t="s">
        <v>158</v>
      </c>
      <c r="CL148" s="0" t="n">
        <v>40</v>
      </c>
      <c r="CM148" s="0" t="n">
        <v>6</v>
      </c>
      <c r="CN148" s="0" t="n">
        <v>13</v>
      </c>
      <c r="CO148" s="0" t="n">
        <v>8</v>
      </c>
      <c r="CP148" s="0" t="n">
        <v>5</v>
      </c>
      <c r="CQ148" s="0" t="n">
        <v>7</v>
      </c>
      <c r="CR148" s="0" t="n">
        <v>3</v>
      </c>
      <c r="CS148" s="0" t="n">
        <f aca="false">IF(R148="Y",10,0)</f>
        <v>0</v>
      </c>
      <c r="CT148" s="0" t="n">
        <v>-2</v>
      </c>
      <c r="CU148" s="0" t="s">
        <v>7973</v>
      </c>
      <c r="CV148" s="0" t="s">
        <v>4703</v>
      </c>
      <c r="CW148" s="0" t="s">
        <v>7974</v>
      </c>
      <c r="CX148" s="0" t="s">
        <v>7975</v>
      </c>
      <c r="CY148" s="0" t="s">
        <v>7976</v>
      </c>
      <c r="DA148" s="0" t="s">
        <v>6234</v>
      </c>
      <c r="DY148" s="0" t="str">
        <f aca="false">IF(ISNUMBER(MATCH(U148,{"queued","contacted","replied","call_booked","call_done","yes_in_principle","materials_sent"},0)),"Y","N")</f>
        <v>N</v>
      </c>
      <c r="DZ148" s="0" t="str">
        <f aca="false">IF(COUNTIFS($AN$2:$AN$1000,AN148,$DY$2:$DY$1000,"Y")+COUNTIFS($AN$2:$AN$1000,AN148,$T$2:$T$1000,"Y")&gt;0,"Y","N")</f>
        <v>N</v>
      </c>
      <c r="EA148" s="0" t="str">
        <f aca="false">IF(AND(U148="new",T148="N",AR148="Y",AQ148="",DZ148="N"),"Y","N")</f>
        <v>N</v>
      </c>
      <c r="EB148" s="0" t="str">
        <f aca="false">IF(EA148&lt;&gt;"Y","N",IF(COUNTIFS($AN$2:$AN$1000,AN148,$EA$2:$EA$1000,"Y",$J$2:$J$1000,"&gt;"&amp;J148)+COUNTIFS($AN$2:$AN$1000,AN148,$EA$2:$EA$1000,"Y",$J$2:$J$1000,J148,$ED$2:$ED$1000,"&lt;"&amp;ED148)=0,"Y","N"))</f>
        <v>N</v>
      </c>
      <c r="EC148" s="0" t="str">
        <f aca="false">IF(Y148="","N",IF(Y148&lt;=10,"Y","N"))</f>
        <v>N</v>
      </c>
      <c r="ED148" s="0" t="n">
        <f aca="false">ROW()-1</f>
        <v>147</v>
      </c>
    </row>
    <row r="149" customFormat="false" ht="15" hidden="false" customHeight="false" outlineLevel="0" collapsed="false">
      <c r="A149" s="0" t="s">
        <v>7977</v>
      </c>
      <c r="B149" s="0" t="s">
        <v>7978</v>
      </c>
      <c r="C149" s="0" t="s">
        <v>7979</v>
      </c>
      <c r="D149" s="0" t="s">
        <v>7980</v>
      </c>
      <c r="E149" s="0" t="s">
        <v>4771</v>
      </c>
      <c r="H149" s="5" t="s">
        <v>158</v>
      </c>
      <c r="I149" s="5" t="s">
        <v>159</v>
      </c>
      <c r="J149" s="0" t="n">
        <f aca="false">IF(AU149="pass",CM149+CN149+CO149+CP149+CQ149+CR149+CS149+CT149,0)</f>
        <v>40</v>
      </c>
      <c r="K149" s="0" t="s">
        <v>7981</v>
      </c>
      <c r="M149" s="0" t="s">
        <v>5291</v>
      </c>
      <c r="N149" s="0" t="s">
        <v>598</v>
      </c>
      <c r="R149" s="5" t="s">
        <v>162</v>
      </c>
      <c r="S149" s="0" t="s">
        <v>163</v>
      </c>
      <c r="T149" s="5" t="s">
        <v>162</v>
      </c>
      <c r="U149" s="5" t="s">
        <v>561</v>
      </c>
      <c r="V149" s="0" t="s">
        <v>7982</v>
      </c>
      <c r="W149" s="0" t="s">
        <v>166</v>
      </c>
      <c r="X149" s="0" t="s">
        <v>4585</v>
      </c>
      <c r="Y149" s="0" t="n">
        <f aca="false">IF(EB149&lt;&gt;"Y","",COUNTIFS($EB$2:$EB$1000,"Y",$J$2:$J$1000,"&gt;"&amp;J149)+COUNTIFS($EB$2:$EB$1000,"Y",$J$2:$J$1000,J149,$ED$2:$ED$1000,"&lt;"&amp;ED149)+1)</f>
        <v>123</v>
      </c>
      <c r="Z149" s="0" t="n">
        <v>148</v>
      </c>
      <c r="AA149" s="0" t="s">
        <v>162</v>
      </c>
      <c r="AB149" s="0" t="s">
        <v>7983</v>
      </c>
      <c r="AC149" s="0" t="s">
        <v>4587</v>
      </c>
      <c r="AD149" s="0" t="s">
        <v>171</v>
      </c>
      <c r="AE149" s="0" t="s">
        <v>1189</v>
      </c>
      <c r="AF149" s="0" t="s">
        <v>7984</v>
      </c>
      <c r="AG149" s="0" t="s">
        <v>166</v>
      </c>
      <c r="AH149" s="0" t="s">
        <v>7985</v>
      </c>
      <c r="AI149" s="0" t="s">
        <v>4590</v>
      </c>
      <c r="AJ149" s="0" t="s">
        <v>7986</v>
      </c>
      <c r="AK149" s="0" t="s">
        <v>7987</v>
      </c>
      <c r="AL149" s="0" t="s">
        <v>168</v>
      </c>
      <c r="AM149" s="0" t="s">
        <v>7988</v>
      </c>
      <c r="AN149" s="0" t="s">
        <v>7977</v>
      </c>
      <c r="AO149" s="5" t="s">
        <v>162</v>
      </c>
      <c r="AR149" s="0" t="str">
        <f aca="false">IF(AND(AU149="pass",AO149&lt;&gt;"Y",C149&lt;&gt;""),"Y","N")</f>
        <v>Y</v>
      </c>
      <c r="AS149" s="0" t="str">
        <f aca="false">_xlfn.TEXTJOIN("; ",TRUE(),IF(AU149&lt;&gt;"pass","gated out",""),IF(AO149="Y","on hold: "&amp;AP149,""),IF(C149="","no contact named on an opened page",""))</f>
        <v/>
      </c>
      <c r="AU149" s="0" t="s">
        <v>181</v>
      </c>
      <c r="AW149" s="0" t="s">
        <v>182</v>
      </c>
      <c r="AX149" s="0" t="s">
        <v>4594</v>
      </c>
      <c r="AY149" s="0" t="s">
        <v>7987</v>
      </c>
      <c r="AZ149" s="0" t="s">
        <v>4595</v>
      </c>
      <c r="BA149" s="0" t="s">
        <v>4596</v>
      </c>
      <c r="BB149" s="0" t="s">
        <v>7989</v>
      </c>
      <c r="BC149" s="0" t="s">
        <v>7982</v>
      </c>
      <c r="BD149" s="0" t="s">
        <v>163</v>
      </c>
      <c r="BE149" s="0" t="s">
        <v>5927</v>
      </c>
      <c r="BF149" s="0" t="s">
        <v>168</v>
      </c>
      <c r="BG149" s="0" t="s">
        <v>168</v>
      </c>
      <c r="BH149" s="0" t="s">
        <v>163</v>
      </c>
      <c r="BJ149" s="0" t="s">
        <v>5549</v>
      </c>
      <c r="BK149" s="0" t="s">
        <v>162</v>
      </c>
      <c r="BL149" s="0" t="s">
        <v>162</v>
      </c>
      <c r="BO149" s="0" t="s">
        <v>162</v>
      </c>
      <c r="BP149" s="0" t="n">
        <v>0</v>
      </c>
      <c r="BS149" s="0" t="s">
        <v>7160</v>
      </c>
      <c r="BT149" s="0" t="s">
        <v>7990</v>
      </c>
      <c r="BU149" s="0" t="s">
        <v>158</v>
      </c>
      <c r="BX149" s="0" t="s">
        <v>7991</v>
      </c>
      <c r="CF149" s="0" t="s">
        <v>158</v>
      </c>
      <c r="CK149" s="0" t="s">
        <v>158</v>
      </c>
      <c r="CL149" s="0" t="n">
        <v>40</v>
      </c>
      <c r="CM149" s="0" t="n">
        <v>6</v>
      </c>
      <c r="CN149" s="0" t="n">
        <v>20</v>
      </c>
      <c r="CO149" s="0" t="n">
        <v>0</v>
      </c>
      <c r="CP149" s="0" t="n">
        <v>5</v>
      </c>
      <c r="CQ149" s="0" t="n">
        <v>7</v>
      </c>
      <c r="CR149" s="0" t="n">
        <v>6</v>
      </c>
      <c r="CS149" s="0" t="n">
        <f aca="false">IF(R149="Y",10,0)</f>
        <v>0</v>
      </c>
      <c r="CT149" s="0" t="n">
        <v>-4</v>
      </c>
      <c r="CU149" s="0" t="s">
        <v>7992</v>
      </c>
      <c r="CV149" s="0" t="s">
        <v>5562</v>
      </c>
      <c r="CW149" s="0" t="s">
        <v>7993</v>
      </c>
      <c r="CX149" s="0" t="s">
        <v>7994</v>
      </c>
      <c r="CY149" s="0" t="s">
        <v>7995</v>
      </c>
      <c r="DA149" s="0" t="s">
        <v>6234</v>
      </c>
      <c r="DY149" s="0" t="str">
        <f aca="false">IF(ISNUMBER(MATCH(U149,{"queued","contacted","replied","call_booked","call_done","yes_in_principle","materials_sent"},0)),"Y","N")</f>
        <v>N</v>
      </c>
      <c r="DZ149" s="0" t="str">
        <f aca="false">IF(COUNTIFS($AN$2:$AN$1000,AN149,$DY$2:$DY$1000,"Y")+COUNTIFS($AN$2:$AN$1000,AN149,$T$2:$T$1000,"Y")&gt;0,"Y","N")</f>
        <v>N</v>
      </c>
      <c r="EA149" s="0" t="str">
        <f aca="false">IF(AND(U149="new",T149="N",AR149="Y",AQ149="",DZ149="N"),"Y","N")</f>
        <v>Y</v>
      </c>
      <c r="EB149" s="0" t="str">
        <f aca="false">IF(EA149&lt;&gt;"Y","N",IF(COUNTIFS($AN$2:$AN$1000,AN149,$EA$2:$EA$1000,"Y",$J$2:$J$1000,"&gt;"&amp;J149)+COUNTIFS($AN$2:$AN$1000,AN149,$EA$2:$EA$1000,"Y",$J$2:$J$1000,J149,$ED$2:$ED$1000,"&lt;"&amp;ED149)=0,"Y","N"))</f>
        <v>Y</v>
      </c>
      <c r="EC149" s="0" t="str">
        <f aca="false">IF(Y149="","N",IF(Y149&lt;=10,"Y","N"))</f>
        <v>N</v>
      </c>
      <c r="ED149" s="0" t="n">
        <f aca="false">ROW()-1</f>
        <v>148</v>
      </c>
    </row>
    <row r="150" customFormat="false" ht="15" hidden="false" customHeight="false" outlineLevel="0" collapsed="false">
      <c r="A150" s="0" t="s">
        <v>7996</v>
      </c>
      <c r="B150" s="0" t="s">
        <v>7997</v>
      </c>
      <c r="C150" s="0" t="s">
        <v>7998</v>
      </c>
      <c r="D150" s="0" t="s">
        <v>7999</v>
      </c>
      <c r="E150" s="0" t="s">
        <v>4771</v>
      </c>
      <c r="H150" s="5" t="s">
        <v>158</v>
      </c>
      <c r="I150" s="5" t="s">
        <v>159</v>
      </c>
      <c r="J150" s="0" t="n">
        <f aca="false">IF(AU150="pass",CM150+CN150+CO150+CP150+CQ150+CR150+CS150+CT150,0)</f>
        <v>39</v>
      </c>
      <c r="K150" s="0" t="s">
        <v>8000</v>
      </c>
      <c r="M150" s="0" t="s">
        <v>4580</v>
      </c>
      <c r="N150" s="0" t="s">
        <v>4581</v>
      </c>
      <c r="R150" s="5" t="s">
        <v>162</v>
      </c>
      <c r="S150" s="0" t="s">
        <v>163</v>
      </c>
      <c r="T150" s="5" t="s">
        <v>162</v>
      </c>
      <c r="U150" s="5" t="s">
        <v>561</v>
      </c>
      <c r="V150" s="0" t="s">
        <v>8001</v>
      </c>
      <c r="W150" s="0" t="s">
        <v>166</v>
      </c>
      <c r="X150" s="0" t="s">
        <v>4585</v>
      </c>
      <c r="Y150" s="0" t="n">
        <f aca="false">IF(EB150&lt;&gt;"Y","",COUNTIFS($EB$2:$EB$1000,"Y",$J$2:$J$1000,"&gt;"&amp;J150)+COUNTIFS($EB$2:$EB$1000,"Y",$J$2:$J$1000,J150,$ED$2:$ED$1000,"&lt;"&amp;ED150)+1)</f>
        <v>124</v>
      </c>
      <c r="Z150" s="0" t="n">
        <v>149</v>
      </c>
      <c r="AA150" s="0" t="s">
        <v>162</v>
      </c>
      <c r="AB150" s="0" t="s">
        <v>8002</v>
      </c>
      <c r="AC150" s="0" t="s">
        <v>4587</v>
      </c>
      <c r="AD150" s="0" t="s">
        <v>171</v>
      </c>
      <c r="AE150" s="0" t="s">
        <v>172</v>
      </c>
      <c r="AF150" s="0" t="s">
        <v>8003</v>
      </c>
      <c r="AG150" s="0" t="s">
        <v>166</v>
      </c>
      <c r="AH150" s="0" t="s">
        <v>8004</v>
      </c>
      <c r="AI150" s="0" t="s">
        <v>4664</v>
      </c>
      <c r="AJ150" s="0" t="s">
        <v>8005</v>
      </c>
      <c r="AK150" s="0" t="s">
        <v>8006</v>
      </c>
      <c r="AL150" s="0" t="s">
        <v>168</v>
      </c>
      <c r="AM150" s="0" t="s">
        <v>8007</v>
      </c>
      <c r="AN150" s="0" t="s">
        <v>7996</v>
      </c>
      <c r="AO150" s="5" t="s">
        <v>162</v>
      </c>
      <c r="AR150" s="0" t="str">
        <f aca="false">IF(AND(AU150="pass",AO150&lt;&gt;"Y",C150&lt;&gt;""),"Y","N")</f>
        <v>Y</v>
      </c>
      <c r="AS150" s="0" t="str">
        <f aca="false">_xlfn.TEXTJOIN("; ",TRUE(),IF(AU150&lt;&gt;"pass","gated out",""),IF(AO150="Y","on hold: "&amp;AP150,""),IF(C150="","no contact named on an opened page",""))</f>
        <v/>
      </c>
      <c r="AU150" s="0" t="s">
        <v>181</v>
      </c>
      <c r="AW150" s="0" t="s">
        <v>182</v>
      </c>
      <c r="AX150" s="0" t="s">
        <v>8008</v>
      </c>
      <c r="AY150" s="0" t="s">
        <v>8006</v>
      </c>
      <c r="AZ150" s="0" t="s">
        <v>6476</v>
      </c>
      <c r="BA150" s="0" t="s">
        <v>5191</v>
      </c>
      <c r="BB150" s="0" t="s">
        <v>163</v>
      </c>
      <c r="BD150" s="0" t="s">
        <v>163</v>
      </c>
      <c r="BE150" s="0" t="s">
        <v>8009</v>
      </c>
      <c r="BF150" s="0" t="s">
        <v>163</v>
      </c>
      <c r="BG150" s="0" t="s">
        <v>168</v>
      </c>
      <c r="BH150" s="0" t="s">
        <v>163</v>
      </c>
      <c r="BJ150" s="0" t="s">
        <v>163</v>
      </c>
      <c r="BK150" s="0" t="s">
        <v>162</v>
      </c>
      <c r="BL150" s="0" t="s">
        <v>162</v>
      </c>
      <c r="BN150" s="0" t="n">
        <v>0</v>
      </c>
      <c r="BO150" s="0" t="s">
        <v>168</v>
      </c>
      <c r="BP150" s="0" t="n">
        <v>3</v>
      </c>
      <c r="BQ150" s="0" t="s">
        <v>4669</v>
      </c>
      <c r="BS150" s="0" t="s">
        <v>4692</v>
      </c>
      <c r="BT150" s="0" t="s">
        <v>8010</v>
      </c>
      <c r="BU150" s="0" t="s">
        <v>158</v>
      </c>
      <c r="BX150" s="0" t="s">
        <v>8011</v>
      </c>
      <c r="CF150" s="0" t="s">
        <v>158</v>
      </c>
      <c r="CK150" s="0" t="s">
        <v>158</v>
      </c>
      <c r="CL150" s="0" t="n">
        <v>39</v>
      </c>
      <c r="CM150" s="0" t="n">
        <v>25</v>
      </c>
      <c r="CN150" s="0" t="n">
        <v>8</v>
      </c>
      <c r="CO150" s="0" t="n">
        <v>0</v>
      </c>
      <c r="CP150" s="0" t="n">
        <v>5</v>
      </c>
      <c r="CQ150" s="0" t="n">
        <v>5</v>
      </c>
      <c r="CR150" s="0" t="n">
        <v>6</v>
      </c>
      <c r="CS150" s="0" t="n">
        <f aca="false">IF(R150="Y",10,0)</f>
        <v>0</v>
      </c>
      <c r="CT150" s="0" t="n">
        <v>-10</v>
      </c>
      <c r="CU150" s="0" t="s">
        <v>8012</v>
      </c>
      <c r="CV150" s="0" t="s">
        <v>4703</v>
      </c>
      <c r="CW150" s="0" t="s">
        <v>8013</v>
      </c>
      <c r="CX150" s="0" t="s">
        <v>8014</v>
      </c>
      <c r="CY150" s="0" t="s">
        <v>8015</v>
      </c>
      <c r="DA150" s="0" t="s">
        <v>6234</v>
      </c>
      <c r="DY150" s="0" t="str">
        <f aca="false">IF(ISNUMBER(MATCH(U150,{"queued","contacted","replied","call_booked","call_done","yes_in_principle","materials_sent"},0)),"Y","N")</f>
        <v>N</v>
      </c>
      <c r="DZ150" s="0" t="str">
        <f aca="false">IF(COUNTIFS($AN$2:$AN$1000,AN150,$DY$2:$DY$1000,"Y")+COUNTIFS($AN$2:$AN$1000,AN150,$T$2:$T$1000,"Y")&gt;0,"Y","N")</f>
        <v>N</v>
      </c>
      <c r="EA150" s="0" t="str">
        <f aca="false">IF(AND(U150="new",T150="N",AR150="Y",AQ150="",DZ150="N"),"Y","N")</f>
        <v>Y</v>
      </c>
      <c r="EB150" s="0" t="str">
        <f aca="false">IF(EA150&lt;&gt;"Y","N",IF(COUNTIFS($AN$2:$AN$1000,AN150,$EA$2:$EA$1000,"Y",$J$2:$J$1000,"&gt;"&amp;J150)+COUNTIFS($AN$2:$AN$1000,AN150,$EA$2:$EA$1000,"Y",$J$2:$J$1000,J150,$ED$2:$ED$1000,"&lt;"&amp;ED150)=0,"Y","N"))</f>
        <v>Y</v>
      </c>
      <c r="EC150" s="0" t="str">
        <f aca="false">IF(Y150="","N",IF(Y150&lt;=10,"Y","N"))</f>
        <v>N</v>
      </c>
      <c r="ED150" s="0" t="n">
        <f aca="false">ROW()-1</f>
        <v>149</v>
      </c>
    </row>
    <row r="151" customFormat="false" ht="15" hidden="false" customHeight="false" outlineLevel="0" collapsed="false">
      <c r="A151" s="0" t="s">
        <v>8016</v>
      </c>
      <c r="B151" s="0" t="s">
        <v>8017</v>
      </c>
      <c r="H151" s="5" t="s">
        <v>158</v>
      </c>
      <c r="I151" s="5"/>
      <c r="J151" s="0" t="n">
        <f aca="false">IF(AU151="pass",CM151+CN151+CO151+CP151+CQ151+CR151+CS151+CT151,0)</f>
        <v>39</v>
      </c>
      <c r="K151" s="0" t="s">
        <v>8018</v>
      </c>
      <c r="M151" s="0" t="s">
        <v>4580</v>
      </c>
      <c r="N151" s="0" t="s">
        <v>4581</v>
      </c>
      <c r="O151" s="0" t="s">
        <v>8019</v>
      </c>
      <c r="P151" s="0" t="s">
        <v>8020</v>
      </c>
      <c r="R151" s="5" t="s">
        <v>162</v>
      </c>
      <c r="S151" s="0" t="s">
        <v>163</v>
      </c>
      <c r="T151" s="5" t="s">
        <v>162</v>
      </c>
      <c r="U151" s="5" t="s">
        <v>561</v>
      </c>
      <c r="V151" s="0" t="s">
        <v>8021</v>
      </c>
      <c r="W151" s="0" t="s">
        <v>166</v>
      </c>
      <c r="X151" s="0" t="s">
        <v>4585</v>
      </c>
      <c r="Y151" s="0" t="str">
        <f aca="false">IF(EB151&lt;&gt;"Y","",COUNTIFS($EB$2:$EB$1000,"Y",$J$2:$J$1000,"&gt;"&amp;J151)+COUNTIFS($EB$2:$EB$1000,"Y",$J$2:$J$1000,J151,$ED$2:$ED$1000,"&lt;"&amp;ED151)+1)</f>
        <v/>
      </c>
      <c r="Z151" s="0" t="n">
        <v>150</v>
      </c>
      <c r="AA151" s="0" t="s">
        <v>162</v>
      </c>
      <c r="AB151" s="0" t="s">
        <v>8022</v>
      </c>
      <c r="AC151" s="0" t="s">
        <v>4587</v>
      </c>
      <c r="AD151" s="0" t="s">
        <v>598</v>
      </c>
      <c r="AE151" s="0" t="s">
        <v>163</v>
      </c>
      <c r="AG151" s="0" t="s">
        <v>166</v>
      </c>
      <c r="AH151" s="0" t="s">
        <v>8023</v>
      </c>
      <c r="AI151" s="0" t="s">
        <v>4975</v>
      </c>
      <c r="AJ151" s="0" t="s">
        <v>8024</v>
      </c>
      <c r="AK151" s="0" t="s">
        <v>8021</v>
      </c>
      <c r="AL151" s="0" t="s">
        <v>168</v>
      </c>
      <c r="AM151" s="0" t="s">
        <v>8025</v>
      </c>
      <c r="AN151" s="0" t="s">
        <v>8016</v>
      </c>
      <c r="AO151" s="5" t="s">
        <v>162</v>
      </c>
      <c r="AR151" s="0" t="str">
        <f aca="false">IF(AND(AU151="pass",AO151&lt;&gt;"Y",C151&lt;&gt;""),"Y","N")</f>
        <v>N</v>
      </c>
      <c r="AS151" s="0" t="str">
        <f aca="false">_xlfn.TEXTJOIN("; ",TRUE(),IF(AU151&lt;&gt;"pass","gated out",""),IF(AO151="Y","on hold: "&amp;AP151,""),IF(C151="","no contact named on an opened page",""))</f>
        <v>no contact named on an opened page</v>
      </c>
      <c r="AU151" s="0" t="s">
        <v>181</v>
      </c>
      <c r="AW151" s="0" t="s">
        <v>182</v>
      </c>
      <c r="AX151" s="0" t="s">
        <v>5605</v>
      </c>
      <c r="AY151" s="0" t="s">
        <v>8021</v>
      </c>
      <c r="AZ151" s="0" t="s">
        <v>4922</v>
      </c>
      <c r="BA151" s="0" t="s">
        <v>5191</v>
      </c>
      <c r="BB151" s="0" t="s">
        <v>163</v>
      </c>
      <c r="BD151" s="0" t="s">
        <v>168</v>
      </c>
      <c r="BE151" s="0" t="s">
        <v>8026</v>
      </c>
      <c r="BF151" s="0" t="s">
        <v>168</v>
      </c>
      <c r="BG151" s="0" t="s">
        <v>168</v>
      </c>
      <c r="BH151" s="0" t="s">
        <v>163</v>
      </c>
      <c r="BJ151" s="0" t="s">
        <v>163</v>
      </c>
      <c r="BK151" s="0" t="s">
        <v>162</v>
      </c>
      <c r="BL151" s="0" t="s">
        <v>162</v>
      </c>
      <c r="BN151" s="0" t="n">
        <v>0</v>
      </c>
      <c r="BO151" s="0" t="s">
        <v>168</v>
      </c>
      <c r="BP151" s="0" t="n">
        <v>3</v>
      </c>
      <c r="BQ151" s="0" t="s">
        <v>4669</v>
      </c>
      <c r="BS151" s="0" t="s">
        <v>8027</v>
      </c>
      <c r="BT151" s="0" t="s">
        <v>8028</v>
      </c>
      <c r="BU151" s="0" t="s">
        <v>158</v>
      </c>
      <c r="BX151" s="0" t="s">
        <v>8029</v>
      </c>
      <c r="BY151" s="0" t="s">
        <v>8030</v>
      </c>
      <c r="CA151" s="0" t="s">
        <v>8031</v>
      </c>
      <c r="CE151" s="0" t="s">
        <v>6723</v>
      </c>
      <c r="CF151" s="0" t="s">
        <v>598</v>
      </c>
      <c r="CG151" s="0" t="s">
        <v>8030</v>
      </c>
      <c r="CK151" s="0" t="s">
        <v>158</v>
      </c>
      <c r="CL151" s="0" t="n">
        <v>39</v>
      </c>
      <c r="CM151" s="0" t="n">
        <v>25</v>
      </c>
      <c r="CN151" s="0" t="n">
        <v>8</v>
      </c>
      <c r="CO151" s="0" t="n">
        <v>0</v>
      </c>
      <c r="CP151" s="0" t="n">
        <v>5</v>
      </c>
      <c r="CQ151" s="0" t="n">
        <v>10</v>
      </c>
      <c r="CR151" s="0" t="n">
        <v>3</v>
      </c>
      <c r="CS151" s="0" t="n">
        <f aca="false">IF(R151="Y",10,0)</f>
        <v>0</v>
      </c>
      <c r="CT151" s="0" t="n">
        <v>-12</v>
      </c>
      <c r="CU151" s="0" t="s">
        <v>8032</v>
      </c>
      <c r="CV151" s="0" t="s">
        <v>4841</v>
      </c>
      <c r="CW151" s="0" t="s">
        <v>8033</v>
      </c>
      <c r="CX151" s="0" t="s">
        <v>8034</v>
      </c>
      <c r="CY151" s="0" t="s">
        <v>8035</v>
      </c>
      <c r="DA151" s="0" t="s">
        <v>6234</v>
      </c>
      <c r="DC151" s="0" t="s">
        <v>163</v>
      </c>
      <c r="DY151" s="0" t="str">
        <f aca="false">IF(ISNUMBER(MATCH(U151,{"queued","contacted","replied","call_booked","call_done","yes_in_principle","materials_sent"},0)),"Y","N")</f>
        <v>N</v>
      </c>
      <c r="DZ151" s="0" t="str">
        <f aca="false">IF(COUNTIFS($AN$2:$AN$1000,AN151,$DY$2:$DY$1000,"Y")+COUNTIFS($AN$2:$AN$1000,AN151,$T$2:$T$1000,"Y")&gt;0,"Y","N")</f>
        <v>N</v>
      </c>
      <c r="EA151" s="0" t="str">
        <f aca="false">IF(AND(U151="new",T151="N",AR151="Y",AQ151="",DZ151="N"),"Y","N")</f>
        <v>N</v>
      </c>
      <c r="EB151" s="0" t="str">
        <f aca="false">IF(EA151&lt;&gt;"Y","N",IF(COUNTIFS($AN$2:$AN$1000,AN151,$EA$2:$EA$1000,"Y",$J$2:$J$1000,"&gt;"&amp;J151)+COUNTIFS($AN$2:$AN$1000,AN151,$EA$2:$EA$1000,"Y",$J$2:$J$1000,J151,$ED$2:$ED$1000,"&lt;"&amp;ED151)=0,"Y","N"))</f>
        <v>N</v>
      </c>
      <c r="EC151" s="0" t="str">
        <f aca="false">IF(Y151="","N",IF(Y151&lt;=10,"Y","N"))</f>
        <v>N</v>
      </c>
      <c r="ED151" s="0" t="n">
        <f aca="false">ROW()-1</f>
        <v>150</v>
      </c>
    </row>
    <row r="152" customFormat="false" ht="15" hidden="false" customHeight="false" outlineLevel="0" collapsed="false">
      <c r="A152" s="0" t="s">
        <v>8036</v>
      </c>
      <c r="B152" s="0" t="s">
        <v>8037</v>
      </c>
      <c r="H152" s="5" t="s">
        <v>158</v>
      </c>
      <c r="I152" s="5"/>
      <c r="J152" s="0" t="n">
        <f aca="false">IF(AU152="pass",CM152+CN152+CO152+CP152+CQ152+CR152+CS152+CT152,0)</f>
        <v>39</v>
      </c>
      <c r="K152" s="0" t="s">
        <v>7441</v>
      </c>
      <c r="M152" s="0" t="s">
        <v>4580</v>
      </c>
      <c r="N152" s="0" t="s">
        <v>4581</v>
      </c>
      <c r="R152" s="5" t="s">
        <v>162</v>
      </c>
      <c r="S152" s="0" t="s">
        <v>163</v>
      </c>
      <c r="T152" s="5" t="s">
        <v>162</v>
      </c>
      <c r="U152" s="5" t="s">
        <v>561</v>
      </c>
      <c r="V152" s="0" t="s">
        <v>8038</v>
      </c>
      <c r="W152" s="0" t="s">
        <v>166</v>
      </c>
      <c r="X152" s="0" t="s">
        <v>4585</v>
      </c>
      <c r="Y152" s="0" t="str">
        <f aca="false">IF(EB152&lt;&gt;"Y","",COUNTIFS($EB$2:$EB$1000,"Y",$J$2:$J$1000,"&gt;"&amp;J152)+COUNTIFS($EB$2:$EB$1000,"Y",$J$2:$J$1000,J152,$ED$2:$ED$1000,"&lt;"&amp;ED152)+1)</f>
        <v/>
      </c>
      <c r="Z152" s="0" t="n">
        <v>151</v>
      </c>
      <c r="AA152" s="0" t="s">
        <v>162</v>
      </c>
      <c r="AB152" s="0" t="s">
        <v>8039</v>
      </c>
      <c r="AC152" s="0" t="s">
        <v>4587</v>
      </c>
      <c r="AD152" s="0" t="s">
        <v>598</v>
      </c>
      <c r="AE152" s="0" t="s">
        <v>163</v>
      </c>
      <c r="AG152" s="0" t="s">
        <v>166</v>
      </c>
      <c r="AH152" s="0" t="s">
        <v>8040</v>
      </c>
      <c r="AI152" s="0" t="s">
        <v>4826</v>
      </c>
      <c r="AJ152" s="0" t="s">
        <v>1242</v>
      </c>
      <c r="AL152" s="0" t="s">
        <v>168</v>
      </c>
      <c r="AM152" s="0" t="s">
        <v>8041</v>
      </c>
      <c r="AN152" s="0" t="s">
        <v>8036</v>
      </c>
      <c r="AO152" s="5" t="s">
        <v>162</v>
      </c>
      <c r="AR152" s="0" t="str">
        <f aca="false">IF(AND(AU152="pass",AO152&lt;&gt;"Y",C152&lt;&gt;""),"Y","N")</f>
        <v>N</v>
      </c>
      <c r="AS152" s="0" t="str">
        <f aca="false">_xlfn.TEXTJOIN("; ",TRUE(),IF(AU152&lt;&gt;"pass","gated out",""),IF(AO152="Y","on hold: "&amp;AP152,""),IF(C152="","no contact named on an opened page",""))</f>
        <v>no contact named on an opened page</v>
      </c>
      <c r="AU152" s="0" t="s">
        <v>181</v>
      </c>
      <c r="AW152" s="0" t="s">
        <v>182</v>
      </c>
      <c r="AX152" s="0" t="s">
        <v>282</v>
      </c>
      <c r="AY152" s="0" t="s">
        <v>8042</v>
      </c>
      <c r="AZ152" s="0" t="s">
        <v>5356</v>
      </c>
      <c r="BA152" s="0" t="s">
        <v>5329</v>
      </c>
      <c r="BB152" s="0" t="s">
        <v>163</v>
      </c>
      <c r="BD152" s="0" t="s">
        <v>168</v>
      </c>
      <c r="BE152" s="0" t="s">
        <v>8043</v>
      </c>
      <c r="BF152" s="0" t="s">
        <v>162</v>
      </c>
      <c r="BG152" s="0" t="s">
        <v>163</v>
      </c>
      <c r="BH152" s="0" t="s">
        <v>163</v>
      </c>
      <c r="BJ152" s="0" t="s">
        <v>163</v>
      </c>
      <c r="BK152" s="0" t="s">
        <v>162</v>
      </c>
      <c r="BL152" s="0" t="s">
        <v>162</v>
      </c>
      <c r="BN152" s="0" t="n">
        <v>0</v>
      </c>
      <c r="BO152" s="0" t="s">
        <v>168</v>
      </c>
      <c r="BP152" s="0" t="n">
        <v>3</v>
      </c>
      <c r="BQ152" s="0" t="s">
        <v>4669</v>
      </c>
      <c r="BS152" s="0" t="s">
        <v>4981</v>
      </c>
      <c r="BT152" s="0" t="s">
        <v>8044</v>
      </c>
      <c r="BU152" s="0" t="s">
        <v>158</v>
      </c>
      <c r="BX152" s="0" t="s">
        <v>8045</v>
      </c>
      <c r="BY152" s="0" t="s">
        <v>8046</v>
      </c>
      <c r="CF152" s="0" t="s">
        <v>158</v>
      </c>
      <c r="CK152" s="0" t="s">
        <v>158</v>
      </c>
      <c r="CL152" s="0" t="n">
        <v>39</v>
      </c>
      <c r="CM152" s="0" t="n">
        <v>25</v>
      </c>
      <c r="CN152" s="0" t="n">
        <v>3</v>
      </c>
      <c r="CO152" s="0" t="n">
        <v>0</v>
      </c>
      <c r="CP152" s="0" t="n">
        <v>5</v>
      </c>
      <c r="CQ152" s="0" t="n">
        <v>5</v>
      </c>
      <c r="CR152" s="0" t="n">
        <v>3</v>
      </c>
      <c r="CS152" s="0" t="n">
        <f aca="false">IF(R152="Y",10,0)</f>
        <v>0</v>
      </c>
      <c r="CT152" s="0" t="n">
        <v>-2</v>
      </c>
      <c r="CU152" s="0" t="s">
        <v>163</v>
      </c>
      <c r="CV152" s="0" t="s">
        <v>4841</v>
      </c>
      <c r="CW152" s="0" t="s">
        <v>8047</v>
      </c>
      <c r="CX152" s="0" t="s">
        <v>8048</v>
      </c>
      <c r="CY152" s="0" t="s">
        <v>8049</v>
      </c>
      <c r="DA152" s="0" t="s">
        <v>6234</v>
      </c>
      <c r="DY152" s="0" t="str">
        <f aca="false">IF(ISNUMBER(MATCH(U152,{"queued","contacted","replied","call_booked","call_done","yes_in_principle","materials_sent"},0)),"Y","N")</f>
        <v>N</v>
      </c>
      <c r="DZ152" s="0" t="str">
        <f aca="false">IF(COUNTIFS($AN$2:$AN$1000,AN152,$DY$2:$DY$1000,"Y")+COUNTIFS($AN$2:$AN$1000,AN152,$T$2:$T$1000,"Y")&gt;0,"Y","N")</f>
        <v>N</v>
      </c>
      <c r="EA152" s="0" t="str">
        <f aca="false">IF(AND(U152="new",T152="N",AR152="Y",AQ152="",DZ152="N"),"Y","N")</f>
        <v>N</v>
      </c>
      <c r="EB152" s="0" t="str">
        <f aca="false">IF(EA152&lt;&gt;"Y","N",IF(COUNTIFS($AN$2:$AN$1000,AN152,$EA$2:$EA$1000,"Y",$J$2:$J$1000,"&gt;"&amp;J152)+COUNTIFS($AN$2:$AN$1000,AN152,$EA$2:$EA$1000,"Y",$J$2:$J$1000,J152,$ED$2:$ED$1000,"&lt;"&amp;ED152)=0,"Y","N"))</f>
        <v>N</v>
      </c>
      <c r="EC152" s="0" t="str">
        <f aca="false">IF(Y152="","N",IF(Y152&lt;=10,"Y","N"))</f>
        <v>N</v>
      </c>
      <c r="ED152" s="0" t="n">
        <f aca="false">ROW()-1</f>
        <v>151</v>
      </c>
    </row>
    <row r="153" customFormat="false" ht="15" hidden="false" customHeight="false" outlineLevel="0" collapsed="false">
      <c r="A153" s="0" t="s">
        <v>8050</v>
      </c>
      <c r="B153" s="0" t="s">
        <v>8051</v>
      </c>
      <c r="C153" s="0" t="s">
        <v>8052</v>
      </c>
      <c r="D153" s="0" t="s">
        <v>8053</v>
      </c>
      <c r="E153" s="0" t="s">
        <v>8054</v>
      </c>
      <c r="H153" s="5" t="s">
        <v>158</v>
      </c>
      <c r="I153" s="5" t="s">
        <v>159</v>
      </c>
      <c r="J153" s="0" t="n">
        <f aca="false">IF(AU153="pass",CM153+CN153+CO153+CP153+CQ153+CR153+CS153+CT153,0)</f>
        <v>39</v>
      </c>
      <c r="K153" s="0" t="s">
        <v>8055</v>
      </c>
      <c r="M153" s="0" t="s">
        <v>5291</v>
      </c>
      <c r="N153" s="0" t="s">
        <v>598</v>
      </c>
      <c r="O153" s="0" t="s">
        <v>8056</v>
      </c>
      <c r="P153" s="0" t="s">
        <v>8057</v>
      </c>
      <c r="Q153" s="0" t="s">
        <v>2032</v>
      </c>
      <c r="R153" s="5" t="s">
        <v>162</v>
      </c>
      <c r="S153" s="0" t="s">
        <v>168</v>
      </c>
      <c r="T153" s="5" t="s">
        <v>162</v>
      </c>
      <c r="U153" s="5" t="s">
        <v>561</v>
      </c>
      <c r="V153" s="0" t="s">
        <v>8058</v>
      </c>
      <c r="W153" s="0" t="s">
        <v>166</v>
      </c>
      <c r="X153" s="0" t="s">
        <v>4585</v>
      </c>
      <c r="Y153" s="0" t="n">
        <f aca="false">IF(EB153&lt;&gt;"Y","",COUNTIFS($EB$2:$EB$1000,"Y",$J$2:$J$1000,"&gt;"&amp;J153)+COUNTIFS($EB$2:$EB$1000,"Y",$J$2:$J$1000,J153,$ED$2:$ED$1000,"&lt;"&amp;ED153)+1)</f>
        <v>125</v>
      </c>
      <c r="Z153" s="0" t="n">
        <v>152</v>
      </c>
      <c r="AA153" s="0" t="s">
        <v>162</v>
      </c>
      <c r="AB153" s="0" t="s">
        <v>8059</v>
      </c>
      <c r="AC153" s="0" t="s">
        <v>4587</v>
      </c>
      <c r="AD153" s="0" t="s">
        <v>171</v>
      </c>
      <c r="AE153" s="0" t="s">
        <v>1189</v>
      </c>
      <c r="AF153" s="0" t="s">
        <v>8058</v>
      </c>
      <c r="AG153" s="0" t="s">
        <v>166</v>
      </c>
      <c r="AH153" s="0" t="s">
        <v>8060</v>
      </c>
      <c r="AI153" s="0" t="s">
        <v>5461</v>
      </c>
      <c r="AJ153" s="0" t="s">
        <v>6758</v>
      </c>
      <c r="AK153" s="0" t="s">
        <v>8061</v>
      </c>
      <c r="AL153" s="0" t="s">
        <v>168</v>
      </c>
      <c r="AM153" s="0" t="s">
        <v>8062</v>
      </c>
      <c r="AN153" s="0" t="s">
        <v>8050</v>
      </c>
      <c r="AO153" s="5" t="s">
        <v>162</v>
      </c>
      <c r="AR153" s="0" t="str">
        <f aca="false">IF(AND(AU153="pass",AO153&lt;&gt;"Y",C153&lt;&gt;""),"Y","N")</f>
        <v>Y</v>
      </c>
      <c r="AS153" s="0" t="str">
        <f aca="false">_xlfn.TEXTJOIN("; ",TRUE(),IF(AU153&lt;&gt;"pass","gated out",""),IF(AO153="Y","on hold: "&amp;AP153,""),IF(C153="","no contact named on an opened page",""))</f>
        <v/>
      </c>
      <c r="AU153" s="0" t="s">
        <v>181</v>
      </c>
      <c r="AW153" s="0" t="s">
        <v>182</v>
      </c>
      <c r="AX153" s="0" t="s">
        <v>5270</v>
      </c>
      <c r="AY153" s="0" t="s">
        <v>8063</v>
      </c>
      <c r="AZ153" s="0" t="s">
        <v>6760</v>
      </c>
      <c r="BA153" s="0" t="s">
        <v>5329</v>
      </c>
      <c r="BB153" s="0" t="s">
        <v>163</v>
      </c>
      <c r="BD153" s="0" t="s">
        <v>163</v>
      </c>
      <c r="BE153" s="0" t="s">
        <v>8064</v>
      </c>
      <c r="BF153" s="0" t="s">
        <v>163</v>
      </c>
      <c r="BG153" s="0" t="s">
        <v>168</v>
      </c>
      <c r="BH153" s="0" t="s">
        <v>163</v>
      </c>
      <c r="BJ153" s="0" t="s">
        <v>163</v>
      </c>
      <c r="BK153" s="0" t="s">
        <v>162</v>
      </c>
      <c r="BL153" s="0" t="s">
        <v>162</v>
      </c>
      <c r="BO153" s="0" t="s">
        <v>162</v>
      </c>
      <c r="BP153" s="0" t="n">
        <v>0</v>
      </c>
      <c r="BS153" s="0" t="s">
        <v>8065</v>
      </c>
      <c r="BT153" s="0" t="s">
        <v>8066</v>
      </c>
      <c r="BU153" s="0" t="s">
        <v>4604</v>
      </c>
      <c r="BV153" s="0" t="n">
        <v>32</v>
      </c>
      <c r="BW153" s="0" t="s">
        <v>8058</v>
      </c>
      <c r="BX153" s="0" t="s">
        <v>8067</v>
      </c>
      <c r="CA153" s="0" t="s">
        <v>8068</v>
      </c>
      <c r="CB153" s="0" t="s">
        <v>8069</v>
      </c>
      <c r="CC153" s="0" t="s">
        <v>8070</v>
      </c>
      <c r="CD153" s="0" t="s">
        <v>6305</v>
      </c>
      <c r="CE153" s="0" t="s">
        <v>6260</v>
      </c>
      <c r="CF153" s="0" t="s">
        <v>171</v>
      </c>
      <c r="CK153" s="0" t="s">
        <v>158</v>
      </c>
      <c r="CL153" s="0" t="n">
        <v>39</v>
      </c>
      <c r="CM153" s="0" t="n">
        <v>6</v>
      </c>
      <c r="CN153" s="0" t="n">
        <v>3</v>
      </c>
      <c r="CO153" s="0" t="n">
        <v>15</v>
      </c>
      <c r="CP153" s="0" t="n">
        <v>5</v>
      </c>
      <c r="CQ153" s="0" t="n">
        <v>5</v>
      </c>
      <c r="CR153" s="0" t="n">
        <v>10</v>
      </c>
      <c r="CS153" s="0" t="n">
        <f aca="false">IF(R153="Y",10,0)</f>
        <v>0</v>
      </c>
      <c r="CT153" s="0" t="n">
        <v>-5</v>
      </c>
      <c r="CU153" s="0" t="s">
        <v>163</v>
      </c>
      <c r="CV153" s="0" t="s">
        <v>4841</v>
      </c>
      <c r="CW153" s="0" t="s">
        <v>8071</v>
      </c>
      <c r="CX153" s="0" t="s">
        <v>8072</v>
      </c>
      <c r="CY153" s="0" t="s">
        <v>8073</v>
      </c>
      <c r="CZ153" s="0" t="s">
        <v>8058</v>
      </c>
      <c r="DA153" s="0" t="s">
        <v>6234</v>
      </c>
      <c r="DC153" s="0" t="s">
        <v>1189</v>
      </c>
      <c r="DY153" s="0" t="str">
        <f aca="false">IF(ISNUMBER(MATCH(U153,{"queued","contacted","replied","call_booked","call_done","yes_in_principle","materials_sent"},0)),"Y","N")</f>
        <v>N</v>
      </c>
      <c r="DZ153" s="0" t="str">
        <f aca="false">IF(COUNTIFS($AN$2:$AN$1000,AN153,$DY$2:$DY$1000,"Y")+COUNTIFS($AN$2:$AN$1000,AN153,$T$2:$T$1000,"Y")&gt;0,"Y","N")</f>
        <v>N</v>
      </c>
      <c r="EA153" s="0" t="str">
        <f aca="false">IF(AND(U153="new",T153="N",AR153="Y",AQ153="",DZ153="N"),"Y","N")</f>
        <v>Y</v>
      </c>
      <c r="EB153" s="0" t="str">
        <f aca="false">IF(EA153&lt;&gt;"Y","N",IF(COUNTIFS($AN$2:$AN$1000,AN153,$EA$2:$EA$1000,"Y",$J$2:$J$1000,"&gt;"&amp;J153)+COUNTIFS($AN$2:$AN$1000,AN153,$EA$2:$EA$1000,"Y",$J$2:$J$1000,J153,$ED$2:$ED$1000,"&lt;"&amp;ED153)=0,"Y","N"))</f>
        <v>Y</v>
      </c>
      <c r="EC153" s="0" t="str">
        <f aca="false">IF(Y153="","N",IF(Y153&lt;=10,"Y","N"))</f>
        <v>N</v>
      </c>
      <c r="ED153" s="0" t="n">
        <f aca="false">ROW()-1</f>
        <v>152</v>
      </c>
    </row>
    <row r="154" customFormat="false" ht="15" hidden="false" customHeight="false" outlineLevel="0" collapsed="false">
      <c r="A154" s="0" t="s">
        <v>8074</v>
      </c>
      <c r="B154" s="0" t="s">
        <v>8075</v>
      </c>
      <c r="C154" s="0" t="s">
        <v>8076</v>
      </c>
      <c r="D154" s="0" t="s">
        <v>8077</v>
      </c>
      <c r="E154" s="0" t="s">
        <v>4771</v>
      </c>
      <c r="H154" s="5" t="s">
        <v>158</v>
      </c>
      <c r="I154" s="5" t="s">
        <v>159</v>
      </c>
      <c r="J154" s="0" t="n">
        <f aca="false">IF(AU154="pass",CM154+CN154+CO154+CP154+CQ154+CR154+CS154+CT154,0)</f>
        <v>39</v>
      </c>
      <c r="K154" s="0" t="s">
        <v>8078</v>
      </c>
      <c r="M154" s="0" t="s">
        <v>5291</v>
      </c>
      <c r="N154" s="0" t="s">
        <v>598</v>
      </c>
      <c r="O154" s="0" t="s">
        <v>8079</v>
      </c>
      <c r="P154" s="0" t="s">
        <v>8080</v>
      </c>
      <c r="Q154" s="0" t="s">
        <v>7153</v>
      </c>
      <c r="R154" s="5" t="s">
        <v>162</v>
      </c>
      <c r="S154" s="0" t="s">
        <v>163</v>
      </c>
      <c r="T154" s="5" t="s">
        <v>162</v>
      </c>
      <c r="U154" s="5" t="s">
        <v>561</v>
      </c>
      <c r="V154" s="0" t="s">
        <v>8081</v>
      </c>
      <c r="W154" s="0" t="s">
        <v>166</v>
      </c>
      <c r="X154" s="0" t="s">
        <v>4585</v>
      </c>
      <c r="Y154" s="0" t="n">
        <f aca="false">IF(EB154&lt;&gt;"Y","",COUNTIFS($EB$2:$EB$1000,"Y",$J$2:$J$1000,"&gt;"&amp;J154)+COUNTIFS($EB$2:$EB$1000,"Y",$J$2:$J$1000,J154,$ED$2:$ED$1000,"&lt;"&amp;ED154)+1)</f>
        <v>126</v>
      </c>
      <c r="Z154" s="0" t="n">
        <v>153</v>
      </c>
      <c r="AA154" s="0" t="s">
        <v>162</v>
      </c>
      <c r="AB154" s="0" t="s">
        <v>8082</v>
      </c>
      <c r="AC154" s="0" t="s">
        <v>4587</v>
      </c>
      <c r="AD154" s="0" t="s">
        <v>171</v>
      </c>
      <c r="AE154" s="0" t="s">
        <v>172</v>
      </c>
      <c r="AF154" s="0" t="s">
        <v>8083</v>
      </c>
      <c r="AG154" s="0" t="s">
        <v>166</v>
      </c>
      <c r="AH154" s="0" t="s">
        <v>8084</v>
      </c>
      <c r="AI154" s="0" t="s">
        <v>5763</v>
      </c>
      <c r="AJ154" s="0" t="s">
        <v>8085</v>
      </c>
      <c r="AK154" s="0" t="s">
        <v>8086</v>
      </c>
      <c r="AL154" s="0" t="s">
        <v>168</v>
      </c>
      <c r="AM154" s="0" t="s">
        <v>8087</v>
      </c>
      <c r="AN154" s="0" t="s">
        <v>8074</v>
      </c>
      <c r="AO154" s="5" t="s">
        <v>162</v>
      </c>
      <c r="AR154" s="0" t="str">
        <f aca="false">IF(AND(AU154="pass",AO154&lt;&gt;"Y",C154&lt;&gt;""),"Y","N")</f>
        <v>Y</v>
      </c>
      <c r="AS154" s="0" t="str">
        <f aca="false">_xlfn.TEXTJOIN("; ",TRUE(),IF(AU154&lt;&gt;"pass","gated out",""),IF(AO154="Y","on hold: "&amp;AP154,""),IF(C154="","no contact named on an opened page",""))</f>
        <v/>
      </c>
      <c r="AU154" s="0" t="s">
        <v>181</v>
      </c>
      <c r="AW154" s="0" t="s">
        <v>182</v>
      </c>
      <c r="AX154" s="0" t="s">
        <v>4594</v>
      </c>
      <c r="AY154" s="0" t="s">
        <v>8086</v>
      </c>
      <c r="AZ154" s="0" t="s">
        <v>4922</v>
      </c>
      <c r="BA154" s="0" t="s">
        <v>5191</v>
      </c>
      <c r="BB154" s="0" t="s">
        <v>163</v>
      </c>
      <c r="BD154" s="0" t="s">
        <v>168</v>
      </c>
      <c r="BE154" s="0" t="s">
        <v>8088</v>
      </c>
      <c r="BF154" s="0" t="s">
        <v>168</v>
      </c>
      <c r="BG154" s="0" t="s">
        <v>168</v>
      </c>
      <c r="BH154" s="0" t="s">
        <v>163</v>
      </c>
      <c r="BJ154" s="0" t="s">
        <v>5549</v>
      </c>
      <c r="BK154" s="0" t="s">
        <v>162</v>
      </c>
      <c r="BL154" s="0" t="s">
        <v>162</v>
      </c>
      <c r="BO154" s="0" t="s">
        <v>162</v>
      </c>
      <c r="BP154" s="0" t="n">
        <v>0</v>
      </c>
      <c r="BR154" s="0" t="s">
        <v>8089</v>
      </c>
      <c r="BS154" s="0" t="s">
        <v>8090</v>
      </c>
      <c r="BT154" s="0" t="s">
        <v>8080</v>
      </c>
      <c r="BU154" s="0" t="s">
        <v>4694</v>
      </c>
      <c r="BV154" s="0" t="n">
        <v>115</v>
      </c>
      <c r="BX154" s="0" t="s">
        <v>8091</v>
      </c>
      <c r="CF154" s="0" t="s">
        <v>158</v>
      </c>
      <c r="CK154" s="0" t="s">
        <v>158</v>
      </c>
      <c r="CL154" s="0" t="n">
        <v>39</v>
      </c>
      <c r="CM154" s="0" t="n">
        <v>6</v>
      </c>
      <c r="CN154" s="0" t="n">
        <v>8</v>
      </c>
      <c r="CO154" s="0" t="n">
        <v>8</v>
      </c>
      <c r="CP154" s="0" t="n">
        <v>5</v>
      </c>
      <c r="CQ154" s="0" t="n">
        <v>10</v>
      </c>
      <c r="CR154" s="0" t="n">
        <v>6</v>
      </c>
      <c r="CS154" s="0" t="n">
        <f aca="false">IF(R154="Y",10,0)</f>
        <v>0</v>
      </c>
      <c r="CT154" s="0" t="n">
        <v>-4</v>
      </c>
      <c r="CU154" s="0" t="s">
        <v>163</v>
      </c>
      <c r="CV154" s="0" t="s">
        <v>5562</v>
      </c>
      <c r="CW154" s="0" t="s">
        <v>8092</v>
      </c>
      <c r="CX154" s="0" t="s">
        <v>8093</v>
      </c>
      <c r="CY154" s="0" t="s">
        <v>8094</v>
      </c>
      <c r="DA154" s="0" t="s">
        <v>6234</v>
      </c>
      <c r="DY154" s="0" t="str">
        <f aca="false">IF(ISNUMBER(MATCH(U154,{"queued","contacted","replied","call_booked","call_done","yes_in_principle","materials_sent"},0)),"Y","N")</f>
        <v>N</v>
      </c>
      <c r="DZ154" s="0" t="str">
        <f aca="false">IF(COUNTIFS($AN$2:$AN$1000,AN154,$DY$2:$DY$1000,"Y")+COUNTIFS($AN$2:$AN$1000,AN154,$T$2:$T$1000,"Y")&gt;0,"Y","N")</f>
        <v>N</v>
      </c>
      <c r="EA154" s="0" t="str">
        <f aca="false">IF(AND(U154="new",T154="N",AR154="Y",AQ154="",DZ154="N"),"Y","N")</f>
        <v>Y</v>
      </c>
      <c r="EB154" s="0" t="str">
        <f aca="false">IF(EA154&lt;&gt;"Y","N",IF(COUNTIFS($AN$2:$AN$1000,AN154,$EA$2:$EA$1000,"Y",$J$2:$J$1000,"&gt;"&amp;J154)+COUNTIFS($AN$2:$AN$1000,AN154,$EA$2:$EA$1000,"Y",$J$2:$J$1000,J154,$ED$2:$ED$1000,"&lt;"&amp;ED154)=0,"Y","N"))</f>
        <v>Y</v>
      </c>
      <c r="EC154" s="0" t="str">
        <f aca="false">IF(Y154="","N",IF(Y154&lt;=10,"Y","N"))</f>
        <v>N</v>
      </c>
      <c r="ED154" s="0" t="n">
        <f aca="false">ROW()-1</f>
        <v>153</v>
      </c>
    </row>
    <row r="155" customFormat="false" ht="15" hidden="false" customHeight="false" outlineLevel="0" collapsed="false">
      <c r="A155" s="0" t="s">
        <v>8095</v>
      </c>
      <c r="B155" s="0" t="s">
        <v>8096</v>
      </c>
      <c r="C155" s="0" t="s">
        <v>8097</v>
      </c>
      <c r="D155" s="0" t="s">
        <v>163</v>
      </c>
      <c r="E155" s="0" t="s">
        <v>4771</v>
      </c>
      <c r="H155" s="5" t="s">
        <v>158</v>
      </c>
      <c r="I155" s="5" t="s">
        <v>159</v>
      </c>
      <c r="J155" s="0" t="n">
        <f aca="false">IF(AU155="pass",CM155+CN155+CO155+CP155+CQ155+CR155+CS155+CT155,0)</f>
        <v>39</v>
      </c>
      <c r="K155" s="0" t="s">
        <v>8098</v>
      </c>
      <c r="M155" s="0" t="s">
        <v>5291</v>
      </c>
      <c r="N155" s="0" t="s">
        <v>598</v>
      </c>
      <c r="O155" s="0" t="s">
        <v>8099</v>
      </c>
      <c r="P155" s="0" t="s">
        <v>8100</v>
      </c>
      <c r="Q155" s="0" t="s">
        <v>357</v>
      </c>
      <c r="R155" s="5" t="s">
        <v>162</v>
      </c>
      <c r="S155" s="0" t="s">
        <v>163</v>
      </c>
      <c r="T155" s="5" t="s">
        <v>162</v>
      </c>
      <c r="U155" s="5" t="s">
        <v>561</v>
      </c>
      <c r="V155" s="0" t="s">
        <v>8101</v>
      </c>
      <c r="W155" s="0" t="s">
        <v>174</v>
      </c>
      <c r="X155" s="0" t="s">
        <v>4585</v>
      </c>
      <c r="Y155" s="0" t="n">
        <f aca="false">IF(EB155&lt;&gt;"Y","",COUNTIFS($EB$2:$EB$1000,"Y",$J$2:$J$1000,"&gt;"&amp;J155)+COUNTIFS($EB$2:$EB$1000,"Y",$J$2:$J$1000,J155,$ED$2:$ED$1000,"&lt;"&amp;ED155)+1)</f>
        <v>127</v>
      </c>
      <c r="Z155" s="0" t="n">
        <v>154</v>
      </c>
      <c r="AA155" s="0" t="s">
        <v>162</v>
      </c>
      <c r="AB155" s="0" t="s">
        <v>8102</v>
      </c>
      <c r="AC155" s="0" t="s">
        <v>4587</v>
      </c>
      <c r="AD155" s="0" t="s">
        <v>5008</v>
      </c>
      <c r="AE155" s="0" t="s">
        <v>172</v>
      </c>
      <c r="AF155" s="0" t="s">
        <v>8103</v>
      </c>
      <c r="AG155" s="0" t="s">
        <v>174</v>
      </c>
      <c r="AH155" s="0" t="s">
        <v>8104</v>
      </c>
      <c r="AI155" s="0" t="s">
        <v>4722</v>
      </c>
      <c r="AJ155" s="0" t="s">
        <v>8105</v>
      </c>
      <c r="AK155" s="0" t="s">
        <v>8103</v>
      </c>
      <c r="AL155" s="0" t="s">
        <v>168</v>
      </c>
      <c r="AM155" s="0" t="s">
        <v>8106</v>
      </c>
      <c r="AN155" s="0" t="s">
        <v>8095</v>
      </c>
      <c r="AO155" s="5" t="s">
        <v>162</v>
      </c>
      <c r="AR155" s="0" t="str">
        <f aca="false">IF(AND(AU155="pass",AO155&lt;&gt;"Y",C155&lt;&gt;""),"Y","N")</f>
        <v>Y</v>
      </c>
      <c r="AS155" s="0" t="str">
        <f aca="false">_xlfn.TEXTJOIN("; ",TRUE(),IF(AU155&lt;&gt;"pass","gated out",""),IF(AO155="Y","on hold: "&amp;AP155,""),IF(C155="","no contact named on an opened page",""))</f>
        <v/>
      </c>
      <c r="AU155" s="0" t="s">
        <v>181</v>
      </c>
      <c r="AW155" s="0" t="s">
        <v>182</v>
      </c>
      <c r="AX155" s="0" t="s">
        <v>7595</v>
      </c>
      <c r="AY155" s="0" t="s">
        <v>8103</v>
      </c>
      <c r="AZ155" s="0" t="s">
        <v>4595</v>
      </c>
      <c r="BA155" s="0" t="s">
        <v>4596</v>
      </c>
      <c r="BB155" s="0" t="s">
        <v>163</v>
      </c>
      <c r="BD155" s="0" t="s">
        <v>163</v>
      </c>
      <c r="BE155" s="0" t="s">
        <v>8107</v>
      </c>
      <c r="BF155" s="0" t="s">
        <v>163</v>
      </c>
      <c r="BG155" s="0" t="s">
        <v>168</v>
      </c>
      <c r="BH155" s="0" t="s">
        <v>163</v>
      </c>
      <c r="BJ155" s="0" t="s">
        <v>5143</v>
      </c>
      <c r="BK155" s="0" t="s">
        <v>162</v>
      </c>
      <c r="BL155" s="0" t="s">
        <v>162</v>
      </c>
      <c r="BO155" s="0" t="s">
        <v>162</v>
      </c>
      <c r="BP155" s="0" t="n">
        <v>0</v>
      </c>
      <c r="BR155" s="0" t="s">
        <v>8108</v>
      </c>
      <c r="BS155" s="0" t="s">
        <v>8109</v>
      </c>
      <c r="BU155" s="0" t="s">
        <v>4694</v>
      </c>
      <c r="BV155" s="0" t="n">
        <v>53</v>
      </c>
      <c r="BX155" s="0" t="s">
        <v>8097</v>
      </c>
      <c r="BY155" s="0" t="s">
        <v>6650</v>
      </c>
      <c r="CF155" s="0" t="s">
        <v>158</v>
      </c>
      <c r="CK155" s="0" t="s">
        <v>158</v>
      </c>
      <c r="CL155" s="0" t="n">
        <v>39</v>
      </c>
      <c r="CM155" s="0" t="n">
        <v>6</v>
      </c>
      <c r="CN155" s="0" t="n">
        <v>20</v>
      </c>
      <c r="CO155" s="0" t="n">
        <v>8</v>
      </c>
      <c r="CP155" s="0" t="n">
        <v>5</v>
      </c>
      <c r="CQ155" s="0" t="n">
        <v>5</v>
      </c>
      <c r="CR155" s="0" t="n">
        <v>3</v>
      </c>
      <c r="CS155" s="0" t="n">
        <f aca="false">IF(R155="Y",10,0)</f>
        <v>0</v>
      </c>
      <c r="CT155" s="0" t="n">
        <v>-8</v>
      </c>
      <c r="CU155" s="0" t="s">
        <v>8110</v>
      </c>
      <c r="CV155" s="0" t="s">
        <v>5150</v>
      </c>
      <c r="CW155" s="0" t="s">
        <v>8111</v>
      </c>
      <c r="CX155" s="0" t="s">
        <v>8112</v>
      </c>
      <c r="DA155" s="0" t="s">
        <v>6234</v>
      </c>
      <c r="DY155" s="0" t="str">
        <f aca="false">IF(ISNUMBER(MATCH(U155,{"queued","contacted","replied","call_booked","call_done","yes_in_principle","materials_sent"},0)),"Y","N")</f>
        <v>N</v>
      </c>
      <c r="DZ155" s="0" t="str">
        <f aca="false">IF(COUNTIFS($AN$2:$AN$1000,AN155,$DY$2:$DY$1000,"Y")+COUNTIFS($AN$2:$AN$1000,AN155,$T$2:$T$1000,"Y")&gt;0,"Y","N")</f>
        <v>N</v>
      </c>
      <c r="EA155" s="0" t="str">
        <f aca="false">IF(AND(U155="new",T155="N",AR155="Y",AQ155="",DZ155="N"),"Y","N")</f>
        <v>Y</v>
      </c>
      <c r="EB155" s="0" t="str">
        <f aca="false">IF(EA155&lt;&gt;"Y","N",IF(COUNTIFS($AN$2:$AN$1000,AN155,$EA$2:$EA$1000,"Y",$J$2:$J$1000,"&gt;"&amp;J155)+COUNTIFS($AN$2:$AN$1000,AN155,$EA$2:$EA$1000,"Y",$J$2:$J$1000,J155,$ED$2:$ED$1000,"&lt;"&amp;ED155)=0,"Y","N"))</f>
        <v>Y</v>
      </c>
      <c r="EC155" s="0" t="str">
        <f aca="false">IF(Y155="","N",IF(Y155&lt;=10,"Y","N"))</f>
        <v>N</v>
      </c>
      <c r="ED155" s="0" t="n">
        <f aca="false">ROW()-1</f>
        <v>154</v>
      </c>
    </row>
    <row r="156" customFormat="false" ht="15" hidden="false" customHeight="false" outlineLevel="0" collapsed="false">
      <c r="A156" s="0" t="s">
        <v>8113</v>
      </c>
      <c r="B156" s="0" t="s">
        <v>8114</v>
      </c>
      <c r="C156" s="0" t="s">
        <v>8115</v>
      </c>
      <c r="D156" s="0" t="s">
        <v>8116</v>
      </c>
      <c r="E156" s="0" t="s">
        <v>8117</v>
      </c>
      <c r="H156" s="5" t="s">
        <v>158</v>
      </c>
      <c r="I156" s="5" t="s">
        <v>159</v>
      </c>
      <c r="J156" s="0" t="n">
        <f aca="false">IF(AU156="pass",CM156+CN156+CO156+CP156+CQ156+CR156+CS156+CT156,0)</f>
        <v>39</v>
      </c>
      <c r="K156" s="0" t="s">
        <v>8118</v>
      </c>
      <c r="M156" s="0" t="s">
        <v>5291</v>
      </c>
      <c r="N156" s="0" t="s">
        <v>598</v>
      </c>
      <c r="O156" s="0" t="s">
        <v>8119</v>
      </c>
      <c r="P156" s="0" t="s">
        <v>8120</v>
      </c>
      <c r="Q156" s="0" t="s">
        <v>4685</v>
      </c>
      <c r="R156" s="5" t="s">
        <v>162</v>
      </c>
      <c r="S156" s="0" t="s">
        <v>163</v>
      </c>
      <c r="T156" s="5" t="s">
        <v>162</v>
      </c>
      <c r="U156" s="5" t="s">
        <v>561</v>
      </c>
      <c r="V156" s="0" t="s">
        <v>8121</v>
      </c>
      <c r="W156" s="0" t="s">
        <v>166</v>
      </c>
      <c r="X156" s="0" t="s">
        <v>4585</v>
      </c>
      <c r="Y156" s="0" t="n">
        <f aca="false">IF(EB156&lt;&gt;"Y","",COUNTIFS($EB$2:$EB$1000,"Y",$J$2:$J$1000,"&gt;"&amp;J156)+COUNTIFS($EB$2:$EB$1000,"Y",$J$2:$J$1000,J156,$ED$2:$ED$1000,"&lt;"&amp;ED156)+1)</f>
        <v>128</v>
      </c>
      <c r="Z156" s="0" t="n">
        <v>155</v>
      </c>
      <c r="AA156" s="0" t="s">
        <v>162</v>
      </c>
      <c r="AB156" s="0" t="s">
        <v>8122</v>
      </c>
      <c r="AC156" s="0" t="s">
        <v>4587</v>
      </c>
      <c r="AD156" s="0" t="s">
        <v>171</v>
      </c>
      <c r="AE156" s="0" t="s">
        <v>1189</v>
      </c>
      <c r="AF156" s="0" t="s">
        <v>8123</v>
      </c>
      <c r="AG156" s="0" t="s">
        <v>166</v>
      </c>
      <c r="AH156" s="0" t="s">
        <v>8124</v>
      </c>
      <c r="AI156" s="0" t="s">
        <v>5736</v>
      </c>
      <c r="AJ156" s="0" t="s">
        <v>163</v>
      </c>
      <c r="AK156" s="0" t="s">
        <v>8125</v>
      </c>
      <c r="AL156" s="0" t="s">
        <v>168</v>
      </c>
      <c r="AM156" s="0" t="s">
        <v>8126</v>
      </c>
      <c r="AN156" s="0" t="s">
        <v>8113</v>
      </c>
      <c r="AO156" s="5" t="s">
        <v>162</v>
      </c>
      <c r="AR156" s="0" t="str">
        <f aca="false">IF(AND(AU156="pass",AO156&lt;&gt;"Y",C156&lt;&gt;""),"Y","N")</f>
        <v>Y</v>
      </c>
      <c r="AS156" s="0" t="str">
        <f aca="false">_xlfn.TEXTJOIN("; ",TRUE(),IF(AU156&lt;&gt;"pass","gated out",""),IF(AO156="Y","on hold: "&amp;AP156,""),IF(C156="","no contact named on an opened page",""))</f>
        <v/>
      </c>
      <c r="AU156" s="0" t="s">
        <v>181</v>
      </c>
      <c r="AW156" s="0" t="s">
        <v>182</v>
      </c>
      <c r="AX156" s="0" t="s">
        <v>4594</v>
      </c>
      <c r="AY156" s="0" t="s">
        <v>8125</v>
      </c>
      <c r="AZ156" s="0" t="s">
        <v>163</v>
      </c>
      <c r="BA156" s="0" t="s">
        <v>163</v>
      </c>
      <c r="BB156" s="0" t="s">
        <v>163</v>
      </c>
      <c r="BD156" s="0" t="s">
        <v>168</v>
      </c>
      <c r="BE156" s="0" t="s">
        <v>8127</v>
      </c>
      <c r="BF156" s="0" t="s">
        <v>168</v>
      </c>
      <c r="BG156" s="0" t="s">
        <v>168</v>
      </c>
      <c r="BH156" s="0" t="s">
        <v>163</v>
      </c>
      <c r="BJ156" s="0" t="s">
        <v>5549</v>
      </c>
      <c r="BK156" s="0" t="s">
        <v>162</v>
      </c>
      <c r="BL156" s="0" t="s">
        <v>162</v>
      </c>
      <c r="BO156" s="0" t="s">
        <v>162</v>
      </c>
      <c r="BP156" s="0" t="n">
        <v>0</v>
      </c>
      <c r="BS156" s="0" t="s">
        <v>8128</v>
      </c>
      <c r="BT156" s="0" t="s">
        <v>8129</v>
      </c>
      <c r="BU156" s="0" t="s">
        <v>4694</v>
      </c>
      <c r="BV156" s="0" t="n">
        <v>22</v>
      </c>
      <c r="BX156" s="0" t="s">
        <v>8130</v>
      </c>
      <c r="CA156" s="0" t="s">
        <v>8131</v>
      </c>
      <c r="CB156" s="0" t="s">
        <v>8132</v>
      </c>
      <c r="CC156" s="0" t="s">
        <v>362</v>
      </c>
      <c r="CD156" s="0" t="s">
        <v>8133</v>
      </c>
      <c r="CE156" s="0" t="s">
        <v>6260</v>
      </c>
      <c r="CF156" s="0" t="s">
        <v>171</v>
      </c>
      <c r="CK156" s="0" t="s">
        <v>158</v>
      </c>
      <c r="CL156" s="0" t="n">
        <v>39</v>
      </c>
      <c r="CM156" s="0" t="n">
        <v>6</v>
      </c>
      <c r="CN156" s="0" t="n">
        <v>4</v>
      </c>
      <c r="CO156" s="0" t="n">
        <v>8</v>
      </c>
      <c r="CP156" s="0" t="n">
        <v>5</v>
      </c>
      <c r="CQ156" s="0" t="n">
        <v>10</v>
      </c>
      <c r="CR156" s="0" t="n">
        <v>10</v>
      </c>
      <c r="CS156" s="0" t="n">
        <f aca="false">IF(R156="Y",10,0)</f>
        <v>0</v>
      </c>
      <c r="CT156" s="0" t="n">
        <v>-4</v>
      </c>
      <c r="CU156" s="0" t="s">
        <v>8134</v>
      </c>
      <c r="CV156" s="0" t="s">
        <v>5562</v>
      </c>
      <c r="CW156" s="0" t="s">
        <v>8135</v>
      </c>
      <c r="CX156" s="0" t="s">
        <v>8136</v>
      </c>
      <c r="CY156" s="0" t="s">
        <v>8137</v>
      </c>
      <c r="CZ156" s="0" t="s">
        <v>8138</v>
      </c>
      <c r="DA156" s="0" t="s">
        <v>6234</v>
      </c>
      <c r="DC156" s="0" t="s">
        <v>1189</v>
      </c>
      <c r="DY156" s="0" t="str">
        <f aca="false">IF(ISNUMBER(MATCH(U156,{"queued","contacted","replied","call_booked","call_done","yes_in_principle","materials_sent"},0)),"Y","N")</f>
        <v>N</v>
      </c>
      <c r="DZ156" s="0" t="str">
        <f aca="false">IF(COUNTIFS($AN$2:$AN$1000,AN156,$DY$2:$DY$1000,"Y")+COUNTIFS($AN$2:$AN$1000,AN156,$T$2:$T$1000,"Y")&gt;0,"Y","N")</f>
        <v>N</v>
      </c>
      <c r="EA156" s="0" t="str">
        <f aca="false">IF(AND(U156="new",T156="N",AR156="Y",AQ156="",DZ156="N"),"Y","N")</f>
        <v>Y</v>
      </c>
      <c r="EB156" s="0" t="str">
        <f aca="false">IF(EA156&lt;&gt;"Y","N",IF(COUNTIFS($AN$2:$AN$1000,AN156,$EA$2:$EA$1000,"Y",$J$2:$J$1000,"&gt;"&amp;J156)+COUNTIFS($AN$2:$AN$1000,AN156,$EA$2:$EA$1000,"Y",$J$2:$J$1000,J156,$ED$2:$ED$1000,"&lt;"&amp;ED156)=0,"Y","N"))</f>
        <v>Y</v>
      </c>
      <c r="EC156" s="0" t="str">
        <f aca="false">IF(Y156="","N",IF(Y156&lt;=10,"Y","N"))</f>
        <v>N</v>
      </c>
      <c r="ED156" s="0" t="n">
        <f aca="false">ROW()-1</f>
        <v>155</v>
      </c>
    </row>
    <row r="157" customFormat="false" ht="15" hidden="false" customHeight="false" outlineLevel="0" collapsed="false">
      <c r="A157" s="0" t="s">
        <v>8139</v>
      </c>
      <c r="B157" s="0" t="s">
        <v>8140</v>
      </c>
      <c r="C157" s="0" t="s">
        <v>8141</v>
      </c>
      <c r="D157" s="0" t="s">
        <v>163</v>
      </c>
      <c r="E157" s="0" t="s">
        <v>4625</v>
      </c>
      <c r="H157" s="5" t="s">
        <v>158</v>
      </c>
      <c r="I157" s="5" t="s">
        <v>159</v>
      </c>
      <c r="J157" s="0" t="n">
        <f aca="false">IF(AU157="pass",CM157+CN157+CO157+CP157+CQ157+CR157+CS157+CT157,0)</f>
        <v>39</v>
      </c>
      <c r="K157" s="0" t="s">
        <v>8142</v>
      </c>
      <c r="M157" s="0" t="s">
        <v>5291</v>
      </c>
      <c r="N157" s="0" t="s">
        <v>598</v>
      </c>
      <c r="O157" s="0" t="s">
        <v>8143</v>
      </c>
      <c r="P157" s="0" t="s">
        <v>8144</v>
      </c>
      <c r="Q157" s="0" t="s">
        <v>8145</v>
      </c>
      <c r="R157" s="5" t="s">
        <v>162</v>
      </c>
      <c r="S157" s="0" t="s">
        <v>163</v>
      </c>
      <c r="T157" s="5" t="s">
        <v>162</v>
      </c>
      <c r="U157" s="5" t="s">
        <v>561</v>
      </c>
      <c r="V157" s="0" t="s">
        <v>8146</v>
      </c>
      <c r="W157" s="0" t="s">
        <v>174</v>
      </c>
      <c r="X157" s="0" t="s">
        <v>4585</v>
      </c>
      <c r="Y157" s="0" t="n">
        <f aca="false">IF(EB157&lt;&gt;"Y","",COUNTIFS($EB$2:$EB$1000,"Y",$J$2:$J$1000,"&gt;"&amp;J157)+COUNTIFS($EB$2:$EB$1000,"Y",$J$2:$J$1000,J157,$ED$2:$ED$1000,"&lt;"&amp;ED157)+1)</f>
        <v>129</v>
      </c>
      <c r="Z157" s="0" t="n">
        <v>156</v>
      </c>
      <c r="AA157" s="0" t="s">
        <v>162</v>
      </c>
      <c r="AB157" s="0" t="s">
        <v>8147</v>
      </c>
      <c r="AC157" s="0" t="s">
        <v>4587</v>
      </c>
      <c r="AD157" s="0" t="s">
        <v>5008</v>
      </c>
      <c r="AE157" s="0" t="s">
        <v>1189</v>
      </c>
      <c r="AF157" s="0" t="s">
        <v>8146</v>
      </c>
      <c r="AG157" s="0" t="s">
        <v>174</v>
      </c>
      <c r="AH157" s="0" t="s">
        <v>8148</v>
      </c>
      <c r="AI157" s="0" t="s">
        <v>4826</v>
      </c>
      <c r="AJ157" s="0" t="s">
        <v>8149</v>
      </c>
      <c r="AK157" s="0" t="s">
        <v>8150</v>
      </c>
      <c r="AL157" s="0" t="s">
        <v>168</v>
      </c>
      <c r="AM157" s="0" t="s">
        <v>8151</v>
      </c>
      <c r="AN157" s="0" t="s">
        <v>8139</v>
      </c>
      <c r="AO157" s="5" t="s">
        <v>162</v>
      </c>
      <c r="AR157" s="0" t="str">
        <f aca="false">IF(AND(AU157="pass",AO157&lt;&gt;"Y",C157&lt;&gt;""),"Y","N")</f>
        <v>Y</v>
      </c>
      <c r="AS157" s="0" t="str">
        <f aca="false">_xlfn.TEXTJOIN("; ",TRUE(),IF(AU157&lt;&gt;"pass","gated out",""),IF(AO157="Y","on hold: "&amp;AP157,""),IF(C157="","no contact named on an opened page",""))</f>
        <v/>
      </c>
      <c r="AU157" s="0" t="s">
        <v>181</v>
      </c>
      <c r="AW157" s="0" t="s">
        <v>182</v>
      </c>
      <c r="AX157" s="0" t="s">
        <v>4828</v>
      </c>
      <c r="AY157" s="0" t="s">
        <v>8150</v>
      </c>
      <c r="AZ157" s="0" t="s">
        <v>4595</v>
      </c>
      <c r="BA157" s="0" t="s">
        <v>4951</v>
      </c>
      <c r="BB157" s="0" t="s">
        <v>163</v>
      </c>
      <c r="BD157" s="0" t="s">
        <v>168</v>
      </c>
      <c r="BE157" s="0" t="s">
        <v>8152</v>
      </c>
      <c r="BF157" s="0" t="s">
        <v>163</v>
      </c>
      <c r="BG157" s="0" t="s">
        <v>168</v>
      </c>
      <c r="BH157" s="0" t="s">
        <v>163</v>
      </c>
      <c r="BJ157" s="0" t="s">
        <v>5143</v>
      </c>
      <c r="BK157" s="0" t="s">
        <v>162</v>
      </c>
      <c r="BL157" s="0" t="s">
        <v>162</v>
      </c>
      <c r="BO157" s="0" t="s">
        <v>162</v>
      </c>
      <c r="BP157" s="0" t="n">
        <v>0</v>
      </c>
      <c r="BS157" s="0" t="s">
        <v>8153</v>
      </c>
      <c r="BU157" s="0" t="s">
        <v>4694</v>
      </c>
      <c r="BV157" s="0" t="n">
        <v>63</v>
      </c>
      <c r="BX157" s="0" t="s">
        <v>8141</v>
      </c>
      <c r="BY157" s="0" t="s">
        <v>7143</v>
      </c>
      <c r="CA157" s="0" t="s">
        <v>8154</v>
      </c>
      <c r="CB157" s="0" t="s">
        <v>8154</v>
      </c>
      <c r="CC157" s="0" t="s">
        <v>163</v>
      </c>
      <c r="CD157" s="0" t="s">
        <v>4625</v>
      </c>
      <c r="CE157" s="0" t="s">
        <v>6723</v>
      </c>
      <c r="CF157" s="0" t="s">
        <v>5008</v>
      </c>
      <c r="CG157" s="0" t="s">
        <v>7143</v>
      </c>
      <c r="CK157" s="0" t="s">
        <v>158</v>
      </c>
      <c r="CL157" s="0" t="n">
        <v>39</v>
      </c>
      <c r="CM157" s="0" t="n">
        <v>6</v>
      </c>
      <c r="CN157" s="0" t="n">
        <v>13</v>
      </c>
      <c r="CO157" s="0" t="n">
        <v>8</v>
      </c>
      <c r="CP157" s="0" t="n">
        <v>5</v>
      </c>
      <c r="CQ157" s="0" t="n">
        <v>8</v>
      </c>
      <c r="CR157" s="0" t="n">
        <v>3</v>
      </c>
      <c r="CS157" s="0" t="n">
        <f aca="false">IF(R157="Y",10,0)</f>
        <v>0</v>
      </c>
      <c r="CT157" s="0" t="n">
        <v>-4</v>
      </c>
      <c r="CU157" s="0" t="s">
        <v>8155</v>
      </c>
      <c r="CV157" s="0" t="s">
        <v>5150</v>
      </c>
      <c r="CW157" s="0" t="s">
        <v>8156</v>
      </c>
      <c r="CX157" s="0" t="s">
        <v>8157</v>
      </c>
      <c r="CZ157" s="0" t="s">
        <v>8146</v>
      </c>
      <c r="DA157" s="0" t="s">
        <v>6234</v>
      </c>
      <c r="DC157" s="0" t="s">
        <v>1189</v>
      </c>
      <c r="DY157" s="0" t="str">
        <f aca="false">IF(ISNUMBER(MATCH(U157,{"queued","contacted","replied","call_booked","call_done","yes_in_principle","materials_sent"},0)),"Y","N")</f>
        <v>N</v>
      </c>
      <c r="DZ157" s="0" t="str">
        <f aca="false">IF(COUNTIFS($AN$2:$AN$1000,AN157,$DY$2:$DY$1000,"Y")+COUNTIFS($AN$2:$AN$1000,AN157,$T$2:$T$1000,"Y")&gt;0,"Y","N")</f>
        <v>N</v>
      </c>
      <c r="EA157" s="0" t="str">
        <f aca="false">IF(AND(U157="new",T157="N",AR157="Y",AQ157="",DZ157="N"),"Y","N")</f>
        <v>Y</v>
      </c>
      <c r="EB157" s="0" t="str">
        <f aca="false">IF(EA157&lt;&gt;"Y","N",IF(COUNTIFS($AN$2:$AN$1000,AN157,$EA$2:$EA$1000,"Y",$J$2:$J$1000,"&gt;"&amp;J157)+COUNTIFS($AN$2:$AN$1000,AN157,$EA$2:$EA$1000,"Y",$J$2:$J$1000,J157,$ED$2:$ED$1000,"&lt;"&amp;ED157)=0,"Y","N"))</f>
        <v>Y</v>
      </c>
      <c r="EC157" s="0" t="str">
        <f aca="false">IF(Y157="","N",IF(Y157&lt;=10,"Y","N"))</f>
        <v>N</v>
      </c>
      <c r="ED157" s="0" t="n">
        <f aca="false">ROW()-1</f>
        <v>156</v>
      </c>
    </row>
    <row r="158" customFormat="false" ht="15" hidden="false" customHeight="false" outlineLevel="0" collapsed="false">
      <c r="A158" s="0" t="s">
        <v>8158</v>
      </c>
      <c r="B158" s="0" t="s">
        <v>8159</v>
      </c>
      <c r="C158" s="0" t="s">
        <v>8160</v>
      </c>
      <c r="D158" s="0" t="s">
        <v>8161</v>
      </c>
      <c r="E158" s="0" t="s">
        <v>4771</v>
      </c>
      <c r="H158" s="5" t="s">
        <v>158</v>
      </c>
      <c r="I158" s="5" t="s">
        <v>159</v>
      </c>
      <c r="J158" s="0" t="n">
        <f aca="false">IF(AU158="pass",CM158+CN158+CO158+CP158+CQ158+CR158+CS158+CT158,0)</f>
        <v>39</v>
      </c>
      <c r="K158" s="0" t="s">
        <v>8162</v>
      </c>
      <c r="M158" s="0" t="s">
        <v>5291</v>
      </c>
      <c r="N158" s="0" t="s">
        <v>598</v>
      </c>
      <c r="O158" s="0" t="s">
        <v>8163</v>
      </c>
      <c r="P158" s="0" t="s">
        <v>8164</v>
      </c>
      <c r="Q158" s="0" t="s">
        <v>8165</v>
      </c>
      <c r="R158" s="5" t="s">
        <v>162</v>
      </c>
      <c r="S158" s="0" t="s">
        <v>168</v>
      </c>
      <c r="T158" s="5" t="s">
        <v>162</v>
      </c>
      <c r="U158" s="5" t="s">
        <v>561</v>
      </c>
      <c r="V158" s="0" t="s">
        <v>8164</v>
      </c>
      <c r="W158" s="0" t="s">
        <v>166</v>
      </c>
      <c r="X158" s="0" t="s">
        <v>4585</v>
      </c>
      <c r="Y158" s="0" t="n">
        <f aca="false">IF(EB158&lt;&gt;"Y","",COUNTIFS($EB$2:$EB$1000,"Y",$J$2:$J$1000,"&gt;"&amp;J158)+COUNTIFS($EB$2:$EB$1000,"Y",$J$2:$J$1000,J158,$ED$2:$ED$1000,"&lt;"&amp;ED158)+1)</f>
        <v>130</v>
      </c>
      <c r="Z158" s="0" t="n">
        <v>157</v>
      </c>
      <c r="AA158" s="0" t="s">
        <v>162</v>
      </c>
      <c r="AB158" s="0" t="s">
        <v>8166</v>
      </c>
      <c r="AC158" s="0" t="s">
        <v>4587</v>
      </c>
      <c r="AD158" s="0" t="s">
        <v>171</v>
      </c>
      <c r="AE158" s="0" t="s">
        <v>1189</v>
      </c>
      <c r="AF158" s="0" t="s">
        <v>8164</v>
      </c>
      <c r="AG158" s="0" t="s">
        <v>166</v>
      </c>
      <c r="AH158" s="0" t="s">
        <v>8167</v>
      </c>
      <c r="AI158" s="0" t="s">
        <v>5924</v>
      </c>
      <c r="AJ158" s="0" t="s">
        <v>8168</v>
      </c>
      <c r="AK158" s="0" t="s">
        <v>8169</v>
      </c>
      <c r="AL158" s="0" t="s">
        <v>168</v>
      </c>
      <c r="AM158" s="0" t="s">
        <v>8170</v>
      </c>
      <c r="AN158" s="0" t="s">
        <v>8158</v>
      </c>
      <c r="AO158" s="5" t="s">
        <v>162</v>
      </c>
      <c r="AR158" s="0" t="str">
        <f aca="false">IF(AND(AU158="pass",AO158&lt;&gt;"Y",C158&lt;&gt;""),"Y","N")</f>
        <v>Y</v>
      </c>
      <c r="AS158" s="0" t="str">
        <f aca="false">_xlfn.TEXTJOIN("; ",TRUE(),IF(AU158&lt;&gt;"pass","gated out",""),IF(AO158="Y","on hold: "&amp;AP158,""),IF(C158="","no contact named on an opened page",""))</f>
        <v/>
      </c>
      <c r="AU158" s="0" t="s">
        <v>181</v>
      </c>
      <c r="AW158" s="0" t="s">
        <v>182</v>
      </c>
      <c r="AX158" s="0" t="s">
        <v>4594</v>
      </c>
      <c r="AY158" s="0" t="s">
        <v>8169</v>
      </c>
      <c r="AZ158" s="0" t="s">
        <v>4922</v>
      </c>
      <c r="BA158" s="0" t="s">
        <v>5191</v>
      </c>
      <c r="BB158" s="0" t="s">
        <v>163</v>
      </c>
      <c r="BD158" s="0" t="s">
        <v>168</v>
      </c>
      <c r="BE158" s="0" t="s">
        <v>8171</v>
      </c>
      <c r="BF158" s="0" t="s">
        <v>168</v>
      </c>
      <c r="BG158" s="0" t="s">
        <v>168</v>
      </c>
      <c r="BH158" s="0" t="s">
        <v>163</v>
      </c>
      <c r="BJ158" s="0" t="s">
        <v>8172</v>
      </c>
      <c r="BK158" s="0" t="s">
        <v>162</v>
      </c>
      <c r="BL158" s="0" t="s">
        <v>162</v>
      </c>
      <c r="BO158" s="0" t="s">
        <v>162</v>
      </c>
      <c r="BP158" s="0" t="n">
        <v>0</v>
      </c>
      <c r="BS158" s="0" t="s">
        <v>8173</v>
      </c>
      <c r="BU158" s="0" t="s">
        <v>4604</v>
      </c>
      <c r="BV158" s="0" t="n">
        <v>219</v>
      </c>
      <c r="BW158" s="0" t="s">
        <v>8164</v>
      </c>
      <c r="BX158" s="0" t="s">
        <v>8174</v>
      </c>
      <c r="CF158" s="0" t="s">
        <v>158</v>
      </c>
      <c r="CK158" s="0" t="s">
        <v>158</v>
      </c>
      <c r="CL158" s="0" t="n">
        <v>39</v>
      </c>
      <c r="CM158" s="0" t="n">
        <v>6</v>
      </c>
      <c r="CN158" s="0" t="n">
        <v>8</v>
      </c>
      <c r="CO158" s="0" t="n">
        <v>8</v>
      </c>
      <c r="CP158" s="0" t="n">
        <v>5</v>
      </c>
      <c r="CQ158" s="0" t="n">
        <v>10</v>
      </c>
      <c r="CR158" s="0" t="n">
        <v>6</v>
      </c>
      <c r="CS158" s="0" t="n">
        <f aca="false">IF(R158="Y",10,0)</f>
        <v>0</v>
      </c>
      <c r="CT158" s="0" t="n">
        <v>-4</v>
      </c>
      <c r="CV158" s="0" t="s">
        <v>4615</v>
      </c>
      <c r="CW158" s="0" t="s">
        <v>8175</v>
      </c>
      <c r="CX158" s="0" t="s">
        <v>8176</v>
      </c>
      <c r="CY158" s="0" t="s">
        <v>8177</v>
      </c>
      <c r="DA158" s="0" t="s">
        <v>6234</v>
      </c>
      <c r="DY158" s="0" t="str">
        <f aca="false">IF(ISNUMBER(MATCH(U158,{"queued","contacted","replied","call_booked","call_done","yes_in_principle","materials_sent"},0)),"Y","N")</f>
        <v>N</v>
      </c>
      <c r="DZ158" s="0" t="str">
        <f aca="false">IF(COUNTIFS($AN$2:$AN$1000,AN158,$DY$2:$DY$1000,"Y")+COUNTIFS($AN$2:$AN$1000,AN158,$T$2:$T$1000,"Y")&gt;0,"Y","N")</f>
        <v>N</v>
      </c>
      <c r="EA158" s="0" t="str">
        <f aca="false">IF(AND(U158="new",T158="N",AR158="Y",AQ158="",DZ158="N"),"Y","N")</f>
        <v>Y</v>
      </c>
      <c r="EB158" s="0" t="str">
        <f aca="false">IF(EA158&lt;&gt;"Y","N",IF(COUNTIFS($AN$2:$AN$1000,AN158,$EA$2:$EA$1000,"Y",$J$2:$J$1000,"&gt;"&amp;J158)+COUNTIFS($AN$2:$AN$1000,AN158,$EA$2:$EA$1000,"Y",$J$2:$J$1000,J158,$ED$2:$ED$1000,"&lt;"&amp;ED158)=0,"Y","N"))</f>
        <v>Y</v>
      </c>
      <c r="EC158" s="0" t="str">
        <f aca="false">IF(Y158="","N",IF(Y158&lt;=10,"Y","N"))</f>
        <v>N</v>
      </c>
      <c r="ED158" s="0" t="n">
        <f aca="false">ROW()-1</f>
        <v>157</v>
      </c>
    </row>
    <row r="159" customFormat="false" ht="15" hidden="false" customHeight="false" outlineLevel="0" collapsed="false">
      <c r="A159" s="0" t="s">
        <v>8178</v>
      </c>
      <c r="B159" s="0" t="s">
        <v>8179</v>
      </c>
      <c r="C159" s="0" t="s">
        <v>8180</v>
      </c>
      <c r="D159" s="0" t="s">
        <v>4610</v>
      </c>
      <c r="E159" s="0" t="s">
        <v>4771</v>
      </c>
      <c r="H159" s="5" t="s">
        <v>158</v>
      </c>
      <c r="I159" s="5" t="s">
        <v>159</v>
      </c>
      <c r="J159" s="0" t="n">
        <f aca="false">IF(AU159="pass",CM159+CN159+CO159+CP159+CQ159+CR159+CS159+CT159,0)</f>
        <v>39</v>
      </c>
      <c r="K159" s="0" t="s">
        <v>8181</v>
      </c>
      <c r="M159" s="0" t="s">
        <v>5291</v>
      </c>
      <c r="N159" s="0" t="s">
        <v>598</v>
      </c>
      <c r="O159" s="0" t="s">
        <v>8182</v>
      </c>
      <c r="P159" s="0" t="s">
        <v>8183</v>
      </c>
      <c r="Q159" s="0" t="s">
        <v>4376</v>
      </c>
      <c r="R159" s="5" t="s">
        <v>162</v>
      </c>
      <c r="S159" s="0" t="s">
        <v>163</v>
      </c>
      <c r="T159" s="5" t="s">
        <v>162</v>
      </c>
      <c r="U159" s="5" t="s">
        <v>561</v>
      </c>
      <c r="V159" s="0" t="s">
        <v>8184</v>
      </c>
      <c r="W159" s="0" t="s">
        <v>166</v>
      </c>
      <c r="X159" s="0" t="s">
        <v>4585</v>
      </c>
      <c r="Y159" s="0" t="n">
        <f aca="false">IF(EB159&lt;&gt;"Y","",COUNTIFS($EB$2:$EB$1000,"Y",$J$2:$J$1000,"&gt;"&amp;J159)+COUNTIFS($EB$2:$EB$1000,"Y",$J$2:$J$1000,J159,$ED$2:$ED$1000,"&lt;"&amp;ED159)+1)</f>
        <v>131</v>
      </c>
      <c r="Z159" s="0" t="n">
        <v>158</v>
      </c>
      <c r="AA159" s="0" t="s">
        <v>162</v>
      </c>
      <c r="AB159" s="0" t="s">
        <v>8185</v>
      </c>
      <c r="AC159" s="0" t="s">
        <v>4587</v>
      </c>
      <c r="AD159" s="0" t="s">
        <v>171</v>
      </c>
      <c r="AE159" s="0" t="s">
        <v>172</v>
      </c>
      <c r="AF159" s="0" t="s">
        <v>8184</v>
      </c>
      <c r="AG159" s="0" t="s">
        <v>166</v>
      </c>
      <c r="AH159" s="0" t="s">
        <v>8186</v>
      </c>
      <c r="AI159" s="0" t="s">
        <v>5736</v>
      </c>
      <c r="AJ159" s="0" t="s">
        <v>4634</v>
      </c>
      <c r="AK159" s="0" t="s">
        <v>8187</v>
      </c>
      <c r="AL159" s="0" t="s">
        <v>168</v>
      </c>
      <c r="AM159" s="0" t="s">
        <v>8188</v>
      </c>
      <c r="AN159" s="0" t="s">
        <v>8178</v>
      </c>
      <c r="AO159" s="5" t="s">
        <v>162</v>
      </c>
      <c r="AR159" s="0" t="str">
        <f aca="false">IF(AND(AU159="pass",AO159&lt;&gt;"Y",C159&lt;&gt;""),"Y","N")</f>
        <v>Y</v>
      </c>
      <c r="AS159" s="0" t="str">
        <f aca="false">_xlfn.TEXTJOIN("; ",TRUE(),IF(AU159&lt;&gt;"pass","gated out",""),IF(AO159="Y","on hold: "&amp;AP159,""),IF(C159="","no contact named on an opened page",""))</f>
        <v/>
      </c>
      <c r="AU159" s="0" t="s">
        <v>181</v>
      </c>
      <c r="AW159" s="0" t="s">
        <v>182</v>
      </c>
      <c r="AX159" s="0" t="s">
        <v>8189</v>
      </c>
      <c r="AY159" s="0" t="s">
        <v>8190</v>
      </c>
      <c r="AZ159" s="0" t="s">
        <v>4595</v>
      </c>
      <c r="BA159" s="0" t="s">
        <v>4596</v>
      </c>
      <c r="BB159" s="0" t="s">
        <v>163</v>
      </c>
      <c r="BD159" s="0" t="s">
        <v>168</v>
      </c>
      <c r="BE159" s="0" t="s">
        <v>8191</v>
      </c>
      <c r="BF159" s="0" t="s">
        <v>168</v>
      </c>
      <c r="BG159" s="0" t="s">
        <v>168</v>
      </c>
      <c r="BH159" s="0" t="s">
        <v>163</v>
      </c>
      <c r="BJ159" s="0" t="s">
        <v>8192</v>
      </c>
      <c r="BK159" s="0" t="s">
        <v>162</v>
      </c>
      <c r="BL159" s="0" t="s">
        <v>162</v>
      </c>
      <c r="BO159" s="0" t="s">
        <v>162</v>
      </c>
      <c r="BP159" s="0" t="n">
        <v>0</v>
      </c>
      <c r="BS159" s="0" t="s">
        <v>163</v>
      </c>
      <c r="BU159" s="0" t="s">
        <v>4694</v>
      </c>
      <c r="BV159" s="0" t="n">
        <v>221</v>
      </c>
      <c r="BX159" s="0" t="s">
        <v>8193</v>
      </c>
      <c r="CF159" s="0" t="s">
        <v>158</v>
      </c>
      <c r="CK159" s="0" t="s">
        <v>158</v>
      </c>
      <c r="CL159" s="0" t="n">
        <v>39</v>
      </c>
      <c r="CM159" s="0" t="n">
        <v>6</v>
      </c>
      <c r="CN159" s="0" t="n">
        <v>20</v>
      </c>
      <c r="CO159" s="0" t="n">
        <v>4</v>
      </c>
      <c r="CP159" s="0" t="n">
        <v>5</v>
      </c>
      <c r="CQ159" s="0" t="n">
        <v>10</v>
      </c>
      <c r="CR159" s="0" t="n">
        <v>6</v>
      </c>
      <c r="CS159" s="0" t="n">
        <f aca="false">IF(R159="Y",10,0)</f>
        <v>0</v>
      </c>
      <c r="CT159" s="0" t="n">
        <v>-12</v>
      </c>
      <c r="CU159" s="0" t="s">
        <v>8194</v>
      </c>
      <c r="CV159" s="0" t="s">
        <v>5562</v>
      </c>
      <c r="CW159" s="0" t="s">
        <v>8195</v>
      </c>
      <c r="CX159" s="0" t="s">
        <v>8196</v>
      </c>
      <c r="CY159" s="0" t="s">
        <v>8197</v>
      </c>
      <c r="DA159" s="0" t="s">
        <v>6234</v>
      </c>
      <c r="DY159" s="0" t="str">
        <f aca="false">IF(ISNUMBER(MATCH(U159,{"queued","contacted","replied","call_booked","call_done","yes_in_principle","materials_sent"},0)),"Y","N")</f>
        <v>N</v>
      </c>
      <c r="DZ159" s="0" t="str">
        <f aca="false">IF(COUNTIFS($AN$2:$AN$1000,AN159,$DY$2:$DY$1000,"Y")+COUNTIFS($AN$2:$AN$1000,AN159,$T$2:$T$1000,"Y")&gt;0,"Y","N")</f>
        <v>N</v>
      </c>
      <c r="EA159" s="0" t="str">
        <f aca="false">IF(AND(U159="new",T159="N",AR159="Y",AQ159="",DZ159="N"),"Y","N")</f>
        <v>Y</v>
      </c>
      <c r="EB159" s="0" t="str">
        <f aca="false">IF(EA159&lt;&gt;"Y","N",IF(COUNTIFS($AN$2:$AN$1000,AN159,$EA$2:$EA$1000,"Y",$J$2:$J$1000,"&gt;"&amp;J159)+COUNTIFS($AN$2:$AN$1000,AN159,$EA$2:$EA$1000,"Y",$J$2:$J$1000,J159,$ED$2:$ED$1000,"&lt;"&amp;ED159)=0,"Y","N"))</f>
        <v>Y</v>
      </c>
      <c r="EC159" s="0" t="str">
        <f aca="false">IF(Y159="","N",IF(Y159&lt;=10,"Y","N"))</f>
        <v>N</v>
      </c>
      <c r="ED159" s="0" t="n">
        <f aca="false">ROW()-1</f>
        <v>158</v>
      </c>
    </row>
    <row r="160" customFormat="false" ht="15" hidden="false" customHeight="false" outlineLevel="0" collapsed="false">
      <c r="A160" s="0" t="s">
        <v>8198</v>
      </c>
      <c r="B160" s="0" t="s">
        <v>8199</v>
      </c>
      <c r="H160" s="5" t="s">
        <v>158</v>
      </c>
      <c r="I160" s="5"/>
      <c r="J160" s="0" t="n">
        <f aca="false">IF(AU160="pass",CM160+CN160+CO160+CP160+CQ160+CR160+CS160+CT160,0)</f>
        <v>39</v>
      </c>
      <c r="K160" s="0" t="s">
        <v>8200</v>
      </c>
      <c r="M160" s="0" t="s">
        <v>5291</v>
      </c>
      <c r="N160" s="0" t="s">
        <v>598</v>
      </c>
      <c r="R160" s="5" t="s">
        <v>162</v>
      </c>
      <c r="S160" s="0" t="s">
        <v>163</v>
      </c>
      <c r="T160" s="5" t="s">
        <v>162</v>
      </c>
      <c r="U160" s="5" t="s">
        <v>561</v>
      </c>
      <c r="V160" s="0" t="s">
        <v>5784</v>
      </c>
      <c r="W160" s="0" t="s">
        <v>174</v>
      </c>
      <c r="X160" s="0" t="s">
        <v>4585</v>
      </c>
      <c r="Y160" s="0" t="str">
        <f aca="false">IF(EB160&lt;&gt;"Y","",COUNTIFS($EB$2:$EB$1000,"Y",$J$2:$J$1000,"&gt;"&amp;J160)+COUNTIFS($EB$2:$EB$1000,"Y",$J$2:$J$1000,J160,$ED$2:$ED$1000,"&lt;"&amp;ED160)+1)</f>
        <v/>
      </c>
      <c r="Z160" s="0" t="n">
        <v>159</v>
      </c>
      <c r="AA160" s="0" t="s">
        <v>162</v>
      </c>
      <c r="AB160" s="0" t="s">
        <v>6315</v>
      </c>
      <c r="AD160" s="0" t="s">
        <v>158</v>
      </c>
      <c r="AH160" s="0" t="s">
        <v>8201</v>
      </c>
      <c r="AI160" s="0" t="s">
        <v>4722</v>
      </c>
      <c r="AJ160" s="0" t="s">
        <v>5787</v>
      </c>
      <c r="AK160" s="0" t="s">
        <v>8202</v>
      </c>
      <c r="AL160" s="0" t="s">
        <v>168</v>
      </c>
      <c r="AM160" s="0" t="s">
        <v>8203</v>
      </c>
      <c r="AN160" s="0" t="s">
        <v>8198</v>
      </c>
      <c r="AO160" s="5" t="s">
        <v>162</v>
      </c>
      <c r="AR160" s="0" t="str">
        <f aca="false">IF(AND(AU160="pass",AO160&lt;&gt;"Y",C160&lt;&gt;""),"Y","N")</f>
        <v>N</v>
      </c>
      <c r="AS160" s="0" t="str">
        <f aca="false">_xlfn.TEXTJOIN("; ",TRUE(),IF(AU160&lt;&gt;"pass","gated out",""),IF(AO160="Y","on hold: "&amp;AP160,""),IF(C160="","no contact named on an opened page",""))</f>
        <v>no contact named on an opened page</v>
      </c>
      <c r="AU160" s="0" t="s">
        <v>181</v>
      </c>
      <c r="AW160" s="0" t="s">
        <v>182</v>
      </c>
      <c r="AX160" s="0" t="s">
        <v>282</v>
      </c>
      <c r="AY160" s="0" t="s">
        <v>8202</v>
      </c>
      <c r="AZ160" s="0" t="s">
        <v>4595</v>
      </c>
      <c r="BA160" s="0" t="s">
        <v>4596</v>
      </c>
      <c r="BB160" s="0" t="s">
        <v>163</v>
      </c>
      <c r="BD160" s="0" t="s">
        <v>168</v>
      </c>
      <c r="BE160" s="0" t="s">
        <v>8204</v>
      </c>
      <c r="BF160" s="0" t="s">
        <v>168</v>
      </c>
      <c r="BG160" s="0" t="s">
        <v>168</v>
      </c>
      <c r="BH160" s="0" t="s">
        <v>163</v>
      </c>
      <c r="BJ160" s="0" t="s">
        <v>5143</v>
      </c>
      <c r="BK160" s="0" t="s">
        <v>162</v>
      </c>
      <c r="BL160" s="0" t="s">
        <v>162</v>
      </c>
      <c r="BO160" s="0" t="s">
        <v>162</v>
      </c>
      <c r="BP160" s="0" t="n">
        <v>0</v>
      </c>
      <c r="BS160" s="0" t="s">
        <v>8205</v>
      </c>
      <c r="BU160" s="0" t="s">
        <v>158</v>
      </c>
      <c r="CF160" s="0" t="s">
        <v>158</v>
      </c>
      <c r="CK160" s="0" t="s">
        <v>158</v>
      </c>
      <c r="CL160" s="0" t="n">
        <v>39</v>
      </c>
      <c r="CM160" s="0" t="n">
        <v>6</v>
      </c>
      <c r="CN160" s="0" t="n">
        <v>20</v>
      </c>
      <c r="CO160" s="0" t="n">
        <v>0</v>
      </c>
      <c r="CP160" s="0" t="n">
        <v>5</v>
      </c>
      <c r="CQ160" s="0" t="n">
        <v>10</v>
      </c>
      <c r="CR160" s="0" t="n">
        <v>0</v>
      </c>
      <c r="CS160" s="0" t="n">
        <f aca="false">IF(R160="Y",10,0)</f>
        <v>0</v>
      </c>
      <c r="CT160" s="0" t="n">
        <v>-2</v>
      </c>
      <c r="CU160" s="0" t="s">
        <v>8206</v>
      </c>
      <c r="CV160" s="0" t="s">
        <v>5150</v>
      </c>
      <c r="CW160" s="0" t="s">
        <v>8207</v>
      </c>
      <c r="CX160" s="0" t="s">
        <v>8208</v>
      </c>
      <c r="DA160" s="0" t="s">
        <v>6234</v>
      </c>
      <c r="DY160" s="0" t="str">
        <f aca="false">IF(ISNUMBER(MATCH(U160,{"queued","contacted","replied","call_booked","call_done","yes_in_principle","materials_sent"},0)),"Y","N")</f>
        <v>N</v>
      </c>
      <c r="DZ160" s="0" t="str">
        <f aca="false">IF(COUNTIFS($AN$2:$AN$1000,AN160,$DY$2:$DY$1000,"Y")+COUNTIFS($AN$2:$AN$1000,AN160,$T$2:$T$1000,"Y")&gt;0,"Y","N")</f>
        <v>N</v>
      </c>
      <c r="EA160" s="0" t="str">
        <f aca="false">IF(AND(U160="new",T160="N",AR160="Y",AQ160="",DZ160="N"),"Y","N")</f>
        <v>N</v>
      </c>
      <c r="EB160" s="0" t="str">
        <f aca="false">IF(EA160&lt;&gt;"Y","N",IF(COUNTIFS($AN$2:$AN$1000,AN160,$EA$2:$EA$1000,"Y",$J$2:$J$1000,"&gt;"&amp;J160)+COUNTIFS($AN$2:$AN$1000,AN160,$EA$2:$EA$1000,"Y",$J$2:$J$1000,J160,$ED$2:$ED$1000,"&lt;"&amp;ED160)=0,"Y","N"))</f>
        <v>N</v>
      </c>
      <c r="EC160" s="0" t="str">
        <f aca="false">IF(Y160="","N",IF(Y160&lt;=10,"Y","N"))</f>
        <v>N</v>
      </c>
      <c r="ED160" s="0" t="n">
        <f aca="false">ROW()-1</f>
        <v>159</v>
      </c>
    </row>
    <row r="161" customFormat="false" ht="15" hidden="false" customHeight="false" outlineLevel="0" collapsed="false">
      <c r="A161" s="0" t="s">
        <v>8209</v>
      </c>
      <c r="B161" s="0" t="s">
        <v>8210</v>
      </c>
      <c r="C161" s="0" t="s">
        <v>8211</v>
      </c>
      <c r="D161" s="0" t="s">
        <v>8212</v>
      </c>
      <c r="E161" s="0" t="s">
        <v>4656</v>
      </c>
      <c r="H161" s="5" t="s">
        <v>158</v>
      </c>
      <c r="I161" s="5" t="s">
        <v>159</v>
      </c>
      <c r="J161" s="0" t="n">
        <f aca="false">IF(AU161="pass",CM161+CN161+CO161+CP161+CQ161+CR161+CS161+CT161,0)</f>
        <v>39</v>
      </c>
      <c r="K161" s="0" t="s">
        <v>8213</v>
      </c>
      <c r="M161" s="0" t="s">
        <v>5291</v>
      </c>
      <c r="N161" s="0" t="s">
        <v>598</v>
      </c>
      <c r="R161" s="5" t="s">
        <v>162</v>
      </c>
      <c r="S161" s="0" t="s">
        <v>163</v>
      </c>
      <c r="T161" s="5" t="s">
        <v>162</v>
      </c>
      <c r="U161" s="5" t="s">
        <v>561</v>
      </c>
      <c r="V161" s="0" t="s">
        <v>8214</v>
      </c>
      <c r="W161" s="0" t="s">
        <v>166</v>
      </c>
      <c r="X161" s="0" t="s">
        <v>4585</v>
      </c>
      <c r="Y161" s="0" t="n">
        <f aca="false">IF(EB161&lt;&gt;"Y","",COUNTIFS($EB$2:$EB$1000,"Y",$J$2:$J$1000,"&gt;"&amp;J161)+COUNTIFS($EB$2:$EB$1000,"Y",$J$2:$J$1000,J161,$ED$2:$ED$1000,"&lt;"&amp;ED161)+1)</f>
        <v>132</v>
      </c>
      <c r="Z161" s="0" t="n">
        <v>160</v>
      </c>
      <c r="AA161" s="0" t="s">
        <v>162</v>
      </c>
      <c r="AB161" s="0" t="s">
        <v>8215</v>
      </c>
      <c r="AC161" s="0" t="s">
        <v>4587</v>
      </c>
      <c r="AD161" s="0" t="s">
        <v>171</v>
      </c>
      <c r="AE161" s="0" t="s">
        <v>172</v>
      </c>
      <c r="AF161" s="0" t="s">
        <v>8214</v>
      </c>
      <c r="AG161" s="0" t="s">
        <v>166</v>
      </c>
      <c r="AH161" s="0" t="s">
        <v>8216</v>
      </c>
      <c r="AI161" s="0" t="s">
        <v>4590</v>
      </c>
      <c r="AJ161" s="0" t="s">
        <v>192</v>
      </c>
      <c r="AK161" s="0" t="s">
        <v>8217</v>
      </c>
      <c r="AL161" s="0" t="s">
        <v>168</v>
      </c>
      <c r="AM161" s="0" t="s">
        <v>8218</v>
      </c>
      <c r="AN161" s="0" t="s">
        <v>8209</v>
      </c>
      <c r="AO161" s="5" t="s">
        <v>162</v>
      </c>
      <c r="AR161" s="0" t="str">
        <f aca="false">IF(AND(AU161="pass",AO161&lt;&gt;"Y",C161&lt;&gt;""),"Y","N")</f>
        <v>Y</v>
      </c>
      <c r="AS161" s="0" t="str">
        <f aca="false">_xlfn.TEXTJOIN("; ",TRUE(),IF(AU161&lt;&gt;"pass","gated out",""),IF(AO161="Y","on hold: "&amp;AP161,""),IF(C161="","no contact named on an opened page",""))</f>
        <v/>
      </c>
      <c r="AU161" s="0" t="s">
        <v>181</v>
      </c>
      <c r="AW161" s="0" t="s">
        <v>182</v>
      </c>
      <c r="AX161" s="0" t="s">
        <v>5605</v>
      </c>
      <c r="AY161" s="0" t="s">
        <v>8217</v>
      </c>
      <c r="AZ161" s="0" t="s">
        <v>4595</v>
      </c>
      <c r="BA161" s="0" t="s">
        <v>4596</v>
      </c>
      <c r="BB161" s="0" t="s">
        <v>8219</v>
      </c>
      <c r="BC161" s="0" t="s">
        <v>8220</v>
      </c>
      <c r="BD161" s="0" t="s">
        <v>168</v>
      </c>
      <c r="BE161" s="0" t="s">
        <v>8221</v>
      </c>
      <c r="BF161" s="0" t="s">
        <v>168</v>
      </c>
      <c r="BG161" s="0" t="s">
        <v>168</v>
      </c>
      <c r="BH161" s="0" t="s">
        <v>163</v>
      </c>
      <c r="BJ161" s="0" t="s">
        <v>8222</v>
      </c>
      <c r="BK161" s="0" t="s">
        <v>162</v>
      </c>
      <c r="BL161" s="0" t="s">
        <v>162</v>
      </c>
      <c r="BO161" s="0" t="s">
        <v>162</v>
      </c>
      <c r="BP161" s="0" t="n">
        <v>0</v>
      </c>
      <c r="BS161" s="0" t="s">
        <v>8223</v>
      </c>
      <c r="BT161" s="0" t="s">
        <v>8220</v>
      </c>
      <c r="BU161" s="0" t="s">
        <v>158</v>
      </c>
      <c r="BX161" s="0" t="s">
        <v>8224</v>
      </c>
      <c r="CA161" s="0" t="s">
        <v>8225</v>
      </c>
      <c r="CB161" s="0" t="s">
        <v>5494</v>
      </c>
      <c r="CC161" s="0" t="s">
        <v>5939</v>
      </c>
      <c r="CD161" s="0" t="s">
        <v>8226</v>
      </c>
      <c r="CE161" s="0" t="s">
        <v>6260</v>
      </c>
      <c r="CF161" s="0" t="s">
        <v>171</v>
      </c>
      <c r="CK161" s="0" t="s">
        <v>158</v>
      </c>
      <c r="CL161" s="0" t="n">
        <v>39</v>
      </c>
      <c r="CM161" s="0" t="n">
        <v>6</v>
      </c>
      <c r="CN161" s="0" t="n">
        <v>20</v>
      </c>
      <c r="CO161" s="0" t="n">
        <v>0</v>
      </c>
      <c r="CP161" s="0" t="n">
        <v>5</v>
      </c>
      <c r="CQ161" s="0" t="n">
        <v>10</v>
      </c>
      <c r="CR161" s="0" t="n">
        <v>10</v>
      </c>
      <c r="CS161" s="0" t="n">
        <f aca="false">IF(R161="Y",10,0)</f>
        <v>0</v>
      </c>
      <c r="CT161" s="0" t="n">
        <v>-12</v>
      </c>
      <c r="CU161" s="0" t="s">
        <v>8227</v>
      </c>
      <c r="CV161" s="0" t="s">
        <v>5562</v>
      </c>
      <c r="CW161" s="0" t="s">
        <v>8228</v>
      </c>
      <c r="CX161" s="0" t="s">
        <v>8229</v>
      </c>
      <c r="CY161" s="0" t="s">
        <v>8230</v>
      </c>
      <c r="CZ161" s="0" t="s">
        <v>8231</v>
      </c>
      <c r="DA161" s="0" t="s">
        <v>6234</v>
      </c>
      <c r="DC161" s="0" t="s">
        <v>1189</v>
      </c>
      <c r="DY161" s="0" t="str">
        <f aca="false">IF(ISNUMBER(MATCH(U161,{"queued","contacted","replied","call_booked","call_done","yes_in_principle","materials_sent"},0)),"Y","N")</f>
        <v>N</v>
      </c>
      <c r="DZ161" s="0" t="str">
        <f aca="false">IF(COUNTIFS($AN$2:$AN$1000,AN161,$DY$2:$DY$1000,"Y")+COUNTIFS($AN$2:$AN$1000,AN161,$T$2:$T$1000,"Y")&gt;0,"Y","N")</f>
        <v>N</v>
      </c>
      <c r="EA161" s="0" t="str">
        <f aca="false">IF(AND(U161="new",T161="N",AR161="Y",AQ161="",DZ161="N"),"Y","N")</f>
        <v>Y</v>
      </c>
      <c r="EB161" s="0" t="str">
        <f aca="false">IF(EA161&lt;&gt;"Y","N",IF(COUNTIFS($AN$2:$AN$1000,AN161,$EA$2:$EA$1000,"Y",$J$2:$J$1000,"&gt;"&amp;J161)+COUNTIFS($AN$2:$AN$1000,AN161,$EA$2:$EA$1000,"Y",$J$2:$J$1000,J161,$ED$2:$ED$1000,"&lt;"&amp;ED161)=0,"Y","N"))</f>
        <v>Y</v>
      </c>
      <c r="EC161" s="0" t="str">
        <f aca="false">IF(Y161="","N",IF(Y161&lt;=10,"Y","N"))</f>
        <v>N</v>
      </c>
      <c r="ED161" s="0" t="n">
        <f aca="false">ROW()-1</f>
        <v>160</v>
      </c>
    </row>
    <row r="162" customFormat="false" ht="15" hidden="false" customHeight="false" outlineLevel="0" collapsed="false">
      <c r="A162" s="0" t="s">
        <v>8232</v>
      </c>
      <c r="B162" s="0" t="s">
        <v>8233</v>
      </c>
      <c r="C162" s="0" t="s">
        <v>5744</v>
      </c>
      <c r="D162" s="0" t="s">
        <v>8234</v>
      </c>
      <c r="E162" s="0" t="s">
        <v>8235</v>
      </c>
      <c r="H162" s="5" t="s">
        <v>158</v>
      </c>
      <c r="I162" s="5" t="s">
        <v>159</v>
      </c>
      <c r="J162" s="0" t="n">
        <f aca="false">IF(AU162="pass",CM162+CN162+CO162+CP162+CQ162+CR162+CS162+CT162,0)</f>
        <v>39</v>
      </c>
      <c r="K162" s="0" t="s">
        <v>8213</v>
      </c>
      <c r="M162" s="0" t="s">
        <v>5291</v>
      </c>
      <c r="N162" s="0" t="s">
        <v>598</v>
      </c>
      <c r="R162" s="5" t="s">
        <v>162</v>
      </c>
      <c r="S162" s="0" t="s">
        <v>163</v>
      </c>
      <c r="T162" s="5" t="s">
        <v>162</v>
      </c>
      <c r="U162" s="5" t="s">
        <v>561</v>
      </c>
      <c r="V162" s="0" t="s">
        <v>8236</v>
      </c>
      <c r="W162" s="0" t="s">
        <v>166</v>
      </c>
      <c r="X162" s="0" t="s">
        <v>4585</v>
      </c>
      <c r="Y162" s="0" t="n">
        <f aca="false">IF(EB162&lt;&gt;"Y","",COUNTIFS($EB$2:$EB$1000,"Y",$J$2:$J$1000,"&gt;"&amp;J162)+COUNTIFS($EB$2:$EB$1000,"Y",$J$2:$J$1000,J162,$ED$2:$ED$1000,"&lt;"&amp;ED162)+1)</f>
        <v>133</v>
      </c>
      <c r="Z162" s="0" t="n">
        <v>161</v>
      </c>
      <c r="AA162" s="0" t="s">
        <v>162</v>
      </c>
      <c r="AB162" s="0" t="s">
        <v>8237</v>
      </c>
      <c r="AC162" s="0" t="s">
        <v>4587</v>
      </c>
      <c r="AD162" s="0" t="s">
        <v>171</v>
      </c>
      <c r="AE162" s="0" t="s">
        <v>172</v>
      </c>
      <c r="AF162" s="0" t="s">
        <v>8236</v>
      </c>
      <c r="AG162" s="0" t="s">
        <v>166</v>
      </c>
      <c r="AH162" s="0" t="s">
        <v>8238</v>
      </c>
      <c r="AI162" s="0" t="s">
        <v>5763</v>
      </c>
      <c r="AJ162" s="0" t="s">
        <v>192</v>
      </c>
      <c r="AK162" s="0" t="s">
        <v>8239</v>
      </c>
      <c r="AL162" s="0" t="s">
        <v>168</v>
      </c>
      <c r="AM162" s="0" t="s">
        <v>8240</v>
      </c>
      <c r="AN162" s="0" t="s">
        <v>8232</v>
      </c>
      <c r="AO162" s="5" t="s">
        <v>162</v>
      </c>
      <c r="AR162" s="0" t="str">
        <f aca="false">IF(AND(AU162="pass",AO162&lt;&gt;"Y",C162&lt;&gt;""),"Y","N")</f>
        <v>Y</v>
      </c>
      <c r="AS162" s="0" t="str">
        <f aca="false">_xlfn.TEXTJOIN("; ",TRUE(),IF(AU162&lt;&gt;"pass","gated out",""),IF(AO162="Y","on hold: "&amp;AP162,""),IF(C162="","no contact named on an opened page",""))</f>
        <v/>
      </c>
      <c r="AU162" s="0" t="s">
        <v>181</v>
      </c>
      <c r="AW162" s="0" t="s">
        <v>182</v>
      </c>
      <c r="AX162" s="0" t="s">
        <v>5605</v>
      </c>
      <c r="AY162" s="0" t="s">
        <v>8239</v>
      </c>
      <c r="AZ162" s="0" t="s">
        <v>4595</v>
      </c>
      <c r="BA162" s="0" t="s">
        <v>4596</v>
      </c>
      <c r="BB162" s="0" t="s">
        <v>163</v>
      </c>
      <c r="BD162" s="0" t="s">
        <v>168</v>
      </c>
      <c r="BE162" s="0" t="s">
        <v>8241</v>
      </c>
      <c r="BF162" s="0" t="s">
        <v>168</v>
      </c>
      <c r="BG162" s="0" t="s">
        <v>168</v>
      </c>
      <c r="BH162" s="0" t="s">
        <v>163</v>
      </c>
      <c r="BJ162" s="0" t="s">
        <v>8242</v>
      </c>
      <c r="BK162" s="0" t="s">
        <v>162</v>
      </c>
      <c r="BL162" s="0" t="s">
        <v>162</v>
      </c>
      <c r="BO162" s="0" t="s">
        <v>162</v>
      </c>
      <c r="BP162" s="0" t="n">
        <v>0</v>
      </c>
      <c r="BS162" s="0" t="s">
        <v>8243</v>
      </c>
      <c r="BU162" s="0" t="s">
        <v>158</v>
      </c>
      <c r="BX162" s="0" t="s">
        <v>8244</v>
      </c>
      <c r="CA162" s="0" t="s">
        <v>8245</v>
      </c>
      <c r="CB162" s="0" t="s">
        <v>8246</v>
      </c>
      <c r="CC162" s="0" t="s">
        <v>8247</v>
      </c>
      <c r="CD162" s="0" t="s">
        <v>8248</v>
      </c>
      <c r="CE162" s="0" t="s">
        <v>6260</v>
      </c>
      <c r="CF162" s="0" t="s">
        <v>171</v>
      </c>
      <c r="CK162" s="0" t="s">
        <v>158</v>
      </c>
      <c r="CL162" s="0" t="n">
        <v>39</v>
      </c>
      <c r="CM162" s="0" t="n">
        <v>6</v>
      </c>
      <c r="CN162" s="0" t="n">
        <v>20</v>
      </c>
      <c r="CO162" s="0" t="n">
        <v>0</v>
      </c>
      <c r="CP162" s="0" t="n">
        <v>5</v>
      </c>
      <c r="CQ162" s="0" t="n">
        <v>10</v>
      </c>
      <c r="CR162" s="0" t="n">
        <v>10</v>
      </c>
      <c r="CS162" s="0" t="n">
        <f aca="false">IF(R162="Y",10,0)</f>
        <v>0</v>
      </c>
      <c r="CT162" s="0" t="n">
        <v>-12</v>
      </c>
      <c r="CU162" s="0" t="s">
        <v>8249</v>
      </c>
      <c r="CV162" s="0" t="s">
        <v>5562</v>
      </c>
      <c r="CW162" s="0" t="s">
        <v>8250</v>
      </c>
      <c r="CX162" s="0" t="s">
        <v>8251</v>
      </c>
      <c r="CY162" s="0" t="s">
        <v>8252</v>
      </c>
      <c r="CZ162" s="0" t="s">
        <v>8253</v>
      </c>
      <c r="DA162" s="0" t="s">
        <v>6234</v>
      </c>
      <c r="DC162" s="0" t="s">
        <v>1189</v>
      </c>
      <c r="DY162" s="0" t="str">
        <f aca="false">IF(ISNUMBER(MATCH(U162,{"queued","contacted","replied","call_booked","call_done","yes_in_principle","materials_sent"},0)),"Y","N")</f>
        <v>N</v>
      </c>
      <c r="DZ162" s="0" t="str">
        <f aca="false">IF(COUNTIFS($AN$2:$AN$1000,AN162,$DY$2:$DY$1000,"Y")+COUNTIFS($AN$2:$AN$1000,AN162,$T$2:$T$1000,"Y")&gt;0,"Y","N")</f>
        <v>N</v>
      </c>
      <c r="EA162" s="0" t="str">
        <f aca="false">IF(AND(U162="new",T162="N",AR162="Y",AQ162="",DZ162="N"),"Y","N")</f>
        <v>Y</v>
      </c>
      <c r="EB162" s="0" t="str">
        <f aca="false">IF(EA162&lt;&gt;"Y","N",IF(COUNTIFS($AN$2:$AN$1000,AN162,$EA$2:$EA$1000,"Y",$J$2:$J$1000,"&gt;"&amp;J162)+COUNTIFS($AN$2:$AN$1000,AN162,$EA$2:$EA$1000,"Y",$J$2:$J$1000,J162,$ED$2:$ED$1000,"&lt;"&amp;ED162)=0,"Y","N"))</f>
        <v>Y</v>
      </c>
      <c r="EC162" s="0" t="str">
        <f aca="false">IF(Y162="","N",IF(Y162&lt;=10,"Y","N"))</f>
        <v>N</v>
      </c>
      <c r="ED162" s="0" t="n">
        <f aca="false">ROW()-1</f>
        <v>161</v>
      </c>
    </row>
    <row r="163" customFormat="false" ht="15" hidden="false" customHeight="false" outlineLevel="0" collapsed="false">
      <c r="A163" s="0" t="s">
        <v>8254</v>
      </c>
      <c r="B163" s="0" t="s">
        <v>8255</v>
      </c>
      <c r="H163" s="5" t="s">
        <v>158</v>
      </c>
      <c r="I163" s="5"/>
      <c r="J163" s="0" t="n">
        <f aca="false">IF(AU163="pass",CM163+CN163+CO163+CP163+CQ163+CR163+CS163+CT163,0)</f>
        <v>38</v>
      </c>
      <c r="K163" s="0" t="s">
        <v>8256</v>
      </c>
      <c r="M163" s="0" t="s">
        <v>4627</v>
      </c>
      <c r="N163" s="0" t="s">
        <v>4581</v>
      </c>
      <c r="R163" s="5" t="s">
        <v>162</v>
      </c>
      <c r="S163" s="0" t="s">
        <v>163</v>
      </c>
      <c r="T163" s="5" t="s">
        <v>162</v>
      </c>
      <c r="U163" s="5" t="s">
        <v>561</v>
      </c>
      <c r="V163" s="0" t="s">
        <v>8257</v>
      </c>
      <c r="W163" s="0" t="s">
        <v>166</v>
      </c>
      <c r="X163" s="0" t="s">
        <v>4585</v>
      </c>
      <c r="Y163" s="0" t="str">
        <f aca="false">IF(EB163&lt;&gt;"Y","",COUNTIFS($EB$2:$EB$1000,"Y",$J$2:$J$1000,"&gt;"&amp;J163)+COUNTIFS($EB$2:$EB$1000,"Y",$J$2:$J$1000,J163,$ED$2:$ED$1000,"&lt;"&amp;ED163)+1)</f>
        <v/>
      </c>
      <c r="Z163" s="0" t="n">
        <v>162</v>
      </c>
      <c r="AA163" s="0" t="s">
        <v>162</v>
      </c>
      <c r="AB163" s="0" t="s">
        <v>8258</v>
      </c>
      <c r="AD163" s="0" t="s">
        <v>158</v>
      </c>
      <c r="AH163" s="0" t="s">
        <v>8259</v>
      </c>
      <c r="AI163" s="0" t="s">
        <v>4826</v>
      </c>
      <c r="AJ163" s="0" t="s">
        <v>8260</v>
      </c>
      <c r="AK163" s="0" t="s">
        <v>8261</v>
      </c>
      <c r="AL163" s="0" t="s">
        <v>168</v>
      </c>
      <c r="AM163" s="0" t="s">
        <v>8262</v>
      </c>
      <c r="AN163" s="0" t="s">
        <v>8254</v>
      </c>
      <c r="AO163" s="5" t="s">
        <v>162</v>
      </c>
      <c r="AR163" s="0" t="str">
        <f aca="false">IF(AND(AU163="pass",AO163&lt;&gt;"Y",C163&lt;&gt;""),"Y","N")</f>
        <v>N</v>
      </c>
      <c r="AS163" s="0" t="str">
        <f aca="false">_xlfn.TEXTJOIN("; ",TRUE(),IF(AU163&lt;&gt;"pass","gated out",""),IF(AO163="Y","on hold: "&amp;AP163,""),IF(C163="","no contact named on an opened page",""))</f>
        <v>no contact named on an opened page</v>
      </c>
      <c r="AU163" s="0" t="s">
        <v>181</v>
      </c>
      <c r="AW163" s="0" t="s">
        <v>182</v>
      </c>
      <c r="AX163" s="0" t="s">
        <v>282</v>
      </c>
      <c r="AY163" s="0" t="s">
        <v>8261</v>
      </c>
      <c r="AZ163" s="0" t="s">
        <v>5657</v>
      </c>
      <c r="BA163" s="0" t="s">
        <v>5329</v>
      </c>
      <c r="BB163" s="0" t="s">
        <v>163</v>
      </c>
      <c r="BD163" s="0" t="s">
        <v>168</v>
      </c>
      <c r="BE163" s="0" t="s">
        <v>8263</v>
      </c>
      <c r="BF163" s="0" t="s">
        <v>162</v>
      </c>
      <c r="BG163" s="0" t="s">
        <v>168</v>
      </c>
      <c r="BH163" s="0" t="s">
        <v>163</v>
      </c>
      <c r="BJ163" s="0" t="s">
        <v>163</v>
      </c>
      <c r="BK163" s="0" t="s">
        <v>162</v>
      </c>
      <c r="BL163" s="0" t="s">
        <v>162</v>
      </c>
      <c r="BN163" s="0" t="n">
        <v>0</v>
      </c>
      <c r="BO163" s="0" t="s">
        <v>168</v>
      </c>
      <c r="BP163" s="0" t="n">
        <v>1</v>
      </c>
      <c r="BQ163" s="0" t="s">
        <v>4637</v>
      </c>
      <c r="BS163" s="0" t="s">
        <v>4981</v>
      </c>
      <c r="BT163" s="0" t="s">
        <v>8264</v>
      </c>
      <c r="BU163" s="0" t="s">
        <v>158</v>
      </c>
      <c r="CF163" s="0" t="s">
        <v>158</v>
      </c>
      <c r="CK163" s="0" t="s">
        <v>158</v>
      </c>
      <c r="CL163" s="0" t="n">
        <v>38</v>
      </c>
      <c r="CM163" s="0" t="n">
        <v>25</v>
      </c>
      <c r="CN163" s="0" t="n">
        <v>3</v>
      </c>
      <c r="CO163" s="0" t="n">
        <v>0</v>
      </c>
      <c r="CP163" s="0" t="n">
        <v>5</v>
      </c>
      <c r="CQ163" s="0" t="n">
        <v>7</v>
      </c>
      <c r="CR163" s="0" t="n">
        <v>0</v>
      </c>
      <c r="CS163" s="0" t="n">
        <f aca="false">IF(R163="Y",10,0)</f>
        <v>0</v>
      </c>
      <c r="CT163" s="0" t="n">
        <v>-2</v>
      </c>
      <c r="CU163" s="0" t="s">
        <v>163</v>
      </c>
      <c r="CV163" s="0" t="s">
        <v>4841</v>
      </c>
      <c r="CW163" s="0" t="s">
        <v>8265</v>
      </c>
      <c r="CX163" s="0" t="s">
        <v>8266</v>
      </c>
      <c r="DA163" s="0" t="s">
        <v>6234</v>
      </c>
      <c r="DY163" s="0" t="str">
        <f aca="false">IF(ISNUMBER(MATCH(U163,{"queued","contacted","replied","call_booked","call_done","yes_in_principle","materials_sent"},0)),"Y","N")</f>
        <v>N</v>
      </c>
      <c r="DZ163" s="0" t="str">
        <f aca="false">IF(COUNTIFS($AN$2:$AN$1000,AN163,$DY$2:$DY$1000,"Y")+COUNTIFS($AN$2:$AN$1000,AN163,$T$2:$T$1000,"Y")&gt;0,"Y","N")</f>
        <v>N</v>
      </c>
      <c r="EA163" s="0" t="str">
        <f aca="false">IF(AND(U163="new",T163="N",AR163="Y",AQ163="",DZ163="N"),"Y","N")</f>
        <v>N</v>
      </c>
      <c r="EB163" s="0" t="str">
        <f aca="false">IF(EA163&lt;&gt;"Y","N",IF(COUNTIFS($AN$2:$AN$1000,AN163,$EA$2:$EA$1000,"Y",$J$2:$J$1000,"&gt;"&amp;J163)+COUNTIFS($AN$2:$AN$1000,AN163,$EA$2:$EA$1000,"Y",$J$2:$J$1000,J163,$ED$2:$ED$1000,"&lt;"&amp;ED163)=0,"Y","N"))</f>
        <v>N</v>
      </c>
      <c r="EC163" s="0" t="str">
        <f aca="false">IF(Y163="","N",IF(Y163&lt;=10,"Y","N"))</f>
        <v>N</v>
      </c>
      <c r="ED163" s="0" t="n">
        <f aca="false">ROW()-1</f>
        <v>162</v>
      </c>
    </row>
    <row r="164" customFormat="false" ht="15" hidden="false" customHeight="false" outlineLevel="0" collapsed="false">
      <c r="A164" s="0" t="s">
        <v>8267</v>
      </c>
      <c r="B164" s="0" t="s">
        <v>8268</v>
      </c>
      <c r="H164" s="5" t="s">
        <v>158</v>
      </c>
      <c r="I164" s="5"/>
      <c r="J164" s="0" t="n">
        <f aca="false">IF(AU164="pass",CM164+CN164+CO164+CP164+CQ164+CR164+CS164+CT164,0)</f>
        <v>38</v>
      </c>
      <c r="K164" s="0" t="s">
        <v>8269</v>
      </c>
      <c r="M164" s="0" t="s">
        <v>4580</v>
      </c>
      <c r="N164" s="0" t="s">
        <v>4581</v>
      </c>
      <c r="O164" s="0" t="s">
        <v>8270</v>
      </c>
      <c r="P164" s="0" t="s">
        <v>8271</v>
      </c>
      <c r="R164" s="5" t="s">
        <v>162</v>
      </c>
      <c r="S164" s="0" t="s">
        <v>163</v>
      </c>
      <c r="T164" s="5" t="s">
        <v>162</v>
      </c>
      <c r="U164" s="5" t="s">
        <v>561</v>
      </c>
      <c r="V164" s="0" t="s">
        <v>8271</v>
      </c>
      <c r="W164" s="0" t="s">
        <v>166</v>
      </c>
      <c r="X164" s="0" t="s">
        <v>4585</v>
      </c>
      <c r="Y164" s="0" t="str">
        <f aca="false">IF(EB164&lt;&gt;"Y","",COUNTIFS($EB$2:$EB$1000,"Y",$J$2:$J$1000,"&gt;"&amp;J164)+COUNTIFS($EB$2:$EB$1000,"Y",$J$2:$J$1000,J164,$ED$2:$ED$1000,"&lt;"&amp;ED164)+1)</f>
        <v/>
      </c>
      <c r="Z164" s="0" t="n">
        <v>163</v>
      </c>
      <c r="AA164" s="0" t="s">
        <v>162</v>
      </c>
      <c r="AB164" s="0" t="s">
        <v>8272</v>
      </c>
      <c r="AC164" s="0" t="s">
        <v>4587</v>
      </c>
      <c r="AD164" s="0" t="s">
        <v>598</v>
      </c>
      <c r="AE164" s="0" t="s">
        <v>163</v>
      </c>
      <c r="AG164" s="0" t="s">
        <v>166</v>
      </c>
      <c r="AH164" s="0" t="s">
        <v>8273</v>
      </c>
      <c r="AI164" s="0" t="s">
        <v>4826</v>
      </c>
      <c r="AJ164" s="0" t="s">
        <v>8274</v>
      </c>
      <c r="AL164" s="0" t="s">
        <v>168</v>
      </c>
      <c r="AM164" s="0" t="s">
        <v>8275</v>
      </c>
      <c r="AN164" s="0" t="s">
        <v>8267</v>
      </c>
      <c r="AO164" s="5" t="s">
        <v>162</v>
      </c>
      <c r="AR164" s="0" t="str">
        <f aca="false">IF(AND(AU164="pass",AO164&lt;&gt;"Y",C164&lt;&gt;""),"Y","N")</f>
        <v>N</v>
      </c>
      <c r="AS164" s="0" t="str">
        <f aca="false">_xlfn.TEXTJOIN("; ",TRUE(),IF(AU164&lt;&gt;"pass","gated out",""),IF(AO164="Y","on hold: "&amp;AP164,""),IF(C164="","no contact named on an opened page",""))</f>
        <v>no contact named on an opened page</v>
      </c>
      <c r="AU164" s="0" t="s">
        <v>181</v>
      </c>
      <c r="AW164" s="0" t="s">
        <v>182</v>
      </c>
      <c r="AX164" s="0" t="s">
        <v>282</v>
      </c>
      <c r="AY164" s="0" t="s">
        <v>8276</v>
      </c>
      <c r="AZ164" s="0" t="s">
        <v>6873</v>
      </c>
      <c r="BA164" s="0" t="s">
        <v>5058</v>
      </c>
      <c r="BB164" s="0" t="s">
        <v>163</v>
      </c>
      <c r="BD164" s="0" t="s">
        <v>168</v>
      </c>
      <c r="BE164" s="0" t="s">
        <v>8277</v>
      </c>
      <c r="BF164" s="0" t="s">
        <v>162</v>
      </c>
      <c r="BG164" s="0" t="s">
        <v>162</v>
      </c>
      <c r="BH164" s="0" t="s">
        <v>163</v>
      </c>
      <c r="BJ164" s="0" t="s">
        <v>163</v>
      </c>
      <c r="BK164" s="0" t="s">
        <v>162</v>
      </c>
      <c r="BL164" s="0" t="s">
        <v>162</v>
      </c>
      <c r="BN164" s="0" t="n">
        <v>0</v>
      </c>
      <c r="BO164" s="0" t="s">
        <v>168</v>
      </c>
      <c r="BP164" s="0" t="n">
        <v>3</v>
      </c>
      <c r="BQ164" s="0" t="s">
        <v>4669</v>
      </c>
      <c r="BS164" s="0" t="s">
        <v>4981</v>
      </c>
      <c r="BT164" s="0" t="s">
        <v>8278</v>
      </c>
      <c r="BU164" s="0" t="s">
        <v>158</v>
      </c>
      <c r="BX164" s="0" t="s">
        <v>8279</v>
      </c>
      <c r="BY164" s="0" t="s">
        <v>8280</v>
      </c>
      <c r="CA164" s="0" t="s">
        <v>8281</v>
      </c>
      <c r="CE164" s="0" t="s">
        <v>6723</v>
      </c>
      <c r="CF164" s="0" t="s">
        <v>598</v>
      </c>
      <c r="CG164" s="0" t="s">
        <v>8280</v>
      </c>
      <c r="CK164" s="0" t="s">
        <v>158</v>
      </c>
      <c r="CL164" s="0" t="n">
        <v>38</v>
      </c>
      <c r="CM164" s="0" t="n">
        <v>25</v>
      </c>
      <c r="CN164" s="0" t="n">
        <v>3</v>
      </c>
      <c r="CO164" s="0" t="n">
        <v>0</v>
      </c>
      <c r="CP164" s="0" t="n">
        <v>5</v>
      </c>
      <c r="CQ164" s="0" t="n">
        <v>4</v>
      </c>
      <c r="CR164" s="0" t="n">
        <v>3</v>
      </c>
      <c r="CS164" s="0" t="n">
        <f aca="false">IF(R164="Y",10,0)</f>
        <v>0</v>
      </c>
      <c r="CT164" s="0" t="n">
        <v>-2</v>
      </c>
      <c r="CU164" s="0" t="s">
        <v>163</v>
      </c>
      <c r="CV164" s="0" t="s">
        <v>4841</v>
      </c>
      <c r="CW164" s="0" t="s">
        <v>8282</v>
      </c>
      <c r="CX164" s="0" t="s">
        <v>8283</v>
      </c>
      <c r="DA164" s="0" t="s">
        <v>6234</v>
      </c>
      <c r="DC164" s="0" t="s">
        <v>163</v>
      </c>
      <c r="DY164" s="0" t="str">
        <f aca="false">IF(ISNUMBER(MATCH(U164,{"queued","contacted","replied","call_booked","call_done","yes_in_principle","materials_sent"},0)),"Y","N")</f>
        <v>N</v>
      </c>
      <c r="DZ164" s="0" t="str">
        <f aca="false">IF(COUNTIFS($AN$2:$AN$1000,AN164,$DY$2:$DY$1000,"Y")+COUNTIFS($AN$2:$AN$1000,AN164,$T$2:$T$1000,"Y")&gt;0,"Y","N")</f>
        <v>N</v>
      </c>
      <c r="EA164" s="0" t="str">
        <f aca="false">IF(AND(U164="new",T164="N",AR164="Y",AQ164="",DZ164="N"),"Y","N")</f>
        <v>N</v>
      </c>
      <c r="EB164" s="0" t="str">
        <f aca="false">IF(EA164&lt;&gt;"Y","N",IF(COUNTIFS($AN$2:$AN$1000,AN164,$EA$2:$EA$1000,"Y",$J$2:$J$1000,"&gt;"&amp;J164)+COUNTIFS($AN$2:$AN$1000,AN164,$EA$2:$EA$1000,"Y",$J$2:$J$1000,J164,$ED$2:$ED$1000,"&lt;"&amp;ED164)=0,"Y","N"))</f>
        <v>N</v>
      </c>
      <c r="EC164" s="0" t="str">
        <f aca="false">IF(Y164="","N",IF(Y164&lt;=10,"Y","N"))</f>
        <v>N</v>
      </c>
      <c r="ED164" s="0" t="n">
        <f aca="false">ROW()-1</f>
        <v>163</v>
      </c>
    </row>
    <row r="165" customFormat="false" ht="15" hidden="false" customHeight="false" outlineLevel="0" collapsed="false">
      <c r="A165" s="0" t="s">
        <v>8284</v>
      </c>
      <c r="B165" s="0" t="s">
        <v>8285</v>
      </c>
      <c r="C165" s="0" t="s">
        <v>8286</v>
      </c>
      <c r="D165" s="0" t="s">
        <v>8287</v>
      </c>
      <c r="E165" s="0" t="s">
        <v>4625</v>
      </c>
      <c r="H165" s="5" t="s">
        <v>158</v>
      </c>
      <c r="I165" s="5" t="s">
        <v>159</v>
      </c>
      <c r="J165" s="0" t="n">
        <f aca="false">IF(AU165="pass",CM165+CN165+CO165+CP165+CQ165+CR165+CS165+CT165,0)</f>
        <v>38</v>
      </c>
      <c r="K165" s="0" t="s">
        <v>8288</v>
      </c>
      <c r="M165" s="0" t="s">
        <v>5291</v>
      </c>
      <c r="N165" s="0" t="s">
        <v>598</v>
      </c>
      <c r="O165" s="0" t="s">
        <v>8289</v>
      </c>
      <c r="P165" s="0" t="s">
        <v>8290</v>
      </c>
      <c r="Q165" s="0" t="s">
        <v>5648</v>
      </c>
      <c r="R165" s="5" t="s">
        <v>162</v>
      </c>
      <c r="S165" s="0" t="s">
        <v>163</v>
      </c>
      <c r="T165" s="5" t="s">
        <v>162</v>
      </c>
      <c r="U165" s="5" t="s">
        <v>561</v>
      </c>
      <c r="V165" s="0" t="s">
        <v>8291</v>
      </c>
      <c r="W165" s="0" t="s">
        <v>166</v>
      </c>
      <c r="X165" s="0" t="s">
        <v>4585</v>
      </c>
      <c r="Y165" s="0" t="n">
        <f aca="false">IF(EB165&lt;&gt;"Y","",COUNTIFS($EB$2:$EB$1000,"Y",$J$2:$J$1000,"&gt;"&amp;J165)+COUNTIFS($EB$2:$EB$1000,"Y",$J$2:$J$1000,J165,$ED$2:$ED$1000,"&lt;"&amp;ED165)+1)</f>
        <v>134</v>
      </c>
      <c r="Z165" s="0" t="n">
        <v>164</v>
      </c>
      <c r="AA165" s="0" t="s">
        <v>162</v>
      </c>
      <c r="AB165" s="0" t="s">
        <v>8292</v>
      </c>
      <c r="AC165" s="0" t="s">
        <v>4587</v>
      </c>
      <c r="AD165" s="0" t="s">
        <v>171</v>
      </c>
      <c r="AE165" s="0" t="s">
        <v>172</v>
      </c>
      <c r="AF165" s="0" t="s">
        <v>8291</v>
      </c>
      <c r="AG165" s="0" t="s">
        <v>166</v>
      </c>
      <c r="AH165" s="0" t="s">
        <v>8293</v>
      </c>
      <c r="AI165" s="0" t="s">
        <v>5924</v>
      </c>
      <c r="AJ165" s="0" t="s">
        <v>8294</v>
      </c>
      <c r="AK165" s="0" t="s">
        <v>8295</v>
      </c>
      <c r="AL165" s="0" t="s">
        <v>168</v>
      </c>
      <c r="AM165" s="0" t="s">
        <v>8296</v>
      </c>
      <c r="AN165" s="0" t="s">
        <v>8284</v>
      </c>
      <c r="AO165" s="5" t="s">
        <v>162</v>
      </c>
      <c r="AR165" s="0" t="str">
        <f aca="false">IF(AND(AU165="pass",AO165&lt;&gt;"Y",C165&lt;&gt;""),"Y","N")</f>
        <v>Y</v>
      </c>
      <c r="AS165" s="0" t="str">
        <f aca="false">_xlfn.TEXTJOIN("; ",TRUE(),IF(AU165&lt;&gt;"pass","gated out",""),IF(AO165="Y","on hold: "&amp;AP165,""),IF(C165="","no contact named on an opened page",""))</f>
        <v/>
      </c>
      <c r="AU165" s="0" t="s">
        <v>181</v>
      </c>
      <c r="AW165" s="0" t="s">
        <v>182</v>
      </c>
      <c r="AX165" s="0" t="s">
        <v>5221</v>
      </c>
      <c r="AY165" s="0" t="s">
        <v>8295</v>
      </c>
      <c r="AZ165" s="0" t="s">
        <v>5190</v>
      </c>
      <c r="BA165" s="0" t="s">
        <v>5191</v>
      </c>
      <c r="BB165" s="0" t="s">
        <v>8297</v>
      </c>
      <c r="BD165" s="0" t="s">
        <v>168</v>
      </c>
      <c r="BE165" s="0" t="s">
        <v>8298</v>
      </c>
      <c r="BF165" s="0" t="s">
        <v>168</v>
      </c>
      <c r="BG165" s="0" t="s">
        <v>168</v>
      </c>
      <c r="BH165" s="0" t="s">
        <v>163</v>
      </c>
      <c r="BJ165" s="0" t="s">
        <v>5549</v>
      </c>
      <c r="BK165" s="0" t="s">
        <v>162</v>
      </c>
      <c r="BL165" s="0" t="s">
        <v>162</v>
      </c>
      <c r="BO165" s="0" t="s">
        <v>162</v>
      </c>
      <c r="BP165" s="0" t="n">
        <v>0</v>
      </c>
      <c r="BS165" s="0" t="s">
        <v>8299</v>
      </c>
      <c r="BU165" s="0" t="s">
        <v>4604</v>
      </c>
      <c r="BV165" s="0" t="n">
        <v>66</v>
      </c>
      <c r="BX165" s="0" t="s">
        <v>8300</v>
      </c>
      <c r="CA165" s="0" t="s">
        <v>8301</v>
      </c>
      <c r="CB165" s="0" t="s">
        <v>8302</v>
      </c>
      <c r="CC165" s="0" t="s">
        <v>8303</v>
      </c>
      <c r="CD165" s="0" t="s">
        <v>4625</v>
      </c>
      <c r="CE165" s="0" t="s">
        <v>6723</v>
      </c>
      <c r="CF165" s="0" t="s">
        <v>171</v>
      </c>
      <c r="CK165" s="0" t="s">
        <v>158</v>
      </c>
      <c r="CL165" s="0" t="n">
        <v>38</v>
      </c>
      <c r="CM165" s="0" t="n">
        <v>6</v>
      </c>
      <c r="CN165" s="0" t="n">
        <v>8</v>
      </c>
      <c r="CO165" s="0" t="n">
        <v>15</v>
      </c>
      <c r="CP165" s="0" t="n">
        <v>5</v>
      </c>
      <c r="CQ165" s="0" t="n">
        <v>10</v>
      </c>
      <c r="CR165" s="0" t="n">
        <v>6</v>
      </c>
      <c r="CS165" s="0" t="n">
        <f aca="false">IF(R165="Y",10,0)</f>
        <v>0</v>
      </c>
      <c r="CT165" s="0" t="n">
        <v>-12</v>
      </c>
      <c r="CU165" s="0" t="s">
        <v>8304</v>
      </c>
      <c r="CV165" s="0" t="s">
        <v>5562</v>
      </c>
      <c r="CW165" s="0" t="s">
        <v>8305</v>
      </c>
      <c r="CX165" s="0" t="s">
        <v>8306</v>
      </c>
      <c r="CY165" s="0" t="s">
        <v>8307</v>
      </c>
      <c r="CZ165" s="0" t="s">
        <v>8291</v>
      </c>
      <c r="DA165" s="0" t="s">
        <v>6234</v>
      </c>
      <c r="DC165" s="0" t="s">
        <v>172</v>
      </c>
      <c r="DY165" s="0" t="str">
        <f aca="false">IF(ISNUMBER(MATCH(U165,{"queued","contacted","replied","call_booked","call_done","yes_in_principle","materials_sent"},0)),"Y","N")</f>
        <v>N</v>
      </c>
      <c r="DZ165" s="0" t="str">
        <f aca="false">IF(COUNTIFS($AN$2:$AN$1000,AN165,$DY$2:$DY$1000,"Y")+COUNTIFS($AN$2:$AN$1000,AN165,$T$2:$T$1000,"Y")&gt;0,"Y","N")</f>
        <v>N</v>
      </c>
      <c r="EA165" s="0" t="str">
        <f aca="false">IF(AND(U165="new",T165="N",AR165="Y",AQ165="",DZ165="N"),"Y","N")</f>
        <v>Y</v>
      </c>
      <c r="EB165" s="0" t="str">
        <f aca="false">IF(EA165&lt;&gt;"Y","N",IF(COUNTIFS($AN$2:$AN$1000,AN165,$EA$2:$EA$1000,"Y",$J$2:$J$1000,"&gt;"&amp;J165)+COUNTIFS($AN$2:$AN$1000,AN165,$EA$2:$EA$1000,"Y",$J$2:$J$1000,J165,$ED$2:$ED$1000,"&lt;"&amp;ED165)=0,"Y","N"))</f>
        <v>Y</v>
      </c>
      <c r="EC165" s="0" t="str">
        <f aca="false">IF(Y165="","N",IF(Y165&lt;=10,"Y","N"))</f>
        <v>N</v>
      </c>
      <c r="ED165" s="0" t="n">
        <f aca="false">ROW()-1</f>
        <v>164</v>
      </c>
    </row>
    <row r="166" customFormat="false" ht="15" hidden="false" customHeight="false" outlineLevel="0" collapsed="false">
      <c r="A166" s="0" t="s">
        <v>8308</v>
      </c>
      <c r="B166" s="0" t="s">
        <v>8309</v>
      </c>
      <c r="C166" s="0" t="s">
        <v>8310</v>
      </c>
      <c r="D166" s="0" t="s">
        <v>8311</v>
      </c>
      <c r="E166" s="0" t="s">
        <v>4771</v>
      </c>
      <c r="H166" s="5" t="s">
        <v>158</v>
      </c>
      <c r="I166" s="5" t="s">
        <v>159</v>
      </c>
      <c r="J166" s="0" t="n">
        <f aca="false">IF(AU166="pass",CM166+CN166+CO166+CP166+CQ166+CR166+CS166+CT166,0)</f>
        <v>38</v>
      </c>
      <c r="K166" s="0" t="s">
        <v>8312</v>
      </c>
      <c r="M166" s="0" t="s">
        <v>5291</v>
      </c>
      <c r="N166" s="0" t="s">
        <v>598</v>
      </c>
      <c r="O166" s="0" t="s">
        <v>8313</v>
      </c>
      <c r="P166" s="0" t="s">
        <v>8314</v>
      </c>
      <c r="Q166" s="0" t="s">
        <v>1431</v>
      </c>
      <c r="R166" s="5" t="s">
        <v>162</v>
      </c>
      <c r="S166" s="0" t="s">
        <v>163</v>
      </c>
      <c r="T166" s="5" t="s">
        <v>162</v>
      </c>
      <c r="U166" s="5" t="s">
        <v>561</v>
      </c>
      <c r="V166" s="0" t="s">
        <v>8315</v>
      </c>
      <c r="W166" s="0" t="s">
        <v>166</v>
      </c>
      <c r="X166" s="0" t="s">
        <v>4585</v>
      </c>
      <c r="Y166" s="0" t="n">
        <f aca="false">IF(EB166&lt;&gt;"Y","",COUNTIFS($EB$2:$EB$1000,"Y",$J$2:$J$1000,"&gt;"&amp;J166)+COUNTIFS($EB$2:$EB$1000,"Y",$J$2:$J$1000,J166,$ED$2:$ED$1000,"&lt;"&amp;ED166)+1)</f>
        <v>135</v>
      </c>
      <c r="Z166" s="0" t="n">
        <v>165</v>
      </c>
      <c r="AA166" s="0" t="s">
        <v>162</v>
      </c>
      <c r="AB166" s="0" t="s">
        <v>8316</v>
      </c>
      <c r="AC166" s="0" t="s">
        <v>4587</v>
      </c>
      <c r="AD166" s="0" t="s">
        <v>171</v>
      </c>
      <c r="AE166" s="0" t="s">
        <v>172</v>
      </c>
      <c r="AF166" s="0" t="s">
        <v>8315</v>
      </c>
      <c r="AG166" s="0" t="s">
        <v>166</v>
      </c>
      <c r="AH166" s="0" t="s">
        <v>8317</v>
      </c>
      <c r="AI166" s="0" t="s">
        <v>5924</v>
      </c>
      <c r="AJ166" s="0" t="s">
        <v>8318</v>
      </c>
      <c r="AK166" s="0" t="s">
        <v>8319</v>
      </c>
      <c r="AL166" s="0" t="s">
        <v>168</v>
      </c>
      <c r="AM166" s="0" t="s">
        <v>8320</v>
      </c>
      <c r="AN166" s="0" t="s">
        <v>8308</v>
      </c>
      <c r="AO166" s="5" t="s">
        <v>162</v>
      </c>
      <c r="AR166" s="0" t="str">
        <f aca="false">IF(AND(AU166="pass",AO166&lt;&gt;"Y",C166&lt;&gt;""),"Y","N")</f>
        <v>Y</v>
      </c>
      <c r="AS166" s="0" t="str">
        <f aca="false">_xlfn.TEXTJOIN("; ",TRUE(),IF(AU166&lt;&gt;"pass","gated out",""),IF(AO166="Y","on hold: "&amp;AP166,""),IF(C166="","no contact named on an opened page",""))</f>
        <v/>
      </c>
      <c r="AU166" s="0" t="s">
        <v>181</v>
      </c>
      <c r="AW166" s="0" t="s">
        <v>182</v>
      </c>
      <c r="AX166" s="0" t="s">
        <v>5221</v>
      </c>
      <c r="AY166" s="0" t="s">
        <v>8319</v>
      </c>
      <c r="AZ166" s="0" t="s">
        <v>4595</v>
      </c>
      <c r="BA166" s="0" t="s">
        <v>4951</v>
      </c>
      <c r="BB166" s="0" t="s">
        <v>163</v>
      </c>
      <c r="BD166" s="0" t="s">
        <v>168</v>
      </c>
      <c r="BE166" s="0" t="s">
        <v>8321</v>
      </c>
      <c r="BF166" s="0" t="s">
        <v>163</v>
      </c>
      <c r="BG166" s="0" t="s">
        <v>168</v>
      </c>
      <c r="BH166" s="0" t="s">
        <v>163</v>
      </c>
      <c r="BJ166" s="0" t="s">
        <v>5549</v>
      </c>
      <c r="BK166" s="0" t="s">
        <v>162</v>
      </c>
      <c r="BL166" s="0" t="s">
        <v>162</v>
      </c>
      <c r="BO166" s="0" t="s">
        <v>162</v>
      </c>
      <c r="BP166" s="0" t="n">
        <v>0</v>
      </c>
      <c r="BR166" s="0" t="s">
        <v>8089</v>
      </c>
      <c r="BS166" s="0" t="s">
        <v>8322</v>
      </c>
      <c r="BT166" s="0" t="s">
        <v>8323</v>
      </c>
      <c r="BU166" s="0" t="s">
        <v>4694</v>
      </c>
      <c r="BV166" s="0" t="n">
        <v>130</v>
      </c>
      <c r="BX166" s="0" t="s">
        <v>8324</v>
      </c>
      <c r="CA166" s="0" t="s">
        <v>8325</v>
      </c>
      <c r="CB166" s="0" t="s">
        <v>8326</v>
      </c>
      <c r="CC166" s="0" t="s">
        <v>8327</v>
      </c>
      <c r="CD166" s="0" t="s">
        <v>4759</v>
      </c>
      <c r="CE166" s="0" t="s">
        <v>6260</v>
      </c>
      <c r="CF166" s="0" t="s">
        <v>171</v>
      </c>
      <c r="CK166" s="0" t="s">
        <v>158</v>
      </c>
      <c r="CL166" s="0" t="n">
        <v>38</v>
      </c>
      <c r="CM166" s="0" t="n">
        <v>6</v>
      </c>
      <c r="CN166" s="0" t="n">
        <v>13</v>
      </c>
      <c r="CO166" s="0" t="n">
        <v>8</v>
      </c>
      <c r="CP166" s="0" t="n">
        <v>5</v>
      </c>
      <c r="CQ166" s="0" t="n">
        <v>8</v>
      </c>
      <c r="CR166" s="0" t="n">
        <v>10</v>
      </c>
      <c r="CS166" s="0" t="n">
        <f aca="false">IF(R166="Y",10,0)</f>
        <v>0</v>
      </c>
      <c r="CT166" s="0" t="n">
        <v>-12</v>
      </c>
      <c r="CU166" s="0" t="s">
        <v>8328</v>
      </c>
      <c r="CV166" s="0" t="s">
        <v>5562</v>
      </c>
      <c r="CW166" s="0" t="s">
        <v>8329</v>
      </c>
      <c r="CX166" s="0" t="s">
        <v>8330</v>
      </c>
      <c r="CY166" s="0" t="s">
        <v>8331</v>
      </c>
      <c r="CZ166" s="0" t="s">
        <v>8332</v>
      </c>
      <c r="DA166" s="0" t="s">
        <v>6234</v>
      </c>
      <c r="DC166" s="0" t="s">
        <v>1189</v>
      </c>
      <c r="DY166" s="0" t="str">
        <f aca="false">IF(ISNUMBER(MATCH(U166,{"queued","contacted","replied","call_booked","call_done","yes_in_principle","materials_sent"},0)),"Y","N")</f>
        <v>N</v>
      </c>
      <c r="DZ166" s="0" t="str">
        <f aca="false">IF(COUNTIFS($AN$2:$AN$1000,AN166,$DY$2:$DY$1000,"Y")+COUNTIFS($AN$2:$AN$1000,AN166,$T$2:$T$1000,"Y")&gt;0,"Y","N")</f>
        <v>N</v>
      </c>
      <c r="EA166" s="0" t="str">
        <f aca="false">IF(AND(U166="new",T166="N",AR166="Y",AQ166="",DZ166="N"),"Y","N")</f>
        <v>Y</v>
      </c>
      <c r="EB166" s="0" t="str">
        <f aca="false">IF(EA166&lt;&gt;"Y","N",IF(COUNTIFS($AN$2:$AN$1000,AN166,$EA$2:$EA$1000,"Y",$J$2:$J$1000,"&gt;"&amp;J166)+COUNTIFS($AN$2:$AN$1000,AN166,$EA$2:$EA$1000,"Y",$J$2:$J$1000,J166,$ED$2:$ED$1000,"&lt;"&amp;ED166)=0,"Y","N"))</f>
        <v>Y</v>
      </c>
      <c r="EC166" s="0" t="str">
        <f aca="false">IF(Y166="","N",IF(Y166&lt;=10,"Y","N"))</f>
        <v>N</v>
      </c>
      <c r="ED166" s="0" t="n">
        <f aca="false">ROW()-1</f>
        <v>165</v>
      </c>
    </row>
    <row r="167" customFormat="false" ht="15" hidden="false" customHeight="false" outlineLevel="0" collapsed="false">
      <c r="A167" s="0" t="s">
        <v>8333</v>
      </c>
      <c r="B167" s="0" t="s">
        <v>8334</v>
      </c>
      <c r="C167" s="0" t="s">
        <v>8335</v>
      </c>
      <c r="D167" s="0" t="s">
        <v>8336</v>
      </c>
      <c r="E167" s="0" t="s">
        <v>4625</v>
      </c>
      <c r="H167" s="5" t="s">
        <v>158</v>
      </c>
      <c r="I167" s="5" t="s">
        <v>159</v>
      </c>
      <c r="J167" s="0" t="n">
        <f aca="false">IF(AU167="pass",CM167+CN167+CO167+CP167+CQ167+CR167+CS167+CT167,0)</f>
        <v>38</v>
      </c>
      <c r="K167" s="0" t="s">
        <v>8337</v>
      </c>
      <c r="M167" s="0" t="s">
        <v>5291</v>
      </c>
      <c r="N167" s="0" t="s">
        <v>598</v>
      </c>
      <c r="O167" s="0" t="s">
        <v>8338</v>
      </c>
      <c r="P167" s="0" t="s">
        <v>8339</v>
      </c>
      <c r="Q167" s="0" t="s">
        <v>1947</v>
      </c>
      <c r="R167" s="5" t="s">
        <v>162</v>
      </c>
      <c r="S167" s="0" t="s">
        <v>163</v>
      </c>
      <c r="T167" s="5" t="s">
        <v>162</v>
      </c>
      <c r="U167" s="5" t="s">
        <v>561</v>
      </c>
      <c r="V167" s="0" t="s">
        <v>8340</v>
      </c>
      <c r="W167" s="0" t="s">
        <v>166</v>
      </c>
      <c r="X167" s="0" t="s">
        <v>4585</v>
      </c>
      <c r="Y167" s="0" t="n">
        <f aca="false">IF(EB167&lt;&gt;"Y","",COUNTIFS($EB$2:$EB$1000,"Y",$J$2:$J$1000,"&gt;"&amp;J167)+COUNTIFS($EB$2:$EB$1000,"Y",$J$2:$J$1000,J167,$ED$2:$ED$1000,"&lt;"&amp;ED167)+1)</f>
        <v>136</v>
      </c>
      <c r="Z167" s="0" t="n">
        <v>166</v>
      </c>
      <c r="AA167" s="0" t="s">
        <v>162</v>
      </c>
      <c r="AB167" s="0" t="s">
        <v>8341</v>
      </c>
      <c r="AC167" s="0" t="s">
        <v>4587</v>
      </c>
      <c r="AD167" s="0" t="s">
        <v>171</v>
      </c>
      <c r="AE167" s="0" t="s">
        <v>1189</v>
      </c>
      <c r="AF167" s="0" t="s">
        <v>8339</v>
      </c>
      <c r="AG167" s="0" t="s">
        <v>166</v>
      </c>
      <c r="AH167" s="0" t="s">
        <v>8342</v>
      </c>
      <c r="AI167" s="0" t="s">
        <v>5924</v>
      </c>
      <c r="AJ167" s="0" t="s">
        <v>8343</v>
      </c>
      <c r="AK167" s="0" t="s">
        <v>8344</v>
      </c>
      <c r="AL167" s="0" t="s">
        <v>168</v>
      </c>
      <c r="AM167" s="0" t="s">
        <v>8345</v>
      </c>
      <c r="AN167" s="0" t="s">
        <v>8333</v>
      </c>
      <c r="AO167" s="5" t="s">
        <v>162</v>
      </c>
      <c r="AR167" s="0" t="str">
        <f aca="false">IF(AND(AU167="pass",AO167&lt;&gt;"Y",C167&lt;&gt;""),"Y","N")</f>
        <v>Y</v>
      </c>
      <c r="AS167" s="0" t="str">
        <f aca="false">_xlfn.TEXTJOIN("; ",TRUE(),IF(AU167&lt;&gt;"pass","gated out",""),IF(AO167="Y","on hold: "&amp;AP167,""),IF(C167="","no contact named on an opened page",""))</f>
        <v/>
      </c>
      <c r="AU167" s="0" t="s">
        <v>181</v>
      </c>
      <c r="AW167" s="0" t="s">
        <v>182</v>
      </c>
      <c r="AX167" s="0" t="s">
        <v>282</v>
      </c>
      <c r="AY167" s="0" t="s">
        <v>8346</v>
      </c>
      <c r="AZ167" s="0" t="s">
        <v>5657</v>
      </c>
      <c r="BA167" s="0" t="s">
        <v>5329</v>
      </c>
      <c r="BB167" s="0" t="s">
        <v>163</v>
      </c>
      <c r="BD167" s="0" t="s">
        <v>163</v>
      </c>
      <c r="BE167" s="0" t="s">
        <v>6387</v>
      </c>
      <c r="BF167" s="0" t="s">
        <v>168</v>
      </c>
      <c r="BG167" s="0" t="s">
        <v>168</v>
      </c>
      <c r="BH167" s="0" t="s">
        <v>6456</v>
      </c>
      <c r="BI167" s="0" t="s">
        <v>8347</v>
      </c>
      <c r="BJ167" s="0" t="s">
        <v>8348</v>
      </c>
      <c r="BK167" s="0" t="s">
        <v>162</v>
      </c>
      <c r="BL167" s="0" t="s">
        <v>162</v>
      </c>
      <c r="BO167" s="0" t="s">
        <v>162</v>
      </c>
      <c r="BP167" s="0" t="n">
        <v>0</v>
      </c>
      <c r="BR167" s="0" t="s">
        <v>8089</v>
      </c>
      <c r="BS167" s="0" t="s">
        <v>8349</v>
      </c>
      <c r="BT167" s="0" t="s">
        <v>8350</v>
      </c>
      <c r="BU167" s="0" t="s">
        <v>4694</v>
      </c>
      <c r="BV167" s="0" t="n">
        <v>16</v>
      </c>
      <c r="BX167" s="0" t="s">
        <v>8351</v>
      </c>
      <c r="CA167" s="0" t="s">
        <v>8352</v>
      </c>
      <c r="CB167" s="0" t="s">
        <v>8353</v>
      </c>
      <c r="CC167" s="0" t="s">
        <v>8336</v>
      </c>
      <c r="CD167" s="0" t="s">
        <v>4625</v>
      </c>
      <c r="CE167" s="0" t="s">
        <v>6723</v>
      </c>
      <c r="CF167" s="0" t="s">
        <v>171</v>
      </c>
      <c r="CK167" s="0" t="s">
        <v>158</v>
      </c>
      <c r="CL167" s="0" t="n">
        <v>38</v>
      </c>
      <c r="CM167" s="0" t="n">
        <v>6</v>
      </c>
      <c r="CN167" s="0" t="n">
        <v>3</v>
      </c>
      <c r="CO167" s="0" t="n">
        <v>8</v>
      </c>
      <c r="CP167" s="0" t="n">
        <v>10</v>
      </c>
      <c r="CQ167" s="0" t="n">
        <v>7</v>
      </c>
      <c r="CR167" s="0" t="n">
        <v>6</v>
      </c>
      <c r="CS167" s="0" t="n">
        <f aca="false">IF(R167="Y",10,0)</f>
        <v>0</v>
      </c>
      <c r="CT167" s="0" t="n">
        <v>-2</v>
      </c>
      <c r="CU167" s="0" t="s">
        <v>163</v>
      </c>
      <c r="CV167" s="0" t="s">
        <v>5562</v>
      </c>
      <c r="CW167" s="0" t="s">
        <v>8354</v>
      </c>
      <c r="CX167" s="0" t="s">
        <v>8355</v>
      </c>
      <c r="CY167" s="0" t="s">
        <v>8356</v>
      </c>
      <c r="CZ167" s="0" t="s">
        <v>8339</v>
      </c>
      <c r="DA167" s="0" t="s">
        <v>6234</v>
      </c>
      <c r="DC167" s="0" t="s">
        <v>1189</v>
      </c>
      <c r="DY167" s="0" t="str">
        <f aca="false">IF(ISNUMBER(MATCH(U167,{"queued","contacted","replied","call_booked","call_done","yes_in_principle","materials_sent"},0)),"Y","N")</f>
        <v>N</v>
      </c>
      <c r="DZ167" s="0" t="str">
        <f aca="false">IF(COUNTIFS($AN$2:$AN$1000,AN167,$DY$2:$DY$1000,"Y")+COUNTIFS($AN$2:$AN$1000,AN167,$T$2:$T$1000,"Y")&gt;0,"Y","N")</f>
        <v>N</v>
      </c>
      <c r="EA167" s="0" t="str">
        <f aca="false">IF(AND(U167="new",T167="N",AR167="Y",AQ167="",DZ167="N"),"Y","N")</f>
        <v>Y</v>
      </c>
      <c r="EB167" s="0" t="str">
        <f aca="false">IF(EA167&lt;&gt;"Y","N",IF(COUNTIFS($AN$2:$AN$1000,AN167,$EA$2:$EA$1000,"Y",$J$2:$J$1000,"&gt;"&amp;J167)+COUNTIFS($AN$2:$AN$1000,AN167,$EA$2:$EA$1000,"Y",$J$2:$J$1000,J167,$ED$2:$ED$1000,"&lt;"&amp;ED167)=0,"Y","N"))</f>
        <v>Y</v>
      </c>
      <c r="EC167" s="0" t="str">
        <f aca="false">IF(Y167="","N",IF(Y167&lt;=10,"Y","N"))</f>
        <v>N</v>
      </c>
      <c r="ED167" s="0" t="n">
        <f aca="false">ROW()-1</f>
        <v>166</v>
      </c>
    </row>
    <row r="168" customFormat="false" ht="15" hidden="false" customHeight="false" outlineLevel="0" collapsed="false">
      <c r="A168" s="0" t="s">
        <v>8357</v>
      </c>
      <c r="B168" s="0" t="s">
        <v>8358</v>
      </c>
      <c r="C168" s="0" t="s">
        <v>7862</v>
      </c>
      <c r="D168" s="0" t="s">
        <v>163</v>
      </c>
      <c r="E168" s="0" t="s">
        <v>5702</v>
      </c>
      <c r="H168" s="5" t="s">
        <v>158</v>
      </c>
      <c r="I168" s="5" t="s">
        <v>159</v>
      </c>
      <c r="J168" s="0" t="n">
        <f aca="false">IF(AU168="pass",CM168+CN168+CO168+CP168+CQ168+CR168+CS168+CT168,0)</f>
        <v>38</v>
      </c>
      <c r="K168" s="0" t="s">
        <v>8359</v>
      </c>
      <c r="M168" s="0" t="s">
        <v>5291</v>
      </c>
      <c r="N168" s="0" t="s">
        <v>598</v>
      </c>
      <c r="O168" s="0" t="s">
        <v>8360</v>
      </c>
      <c r="P168" s="0" t="s">
        <v>8361</v>
      </c>
      <c r="Q168" s="0" t="s">
        <v>6734</v>
      </c>
      <c r="R168" s="5" t="s">
        <v>162</v>
      </c>
      <c r="S168" s="0" t="s">
        <v>163</v>
      </c>
      <c r="T168" s="5" t="s">
        <v>162</v>
      </c>
      <c r="U168" s="5" t="s">
        <v>561</v>
      </c>
      <c r="V168" s="0" t="s">
        <v>8362</v>
      </c>
      <c r="W168" s="0" t="s">
        <v>174</v>
      </c>
      <c r="X168" s="0" t="s">
        <v>4585</v>
      </c>
      <c r="Y168" s="0" t="n">
        <f aca="false">IF(EB168&lt;&gt;"Y","",COUNTIFS($EB$2:$EB$1000,"Y",$J$2:$J$1000,"&gt;"&amp;J168)+COUNTIFS($EB$2:$EB$1000,"Y",$J$2:$J$1000,J168,$ED$2:$ED$1000,"&lt;"&amp;ED168)+1)</f>
        <v>137</v>
      </c>
      <c r="Z168" s="0" t="n">
        <v>167</v>
      </c>
      <c r="AA168" s="0" t="s">
        <v>162</v>
      </c>
      <c r="AB168" s="0" t="s">
        <v>8363</v>
      </c>
      <c r="AC168" s="0" t="s">
        <v>4587</v>
      </c>
      <c r="AD168" s="0" t="s">
        <v>5008</v>
      </c>
      <c r="AE168" s="0" t="s">
        <v>172</v>
      </c>
      <c r="AF168" s="0" t="s">
        <v>8364</v>
      </c>
      <c r="AG168" s="0" t="s">
        <v>174</v>
      </c>
      <c r="AH168" s="0" t="s">
        <v>8365</v>
      </c>
      <c r="AI168" s="0" t="s">
        <v>4664</v>
      </c>
      <c r="AJ168" s="0" t="s">
        <v>163</v>
      </c>
      <c r="AK168" s="0" t="s">
        <v>8366</v>
      </c>
      <c r="AL168" s="0" t="s">
        <v>168</v>
      </c>
      <c r="AM168" s="0" t="s">
        <v>8367</v>
      </c>
      <c r="AN168" s="0" t="s">
        <v>8357</v>
      </c>
      <c r="AO168" s="5" t="s">
        <v>162</v>
      </c>
      <c r="AR168" s="0" t="str">
        <f aca="false">IF(AND(AU168="pass",AO168&lt;&gt;"Y",C168&lt;&gt;""),"Y","N")</f>
        <v>Y</v>
      </c>
      <c r="AS168" s="0" t="str">
        <f aca="false">_xlfn.TEXTJOIN("; ",TRUE(),IF(AU168&lt;&gt;"pass","gated out",""),IF(AO168="Y","on hold: "&amp;AP168,""),IF(C168="","no contact named on an opened page",""))</f>
        <v/>
      </c>
      <c r="AU168" s="0" t="s">
        <v>181</v>
      </c>
      <c r="AW168" s="0" t="s">
        <v>182</v>
      </c>
      <c r="AX168" s="0" t="s">
        <v>282</v>
      </c>
      <c r="AY168" s="0" t="s">
        <v>8366</v>
      </c>
      <c r="AZ168" s="0" t="s">
        <v>6689</v>
      </c>
      <c r="BA168" s="0" t="s">
        <v>5191</v>
      </c>
      <c r="BB168" s="0" t="s">
        <v>163</v>
      </c>
      <c r="BD168" s="0" t="s">
        <v>168</v>
      </c>
      <c r="BE168" s="0" t="s">
        <v>8368</v>
      </c>
      <c r="BF168" s="0" t="s">
        <v>168</v>
      </c>
      <c r="BG168" s="0" t="s">
        <v>168</v>
      </c>
      <c r="BH168" s="0" t="s">
        <v>163</v>
      </c>
      <c r="BJ168" s="0" t="s">
        <v>5143</v>
      </c>
      <c r="BK168" s="0" t="s">
        <v>162</v>
      </c>
      <c r="BL168" s="0" t="s">
        <v>162</v>
      </c>
      <c r="BO168" s="0" t="s">
        <v>162</v>
      </c>
      <c r="BP168" s="0" t="n">
        <v>0</v>
      </c>
      <c r="BS168" s="0" t="s">
        <v>8369</v>
      </c>
      <c r="BU168" s="0" t="s">
        <v>4694</v>
      </c>
      <c r="BV168" s="0" t="n">
        <v>60</v>
      </c>
      <c r="BX168" s="0" t="s">
        <v>7862</v>
      </c>
      <c r="CA168" s="0" t="s">
        <v>8370</v>
      </c>
      <c r="CB168" s="0" t="s">
        <v>8371</v>
      </c>
      <c r="CC168" s="0" t="s">
        <v>8372</v>
      </c>
      <c r="CD168" s="0" t="s">
        <v>5702</v>
      </c>
      <c r="CE168" s="0" t="s">
        <v>6723</v>
      </c>
      <c r="CF168" s="0" t="s">
        <v>171</v>
      </c>
      <c r="CK168" s="0" t="s">
        <v>158</v>
      </c>
      <c r="CL168" s="0" t="n">
        <v>38</v>
      </c>
      <c r="CM168" s="0" t="n">
        <v>6</v>
      </c>
      <c r="CN168" s="0" t="n">
        <v>8</v>
      </c>
      <c r="CO168" s="0" t="n">
        <v>8</v>
      </c>
      <c r="CP168" s="0" t="n">
        <v>5</v>
      </c>
      <c r="CQ168" s="0" t="n">
        <v>10</v>
      </c>
      <c r="CR168" s="0" t="n">
        <v>3</v>
      </c>
      <c r="CS168" s="0" t="n">
        <f aca="false">IF(R168="Y",10,0)</f>
        <v>0</v>
      </c>
      <c r="CT168" s="0" t="n">
        <v>-2</v>
      </c>
      <c r="CU168" s="0" t="s">
        <v>8373</v>
      </c>
      <c r="CV168" s="0" t="s">
        <v>5150</v>
      </c>
      <c r="CW168" s="0" t="s">
        <v>8374</v>
      </c>
      <c r="CX168" s="0" t="s">
        <v>8375</v>
      </c>
      <c r="CZ168" s="0" t="s">
        <v>8364</v>
      </c>
      <c r="DA168" s="0" t="s">
        <v>6234</v>
      </c>
      <c r="DC168" s="0" t="s">
        <v>172</v>
      </c>
      <c r="DY168" s="0" t="str">
        <f aca="false">IF(ISNUMBER(MATCH(U168,{"queued","contacted","replied","call_booked","call_done","yes_in_principle","materials_sent"},0)),"Y","N")</f>
        <v>N</v>
      </c>
      <c r="DZ168" s="0" t="str">
        <f aca="false">IF(COUNTIFS($AN$2:$AN$1000,AN168,$DY$2:$DY$1000,"Y")+COUNTIFS($AN$2:$AN$1000,AN168,$T$2:$T$1000,"Y")&gt;0,"Y","N")</f>
        <v>N</v>
      </c>
      <c r="EA168" s="0" t="str">
        <f aca="false">IF(AND(U168="new",T168="N",AR168="Y",AQ168="",DZ168="N"),"Y","N")</f>
        <v>Y</v>
      </c>
      <c r="EB168" s="0" t="str">
        <f aca="false">IF(EA168&lt;&gt;"Y","N",IF(COUNTIFS($AN$2:$AN$1000,AN168,$EA$2:$EA$1000,"Y",$J$2:$J$1000,"&gt;"&amp;J168)+COUNTIFS($AN$2:$AN$1000,AN168,$EA$2:$EA$1000,"Y",$J$2:$J$1000,J168,$ED$2:$ED$1000,"&lt;"&amp;ED168)=0,"Y","N"))</f>
        <v>Y</v>
      </c>
      <c r="EC168" s="0" t="str">
        <f aca="false">IF(Y168="","N",IF(Y168&lt;=10,"Y","N"))</f>
        <v>N</v>
      </c>
      <c r="ED168" s="0" t="n">
        <f aca="false">ROW()-1</f>
        <v>167</v>
      </c>
    </row>
    <row r="169" customFormat="false" ht="15" hidden="false" customHeight="false" outlineLevel="0" collapsed="false">
      <c r="A169" s="0" t="s">
        <v>8376</v>
      </c>
      <c r="B169" s="0" t="s">
        <v>8377</v>
      </c>
      <c r="H169" s="5" t="s">
        <v>158</v>
      </c>
      <c r="I169" s="5"/>
      <c r="J169" s="0" t="n">
        <f aca="false">IF(AU169="pass",CM169+CN169+CO169+CP169+CQ169+CR169+CS169+CT169,0)</f>
        <v>38</v>
      </c>
      <c r="K169" s="0" t="s">
        <v>8378</v>
      </c>
      <c r="M169" s="0" t="s">
        <v>5291</v>
      </c>
      <c r="N169" s="0" t="s">
        <v>598</v>
      </c>
      <c r="O169" s="0" t="s">
        <v>8379</v>
      </c>
      <c r="P169" s="0" t="s">
        <v>8380</v>
      </c>
      <c r="Q169" s="0" t="s">
        <v>610</v>
      </c>
      <c r="R169" s="5" t="s">
        <v>162</v>
      </c>
      <c r="S169" s="0" t="s">
        <v>163</v>
      </c>
      <c r="T169" s="5" t="s">
        <v>162</v>
      </c>
      <c r="U169" s="5" t="s">
        <v>561</v>
      </c>
      <c r="V169" s="0" t="s">
        <v>8381</v>
      </c>
      <c r="W169" s="0" t="s">
        <v>174</v>
      </c>
      <c r="X169" s="0" t="s">
        <v>4585</v>
      </c>
      <c r="Y169" s="0" t="str">
        <f aca="false">IF(EB169&lt;&gt;"Y","",COUNTIFS($EB$2:$EB$1000,"Y",$J$2:$J$1000,"&gt;"&amp;J169)+COUNTIFS($EB$2:$EB$1000,"Y",$J$2:$J$1000,J169,$ED$2:$ED$1000,"&lt;"&amp;ED169)+1)</f>
        <v/>
      </c>
      <c r="Z169" s="0" t="n">
        <v>168</v>
      </c>
      <c r="AA169" s="0" t="s">
        <v>162</v>
      </c>
      <c r="AB169" s="0" t="s">
        <v>8382</v>
      </c>
      <c r="AD169" s="0" t="s">
        <v>158</v>
      </c>
      <c r="AH169" s="0" t="s">
        <v>8383</v>
      </c>
      <c r="AI169" s="0" t="s">
        <v>4633</v>
      </c>
      <c r="AJ169" s="0" t="s">
        <v>4634</v>
      </c>
      <c r="AK169" s="0" t="s">
        <v>8384</v>
      </c>
      <c r="AL169" s="0" t="s">
        <v>168</v>
      </c>
      <c r="AM169" s="0" t="s">
        <v>8385</v>
      </c>
      <c r="AN169" s="0" t="s">
        <v>8376</v>
      </c>
      <c r="AO169" s="5" t="s">
        <v>162</v>
      </c>
      <c r="AR169" s="0" t="str">
        <f aca="false">IF(AND(AU169="pass",AO169&lt;&gt;"Y",C169&lt;&gt;""),"Y","N")</f>
        <v>N</v>
      </c>
      <c r="AS169" s="0" t="str">
        <f aca="false">_xlfn.TEXTJOIN("; ",TRUE(),IF(AU169&lt;&gt;"pass","gated out",""),IF(AO169="Y","on hold: "&amp;AP169,""),IF(C169="","no contact named on an opened page",""))</f>
        <v>no contact named on an opened page</v>
      </c>
      <c r="AU169" s="0" t="s">
        <v>181</v>
      </c>
      <c r="AW169" s="0" t="s">
        <v>182</v>
      </c>
      <c r="AX169" s="0" t="s">
        <v>5516</v>
      </c>
      <c r="AY169" s="0" t="s">
        <v>8384</v>
      </c>
      <c r="AZ169" s="0" t="s">
        <v>4595</v>
      </c>
      <c r="BA169" s="0" t="s">
        <v>4596</v>
      </c>
      <c r="BB169" s="0" t="s">
        <v>163</v>
      </c>
      <c r="BD169" s="0" t="s">
        <v>168</v>
      </c>
      <c r="BE169" s="0" t="s">
        <v>8386</v>
      </c>
      <c r="BF169" s="0" t="s">
        <v>162</v>
      </c>
      <c r="BG169" s="0" t="s">
        <v>168</v>
      </c>
      <c r="BH169" s="0" t="s">
        <v>163</v>
      </c>
      <c r="BJ169" s="0" t="s">
        <v>5143</v>
      </c>
      <c r="BK169" s="0" t="s">
        <v>162</v>
      </c>
      <c r="BL169" s="0" t="s">
        <v>162</v>
      </c>
      <c r="BO169" s="0" t="s">
        <v>162</v>
      </c>
      <c r="BP169" s="0" t="n">
        <v>0</v>
      </c>
      <c r="BS169" s="0" t="s">
        <v>8387</v>
      </c>
      <c r="BU169" s="0" t="s">
        <v>4694</v>
      </c>
      <c r="BV169" s="0" t="n">
        <v>248</v>
      </c>
      <c r="CF169" s="0" t="s">
        <v>158</v>
      </c>
      <c r="CK169" s="0" t="s">
        <v>158</v>
      </c>
      <c r="CL169" s="0" t="n">
        <v>38</v>
      </c>
      <c r="CM169" s="0" t="n">
        <v>6</v>
      </c>
      <c r="CN169" s="0" t="n">
        <v>20</v>
      </c>
      <c r="CO169" s="0" t="n">
        <v>4</v>
      </c>
      <c r="CP169" s="0" t="n">
        <v>5</v>
      </c>
      <c r="CQ169" s="0" t="n">
        <v>7</v>
      </c>
      <c r="CR169" s="0" t="n">
        <v>0</v>
      </c>
      <c r="CS169" s="0" t="n">
        <f aca="false">IF(R169="Y",10,0)</f>
        <v>0</v>
      </c>
      <c r="CT169" s="0" t="n">
        <v>-4</v>
      </c>
      <c r="CU169" s="0" t="s">
        <v>8388</v>
      </c>
      <c r="CV169" s="0" t="s">
        <v>5150</v>
      </c>
      <c r="CW169" s="0" t="s">
        <v>8389</v>
      </c>
      <c r="CX169" s="0" t="s">
        <v>8390</v>
      </c>
      <c r="DA169" s="0" t="s">
        <v>6234</v>
      </c>
      <c r="DY169" s="0" t="str">
        <f aca="false">IF(ISNUMBER(MATCH(U169,{"queued","contacted","replied","call_booked","call_done","yes_in_principle","materials_sent"},0)),"Y","N")</f>
        <v>N</v>
      </c>
      <c r="DZ169" s="0" t="str">
        <f aca="false">IF(COUNTIFS($AN$2:$AN$1000,AN169,$DY$2:$DY$1000,"Y")+COUNTIFS($AN$2:$AN$1000,AN169,$T$2:$T$1000,"Y")&gt;0,"Y","N")</f>
        <v>N</v>
      </c>
      <c r="EA169" s="0" t="str">
        <f aca="false">IF(AND(U169="new",T169="N",AR169="Y",AQ169="",DZ169="N"),"Y","N")</f>
        <v>N</v>
      </c>
      <c r="EB169" s="0" t="str">
        <f aca="false">IF(EA169&lt;&gt;"Y","N",IF(COUNTIFS($AN$2:$AN$1000,AN169,$EA$2:$EA$1000,"Y",$J$2:$J$1000,"&gt;"&amp;J169)+COUNTIFS($AN$2:$AN$1000,AN169,$EA$2:$EA$1000,"Y",$J$2:$J$1000,J169,$ED$2:$ED$1000,"&lt;"&amp;ED169)=0,"Y","N"))</f>
        <v>N</v>
      </c>
      <c r="EC169" s="0" t="str">
        <f aca="false">IF(Y169="","N",IF(Y169&lt;=10,"Y","N"))</f>
        <v>N</v>
      </c>
      <c r="ED169" s="0" t="n">
        <f aca="false">ROW()-1</f>
        <v>168</v>
      </c>
    </row>
    <row r="170" customFormat="false" ht="15" hidden="false" customHeight="false" outlineLevel="0" collapsed="false">
      <c r="A170" s="0" t="s">
        <v>8391</v>
      </c>
      <c r="B170" s="0" t="s">
        <v>8392</v>
      </c>
      <c r="H170" s="5" t="s">
        <v>158</v>
      </c>
      <c r="I170" s="5"/>
      <c r="J170" s="0" t="n">
        <f aca="false">IF(AU170="pass",CM170+CN170+CO170+CP170+CQ170+CR170+CS170+CT170,0)</f>
        <v>38</v>
      </c>
      <c r="K170" s="0" t="s">
        <v>8393</v>
      </c>
      <c r="M170" s="0" t="s">
        <v>5291</v>
      </c>
      <c r="N170" s="0" t="s">
        <v>598</v>
      </c>
      <c r="O170" s="0" t="s">
        <v>8394</v>
      </c>
      <c r="P170" s="0" t="s">
        <v>8395</v>
      </c>
      <c r="Q170" s="0" t="s">
        <v>8396</v>
      </c>
      <c r="R170" s="5" t="s">
        <v>162</v>
      </c>
      <c r="S170" s="0" t="s">
        <v>163</v>
      </c>
      <c r="T170" s="5" t="s">
        <v>162</v>
      </c>
      <c r="U170" s="5" t="s">
        <v>561</v>
      </c>
      <c r="V170" s="0" t="s">
        <v>8397</v>
      </c>
      <c r="W170" s="0" t="s">
        <v>166</v>
      </c>
      <c r="X170" s="0" t="s">
        <v>4585</v>
      </c>
      <c r="Y170" s="0" t="str">
        <f aca="false">IF(EB170&lt;&gt;"Y","",COUNTIFS($EB$2:$EB$1000,"Y",$J$2:$J$1000,"&gt;"&amp;J170)+COUNTIFS($EB$2:$EB$1000,"Y",$J$2:$J$1000,J170,$ED$2:$ED$1000,"&lt;"&amp;ED170)+1)</f>
        <v/>
      </c>
      <c r="Z170" s="0" t="n">
        <v>169</v>
      </c>
      <c r="AA170" s="0" t="s">
        <v>162</v>
      </c>
      <c r="AB170" s="0" t="s">
        <v>6315</v>
      </c>
      <c r="AD170" s="0" t="s">
        <v>158</v>
      </c>
      <c r="AH170" s="0" t="s">
        <v>8398</v>
      </c>
      <c r="AI170" s="0" t="s">
        <v>5653</v>
      </c>
      <c r="AJ170" s="0" t="s">
        <v>8399</v>
      </c>
      <c r="AK170" s="0" t="s">
        <v>8400</v>
      </c>
      <c r="AL170" s="0" t="s">
        <v>168</v>
      </c>
      <c r="AM170" s="0" t="s">
        <v>8401</v>
      </c>
      <c r="AN170" s="0" t="s">
        <v>8391</v>
      </c>
      <c r="AO170" s="5" t="s">
        <v>162</v>
      </c>
      <c r="AR170" s="0" t="str">
        <f aca="false">IF(AND(AU170="pass",AO170&lt;&gt;"Y",C170&lt;&gt;""),"Y","N")</f>
        <v>N</v>
      </c>
      <c r="AS170" s="0" t="str">
        <f aca="false">_xlfn.TEXTJOIN("; ",TRUE(),IF(AU170&lt;&gt;"pass","gated out",""),IF(AO170="Y","on hold: "&amp;AP170,""),IF(C170="","no contact named on an opened page",""))</f>
        <v>no contact named on an opened page</v>
      </c>
      <c r="AU170" s="0" t="s">
        <v>181</v>
      </c>
      <c r="AW170" s="0" t="s">
        <v>182</v>
      </c>
      <c r="AX170" s="0" t="s">
        <v>282</v>
      </c>
      <c r="AY170" s="0" t="s">
        <v>8400</v>
      </c>
      <c r="AZ170" s="0" t="s">
        <v>163</v>
      </c>
      <c r="BA170" s="0" t="s">
        <v>5271</v>
      </c>
      <c r="BB170" s="0" t="s">
        <v>163</v>
      </c>
      <c r="BD170" s="0" t="s">
        <v>263</v>
      </c>
      <c r="BE170" s="0" t="s">
        <v>8402</v>
      </c>
      <c r="BF170" s="0" t="s">
        <v>168</v>
      </c>
      <c r="BG170" s="0" t="s">
        <v>168</v>
      </c>
      <c r="BH170" s="0" t="s">
        <v>163</v>
      </c>
      <c r="BJ170" s="0" t="s">
        <v>163</v>
      </c>
      <c r="BK170" s="0" t="s">
        <v>162</v>
      </c>
      <c r="BL170" s="0" t="s">
        <v>162</v>
      </c>
      <c r="BO170" s="0" t="s">
        <v>162</v>
      </c>
      <c r="BP170" s="0" t="n">
        <v>0</v>
      </c>
      <c r="BT170" s="0" t="s">
        <v>8403</v>
      </c>
      <c r="BU170" s="0" t="s">
        <v>4694</v>
      </c>
      <c r="BV170" s="0" t="n">
        <v>243</v>
      </c>
      <c r="CF170" s="0" t="s">
        <v>158</v>
      </c>
      <c r="CK170" s="0" t="s">
        <v>158</v>
      </c>
      <c r="CL170" s="0" t="n">
        <v>38</v>
      </c>
      <c r="CM170" s="0" t="n">
        <v>6</v>
      </c>
      <c r="CN170" s="0" t="n">
        <v>17</v>
      </c>
      <c r="CO170" s="0" t="n">
        <v>4</v>
      </c>
      <c r="CP170" s="0" t="n">
        <v>5</v>
      </c>
      <c r="CQ170" s="0" t="n">
        <v>8</v>
      </c>
      <c r="CR170" s="0" t="n">
        <v>0</v>
      </c>
      <c r="CS170" s="0" t="n">
        <f aca="false">IF(R170="Y",10,0)</f>
        <v>0</v>
      </c>
      <c r="CT170" s="0" t="n">
        <v>-2</v>
      </c>
      <c r="CU170" s="0" t="s">
        <v>8404</v>
      </c>
      <c r="CV170" s="0" t="s">
        <v>4703</v>
      </c>
      <c r="CW170" s="0" t="s">
        <v>8405</v>
      </c>
      <c r="CX170" s="0" t="s">
        <v>8406</v>
      </c>
      <c r="CY170" s="0" t="s">
        <v>8407</v>
      </c>
      <c r="DA170" s="0" t="s">
        <v>6234</v>
      </c>
      <c r="DY170" s="0" t="str">
        <f aca="false">IF(ISNUMBER(MATCH(U170,{"queued","contacted","replied","call_booked","call_done","yes_in_principle","materials_sent"},0)),"Y","N")</f>
        <v>N</v>
      </c>
      <c r="DZ170" s="0" t="str">
        <f aca="false">IF(COUNTIFS($AN$2:$AN$1000,AN170,$DY$2:$DY$1000,"Y")+COUNTIFS($AN$2:$AN$1000,AN170,$T$2:$T$1000,"Y")&gt;0,"Y","N")</f>
        <v>N</v>
      </c>
      <c r="EA170" s="0" t="str">
        <f aca="false">IF(AND(U170="new",T170="N",AR170="Y",AQ170="",DZ170="N"),"Y","N")</f>
        <v>N</v>
      </c>
      <c r="EB170" s="0" t="str">
        <f aca="false">IF(EA170&lt;&gt;"Y","N",IF(COUNTIFS($AN$2:$AN$1000,AN170,$EA$2:$EA$1000,"Y",$J$2:$J$1000,"&gt;"&amp;J170)+COUNTIFS($AN$2:$AN$1000,AN170,$EA$2:$EA$1000,"Y",$J$2:$J$1000,J170,$ED$2:$ED$1000,"&lt;"&amp;ED170)=0,"Y","N"))</f>
        <v>N</v>
      </c>
      <c r="EC170" s="0" t="str">
        <f aca="false">IF(Y170="","N",IF(Y170&lt;=10,"Y","N"))</f>
        <v>N</v>
      </c>
      <c r="ED170" s="0" t="n">
        <f aca="false">ROW()-1</f>
        <v>169</v>
      </c>
    </row>
    <row r="171" customFormat="false" ht="15" hidden="false" customHeight="false" outlineLevel="0" collapsed="false">
      <c r="A171" s="0" t="s">
        <v>8408</v>
      </c>
      <c r="B171" s="0" t="s">
        <v>8409</v>
      </c>
      <c r="C171" s="0" t="s">
        <v>8410</v>
      </c>
      <c r="D171" s="0" t="s">
        <v>8411</v>
      </c>
      <c r="E171" s="0" t="s">
        <v>4771</v>
      </c>
      <c r="H171" s="5" t="s">
        <v>158</v>
      </c>
      <c r="I171" s="5" t="s">
        <v>159</v>
      </c>
      <c r="J171" s="0" t="n">
        <f aca="false">IF(AU171="pass",CM171+CN171+CO171+CP171+CQ171+CR171+CS171+CT171,0)</f>
        <v>38</v>
      </c>
      <c r="K171" s="0" t="s">
        <v>8412</v>
      </c>
      <c r="M171" s="0" t="s">
        <v>5291</v>
      </c>
      <c r="N171" s="0" t="s">
        <v>598</v>
      </c>
      <c r="R171" s="5" t="s">
        <v>162</v>
      </c>
      <c r="S171" s="0" t="s">
        <v>163</v>
      </c>
      <c r="T171" s="5" t="s">
        <v>162</v>
      </c>
      <c r="U171" s="5" t="s">
        <v>561</v>
      </c>
      <c r="V171" s="0" t="s">
        <v>8413</v>
      </c>
      <c r="W171" s="0" t="s">
        <v>166</v>
      </c>
      <c r="X171" s="0" t="s">
        <v>4585</v>
      </c>
      <c r="Y171" s="0" t="n">
        <f aca="false">IF(EB171&lt;&gt;"Y","",COUNTIFS($EB$2:$EB$1000,"Y",$J$2:$J$1000,"&gt;"&amp;J171)+COUNTIFS($EB$2:$EB$1000,"Y",$J$2:$J$1000,J171,$ED$2:$ED$1000,"&lt;"&amp;ED171)+1)</f>
        <v>138</v>
      </c>
      <c r="Z171" s="0" t="n">
        <v>170</v>
      </c>
      <c r="AA171" s="0" t="s">
        <v>162</v>
      </c>
      <c r="AB171" s="0" t="s">
        <v>8414</v>
      </c>
      <c r="AC171" s="0" t="s">
        <v>4587</v>
      </c>
      <c r="AD171" s="0" t="s">
        <v>171</v>
      </c>
      <c r="AE171" s="0" t="s">
        <v>172</v>
      </c>
      <c r="AF171" s="0" t="s">
        <v>8413</v>
      </c>
      <c r="AG171" s="0" t="s">
        <v>166</v>
      </c>
      <c r="AH171" s="0" t="s">
        <v>8415</v>
      </c>
      <c r="AI171" s="0" t="s">
        <v>5383</v>
      </c>
      <c r="AJ171" s="0" t="s">
        <v>8416</v>
      </c>
      <c r="AK171" s="0" t="s">
        <v>8417</v>
      </c>
      <c r="AL171" s="0" t="s">
        <v>162</v>
      </c>
      <c r="AN171" s="0" t="s">
        <v>8408</v>
      </c>
      <c r="AO171" s="5" t="s">
        <v>162</v>
      </c>
      <c r="AR171" s="0" t="str">
        <f aca="false">IF(AND(AU171="pass",AO171&lt;&gt;"Y",C171&lt;&gt;""),"Y","N")</f>
        <v>Y</v>
      </c>
      <c r="AS171" s="0" t="str">
        <f aca="false">_xlfn.TEXTJOIN("; ",TRUE(),IF(AU171&lt;&gt;"pass","gated out",""),IF(AO171="Y","on hold: "&amp;AP171,""),IF(C171="","no contact named on an opened page",""))</f>
        <v/>
      </c>
      <c r="AU171" s="0" t="s">
        <v>181</v>
      </c>
      <c r="AW171" s="0" t="s">
        <v>182</v>
      </c>
      <c r="AY171" s="0" t="s">
        <v>8417</v>
      </c>
      <c r="AZ171" s="0" t="s">
        <v>4595</v>
      </c>
      <c r="BA171" s="0" t="s">
        <v>4951</v>
      </c>
      <c r="BB171" s="0" t="s">
        <v>163</v>
      </c>
      <c r="BD171" s="0" t="s">
        <v>168</v>
      </c>
      <c r="BE171" s="0" t="s">
        <v>8418</v>
      </c>
      <c r="BF171" s="0" t="s">
        <v>163</v>
      </c>
      <c r="BG171" s="0" t="s">
        <v>168</v>
      </c>
      <c r="BH171" s="0" t="s">
        <v>163</v>
      </c>
      <c r="BJ171" s="0" t="s">
        <v>163</v>
      </c>
      <c r="BK171" s="0" t="s">
        <v>162</v>
      </c>
      <c r="BL171" s="0" t="s">
        <v>162</v>
      </c>
      <c r="BO171" s="0" t="s">
        <v>162</v>
      </c>
      <c r="BP171" s="0" t="n">
        <v>0</v>
      </c>
      <c r="BS171" s="0" t="s">
        <v>8419</v>
      </c>
      <c r="BT171" s="0" t="s">
        <v>8420</v>
      </c>
      <c r="BU171" s="0" t="s">
        <v>158</v>
      </c>
      <c r="BX171" s="0" t="s">
        <v>8421</v>
      </c>
      <c r="BY171" s="0" t="s">
        <v>8422</v>
      </c>
      <c r="CF171" s="0" t="s">
        <v>158</v>
      </c>
      <c r="CK171" s="0" t="s">
        <v>158</v>
      </c>
      <c r="CL171" s="0" t="n">
        <v>38</v>
      </c>
      <c r="CM171" s="0" t="n">
        <v>6</v>
      </c>
      <c r="CN171" s="0" t="n">
        <v>13</v>
      </c>
      <c r="CO171" s="0" t="n">
        <v>0</v>
      </c>
      <c r="CP171" s="0" t="n">
        <v>5</v>
      </c>
      <c r="CQ171" s="0" t="n">
        <v>8</v>
      </c>
      <c r="CR171" s="0" t="n">
        <v>6</v>
      </c>
      <c r="CS171" s="0" t="n">
        <f aca="false">IF(R171="Y",10,0)</f>
        <v>0</v>
      </c>
      <c r="CT171" s="0" t="n">
        <v>0</v>
      </c>
      <c r="CU171" s="0" t="s">
        <v>163</v>
      </c>
      <c r="CV171" s="0" t="s">
        <v>4841</v>
      </c>
      <c r="CW171" s="0" t="s">
        <v>8423</v>
      </c>
      <c r="CX171" s="0" t="s">
        <v>8424</v>
      </c>
      <c r="DA171" s="0" t="s">
        <v>6234</v>
      </c>
      <c r="DY171" s="0" t="str">
        <f aca="false">IF(ISNUMBER(MATCH(U171,{"queued","contacted","replied","call_booked","call_done","yes_in_principle","materials_sent"},0)),"Y","N")</f>
        <v>N</v>
      </c>
      <c r="DZ171" s="0" t="str">
        <f aca="false">IF(COUNTIFS($AN$2:$AN$1000,AN171,$DY$2:$DY$1000,"Y")+COUNTIFS($AN$2:$AN$1000,AN171,$T$2:$T$1000,"Y")&gt;0,"Y","N")</f>
        <v>N</v>
      </c>
      <c r="EA171" s="0" t="str">
        <f aca="false">IF(AND(U171="new",T171="N",AR171="Y",AQ171="",DZ171="N"),"Y","N")</f>
        <v>Y</v>
      </c>
      <c r="EB171" s="0" t="str">
        <f aca="false">IF(EA171&lt;&gt;"Y","N",IF(COUNTIFS($AN$2:$AN$1000,AN171,$EA$2:$EA$1000,"Y",$J$2:$J$1000,"&gt;"&amp;J171)+COUNTIFS($AN$2:$AN$1000,AN171,$EA$2:$EA$1000,"Y",$J$2:$J$1000,J171,$ED$2:$ED$1000,"&lt;"&amp;ED171)=0,"Y","N"))</f>
        <v>Y</v>
      </c>
      <c r="EC171" s="0" t="str">
        <f aca="false">IF(Y171="","N",IF(Y171&lt;=10,"Y","N"))</f>
        <v>N</v>
      </c>
      <c r="ED171" s="0" t="n">
        <f aca="false">ROW()-1</f>
        <v>170</v>
      </c>
    </row>
    <row r="172" customFormat="false" ht="15" hidden="false" customHeight="false" outlineLevel="0" collapsed="false">
      <c r="A172" s="0" t="s">
        <v>8425</v>
      </c>
      <c r="B172" s="0" t="s">
        <v>8426</v>
      </c>
      <c r="C172" s="0" t="s">
        <v>8427</v>
      </c>
      <c r="D172" s="0" t="s">
        <v>8428</v>
      </c>
      <c r="E172" s="0" t="s">
        <v>8429</v>
      </c>
      <c r="H172" s="5" t="s">
        <v>158</v>
      </c>
      <c r="I172" s="5" t="s">
        <v>159</v>
      </c>
      <c r="J172" s="0" t="n">
        <f aca="false">IF(AU172="pass",CM172+CN172+CO172+CP172+CQ172+CR172+CS172+CT172,0)</f>
        <v>38</v>
      </c>
      <c r="K172" s="0" t="s">
        <v>8430</v>
      </c>
      <c r="M172" s="0" t="s">
        <v>5291</v>
      </c>
      <c r="N172" s="0" t="s">
        <v>598</v>
      </c>
      <c r="R172" s="5" t="s">
        <v>162</v>
      </c>
      <c r="S172" s="0" t="s">
        <v>163</v>
      </c>
      <c r="T172" s="5" t="s">
        <v>162</v>
      </c>
      <c r="U172" s="5" t="s">
        <v>561</v>
      </c>
      <c r="V172" s="0" t="s">
        <v>8431</v>
      </c>
      <c r="W172" s="0" t="s">
        <v>166</v>
      </c>
      <c r="X172" s="0" t="s">
        <v>4585</v>
      </c>
      <c r="Y172" s="0" t="n">
        <f aca="false">IF(EB172&lt;&gt;"Y","",COUNTIFS($EB$2:$EB$1000,"Y",$J$2:$J$1000,"&gt;"&amp;J172)+COUNTIFS($EB$2:$EB$1000,"Y",$J$2:$J$1000,J172,$ED$2:$ED$1000,"&lt;"&amp;ED172)+1)</f>
        <v>139</v>
      </c>
      <c r="Z172" s="0" t="n">
        <v>171</v>
      </c>
      <c r="AA172" s="0" t="s">
        <v>162</v>
      </c>
      <c r="AB172" s="0" t="s">
        <v>8432</v>
      </c>
      <c r="AC172" s="0" t="s">
        <v>4587</v>
      </c>
      <c r="AD172" s="0" t="s">
        <v>171</v>
      </c>
      <c r="AE172" s="0" t="s">
        <v>172</v>
      </c>
      <c r="AF172" s="0" t="s">
        <v>8431</v>
      </c>
      <c r="AG172" s="0" t="s">
        <v>166</v>
      </c>
      <c r="AH172" s="0" t="s">
        <v>8433</v>
      </c>
      <c r="AI172" s="0" t="s">
        <v>4826</v>
      </c>
      <c r="AJ172" s="0" t="s">
        <v>8434</v>
      </c>
      <c r="AK172" s="0" t="s">
        <v>8435</v>
      </c>
      <c r="AL172" s="0" t="s">
        <v>168</v>
      </c>
      <c r="AM172" s="0" t="s">
        <v>8436</v>
      </c>
      <c r="AN172" s="0" t="s">
        <v>8425</v>
      </c>
      <c r="AO172" s="5" t="s">
        <v>162</v>
      </c>
      <c r="AR172" s="0" t="str">
        <f aca="false">IF(AND(AU172="pass",AO172&lt;&gt;"Y",C172&lt;&gt;""),"Y","N")</f>
        <v>Y</v>
      </c>
      <c r="AS172" s="0" t="str">
        <f aca="false">_xlfn.TEXTJOIN("; ",TRUE(),IF(AU172&lt;&gt;"pass","gated out",""),IF(AO172="Y","on hold: "&amp;AP172,""),IF(C172="","no contact named on an opened page",""))</f>
        <v/>
      </c>
      <c r="AU172" s="0" t="s">
        <v>181</v>
      </c>
      <c r="AW172" s="0" t="s">
        <v>182</v>
      </c>
      <c r="AX172" s="0" t="s">
        <v>282</v>
      </c>
      <c r="AY172" s="0" t="s">
        <v>8435</v>
      </c>
      <c r="AZ172" s="0" t="s">
        <v>4595</v>
      </c>
      <c r="BA172" s="0" t="s">
        <v>4951</v>
      </c>
      <c r="BB172" s="0" t="s">
        <v>8437</v>
      </c>
      <c r="BC172" s="0" t="s">
        <v>8431</v>
      </c>
      <c r="BD172" s="0" t="s">
        <v>168</v>
      </c>
      <c r="BE172" s="0" t="s">
        <v>8438</v>
      </c>
      <c r="BF172" s="0" t="s">
        <v>168</v>
      </c>
      <c r="BG172" s="0" t="s">
        <v>168</v>
      </c>
      <c r="BH172" s="0" t="s">
        <v>163</v>
      </c>
      <c r="BJ172" s="0" t="s">
        <v>163</v>
      </c>
      <c r="BK172" s="0" t="s">
        <v>162</v>
      </c>
      <c r="BL172" s="0" t="s">
        <v>162</v>
      </c>
      <c r="BO172" s="0" t="s">
        <v>162</v>
      </c>
      <c r="BP172" s="0" t="n">
        <v>0</v>
      </c>
      <c r="BS172" s="0" t="s">
        <v>8439</v>
      </c>
      <c r="BT172" s="0" t="s">
        <v>8440</v>
      </c>
      <c r="BU172" s="0" t="s">
        <v>158</v>
      </c>
      <c r="BX172" s="0" t="s">
        <v>8441</v>
      </c>
      <c r="CF172" s="0" t="s">
        <v>158</v>
      </c>
      <c r="CK172" s="0" t="s">
        <v>158</v>
      </c>
      <c r="CL172" s="0" t="n">
        <v>38</v>
      </c>
      <c r="CM172" s="0" t="n">
        <v>6</v>
      </c>
      <c r="CN172" s="0" t="n">
        <v>13</v>
      </c>
      <c r="CO172" s="0" t="n">
        <v>0</v>
      </c>
      <c r="CP172" s="0" t="n">
        <v>5</v>
      </c>
      <c r="CQ172" s="0" t="n">
        <v>10</v>
      </c>
      <c r="CR172" s="0" t="n">
        <v>6</v>
      </c>
      <c r="CS172" s="0" t="n">
        <f aca="false">IF(R172="Y",10,0)</f>
        <v>0</v>
      </c>
      <c r="CT172" s="0" t="n">
        <v>-2</v>
      </c>
      <c r="CU172" s="0" t="s">
        <v>8442</v>
      </c>
      <c r="CV172" s="0" t="s">
        <v>4615</v>
      </c>
      <c r="CW172" s="0" t="s">
        <v>8443</v>
      </c>
      <c r="CX172" s="0" t="s">
        <v>8444</v>
      </c>
      <c r="CY172" s="0" t="s">
        <v>8445</v>
      </c>
      <c r="DA172" s="0" t="s">
        <v>6234</v>
      </c>
      <c r="DY172" s="0" t="str">
        <f aca="false">IF(ISNUMBER(MATCH(U172,{"queued","contacted","replied","call_booked","call_done","yes_in_principle","materials_sent"},0)),"Y","N")</f>
        <v>N</v>
      </c>
      <c r="DZ172" s="0" t="str">
        <f aca="false">IF(COUNTIFS($AN$2:$AN$1000,AN172,$DY$2:$DY$1000,"Y")+COUNTIFS($AN$2:$AN$1000,AN172,$T$2:$T$1000,"Y")&gt;0,"Y","N")</f>
        <v>N</v>
      </c>
      <c r="EA172" s="0" t="str">
        <f aca="false">IF(AND(U172="new",T172="N",AR172="Y",AQ172="",DZ172="N"),"Y","N")</f>
        <v>Y</v>
      </c>
      <c r="EB172" s="0" t="str">
        <f aca="false">IF(EA172&lt;&gt;"Y","N",IF(COUNTIFS($AN$2:$AN$1000,AN172,$EA$2:$EA$1000,"Y",$J$2:$J$1000,"&gt;"&amp;J172)+COUNTIFS($AN$2:$AN$1000,AN172,$EA$2:$EA$1000,"Y",$J$2:$J$1000,J172,$ED$2:$ED$1000,"&lt;"&amp;ED172)=0,"Y","N"))</f>
        <v>Y</v>
      </c>
      <c r="EC172" s="0" t="str">
        <f aca="false">IF(Y172="","N",IF(Y172&lt;=10,"Y","N"))</f>
        <v>N</v>
      </c>
      <c r="ED172" s="0" t="n">
        <f aca="false">ROW()-1</f>
        <v>171</v>
      </c>
    </row>
    <row r="173" customFormat="false" ht="15" hidden="false" customHeight="false" outlineLevel="0" collapsed="false">
      <c r="A173" s="0" t="s">
        <v>8446</v>
      </c>
      <c r="B173" s="0" t="s">
        <v>8447</v>
      </c>
      <c r="H173" s="5" t="s">
        <v>158</v>
      </c>
      <c r="I173" s="5"/>
      <c r="J173" s="0" t="n">
        <f aca="false">IF(AU173="pass",CM173+CN173+CO173+CP173+CQ173+CR173+CS173+CT173,0)</f>
        <v>37</v>
      </c>
      <c r="K173" s="0" t="s">
        <v>8448</v>
      </c>
      <c r="M173" s="0" t="s">
        <v>5291</v>
      </c>
      <c r="N173" s="0" t="s">
        <v>598</v>
      </c>
      <c r="O173" s="0" t="s">
        <v>8449</v>
      </c>
      <c r="P173" s="0" t="s">
        <v>5732</v>
      </c>
      <c r="Q173" s="0" t="s">
        <v>3102</v>
      </c>
      <c r="R173" s="5" t="s">
        <v>162</v>
      </c>
      <c r="S173" s="0" t="s">
        <v>168</v>
      </c>
      <c r="T173" s="5" t="s">
        <v>162</v>
      </c>
      <c r="U173" s="5" t="s">
        <v>561</v>
      </c>
      <c r="V173" s="0" t="s">
        <v>8450</v>
      </c>
      <c r="W173" s="0" t="s">
        <v>166</v>
      </c>
      <c r="X173" s="0" t="s">
        <v>4585</v>
      </c>
      <c r="Y173" s="0" t="str">
        <f aca="false">IF(EB173&lt;&gt;"Y","",COUNTIFS($EB$2:$EB$1000,"Y",$J$2:$J$1000,"&gt;"&amp;J173)+COUNTIFS($EB$2:$EB$1000,"Y",$J$2:$J$1000,J173,$ED$2:$ED$1000,"&lt;"&amp;ED173)+1)</f>
        <v/>
      </c>
      <c r="Z173" s="0" t="n">
        <v>172</v>
      </c>
      <c r="AA173" s="0" t="s">
        <v>162</v>
      </c>
      <c r="AB173" s="0" t="s">
        <v>6315</v>
      </c>
      <c r="AC173" s="0" t="s">
        <v>4587</v>
      </c>
      <c r="AD173" s="0" t="s">
        <v>598</v>
      </c>
      <c r="AE173" s="0" t="s">
        <v>172</v>
      </c>
      <c r="AF173" s="0" t="s">
        <v>8450</v>
      </c>
      <c r="AG173" s="0" t="s">
        <v>166</v>
      </c>
      <c r="AH173" s="0" t="s">
        <v>8451</v>
      </c>
      <c r="AI173" s="0" t="s">
        <v>5736</v>
      </c>
      <c r="AJ173" s="0" t="s">
        <v>8452</v>
      </c>
      <c r="AK173" s="0" t="s">
        <v>8453</v>
      </c>
      <c r="AL173" s="0" t="s">
        <v>168</v>
      </c>
      <c r="AM173" s="0" t="s">
        <v>8454</v>
      </c>
      <c r="AN173" s="0" t="s">
        <v>8446</v>
      </c>
      <c r="AO173" s="5" t="s">
        <v>162</v>
      </c>
      <c r="AR173" s="0" t="str">
        <f aca="false">IF(AND(AU173="pass",AO173&lt;&gt;"Y",C173&lt;&gt;""),"Y","N")</f>
        <v>N</v>
      </c>
      <c r="AS173" s="0" t="str">
        <f aca="false">_xlfn.TEXTJOIN("; ",TRUE(),IF(AU173&lt;&gt;"pass","gated out",""),IF(AO173="Y","on hold: "&amp;AP173,""),IF(C173="","no contact named on an opened page",""))</f>
        <v>no contact named on an opened page</v>
      </c>
      <c r="AU173" s="0" t="s">
        <v>181</v>
      </c>
      <c r="AW173" s="0" t="s">
        <v>182</v>
      </c>
      <c r="AX173" s="0" t="s">
        <v>282</v>
      </c>
      <c r="AY173" s="0" t="s">
        <v>8453</v>
      </c>
      <c r="AZ173" s="0" t="s">
        <v>5657</v>
      </c>
      <c r="BA173" s="0" t="s">
        <v>5058</v>
      </c>
      <c r="BB173" s="0" t="s">
        <v>163</v>
      </c>
      <c r="BD173" s="0" t="s">
        <v>163</v>
      </c>
      <c r="BE173" s="0" t="s">
        <v>6387</v>
      </c>
      <c r="BF173" s="0" t="s">
        <v>168</v>
      </c>
      <c r="BG173" s="0" t="s">
        <v>168</v>
      </c>
      <c r="BH173" s="0" t="s">
        <v>163</v>
      </c>
      <c r="BJ173" s="0" t="s">
        <v>5549</v>
      </c>
      <c r="BK173" s="0" t="s">
        <v>162</v>
      </c>
      <c r="BL173" s="0" t="s">
        <v>162</v>
      </c>
      <c r="BO173" s="0" t="s">
        <v>162</v>
      </c>
      <c r="BP173" s="0" t="n">
        <v>0</v>
      </c>
      <c r="BS173" s="0" t="s">
        <v>7279</v>
      </c>
      <c r="BT173" s="0" t="s">
        <v>8455</v>
      </c>
      <c r="BU173" s="0" t="s">
        <v>4604</v>
      </c>
      <c r="BV173" s="0" t="n">
        <v>79</v>
      </c>
      <c r="BW173" s="0" t="s">
        <v>5732</v>
      </c>
      <c r="BX173" s="0" t="s">
        <v>8456</v>
      </c>
      <c r="BY173" s="0" t="s">
        <v>7381</v>
      </c>
      <c r="CF173" s="0" t="s">
        <v>158</v>
      </c>
      <c r="CK173" s="0" t="s">
        <v>158</v>
      </c>
      <c r="CL173" s="0" t="n">
        <v>37</v>
      </c>
      <c r="CM173" s="0" t="n">
        <v>6</v>
      </c>
      <c r="CN173" s="0" t="n">
        <v>3</v>
      </c>
      <c r="CO173" s="0" t="n">
        <v>15</v>
      </c>
      <c r="CP173" s="0" t="n">
        <v>5</v>
      </c>
      <c r="CQ173" s="0" t="n">
        <v>7</v>
      </c>
      <c r="CR173" s="0" t="n">
        <v>3</v>
      </c>
      <c r="CS173" s="0" t="n">
        <f aca="false">IF(R173="Y",10,0)</f>
        <v>0</v>
      </c>
      <c r="CT173" s="0" t="n">
        <v>-2</v>
      </c>
      <c r="CU173" s="0" t="s">
        <v>163</v>
      </c>
      <c r="CV173" s="0" t="s">
        <v>5562</v>
      </c>
      <c r="CW173" s="0" t="s">
        <v>8457</v>
      </c>
      <c r="CX173" s="0" t="s">
        <v>8458</v>
      </c>
      <c r="CY173" s="0" t="s">
        <v>8459</v>
      </c>
      <c r="DA173" s="0" t="s">
        <v>6234</v>
      </c>
      <c r="DY173" s="0" t="str">
        <f aca="false">IF(ISNUMBER(MATCH(U173,{"queued","contacted","replied","call_booked","call_done","yes_in_principle","materials_sent"},0)),"Y","N")</f>
        <v>N</v>
      </c>
      <c r="DZ173" s="0" t="str">
        <f aca="false">IF(COUNTIFS($AN$2:$AN$1000,AN173,$DY$2:$DY$1000,"Y")+COUNTIFS($AN$2:$AN$1000,AN173,$T$2:$T$1000,"Y")&gt;0,"Y","N")</f>
        <v>N</v>
      </c>
      <c r="EA173" s="0" t="str">
        <f aca="false">IF(AND(U173="new",T173="N",AR173="Y",AQ173="",DZ173="N"),"Y","N")</f>
        <v>N</v>
      </c>
      <c r="EB173" s="0" t="str">
        <f aca="false">IF(EA173&lt;&gt;"Y","N",IF(COUNTIFS($AN$2:$AN$1000,AN173,$EA$2:$EA$1000,"Y",$J$2:$J$1000,"&gt;"&amp;J173)+COUNTIFS($AN$2:$AN$1000,AN173,$EA$2:$EA$1000,"Y",$J$2:$J$1000,J173,$ED$2:$ED$1000,"&lt;"&amp;ED173)=0,"Y","N"))</f>
        <v>N</v>
      </c>
      <c r="EC173" s="0" t="str">
        <f aca="false">IF(Y173="","N",IF(Y173&lt;=10,"Y","N"))</f>
        <v>N</v>
      </c>
      <c r="ED173" s="0" t="n">
        <f aca="false">ROW()-1</f>
        <v>172</v>
      </c>
    </row>
    <row r="174" customFormat="false" ht="15" hidden="false" customHeight="false" outlineLevel="0" collapsed="false">
      <c r="A174" s="0" t="s">
        <v>8460</v>
      </c>
      <c r="B174" s="0" t="s">
        <v>8461</v>
      </c>
      <c r="C174" s="0" t="s">
        <v>5101</v>
      </c>
      <c r="D174" s="0" t="s">
        <v>6047</v>
      </c>
      <c r="E174" s="0" t="s">
        <v>5316</v>
      </c>
      <c r="H174" s="5" t="s">
        <v>158</v>
      </c>
      <c r="I174" s="5" t="s">
        <v>159</v>
      </c>
      <c r="J174" s="0" t="n">
        <f aca="false">IF(AU174="pass",CM174+CN174+CO174+CP174+CQ174+CR174+CS174+CT174,0)</f>
        <v>37</v>
      </c>
      <c r="K174" s="0" t="s">
        <v>7818</v>
      </c>
      <c r="M174" s="0" t="s">
        <v>5291</v>
      </c>
      <c r="N174" s="0" t="s">
        <v>598</v>
      </c>
      <c r="O174" s="0" t="s">
        <v>8462</v>
      </c>
      <c r="P174" s="0" t="s">
        <v>8463</v>
      </c>
      <c r="Q174" s="0" t="s">
        <v>3387</v>
      </c>
      <c r="R174" s="5" t="s">
        <v>162</v>
      </c>
      <c r="S174" s="0" t="s">
        <v>163</v>
      </c>
      <c r="T174" s="5" t="s">
        <v>162</v>
      </c>
      <c r="U174" s="5" t="s">
        <v>561</v>
      </c>
      <c r="V174" s="0" t="s">
        <v>8464</v>
      </c>
      <c r="W174" s="0" t="s">
        <v>166</v>
      </c>
      <c r="X174" s="0" t="s">
        <v>4585</v>
      </c>
      <c r="Y174" s="0" t="n">
        <f aca="false">IF(EB174&lt;&gt;"Y","",COUNTIFS($EB$2:$EB$1000,"Y",$J$2:$J$1000,"&gt;"&amp;J174)+COUNTIFS($EB$2:$EB$1000,"Y",$J$2:$J$1000,J174,$ED$2:$ED$1000,"&lt;"&amp;ED174)+1)</f>
        <v>140</v>
      </c>
      <c r="Z174" s="0" t="n">
        <v>173</v>
      </c>
      <c r="AA174" s="0" t="s">
        <v>162</v>
      </c>
      <c r="AB174" s="0" t="s">
        <v>8465</v>
      </c>
      <c r="AC174" s="0" t="s">
        <v>4587</v>
      </c>
      <c r="AD174" s="0" t="s">
        <v>171</v>
      </c>
      <c r="AE174" s="0" t="s">
        <v>163</v>
      </c>
      <c r="AG174" s="0" t="s">
        <v>166</v>
      </c>
      <c r="AH174" s="0" t="s">
        <v>8466</v>
      </c>
      <c r="AI174" s="0" t="s">
        <v>4590</v>
      </c>
      <c r="AJ174" s="0" t="s">
        <v>192</v>
      </c>
      <c r="AK174" s="0" t="s">
        <v>8464</v>
      </c>
      <c r="AL174" s="0" t="s">
        <v>168</v>
      </c>
      <c r="AM174" s="0" t="s">
        <v>8467</v>
      </c>
      <c r="AN174" s="0" t="s">
        <v>8460</v>
      </c>
      <c r="AO174" s="5" t="s">
        <v>162</v>
      </c>
      <c r="AR174" s="0" t="str">
        <f aca="false">IF(AND(AU174="pass",AO174&lt;&gt;"Y",C174&lt;&gt;""),"Y","N")</f>
        <v>Y</v>
      </c>
      <c r="AS174" s="0" t="str">
        <f aca="false">_xlfn.TEXTJOIN("; ",TRUE(),IF(AU174&lt;&gt;"pass","gated out",""),IF(AO174="Y","on hold: "&amp;AP174,""),IF(C174="","no contact named on an opened page",""))</f>
        <v/>
      </c>
      <c r="AU174" s="0" t="s">
        <v>181</v>
      </c>
      <c r="AW174" s="0" t="s">
        <v>182</v>
      </c>
      <c r="AX174" s="0" t="s">
        <v>6031</v>
      </c>
      <c r="AY174" s="0" t="s">
        <v>8464</v>
      </c>
      <c r="AZ174" s="0" t="s">
        <v>4595</v>
      </c>
      <c r="BA174" s="0" t="s">
        <v>4596</v>
      </c>
      <c r="BB174" s="0" t="s">
        <v>8468</v>
      </c>
      <c r="BD174" s="0" t="s">
        <v>168</v>
      </c>
      <c r="BE174" s="0" t="s">
        <v>8469</v>
      </c>
      <c r="BF174" s="0" t="s">
        <v>168</v>
      </c>
      <c r="BG174" s="0" t="s">
        <v>168</v>
      </c>
      <c r="BH174" s="0" t="s">
        <v>163</v>
      </c>
      <c r="BJ174" s="0" t="s">
        <v>5549</v>
      </c>
      <c r="BK174" s="0" t="s">
        <v>162</v>
      </c>
      <c r="BL174" s="0" t="s">
        <v>162</v>
      </c>
      <c r="BO174" s="0" t="s">
        <v>162</v>
      </c>
      <c r="BP174" s="0" t="n">
        <v>0</v>
      </c>
      <c r="BS174" s="0" t="s">
        <v>8470</v>
      </c>
      <c r="BU174" s="0" t="s">
        <v>598</v>
      </c>
      <c r="BV174" s="0" t="n">
        <v>137</v>
      </c>
      <c r="BX174" s="0" t="s">
        <v>8471</v>
      </c>
      <c r="CF174" s="0" t="s">
        <v>158</v>
      </c>
      <c r="CK174" s="0" t="s">
        <v>158</v>
      </c>
      <c r="CL174" s="0" t="n">
        <v>37</v>
      </c>
      <c r="CM174" s="0" t="n">
        <v>6</v>
      </c>
      <c r="CN174" s="0" t="n">
        <v>20</v>
      </c>
      <c r="CO174" s="0" t="n">
        <v>0</v>
      </c>
      <c r="CP174" s="0" t="n">
        <v>5</v>
      </c>
      <c r="CQ174" s="0" t="n">
        <v>10</v>
      </c>
      <c r="CR174" s="0" t="n">
        <v>6</v>
      </c>
      <c r="CS174" s="0" t="n">
        <f aca="false">IF(R174="Y",10,0)</f>
        <v>0</v>
      </c>
      <c r="CT174" s="0" t="n">
        <v>-10</v>
      </c>
      <c r="CU174" s="0" t="s">
        <v>8472</v>
      </c>
      <c r="CV174" s="0" t="s">
        <v>5562</v>
      </c>
      <c r="CW174" s="0" t="s">
        <v>8473</v>
      </c>
      <c r="CX174" s="0" t="s">
        <v>8474</v>
      </c>
      <c r="CY174" s="0" t="s">
        <v>8475</v>
      </c>
      <c r="DA174" s="0" t="s">
        <v>6234</v>
      </c>
      <c r="DY174" s="0" t="str">
        <f aca="false">IF(ISNUMBER(MATCH(U174,{"queued","contacted","replied","call_booked","call_done","yes_in_principle","materials_sent"},0)),"Y","N")</f>
        <v>N</v>
      </c>
      <c r="DZ174" s="0" t="str">
        <f aca="false">IF(COUNTIFS($AN$2:$AN$1000,AN174,$DY$2:$DY$1000,"Y")+COUNTIFS($AN$2:$AN$1000,AN174,$T$2:$T$1000,"Y")&gt;0,"Y","N")</f>
        <v>N</v>
      </c>
      <c r="EA174" s="0" t="str">
        <f aca="false">IF(AND(U174="new",T174="N",AR174="Y",AQ174="",DZ174="N"),"Y","N")</f>
        <v>Y</v>
      </c>
      <c r="EB174" s="0" t="str">
        <f aca="false">IF(EA174&lt;&gt;"Y","N",IF(COUNTIFS($AN$2:$AN$1000,AN174,$EA$2:$EA$1000,"Y",$J$2:$J$1000,"&gt;"&amp;J174)+COUNTIFS($AN$2:$AN$1000,AN174,$EA$2:$EA$1000,"Y",$J$2:$J$1000,J174,$ED$2:$ED$1000,"&lt;"&amp;ED174)=0,"Y","N"))</f>
        <v>Y</v>
      </c>
      <c r="EC174" s="0" t="str">
        <f aca="false">IF(Y174="","N",IF(Y174&lt;=10,"Y","N"))</f>
        <v>N</v>
      </c>
      <c r="ED174" s="0" t="n">
        <f aca="false">ROW()-1</f>
        <v>173</v>
      </c>
    </row>
    <row r="175" customFormat="false" ht="15" hidden="false" customHeight="false" outlineLevel="0" collapsed="false">
      <c r="A175" s="0" t="s">
        <v>8476</v>
      </c>
      <c r="B175" s="0" t="s">
        <v>8477</v>
      </c>
      <c r="C175" s="0" t="s">
        <v>8478</v>
      </c>
      <c r="D175" s="0" t="s">
        <v>8479</v>
      </c>
      <c r="E175" s="0" t="s">
        <v>4625</v>
      </c>
      <c r="H175" s="5" t="s">
        <v>158</v>
      </c>
      <c r="I175" s="5" t="s">
        <v>159</v>
      </c>
      <c r="J175" s="0" t="n">
        <f aca="false">IF(AU175="pass",CM175+CN175+CO175+CP175+CQ175+CR175+CS175+CT175,0)</f>
        <v>37</v>
      </c>
      <c r="K175" s="0" t="s">
        <v>8480</v>
      </c>
      <c r="M175" s="0" t="s">
        <v>5291</v>
      </c>
      <c r="N175" s="0" t="s">
        <v>598</v>
      </c>
      <c r="O175" s="0" t="s">
        <v>8481</v>
      </c>
      <c r="P175" s="0" t="s">
        <v>8482</v>
      </c>
      <c r="R175" s="5" t="s">
        <v>162</v>
      </c>
      <c r="S175" s="0" t="s">
        <v>168</v>
      </c>
      <c r="T175" s="5" t="s">
        <v>162</v>
      </c>
      <c r="U175" s="5" t="s">
        <v>561</v>
      </c>
      <c r="V175" s="0" t="s">
        <v>8482</v>
      </c>
      <c r="W175" s="0" t="s">
        <v>166</v>
      </c>
      <c r="X175" s="0" t="s">
        <v>4585</v>
      </c>
      <c r="Y175" s="0" t="n">
        <f aca="false">IF(EB175&lt;&gt;"Y","",COUNTIFS($EB$2:$EB$1000,"Y",$J$2:$J$1000,"&gt;"&amp;J175)+COUNTIFS($EB$2:$EB$1000,"Y",$J$2:$J$1000,J175,$ED$2:$ED$1000,"&lt;"&amp;ED175)+1)</f>
        <v>141</v>
      </c>
      <c r="Z175" s="0" t="n">
        <v>174</v>
      </c>
      <c r="AA175" s="0" t="s">
        <v>162</v>
      </c>
      <c r="AB175" s="0" t="s">
        <v>8483</v>
      </c>
      <c r="AC175" s="0" t="s">
        <v>4587</v>
      </c>
      <c r="AD175" s="0" t="s">
        <v>171</v>
      </c>
      <c r="AE175" s="0" t="s">
        <v>1189</v>
      </c>
      <c r="AF175" s="0" t="s">
        <v>8484</v>
      </c>
      <c r="AG175" s="0" t="s">
        <v>166</v>
      </c>
      <c r="AH175" s="0" t="s">
        <v>8485</v>
      </c>
      <c r="AI175" s="0" t="s">
        <v>4590</v>
      </c>
      <c r="AJ175" s="0" t="s">
        <v>8486</v>
      </c>
      <c r="AK175" s="0" t="s">
        <v>8487</v>
      </c>
      <c r="AL175" s="0" t="s">
        <v>168</v>
      </c>
      <c r="AM175" s="0" t="s">
        <v>8488</v>
      </c>
      <c r="AN175" s="0" t="s">
        <v>8476</v>
      </c>
      <c r="AO175" s="5" t="s">
        <v>162</v>
      </c>
      <c r="AR175" s="0" t="str">
        <f aca="false">IF(AND(AU175="pass",AO175&lt;&gt;"Y",C175&lt;&gt;""),"Y","N")</f>
        <v>Y</v>
      </c>
      <c r="AS175" s="0" t="str">
        <f aca="false">_xlfn.TEXTJOIN("; ",TRUE(),IF(AU175&lt;&gt;"pass","gated out",""),IF(AO175="Y","on hold: "&amp;AP175,""),IF(C175="","no contact named on an opened page",""))</f>
        <v/>
      </c>
      <c r="AU175" s="0" t="s">
        <v>181</v>
      </c>
      <c r="AW175" s="0" t="s">
        <v>182</v>
      </c>
      <c r="AX175" s="0" t="s">
        <v>4594</v>
      </c>
      <c r="AY175" s="0" t="s">
        <v>8487</v>
      </c>
      <c r="AZ175" s="0" t="s">
        <v>4595</v>
      </c>
      <c r="BA175" s="0" t="s">
        <v>5271</v>
      </c>
      <c r="BB175" s="0" t="s">
        <v>163</v>
      </c>
      <c r="BD175" s="0" t="s">
        <v>163</v>
      </c>
      <c r="BE175" s="0" t="s">
        <v>8489</v>
      </c>
      <c r="BF175" s="0" t="s">
        <v>168</v>
      </c>
      <c r="BG175" s="0" t="s">
        <v>168</v>
      </c>
      <c r="BH175" s="0" t="s">
        <v>163</v>
      </c>
      <c r="BJ175" s="0" t="s">
        <v>163</v>
      </c>
      <c r="BK175" s="0" t="s">
        <v>162</v>
      </c>
      <c r="BL175" s="0" t="s">
        <v>162</v>
      </c>
      <c r="BO175" s="0" t="s">
        <v>162</v>
      </c>
      <c r="BP175" s="0" t="n">
        <v>0</v>
      </c>
      <c r="BS175" s="0" t="s">
        <v>8490</v>
      </c>
      <c r="BT175" s="0" t="s">
        <v>8491</v>
      </c>
      <c r="BU175" s="0" t="s">
        <v>158</v>
      </c>
      <c r="BW175" s="0" t="s">
        <v>8491</v>
      </c>
      <c r="BX175" s="0" t="s">
        <v>8492</v>
      </c>
      <c r="CF175" s="0" t="s">
        <v>158</v>
      </c>
      <c r="CK175" s="0" t="s">
        <v>158</v>
      </c>
      <c r="CL175" s="0" t="n">
        <v>37</v>
      </c>
      <c r="CM175" s="0" t="n">
        <v>6</v>
      </c>
      <c r="CN175" s="0" t="n">
        <v>17</v>
      </c>
      <c r="CO175" s="0" t="n">
        <v>0</v>
      </c>
      <c r="CP175" s="0" t="n">
        <v>5</v>
      </c>
      <c r="CQ175" s="0" t="n">
        <v>7</v>
      </c>
      <c r="CR175" s="0" t="n">
        <v>6</v>
      </c>
      <c r="CS175" s="0" t="n">
        <f aca="false">IF(R175="Y",10,0)</f>
        <v>0</v>
      </c>
      <c r="CT175" s="0" t="n">
        <v>-4</v>
      </c>
      <c r="CV175" s="0" t="s">
        <v>4615</v>
      </c>
      <c r="CW175" s="0" t="s">
        <v>8493</v>
      </c>
      <c r="CX175" s="0" t="s">
        <v>8494</v>
      </c>
      <c r="CY175" s="0" t="s">
        <v>8495</v>
      </c>
      <c r="DA175" s="0" t="s">
        <v>6234</v>
      </c>
      <c r="DY175" s="0" t="str">
        <f aca="false">IF(ISNUMBER(MATCH(U175,{"queued","contacted","replied","call_booked","call_done","yes_in_principle","materials_sent"},0)),"Y","N")</f>
        <v>N</v>
      </c>
      <c r="DZ175" s="0" t="str">
        <f aca="false">IF(COUNTIFS($AN$2:$AN$1000,AN175,$DY$2:$DY$1000,"Y")+COUNTIFS($AN$2:$AN$1000,AN175,$T$2:$T$1000,"Y")&gt;0,"Y","N")</f>
        <v>N</v>
      </c>
      <c r="EA175" s="0" t="str">
        <f aca="false">IF(AND(U175="new",T175="N",AR175="Y",AQ175="",DZ175="N"),"Y","N")</f>
        <v>Y</v>
      </c>
      <c r="EB175" s="0" t="str">
        <f aca="false">IF(EA175&lt;&gt;"Y","N",IF(COUNTIFS($AN$2:$AN$1000,AN175,$EA$2:$EA$1000,"Y",$J$2:$J$1000,"&gt;"&amp;J175)+COUNTIFS($AN$2:$AN$1000,AN175,$EA$2:$EA$1000,"Y",$J$2:$J$1000,J175,$ED$2:$ED$1000,"&lt;"&amp;ED175)=0,"Y","N"))</f>
        <v>Y</v>
      </c>
      <c r="EC175" s="0" t="str">
        <f aca="false">IF(Y175="","N",IF(Y175&lt;=10,"Y","N"))</f>
        <v>N</v>
      </c>
      <c r="ED175" s="0" t="n">
        <f aca="false">ROW()-1</f>
        <v>174</v>
      </c>
    </row>
    <row r="176" customFormat="false" ht="15" hidden="false" customHeight="false" outlineLevel="0" collapsed="false">
      <c r="A176" s="0" t="s">
        <v>8496</v>
      </c>
      <c r="B176" s="0" t="s">
        <v>8497</v>
      </c>
      <c r="C176" s="0" t="s">
        <v>8498</v>
      </c>
      <c r="D176" s="0" t="s">
        <v>8499</v>
      </c>
      <c r="E176" s="0" t="s">
        <v>4910</v>
      </c>
      <c r="H176" s="5" t="s">
        <v>158</v>
      </c>
      <c r="I176" s="5" t="s">
        <v>159</v>
      </c>
      <c r="J176" s="0" t="n">
        <f aca="false">IF(AU176="pass",CM176+CN176+CO176+CP176+CQ176+CR176+CS176+CT176,0)</f>
        <v>36</v>
      </c>
      <c r="K176" s="0" t="s">
        <v>8500</v>
      </c>
      <c r="M176" s="0" t="s">
        <v>4580</v>
      </c>
      <c r="N176" s="0" t="s">
        <v>4581</v>
      </c>
      <c r="O176" s="0" t="s">
        <v>8501</v>
      </c>
      <c r="P176" s="0" t="s">
        <v>8502</v>
      </c>
      <c r="Q176" s="0" t="s">
        <v>8503</v>
      </c>
      <c r="R176" s="5" t="s">
        <v>162</v>
      </c>
      <c r="S176" s="0" t="s">
        <v>163</v>
      </c>
      <c r="T176" s="5" t="s">
        <v>162</v>
      </c>
      <c r="U176" s="5" t="s">
        <v>561</v>
      </c>
      <c r="V176" s="0" t="s">
        <v>8504</v>
      </c>
      <c r="W176" s="0" t="s">
        <v>166</v>
      </c>
      <c r="X176" s="0" t="s">
        <v>4585</v>
      </c>
      <c r="Y176" s="0" t="n">
        <f aca="false">IF(EB176&lt;&gt;"Y","",COUNTIFS($EB$2:$EB$1000,"Y",$J$2:$J$1000,"&gt;"&amp;J176)+COUNTIFS($EB$2:$EB$1000,"Y",$J$2:$J$1000,J176,$ED$2:$ED$1000,"&lt;"&amp;ED176)+1)</f>
        <v>142</v>
      </c>
      <c r="Z176" s="0" t="n">
        <v>175</v>
      </c>
      <c r="AA176" s="0" t="s">
        <v>162</v>
      </c>
      <c r="AB176" s="0" t="s">
        <v>8505</v>
      </c>
      <c r="AC176" s="0" t="s">
        <v>4587</v>
      </c>
      <c r="AD176" s="0" t="s">
        <v>171</v>
      </c>
      <c r="AE176" s="0" t="s">
        <v>1189</v>
      </c>
      <c r="AF176" s="0" t="s">
        <v>8506</v>
      </c>
      <c r="AG176" s="0" t="s">
        <v>166</v>
      </c>
      <c r="AH176" s="0" t="s">
        <v>8507</v>
      </c>
      <c r="AI176" s="0" t="s">
        <v>5736</v>
      </c>
      <c r="AJ176" s="0" t="s">
        <v>8508</v>
      </c>
      <c r="AK176" s="0" t="s">
        <v>8509</v>
      </c>
      <c r="AL176" s="0" t="s">
        <v>168</v>
      </c>
      <c r="AM176" s="0" t="s">
        <v>8510</v>
      </c>
      <c r="AN176" s="0" t="s">
        <v>8496</v>
      </c>
      <c r="AO176" s="5" t="s">
        <v>162</v>
      </c>
      <c r="AR176" s="0" t="str">
        <f aca="false">IF(AND(AU176="pass",AO176&lt;&gt;"Y",C176&lt;&gt;""),"Y","N")</f>
        <v>Y</v>
      </c>
      <c r="AS176" s="0" t="str">
        <f aca="false">_xlfn.TEXTJOIN("; ",TRUE(),IF(AU176&lt;&gt;"pass","gated out",""),IF(AO176="Y","on hold: "&amp;AP176,""),IF(C176="","no contact named on an opened page",""))</f>
        <v/>
      </c>
      <c r="AU176" s="0" t="s">
        <v>181</v>
      </c>
      <c r="AW176" s="0" t="s">
        <v>182</v>
      </c>
      <c r="AX176" s="0" t="s">
        <v>8511</v>
      </c>
      <c r="AY176" s="0" t="s">
        <v>8509</v>
      </c>
      <c r="AZ176" s="0" t="s">
        <v>5356</v>
      </c>
      <c r="BA176" s="0" t="s">
        <v>5329</v>
      </c>
      <c r="BB176" s="0" t="s">
        <v>8512</v>
      </c>
      <c r="BD176" s="0" t="s">
        <v>168</v>
      </c>
      <c r="BE176" s="0" t="s">
        <v>8513</v>
      </c>
      <c r="BF176" s="0" t="s">
        <v>168</v>
      </c>
      <c r="BG176" s="0" t="s">
        <v>168</v>
      </c>
      <c r="BH176" s="0" t="s">
        <v>163</v>
      </c>
      <c r="BJ176" s="0" t="s">
        <v>8514</v>
      </c>
      <c r="BK176" s="0" t="s">
        <v>162</v>
      </c>
      <c r="BL176" s="0" t="s">
        <v>162</v>
      </c>
      <c r="BN176" s="0" t="n">
        <v>0</v>
      </c>
      <c r="BO176" s="0" t="s">
        <v>168</v>
      </c>
      <c r="BP176" s="0" t="n">
        <v>3</v>
      </c>
      <c r="BQ176" s="0" t="s">
        <v>4669</v>
      </c>
      <c r="BR176" s="0" t="s">
        <v>4670</v>
      </c>
      <c r="BS176" s="0" t="s">
        <v>8515</v>
      </c>
      <c r="BT176" s="0" t="s">
        <v>8516</v>
      </c>
      <c r="BU176" s="0" t="s">
        <v>4694</v>
      </c>
      <c r="BV176" s="0" t="n">
        <v>175</v>
      </c>
      <c r="BX176" s="0" t="s">
        <v>8517</v>
      </c>
      <c r="CA176" s="0" t="s">
        <v>8518</v>
      </c>
      <c r="CB176" s="0" t="s">
        <v>8519</v>
      </c>
      <c r="CC176" s="0" t="s">
        <v>8520</v>
      </c>
      <c r="CD176" s="0" t="s">
        <v>8521</v>
      </c>
      <c r="CE176" s="0" t="s">
        <v>6260</v>
      </c>
      <c r="CF176" s="0" t="s">
        <v>171</v>
      </c>
      <c r="CK176" s="0" t="s">
        <v>158</v>
      </c>
      <c r="CL176" s="0" t="n">
        <v>36</v>
      </c>
      <c r="CM176" s="0" t="n">
        <v>25</v>
      </c>
      <c r="CN176" s="0" t="n">
        <v>3</v>
      </c>
      <c r="CO176" s="0" t="n">
        <v>8</v>
      </c>
      <c r="CP176" s="0" t="n">
        <v>5</v>
      </c>
      <c r="CQ176" s="0" t="n">
        <v>10</v>
      </c>
      <c r="CR176" s="0" t="n">
        <v>10</v>
      </c>
      <c r="CS176" s="0" t="n">
        <f aca="false">IF(R176="Y",10,0)</f>
        <v>0</v>
      </c>
      <c r="CT176" s="0" t="n">
        <v>-25</v>
      </c>
      <c r="CU176" s="0" t="s">
        <v>8522</v>
      </c>
      <c r="CV176" s="0" t="s">
        <v>4615</v>
      </c>
      <c r="CW176" s="0" t="s">
        <v>8523</v>
      </c>
      <c r="CX176" s="0" t="s">
        <v>8524</v>
      </c>
      <c r="CY176" s="0" t="s">
        <v>8525</v>
      </c>
      <c r="CZ176" s="0" t="s">
        <v>8506</v>
      </c>
      <c r="DA176" s="0" t="s">
        <v>6234</v>
      </c>
      <c r="DC176" s="0" t="s">
        <v>1189</v>
      </c>
      <c r="DY176" s="0" t="str">
        <f aca="false">IF(ISNUMBER(MATCH(U176,{"queued","contacted","replied","call_booked","call_done","yes_in_principle","materials_sent"},0)),"Y","N")</f>
        <v>N</v>
      </c>
      <c r="DZ176" s="0" t="str">
        <f aca="false">IF(COUNTIFS($AN$2:$AN$1000,AN176,$DY$2:$DY$1000,"Y")+COUNTIFS($AN$2:$AN$1000,AN176,$T$2:$T$1000,"Y")&gt;0,"Y","N")</f>
        <v>N</v>
      </c>
      <c r="EA176" s="0" t="str">
        <f aca="false">IF(AND(U176="new",T176="N",AR176="Y",AQ176="",DZ176="N"),"Y","N")</f>
        <v>Y</v>
      </c>
      <c r="EB176" s="0" t="str">
        <f aca="false">IF(EA176&lt;&gt;"Y","N",IF(COUNTIFS($AN$2:$AN$1000,AN176,$EA$2:$EA$1000,"Y",$J$2:$J$1000,"&gt;"&amp;J176)+COUNTIFS($AN$2:$AN$1000,AN176,$EA$2:$EA$1000,"Y",$J$2:$J$1000,J176,$ED$2:$ED$1000,"&lt;"&amp;ED176)=0,"Y","N"))</f>
        <v>Y</v>
      </c>
      <c r="EC176" s="0" t="str">
        <f aca="false">IF(Y176="","N",IF(Y176&lt;=10,"Y","N"))</f>
        <v>N</v>
      </c>
      <c r="ED176" s="0" t="n">
        <f aca="false">ROW()-1</f>
        <v>175</v>
      </c>
    </row>
    <row r="177" customFormat="false" ht="15" hidden="false" customHeight="false" outlineLevel="0" collapsed="false">
      <c r="A177" s="0" t="s">
        <v>8526</v>
      </c>
      <c r="B177" s="0" t="s">
        <v>8527</v>
      </c>
      <c r="C177" s="0" t="s">
        <v>5197</v>
      </c>
      <c r="D177" s="0" t="s">
        <v>8528</v>
      </c>
      <c r="E177" s="0" t="s">
        <v>4625</v>
      </c>
      <c r="H177" s="5" t="s">
        <v>158</v>
      </c>
      <c r="I177" s="5" t="s">
        <v>159</v>
      </c>
      <c r="J177" s="0" t="n">
        <f aca="false">IF(AU177="pass",CM177+CN177+CO177+CP177+CQ177+CR177+CS177+CT177,0)</f>
        <v>36</v>
      </c>
      <c r="K177" s="0" t="s">
        <v>8529</v>
      </c>
      <c r="M177" s="0" t="s">
        <v>4580</v>
      </c>
      <c r="N177" s="0" t="s">
        <v>4581</v>
      </c>
      <c r="O177" s="0" t="s">
        <v>8530</v>
      </c>
      <c r="P177" s="0" t="s">
        <v>8531</v>
      </c>
      <c r="Q177" s="0" t="s">
        <v>8532</v>
      </c>
      <c r="R177" s="5" t="s">
        <v>162</v>
      </c>
      <c r="S177" s="0" t="s">
        <v>163</v>
      </c>
      <c r="T177" s="5" t="s">
        <v>162</v>
      </c>
      <c r="U177" s="5" t="s">
        <v>561</v>
      </c>
      <c r="V177" s="0" t="s">
        <v>8533</v>
      </c>
      <c r="W177" s="0" t="s">
        <v>166</v>
      </c>
      <c r="X177" s="0" t="s">
        <v>4585</v>
      </c>
      <c r="Y177" s="0" t="n">
        <f aca="false">IF(EB177&lt;&gt;"Y","",COUNTIFS($EB$2:$EB$1000,"Y",$J$2:$J$1000,"&gt;"&amp;J177)+COUNTIFS($EB$2:$EB$1000,"Y",$J$2:$J$1000,J177,$ED$2:$ED$1000,"&lt;"&amp;ED177)+1)</f>
        <v>143</v>
      </c>
      <c r="Z177" s="0" t="n">
        <v>176</v>
      </c>
      <c r="AA177" s="0" t="s">
        <v>162</v>
      </c>
      <c r="AB177" s="0" t="s">
        <v>8534</v>
      </c>
      <c r="AC177" s="0" t="s">
        <v>8535</v>
      </c>
      <c r="AD177" s="0" t="s">
        <v>171</v>
      </c>
      <c r="AE177" s="0" t="s">
        <v>1189</v>
      </c>
      <c r="AF177" s="0" t="s">
        <v>8536</v>
      </c>
      <c r="AG177" s="0" t="s">
        <v>166</v>
      </c>
      <c r="AH177" s="0" t="s">
        <v>8537</v>
      </c>
      <c r="AI177" s="0" t="s">
        <v>4722</v>
      </c>
      <c r="AJ177" s="0" t="s">
        <v>8538</v>
      </c>
      <c r="AK177" s="0" t="s">
        <v>8539</v>
      </c>
      <c r="AL177" s="0" t="s">
        <v>168</v>
      </c>
      <c r="AM177" s="0" t="s">
        <v>8540</v>
      </c>
      <c r="AN177" s="0" t="s">
        <v>8526</v>
      </c>
      <c r="AO177" s="5" t="s">
        <v>162</v>
      </c>
      <c r="AR177" s="0" t="str">
        <f aca="false">IF(AND(AU177="pass",AO177&lt;&gt;"Y",C177&lt;&gt;""),"Y","N")</f>
        <v>Y</v>
      </c>
      <c r="AS177" s="0" t="str">
        <f aca="false">_xlfn.TEXTJOIN("; ",TRUE(),IF(AU177&lt;&gt;"pass","gated out",""),IF(AO177="Y","on hold: "&amp;AP177,""),IF(C177="","no contact named on an opened page",""))</f>
        <v/>
      </c>
      <c r="AU177" s="0" t="s">
        <v>181</v>
      </c>
      <c r="AW177" s="0" t="s">
        <v>182</v>
      </c>
      <c r="AX177" s="0" t="s">
        <v>8541</v>
      </c>
      <c r="AY177" s="0" t="s">
        <v>8539</v>
      </c>
      <c r="AZ177" s="0" t="s">
        <v>4595</v>
      </c>
      <c r="BA177" s="0" t="s">
        <v>4951</v>
      </c>
      <c r="BB177" s="0" t="s">
        <v>163</v>
      </c>
      <c r="BD177" s="0" t="s">
        <v>263</v>
      </c>
      <c r="BE177" s="0" t="s">
        <v>8542</v>
      </c>
      <c r="BF177" s="0" t="s">
        <v>168</v>
      </c>
      <c r="BG177" s="0" t="s">
        <v>168</v>
      </c>
      <c r="BH177" s="0" t="s">
        <v>163</v>
      </c>
      <c r="BJ177" s="0" t="s">
        <v>163</v>
      </c>
      <c r="BK177" s="0" t="s">
        <v>162</v>
      </c>
      <c r="BL177" s="0" t="s">
        <v>162</v>
      </c>
      <c r="BN177" s="0" t="n">
        <v>0</v>
      </c>
      <c r="BO177" s="0" t="s">
        <v>168</v>
      </c>
      <c r="BP177" s="0" t="n">
        <v>3</v>
      </c>
      <c r="BQ177" s="0" t="s">
        <v>4669</v>
      </c>
      <c r="BS177" s="0" t="s">
        <v>4692</v>
      </c>
      <c r="BT177" s="0" t="s">
        <v>8543</v>
      </c>
      <c r="BU177" s="0" t="s">
        <v>4694</v>
      </c>
      <c r="BV177" s="0" t="n">
        <v>216</v>
      </c>
      <c r="BX177" s="0" t="s">
        <v>8544</v>
      </c>
      <c r="CA177" s="0" t="s">
        <v>8545</v>
      </c>
      <c r="CB177" s="0" t="s">
        <v>8546</v>
      </c>
      <c r="CC177" s="0" t="s">
        <v>8547</v>
      </c>
      <c r="CD177" s="0" t="s">
        <v>4625</v>
      </c>
      <c r="CE177" s="0" t="s">
        <v>6723</v>
      </c>
      <c r="CF177" s="0" t="s">
        <v>171</v>
      </c>
      <c r="CK177" s="0" t="s">
        <v>158</v>
      </c>
      <c r="CL177" s="0" t="n">
        <v>36</v>
      </c>
      <c r="CM177" s="0" t="n">
        <v>25</v>
      </c>
      <c r="CN177" s="0" t="n">
        <v>13</v>
      </c>
      <c r="CO177" s="0" t="n">
        <v>4</v>
      </c>
      <c r="CP177" s="0" t="n">
        <v>5</v>
      </c>
      <c r="CQ177" s="0" t="n">
        <v>8</v>
      </c>
      <c r="CR177" s="0" t="n">
        <v>6</v>
      </c>
      <c r="CS177" s="0" t="n">
        <f aca="false">IF(R177="Y",10,0)</f>
        <v>0</v>
      </c>
      <c r="CT177" s="0" t="n">
        <v>-25</v>
      </c>
      <c r="CU177" s="0" t="s">
        <v>8548</v>
      </c>
      <c r="CV177" s="0" t="s">
        <v>4703</v>
      </c>
      <c r="CW177" s="0" t="s">
        <v>8549</v>
      </c>
      <c r="CX177" s="0" t="s">
        <v>8550</v>
      </c>
      <c r="CY177" s="0" t="s">
        <v>8551</v>
      </c>
      <c r="CZ177" s="0" t="s">
        <v>8536</v>
      </c>
      <c r="DA177" s="0" t="s">
        <v>6234</v>
      </c>
      <c r="DC177" s="0" t="s">
        <v>1189</v>
      </c>
      <c r="DY177" s="0" t="str">
        <f aca="false">IF(ISNUMBER(MATCH(U177,{"queued","contacted","replied","call_booked","call_done","yes_in_principle","materials_sent"},0)),"Y","N")</f>
        <v>N</v>
      </c>
      <c r="DZ177" s="0" t="str">
        <f aca="false">IF(COUNTIFS($AN$2:$AN$1000,AN177,$DY$2:$DY$1000,"Y")+COUNTIFS($AN$2:$AN$1000,AN177,$T$2:$T$1000,"Y")&gt;0,"Y","N")</f>
        <v>N</v>
      </c>
      <c r="EA177" s="0" t="str">
        <f aca="false">IF(AND(U177="new",T177="N",AR177="Y",AQ177="",DZ177="N"),"Y","N")</f>
        <v>Y</v>
      </c>
      <c r="EB177" s="0" t="str">
        <f aca="false">IF(EA177&lt;&gt;"Y","N",IF(COUNTIFS($AN$2:$AN$1000,AN177,$EA$2:$EA$1000,"Y",$J$2:$J$1000,"&gt;"&amp;J177)+COUNTIFS($AN$2:$AN$1000,AN177,$EA$2:$EA$1000,"Y",$J$2:$J$1000,J177,$ED$2:$ED$1000,"&lt;"&amp;ED177)=0,"Y","N"))</f>
        <v>Y</v>
      </c>
      <c r="EC177" s="0" t="str">
        <f aca="false">IF(Y177="","N",IF(Y177&lt;=10,"Y","N"))</f>
        <v>N</v>
      </c>
      <c r="ED177" s="0" t="n">
        <f aca="false">ROW()-1</f>
        <v>176</v>
      </c>
    </row>
    <row r="178" customFormat="false" ht="15" hidden="false" customHeight="false" outlineLevel="0" collapsed="false">
      <c r="A178" s="0" t="s">
        <v>8552</v>
      </c>
      <c r="B178" s="0" t="s">
        <v>8553</v>
      </c>
      <c r="H178" s="5" t="s">
        <v>158</v>
      </c>
      <c r="I178" s="5"/>
      <c r="J178" s="0" t="n">
        <f aca="false">IF(AU178="pass",CM178+CN178+CO178+CP178+CQ178+CR178+CS178+CT178,0)</f>
        <v>36</v>
      </c>
      <c r="K178" s="0" t="s">
        <v>8554</v>
      </c>
      <c r="M178" s="0" t="s">
        <v>4580</v>
      </c>
      <c r="N178" s="0" t="s">
        <v>4581</v>
      </c>
      <c r="R178" s="5" t="s">
        <v>162</v>
      </c>
      <c r="S178" s="0" t="s">
        <v>163</v>
      </c>
      <c r="T178" s="5" t="s">
        <v>162</v>
      </c>
      <c r="U178" s="5" t="s">
        <v>561</v>
      </c>
      <c r="V178" s="0" t="s">
        <v>8555</v>
      </c>
      <c r="W178" s="0" t="s">
        <v>166</v>
      </c>
      <c r="X178" s="0" t="s">
        <v>4585</v>
      </c>
      <c r="Y178" s="0" t="str">
        <f aca="false">IF(EB178&lt;&gt;"Y","",COUNTIFS($EB$2:$EB$1000,"Y",$J$2:$J$1000,"&gt;"&amp;J178)+COUNTIFS($EB$2:$EB$1000,"Y",$J$2:$J$1000,J178,$ED$2:$ED$1000,"&lt;"&amp;ED178)+1)</f>
        <v/>
      </c>
      <c r="Z178" s="0" t="n">
        <v>177</v>
      </c>
      <c r="AA178" s="0" t="s">
        <v>162</v>
      </c>
      <c r="AB178" s="0" t="s">
        <v>8556</v>
      </c>
      <c r="AD178" s="0" t="s">
        <v>158</v>
      </c>
      <c r="AH178" s="0" t="s">
        <v>8557</v>
      </c>
      <c r="AI178" s="0" t="s">
        <v>5653</v>
      </c>
      <c r="AJ178" s="0" t="s">
        <v>8558</v>
      </c>
      <c r="AK178" s="0" t="s">
        <v>8559</v>
      </c>
      <c r="AL178" s="0" t="s">
        <v>168</v>
      </c>
      <c r="AM178" s="0" t="s">
        <v>8560</v>
      </c>
      <c r="AN178" s="0" t="s">
        <v>8552</v>
      </c>
      <c r="AO178" s="5" t="s">
        <v>162</v>
      </c>
      <c r="AR178" s="0" t="str">
        <f aca="false">IF(AND(AU178="pass",AO178&lt;&gt;"Y",C178&lt;&gt;""),"Y","N")</f>
        <v>N</v>
      </c>
      <c r="AS178" s="0" t="str">
        <f aca="false">_xlfn.TEXTJOIN("; ",TRUE(),IF(AU178&lt;&gt;"pass","gated out",""),IF(AO178="Y","on hold: "&amp;AP178,""),IF(C178="","no contact named on an opened page",""))</f>
        <v>no contact named on an opened page</v>
      </c>
      <c r="AU178" s="0" t="s">
        <v>181</v>
      </c>
      <c r="AW178" s="0" t="s">
        <v>182</v>
      </c>
      <c r="AX178" s="0" t="s">
        <v>8561</v>
      </c>
      <c r="AY178" s="0" t="s">
        <v>8559</v>
      </c>
      <c r="AZ178" s="0" t="s">
        <v>4922</v>
      </c>
      <c r="BA178" s="0" t="s">
        <v>5191</v>
      </c>
      <c r="BB178" s="0" t="s">
        <v>163</v>
      </c>
      <c r="BD178" s="0" t="s">
        <v>168</v>
      </c>
      <c r="BE178" s="0" t="s">
        <v>8562</v>
      </c>
      <c r="BF178" s="0" t="s">
        <v>168</v>
      </c>
      <c r="BG178" s="0" t="s">
        <v>168</v>
      </c>
      <c r="BH178" s="0" t="s">
        <v>163</v>
      </c>
      <c r="BJ178" s="0" t="s">
        <v>163</v>
      </c>
      <c r="BK178" s="0" t="s">
        <v>162</v>
      </c>
      <c r="BL178" s="0" t="s">
        <v>162</v>
      </c>
      <c r="BN178" s="0" t="n">
        <v>0</v>
      </c>
      <c r="BO178" s="0" t="s">
        <v>168</v>
      </c>
      <c r="BP178" s="0" t="n">
        <v>3</v>
      </c>
      <c r="BQ178" s="0" t="s">
        <v>4669</v>
      </c>
      <c r="BS178" s="0" t="s">
        <v>8563</v>
      </c>
      <c r="BT178" s="0" t="s">
        <v>8564</v>
      </c>
      <c r="BU178" s="0" t="s">
        <v>158</v>
      </c>
      <c r="CF178" s="0" t="s">
        <v>158</v>
      </c>
      <c r="CK178" s="0" t="s">
        <v>158</v>
      </c>
      <c r="CL178" s="0" t="n">
        <v>36</v>
      </c>
      <c r="CM178" s="0" t="n">
        <v>25</v>
      </c>
      <c r="CN178" s="0" t="n">
        <v>8</v>
      </c>
      <c r="CO178" s="0" t="n">
        <v>0</v>
      </c>
      <c r="CP178" s="0" t="n">
        <v>5</v>
      </c>
      <c r="CQ178" s="0" t="n">
        <v>10</v>
      </c>
      <c r="CR178" s="0" t="n">
        <v>0</v>
      </c>
      <c r="CS178" s="0" t="n">
        <f aca="false">IF(R178="Y",10,0)</f>
        <v>0</v>
      </c>
      <c r="CT178" s="0" t="n">
        <v>-12</v>
      </c>
      <c r="CU178" s="0" t="s">
        <v>8565</v>
      </c>
      <c r="CV178" s="0" t="s">
        <v>4703</v>
      </c>
      <c r="CW178" s="0" t="s">
        <v>8566</v>
      </c>
      <c r="CX178" s="0" t="s">
        <v>8567</v>
      </c>
      <c r="CY178" s="0" t="s">
        <v>8568</v>
      </c>
      <c r="DA178" s="0" t="s">
        <v>6234</v>
      </c>
      <c r="DY178" s="0" t="str">
        <f aca="false">IF(ISNUMBER(MATCH(U178,{"queued","contacted","replied","call_booked","call_done","yes_in_principle","materials_sent"},0)),"Y","N")</f>
        <v>N</v>
      </c>
      <c r="DZ178" s="0" t="str">
        <f aca="false">IF(COUNTIFS($AN$2:$AN$1000,AN178,$DY$2:$DY$1000,"Y")+COUNTIFS($AN$2:$AN$1000,AN178,$T$2:$T$1000,"Y")&gt;0,"Y","N")</f>
        <v>N</v>
      </c>
      <c r="EA178" s="0" t="str">
        <f aca="false">IF(AND(U178="new",T178="N",AR178="Y",AQ178="",DZ178="N"),"Y","N")</f>
        <v>N</v>
      </c>
      <c r="EB178" s="0" t="str">
        <f aca="false">IF(EA178&lt;&gt;"Y","N",IF(COUNTIFS($AN$2:$AN$1000,AN178,$EA$2:$EA$1000,"Y",$J$2:$J$1000,"&gt;"&amp;J178)+COUNTIFS($AN$2:$AN$1000,AN178,$EA$2:$EA$1000,"Y",$J$2:$J$1000,J178,$ED$2:$ED$1000,"&lt;"&amp;ED178)=0,"Y","N"))</f>
        <v>N</v>
      </c>
      <c r="EC178" s="0" t="str">
        <f aca="false">IF(Y178="","N",IF(Y178&lt;=10,"Y","N"))</f>
        <v>N</v>
      </c>
      <c r="ED178" s="0" t="n">
        <f aca="false">ROW()-1</f>
        <v>177</v>
      </c>
    </row>
    <row r="179" customFormat="false" ht="15" hidden="false" customHeight="false" outlineLevel="0" collapsed="false">
      <c r="A179" s="0" t="s">
        <v>8569</v>
      </c>
      <c r="B179" s="0" t="s">
        <v>8570</v>
      </c>
      <c r="H179" s="5" t="s">
        <v>158</v>
      </c>
      <c r="I179" s="5"/>
      <c r="J179" s="0" t="n">
        <f aca="false">IF(AU179="pass",CM179+CN179+CO179+CP179+CQ179+CR179+CS179+CT179,0)</f>
        <v>36</v>
      </c>
      <c r="K179" s="0" t="s">
        <v>8571</v>
      </c>
      <c r="M179" s="0" t="s">
        <v>4627</v>
      </c>
      <c r="N179" s="0" t="s">
        <v>4581</v>
      </c>
      <c r="R179" s="5" t="s">
        <v>162</v>
      </c>
      <c r="S179" s="0" t="s">
        <v>163</v>
      </c>
      <c r="T179" s="5" t="s">
        <v>162</v>
      </c>
      <c r="U179" s="5" t="s">
        <v>561</v>
      </c>
      <c r="V179" s="0" t="s">
        <v>8572</v>
      </c>
      <c r="W179" s="0" t="s">
        <v>166</v>
      </c>
      <c r="X179" s="0" t="s">
        <v>4585</v>
      </c>
      <c r="Y179" s="0" t="str">
        <f aca="false">IF(EB179&lt;&gt;"Y","",COUNTIFS($EB$2:$EB$1000,"Y",$J$2:$J$1000,"&gt;"&amp;J179)+COUNTIFS($EB$2:$EB$1000,"Y",$J$2:$J$1000,J179,$ED$2:$ED$1000,"&lt;"&amp;ED179)+1)</f>
        <v/>
      </c>
      <c r="Z179" s="0" t="n">
        <v>178</v>
      </c>
      <c r="AA179" s="0" t="s">
        <v>162</v>
      </c>
      <c r="AB179" s="0" t="s">
        <v>8573</v>
      </c>
      <c r="AD179" s="0" t="s">
        <v>158</v>
      </c>
      <c r="AH179" s="0" t="s">
        <v>8574</v>
      </c>
      <c r="AI179" s="0" t="s">
        <v>4826</v>
      </c>
      <c r="AJ179" s="0" t="s">
        <v>8575</v>
      </c>
      <c r="AL179" s="0" t="s">
        <v>168</v>
      </c>
      <c r="AM179" s="0" t="s">
        <v>8576</v>
      </c>
      <c r="AN179" s="0" t="s">
        <v>8569</v>
      </c>
      <c r="AO179" s="5" t="s">
        <v>162</v>
      </c>
      <c r="AR179" s="0" t="str">
        <f aca="false">IF(AND(AU179="pass",AO179&lt;&gt;"Y",C179&lt;&gt;""),"Y","N")</f>
        <v>N</v>
      </c>
      <c r="AS179" s="0" t="str">
        <f aca="false">_xlfn.TEXTJOIN("; ",TRUE(),IF(AU179&lt;&gt;"pass","gated out",""),IF(AO179="Y","on hold: "&amp;AP179,""),IF(C179="","no contact named on an opened page",""))</f>
        <v>no contact named on an opened page</v>
      </c>
      <c r="AU179" s="0" t="s">
        <v>181</v>
      </c>
      <c r="AW179" s="0" t="s">
        <v>182</v>
      </c>
      <c r="AX179" s="0" t="s">
        <v>282</v>
      </c>
      <c r="AY179" s="0" t="s">
        <v>8577</v>
      </c>
      <c r="AZ179" s="0" t="s">
        <v>8578</v>
      </c>
      <c r="BA179" s="0" t="s">
        <v>5058</v>
      </c>
      <c r="BB179" s="0" t="s">
        <v>163</v>
      </c>
      <c r="BD179" s="0" t="s">
        <v>168</v>
      </c>
      <c r="BE179" s="0" t="s">
        <v>8579</v>
      </c>
      <c r="BF179" s="0" t="s">
        <v>162</v>
      </c>
      <c r="BG179" s="0" t="s">
        <v>163</v>
      </c>
      <c r="BH179" s="0" t="s">
        <v>163</v>
      </c>
      <c r="BJ179" s="0" t="s">
        <v>163</v>
      </c>
      <c r="BK179" s="0" t="s">
        <v>162</v>
      </c>
      <c r="BL179" s="0" t="s">
        <v>162</v>
      </c>
      <c r="BN179" s="0" t="n">
        <v>0</v>
      </c>
      <c r="BO179" s="0" t="s">
        <v>168</v>
      </c>
      <c r="BP179" s="0" t="n">
        <v>2</v>
      </c>
      <c r="BQ179" s="0" t="s">
        <v>6034</v>
      </c>
      <c r="BS179" s="0" t="s">
        <v>4981</v>
      </c>
      <c r="BT179" s="0" t="s">
        <v>8580</v>
      </c>
      <c r="BU179" s="0" t="s">
        <v>158</v>
      </c>
      <c r="CF179" s="0" t="s">
        <v>158</v>
      </c>
      <c r="CK179" s="0" t="s">
        <v>158</v>
      </c>
      <c r="CL179" s="0" t="n">
        <v>36</v>
      </c>
      <c r="CM179" s="0" t="n">
        <v>25</v>
      </c>
      <c r="CN179" s="0" t="n">
        <v>3</v>
      </c>
      <c r="CO179" s="0" t="n">
        <v>0</v>
      </c>
      <c r="CP179" s="0" t="n">
        <v>5</v>
      </c>
      <c r="CQ179" s="0" t="n">
        <v>5</v>
      </c>
      <c r="CR179" s="0" t="n">
        <v>0</v>
      </c>
      <c r="CS179" s="0" t="n">
        <f aca="false">IF(R179="Y",10,0)</f>
        <v>0</v>
      </c>
      <c r="CT179" s="0" t="n">
        <v>-2</v>
      </c>
      <c r="CU179" s="0" t="s">
        <v>163</v>
      </c>
      <c r="CV179" s="0" t="s">
        <v>4841</v>
      </c>
      <c r="CW179" s="0" t="s">
        <v>8581</v>
      </c>
      <c r="CX179" s="0" t="s">
        <v>8582</v>
      </c>
      <c r="CY179" s="0" t="s">
        <v>8583</v>
      </c>
      <c r="DA179" s="0" t="s">
        <v>6234</v>
      </c>
      <c r="DY179" s="0" t="str">
        <f aca="false">IF(ISNUMBER(MATCH(U179,{"queued","contacted","replied","call_booked","call_done","yes_in_principle","materials_sent"},0)),"Y","N")</f>
        <v>N</v>
      </c>
      <c r="DZ179" s="0" t="str">
        <f aca="false">IF(COUNTIFS($AN$2:$AN$1000,AN179,$DY$2:$DY$1000,"Y")+COUNTIFS($AN$2:$AN$1000,AN179,$T$2:$T$1000,"Y")&gt;0,"Y","N")</f>
        <v>N</v>
      </c>
      <c r="EA179" s="0" t="str">
        <f aca="false">IF(AND(U179="new",T179="N",AR179="Y",AQ179="",DZ179="N"),"Y","N")</f>
        <v>N</v>
      </c>
      <c r="EB179" s="0" t="str">
        <f aca="false">IF(EA179&lt;&gt;"Y","N",IF(COUNTIFS($AN$2:$AN$1000,AN179,$EA$2:$EA$1000,"Y",$J$2:$J$1000,"&gt;"&amp;J179)+COUNTIFS($AN$2:$AN$1000,AN179,$EA$2:$EA$1000,"Y",$J$2:$J$1000,J179,$ED$2:$ED$1000,"&lt;"&amp;ED179)=0,"Y","N"))</f>
        <v>N</v>
      </c>
      <c r="EC179" s="0" t="str">
        <f aca="false">IF(Y179="","N",IF(Y179&lt;=10,"Y","N"))</f>
        <v>N</v>
      </c>
      <c r="ED179" s="0" t="n">
        <f aca="false">ROW()-1</f>
        <v>178</v>
      </c>
    </row>
    <row r="180" customFormat="false" ht="15" hidden="false" customHeight="false" outlineLevel="0" collapsed="false">
      <c r="A180" s="0" t="s">
        <v>8584</v>
      </c>
      <c r="B180" s="0" t="s">
        <v>8585</v>
      </c>
      <c r="C180" s="0" t="s">
        <v>8586</v>
      </c>
      <c r="D180" s="0" t="s">
        <v>8587</v>
      </c>
      <c r="E180" s="0" t="s">
        <v>4656</v>
      </c>
      <c r="H180" s="5" t="s">
        <v>158</v>
      </c>
      <c r="I180" s="5" t="s">
        <v>159</v>
      </c>
      <c r="J180" s="0" t="n">
        <f aca="false">IF(AU180="pass",CM180+CN180+CO180+CP180+CQ180+CR180+CS180+CT180,0)</f>
        <v>36</v>
      </c>
      <c r="K180" s="0" t="s">
        <v>8588</v>
      </c>
      <c r="M180" s="0" t="s">
        <v>4580</v>
      </c>
      <c r="N180" s="0" t="s">
        <v>4581</v>
      </c>
      <c r="R180" s="5" t="s">
        <v>162</v>
      </c>
      <c r="S180" s="0" t="s">
        <v>163</v>
      </c>
      <c r="T180" s="5" t="s">
        <v>162</v>
      </c>
      <c r="U180" s="5" t="s">
        <v>561</v>
      </c>
      <c r="V180" s="0" t="s">
        <v>8589</v>
      </c>
      <c r="W180" s="0" t="s">
        <v>166</v>
      </c>
      <c r="X180" s="0" t="s">
        <v>4585</v>
      </c>
      <c r="Y180" s="0" t="n">
        <f aca="false">IF(EB180&lt;&gt;"Y","",COUNTIFS($EB$2:$EB$1000,"Y",$J$2:$J$1000,"&gt;"&amp;J180)+COUNTIFS($EB$2:$EB$1000,"Y",$J$2:$J$1000,J180,$ED$2:$ED$1000,"&lt;"&amp;ED180)+1)</f>
        <v>144</v>
      </c>
      <c r="Z180" s="0" t="n">
        <v>179</v>
      </c>
      <c r="AA180" s="0" t="s">
        <v>162</v>
      </c>
      <c r="AB180" s="0" t="s">
        <v>8590</v>
      </c>
      <c r="AC180" s="0" t="s">
        <v>4587</v>
      </c>
      <c r="AD180" s="0" t="s">
        <v>171</v>
      </c>
      <c r="AE180" s="0" t="s">
        <v>172</v>
      </c>
      <c r="AF180" s="0" t="s">
        <v>8589</v>
      </c>
      <c r="AG180" s="0" t="s">
        <v>166</v>
      </c>
      <c r="AH180" s="0" t="s">
        <v>8591</v>
      </c>
      <c r="AI180" s="0" t="s">
        <v>4975</v>
      </c>
      <c r="AJ180" s="0" t="s">
        <v>2015</v>
      </c>
      <c r="AL180" s="0" t="s">
        <v>168</v>
      </c>
      <c r="AM180" s="0" t="s">
        <v>8592</v>
      </c>
      <c r="AN180" s="0" t="s">
        <v>8584</v>
      </c>
      <c r="AO180" s="5" t="s">
        <v>162</v>
      </c>
      <c r="AR180" s="0" t="str">
        <f aca="false">IF(AND(AU180="pass",AO180&lt;&gt;"Y",C180&lt;&gt;""),"Y","N")</f>
        <v>Y</v>
      </c>
      <c r="AS180" s="0" t="str">
        <f aca="false">_xlfn.TEXTJOIN("; ",TRUE(),IF(AU180&lt;&gt;"pass","gated out",""),IF(AO180="Y","on hold: "&amp;AP180,""),IF(C180="","no contact named on an opened page",""))</f>
        <v/>
      </c>
      <c r="AU180" s="0" t="s">
        <v>181</v>
      </c>
      <c r="AW180" s="0" t="s">
        <v>182</v>
      </c>
      <c r="AX180" s="0" t="s">
        <v>5605</v>
      </c>
      <c r="AY180" s="0" t="s">
        <v>8593</v>
      </c>
      <c r="AZ180" s="0" t="s">
        <v>6476</v>
      </c>
      <c r="BA180" s="0" t="s">
        <v>5191</v>
      </c>
      <c r="BB180" s="0" t="s">
        <v>163</v>
      </c>
      <c r="BD180" s="0" t="s">
        <v>168</v>
      </c>
      <c r="BE180" s="0" t="s">
        <v>8594</v>
      </c>
      <c r="BF180" s="0" t="s">
        <v>162</v>
      </c>
      <c r="BG180" s="0" t="s">
        <v>162</v>
      </c>
      <c r="BH180" s="0" t="s">
        <v>163</v>
      </c>
      <c r="BJ180" s="0" t="s">
        <v>163</v>
      </c>
      <c r="BK180" s="0" t="s">
        <v>162</v>
      </c>
      <c r="BL180" s="0" t="s">
        <v>162</v>
      </c>
      <c r="BN180" s="0" t="n">
        <v>0</v>
      </c>
      <c r="BO180" s="0" t="s">
        <v>168</v>
      </c>
      <c r="BP180" s="0" t="n">
        <v>2</v>
      </c>
      <c r="BQ180" s="0" t="s">
        <v>4781</v>
      </c>
      <c r="BS180" s="0" t="s">
        <v>8595</v>
      </c>
      <c r="BT180" s="0" t="s">
        <v>8596</v>
      </c>
      <c r="BU180" s="0" t="s">
        <v>158</v>
      </c>
      <c r="BX180" s="0" t="s">
        <v>8597</v>
      </c>
      <c r="CF180" s="0" t="s">
        <v>158</v>
      </c>
      <c r="CK180" s="0" t="s">
        <v>158</v>
      </c>
      <c r="CL180" s="0" t="n">
        <v>36</v>
      </c>
      <c r="CM180" s="0" t="n">
        <v>25</v>
      </c>
      <c r="CN180" s="0" t="n">
        <v>8</v>
      </c>
      <c r="CO180" s="0" t="n">
        <v>0</v>
      </c>
      <c r="CP180" s="0" t="n">
        <v>5</v>
      </c>
      <c r="CQ180" s="0" t="n">
        <v>4</v>
      </c>
      <c r="CR180" s="0" t="n">
        <v>6</v>
      </c>
      <c r="CS180" s="0" t="n">
        <f aca="false">IF(R180="Y",10,0)</f>
        <v>0</v>
      </c>
      <c r="CT180" s="0" t="n">
        <v>-12</v>
      </c>
      <c r="CU180" s="0" t="s">
        <v>163</v>
      </c>
      <c r="CV180" s="0" t="s">
        <v>4841</v>
      </c>
      <c r="CW180" s="0" t="s">
        <v>8598</v>
      </c>
      <c r="CX180" s="0" t="s">
        <v>8599</v>
      </c>
      <c r="DA180" s="0" t="s">
        <v>6234</v>
      </c>
      <c r="DY180" s="0" t="str">
        <f aca="false">IF(ISNUMBER(MATCH(U180,{"queued","contacted","replied","call_booked","call_done","yes_in_principle","materials_sent"},0)),"Y","N")</f>
        <v>N</v>
      </c>
      <c r="DZ180" s="0" t="str">
        <f aca="false">IF(COUNTIFS($AN$2:$AN$1000,AN180,$DY$2:$DY$1000,"Y")+COUNTIFS($AN$2:$AN$1000,AN180,$T$2:$T$1000,"Y")&gt;0,"Y","N")</f>
        <v>N</v>
      </c>
      <c r="EA180" s="0" t="str">
        <f aca="false">IF(AND(U180="new",T180="N",AR180="Y",AQ180="",DZ180="N"),"Y","N")</f>
        <v>Y</v>
      </c>
      <c r="EB180" s="0" t="str">
        <f aca="false">IF(EA180&lt;&gt;"Y","N",IF(COUNTIFS($AN$2:$AN$1000,AN180,$EA$2:$EA$1000,"Y",$J$2:$J$1000,"&gt;"&amp;J180)+COUNTIFS($AN$2:$AN$1000,AN180,$EA$2:$EA$1000,"Y",$J$2:$J$1000,J180,$ED$2:$ED$1000,"&lt;"&amp;ED180)=0,"Y","N"))</f>
        <v>Y</v>
      </c>
      <c r="EC180" s="0" t="str">
        <f aca="false">IF(Y180="","N",IF(Y180&lt;=10,"Y","N"))</f>
        <v>N</v>
      </c>
      <c r="ED180" s="0" t="n">
        <f aca="false">ROW()-1</f>
        <v>179</v>
      </c>
    </row>
    <row r="181" customFormat="false" ht="15" hidden="false" customHeight="false" outlineLevel="0" collapsed="false">
      <c r="A181" s="0" t="s">
        <v>8600</v>
      </c>
      <c r="B181" s="0" t="s">
        <v>8601</v>
      </c>
      <c r="C181" s="0" t="s">
        <v>6047</v>
      </c>
      <c r="D181" s="0" t="s">
        <v>8602</v>
      </c>
      <c r="E181" s="0" t="s">
        <v>4656</v>
      </c>
      <c r="H181" s="5" t="s">
        <v>158</v>
      </c>
      <c r="I181" s="5" t="s">
        <v>159</v>
      </c>
      <c r="J181" s="0" t="n">
        <f aca="false">IF(AU181="pass",CM181+CN181+CO181+CP181+CQ181+CR181+CS181+CT181,0)</f>
        <v>36</v>
      </c>
      <c r="K181" s="0" t="s">
        <v>8603</v>
      </c>
      <c r="M181" s="0" t="s">
        <v>5291</v>
      </c>
      <c r="N181" s="0" t="s">
        <v>598</v>
      </c>
      <c r="O181" s="0" t="s">
        <v>8604</v>
      </c>
      <c r="P181" s="0" t="s">
        <v>6197</v>
      </c>
      <c r="Q181" s="0" t="s">
        <v>2650</v>
      </c>
      <c r="R181" s="5" t="s">
        <v>162</v>
      </c>
      <c r="S181" s="0" t="s">
        <v>168</v>
      </c>
      <c r="T181" s="5" t="s">
        <v>162</v>
      </c>
      <c r="U181" s="5" t="s">
        <v>561</v>
      </c>
      <c r="V181" s="0" t="s">
        <v>8605</v>
      </c>
      <c r="W181" s="0" t="s">
        <v>166</v>
      </c>
      <c r="X181" s="0" t="s">
        <v>4585</v>
      </c>
      <c r="Y181" s="0" t="n">
        <f aca="false">IF(EB181&lt;&gt;"Y","",COUNTIFS($EB$2:$EB$1000,"Y",$J$2:$J$1000,"&gt;"&amp;J181)+COUNTIFS($EB$2:$EB$1000,"Y",$J$2:$J$1000,J181,$ED$2:$ED$1000,"&lt;"&amp;ED181)+1)</f>
        <v>145</v>
      </c>
      <c r="Z181" s="0" t="n">
        <v>180</v>
      </c>
      <c r="AA181" s="0" t="s">
        <v>162</v>
      </c>
      <c r="AB181" s="0" t="s">
        <v>8606</v>
      </c>
      <c r="AC181" s="0" t="s">
        <v>4587</v>
      </c>
      <c r="AD181" s="0" t="s">
        <v>171</v>
      </c>
      <c r="AE181" s="0" t="s">
        <v>172</v>
      </c>
      <c r="AF181" s="0" t="s">
        <v>8605</v>
      </c>
      <c r="AG181" s="0" t="s">
        <v>166</v>
      </c>
      <c r="AH181" s="0" t="s">
        <v>8607</v>
      </c>
      <c r="AI181" s="0" t="s">
        <v>4826</v>
      </c>
      <c r="AJ181" s="0" t="s">
        <v>8608</v>
      </c>
      <c r="AK181" s="0" t="s">
        <v>8609</v>
      </c>
      <c r="AL181" s="0" t="s">
        <v>162</v>
      </c>
      <c r="AN181" s="0" t="s">
        <v>8600</v>
      </c>
      <c r="AO181" s="5" t="s">
        <v>162</v>
      </c>
      <c r="AR181" s="0" t="str">
        <f aca="false">IF(AND(AU181="pass",AO181&lt;&gt;"Y",C181&lt;&gt;""),"Y","N")</f>
        <v>Y</v>
      </c>
      <c r="AS181" s="0" t="str">
        <f aca="false">_xlfn.TEXTJOIN("; ",TRUE(),IF(AU181&lt;&gt;"pass","gated out",""),IF(AO181="Y","on hold: "&amp;AP181,""),IF(C181="","no contact named on an opened page",""))</f>
        <v/>
      </c>
      <c r="AU181" s="0" t="s">
        <v>181</v>
      </c>
      <c r="AW181" s="0" t="s">
        <v>182</v>
      </c>
      <c r="AY181" s="0" t="s">
        <v>8609</v>
      </c>
      <c r="AZ181" s="0" t="s">
        <v>5488</v>
      </c>
      <c r="BA181" s="0" t="s">
        <v>5329</v>
      </c>
      <c r="BB181" s="0" t="s">
        <v>163</v>
      </c>
      <c r="BD181" s="0" t="s">
        <v>168</v>
      </c>
      <c r="BE181" s="0" t="s">
        <v>8610</v>
      </c>
      <c r="BF181" s="0" t="s">
        <v>163</v>
      </c>
      <c r="BG181" s="0" t="s">
        <v>168</v>
      </c>
      <c r="BH181" s="0" t="s">
        <v>163</v>
      </c>
      <c r="BJ181" s="0" t="s">
        <v>163</v>
      </c>
      <c r="BK181" s="0" t="s">
        <v>162</v>
      </c>
      <c r="BL181" s="0" t="s">
        <v>162</v>
      </c>
      <c r="BO181" s="0" t="s">
        <v>162</v>
      </c>
      <c r="BP181" s="0" t="n">
        <v>0</v>
      </c>
      <c r="BR181" s="0" t="s">
        <v>6762</v>
      </c>
      <c r="BS181" s="0" t="s">
        <v>8611</v>
      </c>
      <c r="BT181" s="0" t="s">
        <v>8612</v>
      </c>
      <c r="BU181" s="0" t="s">
        <v>4694</v>
      </c>
      <c r="BV181" s="0" t="n">
        <v>95</v>
      </c>
      <c r="BW181" s="0" t="s">
        <v>6197</v>
      </c>
      <c r="BX181" s="0" t="s">
        <v>8613</v>
      </c>
      <c r="CF181" s="0" t="s">
        <v>158</v>
      </c>
      <c r="CK181" s="0" t="s">
        <v>158</v>
      </c>
      <c r="CL181" s="0" t="n">
        <v>36</v>
      </c>
      <c r="CM181" s="0" t="n">
        <v>6</v>
      </c>
      <c r="CN181" s="0" t="n">
        <v>3</v>
      </c>
      <c r="CO181" s="0" t="n">
        <v>8</v>
      </c>
      <c r="CP181" s="0" t="n">
        <v>5</v>
      </c>
      <c r="CQ181" s="0" t="n">
        <v>8</v>
      </c>
      <c r="CR181" s="0" t="n">
        <v>6</v>
      </c>
      <c r="CS181" s="0" t="n">
        <f aca="false">IF(R181="Y",10,0)</f>
        <v>0</v>
      </c>
      <c r="CT181" s="0" t="n">
        <v>0</v>
      </c>
      <c r="CU181" s="0" t="s">
        <v>8614</v>
      </c>
      <c r="CV181" s="0" t="s">
        <v>4841</v>
      </c>
      <c r="CW181" s="0" t="s">
        <v>8615</v>
      </c>
      <c r="CX181" s="0" t="s">
        <v>8616</v>
      </c>
      <c r="CY181" s="0" t="s">
        <v>8617</v>
      </c>
      <c r="DA181" s="0" t="s">
        <v>6234</v>
      </c>
      <c r="DY181" s="0" t="str">
        <f aca="false">IF(ISNUMBER(MATCH(U181,{"queued","contacted","replied","call_booked","call_done","yes_in_principle","materials_sent"},0)),"Y","N")</f>
        <v>N</v>
      </c>
      <c r="DZ181" s="0" t="str">
        <f aca="false">IF(COUNTIFS($AN$2:$AN$1000,AN181,$DY$2:$DY$1000,"Y")+COUNTIFS($AN$2:$AN$1000,AN181,$T$2:$T$1000,"Y")&gt;0,"Y","N")</f>
        <v>N</v>
      </c>
      <c r="EA181" s="0" t="str">
        <f aca="false">IF(AND(U181="new",T181="N",AR181="Y",AQ181="",DZ181="N"),"Y","N")</f>
        <v>Y</v>
      </c>
      <c r="EB181" s="0" t="str">
        <f aca="false">IF(EA181&lt;&gt;"Y","N",IF(COUNTIFS($AN$2:$AN$1000,AN181,$EA$2:$EA$1000,"Y",$J$2:$J$1000,"&gt;"&amp;J181)+COUNTIFS($AN$2:$AN$1000,AN181,$EA$2:$EA$1000,"Y",$J$2:$J$1000,J181,$ED$2:$ED$1000,"&lt;"&amp;ED181)=0,"Y","N"))</f>
        <v>Y</v>
      </c>
      <c r="EC181" s="0" t="str">
        <f aca="false">IF(Y181="","N",IF(Y181&lt;=10,"Y","N"))</f>
        <v>N</v>
      </c>
      <c r="ED181" s="0" t="n">
        <f aca="false">ROW()-1</f>
        <v>180</v>
      </c>
    </row>
    <row r="182" customFormat="false" ht="15" hidden="false" customHeight="false" outlineLevel="0" collapsed="false">
      <c r="A182" s="0" t="s">
        <v>8618</v>
      </c>
      <c r="B182" s="0" t="s">
        <v>8619</v>
      </c>
      <c r="C182" s="0" t="s">
        <v>981</v>
      </c>
      <c r="D182" s="0" t="s">
        <v>6047</v>
      </c>
      <c r="E182" s="0" t="s">
        <v>8620</v>
      </c>
      <c r="H182" s="5" t="s">
        <v>158</v>
      </c>
      <c r="I182" s="5" t="s">
        <v>159</v>
      </c>
      <c r="J182" s="0" t="n">
        <f aca="false">IF(AU182="pass",CM182+CN182+CO182+CP182+CQ182+CR182+CS182+CT182,0)</f>
        <v>36</v>
      </c>
      <c r="K182" s="0" t="s">
        <v>8621</v>
      </c>
      <c r="M182" s="0" t="s">
        <v>5291</v>
      </c>
      <c r="N182" s="0" t="s">
        <v>598</v>
      </c>
      <c r="O182" s="0" t="s">
        <v>8622</v>
      </c>
      <c r="P182" s="0" t="s">
        <v>8623</v>
      </c>
      <c r="Q182" s="0" t="s">
        <v>8624</v>
      </c>
      <c r="R182" s="5" t="s">
        <v>162</v>
      </c>
      <c r="S182" s="0" t="s">
        <v>163</v>
      </c>
      <c r="T182" s="5" t="s">
        <v>162</v>
      </c>
      <c r="U182" s="5" t="s">
        <v>561</v>
      </c>
      <c r="V182" s="0" t="s">
        <v>8625</v>
      </c>
      <c r="W182" s="0" t="s">
        <v>166</v>
      </c>
      <c r="X182" s="0" t="s">
        <v>4585</v>
      </c>
      <c r="Y182" s="0" t="n">
        <f aca="false">IF(EB182&lt;&gt;"Y","",COUNTIFS($EB$2:$EB$1000,"Y",$J$2:$J$1000,"&gt;"&amp;J182)+COUNTIFS($EB$2:$EB$1000,"Y",$J$2:$J$1000,J182,$ED$2:$ED$1000,"&lt;"&amp;ED182)+1)</f>
        <v>146</v>
      </c>
      <c r="Z182" s="0" t="n">
        <v>181</v>
      </c>
      <c r="AA182" s="0" t="s">
        <v>162</v>
      </c>
      <c r="AB182" s="0" t="s">
        <v>8626</v>
      </c>
      <c r="AC182" s="0" t="s">
        <v>4587</v>
      </c>
      <c r="AD182" s="0" t="s">
        <v>171</v>
      </c>
      <c r="AE182" s="0" t="s">
        <v>1189</v>
      </c>
      <c r="AF182" s="0" t="s">
        <v>8627</v>
      </c>
      <c r="AG182" s="0" t="s">
        <v>166</v>
      </c>
      <c r="AH182" s="0" t="s">
        <v>8628</v>
      </c>
      <c r="AI182" s="0" t="s">
        <v>5924</v>
      </c>
      <c r="AJ182" s="0" t="s">
        <v>8629</v>
      </c>
      <c r="AK182" s="0" t="s">
        <v>8630</v>
      </c>
      <c r="AL182" s="0" t="s">
        <v>168</v>
      </c>
      <c r="AM182" s="0" t="s">
        <v>8631</v>
      </c>
      <c r="AN182" s="0" t="s">
        <v>8618</v>
      </c>
      <c r="AO182" s="5" t="s">
        <v>162</v>
      </c>
      <c r="AR182" s="0" t="str">
        <f aca="false">IF(AND(AU182="pass",AO182&lt;&gt;"Y",C182&lt;&gt;""),"Y","N")</f>
        <v>Y</v>
      </c>
      <c r="AS182" s="0" t="str">
        <f aca="false">_xlfn.TEXTJOIN("; ",TRUE(),IF(AU182&lt;&gt;"pass","gated out",""),IF(AO182="Y","on hold: "&amp;AP182,""),IF(C182="","no contact named on an opened page",""))</f>
        <v/>
      </c>
      <c r="AU182" s="0" t="s">
        <v>181</v>
      </c>
      <c r="AW182" s="0" t="s">
        <v>182</v>
      </c>
      <c r="AX182" s="0" t="s">
        <v>4594</v>
      </c>
      <c r="AY182" s="0" t="s">
        <v>8630</v>
      </c>
      <c r="AZ182" s="0" t="s">
        <v>6689</v>
      </c>
      <c r="BA182" s="0" t="s">
        <v>5191</v>
      </c>
      <c r="BB182" s="0" t="s">
        <v>163</v>
      </c>
      <c r="BD182" s="0" t="s">
        <v>163</v>
      </c>
      <c r="BE182" s="0" t="s">
        <v>8632</v>
      </c>
      <c r="BF182" s="0" t="s">
        <v>168</v>
      </c>
      <c r="BG182" s="0" t="s">
        <v>168</v>
      </c>
      <c r="BH182" s="0" t="s">
        <v>163</v>
      </c>
      <c r="BJ182" s="0" t="s">
        <v>5549</v>
      </c>
      <c r="BK182" s="0" t="s">
        <v>168</v>
      </c>
      <c r="BL182" s="0" t="s">
        <v>162</v>
      </c>
      <c r="BO182" s="0" t="s">
        <v>162</v>
      </c>
      <c r="BP182" s="0" t="n">
        <v>0</v>
      </c>
      <c r="BS182" s="0" t="s">
        <v>8243</v>
      </c>
      <c r="BU182" s="0" t="s">
        <v>4694</v>
      </c>
      <c r="BV182" s="0" t="n">
        <v>28</v>
      </c>
      <c r="BX182" s="0" t="s">
        <v>8633</v>
      </c>
      <c r="CF182" s="0" t="s">
        <v>158</v>
      </c>
      <c r="CK182" s="0" t="s">
        <v>158</v>
      </c>
      <c r="CL182" s="0" t="n">
        <v>36</v>
      </c>
      <c r="CM182" s="0" t="n">
        <v>6</v>
      </c>
      <c r="CN182" s="0" t="n">
        <v>8</v>
      </c>
      <c r="CO182" s="0" t="n">
        <v>8</v>
      </c>
      <c r="CP182" s="0" t="n">
        <v>5</v>
      </c>
      <c r="CQ182" s="0" t="n">
        <v>7</v>
      </c>
      <c r="CR182" s="0" t="n">
        <v>6</v>
      </c>
      <c r="CS182" s="0" t="n">
        <f aca="false">IF(R182="Y",10,0)</f>
        <v>0</v>
      </c>
      <c r="CT182" s="0" t="n">
        <v>-4</v>
      </c>
      <c r="CU182" s="0" t="s">
        <v>8634</v>
      </c>
      <c r="CV182" s="0" t="s">
        <v>5562</v>
      </c>
      <c r="CW182" s="0" t="s">
        <v>8635</v>
      </c>
      <c r="CX182" s="0" t="s">
        <v>8636</v>
      </c>
      <c r="CY182" s="0" t="s">
        <v>8637</v>
      </c>
      <c r="DA182" s="0" t="s">
        <v>6234</v>
      </c>
      <c r="DY182" s="0" t="str">
        <f aca="false">IF(ISNUMBER(MATCH(U182,{"queued","contacted","replied","call_booked","call_done","yes_in_principle","materials_sent"},0)),"Y","N")</f>
        <v>N</v>
      </c>
      <c r="DZ182" s="0" t="str">
        <f aca="false">IF(COUNTIFS($AN$2:$AN$1000,AN182,$DY$2:$DY$1000,"Y")+COUNTIFS($AN$2:$AN$1000,AN182,$T$2:$T$1000,"Y")&gt;0,"Y","N")</f>
        <v>N</v>
      </c>
      <c r="EA182" s="0" t="str">
        <f aca="false">IF(AND(U182="new",T182="N",AR182="Y",AQ182="",DZ182="N"),"Y","N")</f>
        <v>Y</v>
      </c>
      <c r="EB182" s="0" t="str">
        <f aca="false">IF(EA182&lt;&gt;"Y","N",IF(COUNTIFS($AN$2:$AN$1000,AN182,$EA$2:$EA$1000,"Y",$J$2:$J$1000,"&gt;"&amp;J182)+COUNTIFS($AN$2:$AN$1000,AN182,$EA$2:$EA$1000,"Y",$J$2:$J$1000,J182,$ED$2:$ED$1000,"&lt;"&amp;ED182)=0,"Y","N"))</f>
        <v>Y</v>
      </c>
      <c r="EC182" s="0" t="str">
        <f aca="false">IF(Y182="","N",IF(Y182&lt;=10,"Y","N"))</f>
        <v>N</v>
      </c>
      <c r="ED182" s="0" t="n">
        <f aca="false">ROW()-1</f>
        <v>181</v>
      </c>
    </row>
    <row r="183" customFormat="false" ht="15" hidden="false" customHeight="false" outlineLevel="0" collapsed="false">
      <c r="A183" s="0" t="s">
        <v>8638</v>
      </c>
      <c r="B183" s="0" t="s">
        <v>8639</v>
      </c>
      <c r="C183" s="0" t="s">
        <v>8640</v>
      </c>
      <c r="D183" s="0" t="s">
        <v>163</v>
      </c>
      <c r="E183" s="0" t="s">
        <v>5702</v>
      </c>
      <c r="H183" s="5" t="s">
        <v>158</v>
      </c>
      <c r="I183" s="5" t="s">
        <v>159</v>
      </c>
      <c r="J183" s="0" t="n">
        <f aca="false">IF(AU183="pass",CM183+CN183+CO183+CP183+CQ183+CR183+CS183+CT183,0)</f>
        <v>36</v>
      </c>
      <c r="K183" s="0" t="s">
        <v>8641</v>
      </c>
      <c r="M183" s="0" t="s">
        <v>5291</v>
      </c>
      <c r="N183" s="0" t="s">
        <v>598</v>
      </c>
      <c r="O183" s="0" t="s">
        <v>8642</v>
      </c>
      <c r="P183" s="0" t="s">
        <v>8643</v>
      </c>
      <c r="Q183" s="0" t="s">
        <v>2650</v>
      </c>
      <c r="R183" s="5" t="s">
        <v>162</v>
      </c>
      <c r="S183" s="0" t="s">
        <v>163</v>
      </c>
      <c r="T183" s="5" t="s">
        <v>162</v>
      </c>
      <c r="U183" s="5" t="s">
        <v>561</v>
      </c>
      <c r="V183" s="0" t="s">
        <v>8644</v>
      </c>
      <c r="W183" s="0" t="s">
        <v>174</v>
      </c>
      <c r="X183" s="0" t="s">
        <v>4585</v>
      </c>
      <c r="Y183" s="0" t="n">
        <f aca="false">IF(EB183&lt;&gt;"Y","",COUNTIFS($EB$2:$EB$1000,"Y",$J$2:$J$1000,"&gt;"&amp;J183)+COUNTIFS($EB$2:$EB$1000,"Y",$J$2:$J$1000,J183,$ED$2:$ED$1000,"&lt;"&amp;ED183)+1)</f>
        <v>147</v>
      </c>
      <c r="Z183" s="0" t="n">
        <v>182</v>
      </c>
      <c r="AA183" s="0" t="s">
        <v>162</v>
      </c>
      <c r="AB183" s="0" t="s">
        <v>8645</v>
      </c>
      <c r="AC183" s="0" t="s">
        <v>4587</v>
      </c>
      <c r="AD183" s="0" t="s">
        <v>5008</v>
      </c>
      <c r="AE183" s="0" t="s">
        <v>172</v>
      </c>
      <c r="AF183" s="0" t="s">
        <v>8646</v>
      </c>
      <c r="AG183" s="0" t="s">
        <v>174</v>
      </c>
      <c r="AH183" s="0" t="s">
        <v>8647</v>
      </c>
      <c r="AI183" s="0" t="s">
        <v>4975</v>
      </c>
      <c r="AJ183" s="0" t="s">
        <v>8648</v>
      </c>
      <c r="AK183" s="0" t="s">
        <v>8649</v>
      </c>
      <c r="AL183" s="0" t="s">
        <v>168</v>
      </c>
      <c r="AM183" s="0" t="s">
        <v>8650</v>
      </c>
      <c r="AN183" s="0" t="s">
        <v>8638</v>
      </c>
      <c r="AO183" s="5" t="s">
        <v>162</v>
      </c>
      <c r="AR183" s="0" t="str">
        <f aca="false">IF(AND(AU183="pass",AO183&lt;&gt;"Y",C183&lt;&gt;""),"Y","N")</f>
        <v>Y</v>
      </c>
      <c r="AS183" s="0" t="str">
        <f aca="false">_xlfn.TEXTJOIN("; ",TRUE(),IF(AU183&lt;&gt;"pass","gated out",""),IF(AO183="Y","on hold: "&amp;AP183,""),IF(C183="","no contact named on an opened page",""))</f>
        <v/>
      </c>
      <c r="AU183" s="0" t="s">
        <v>181</v>
      </c>
      <c r="AW183" s="0" t="s">
        <v>182</v>
      </c>
      <c r="AX183" s="0" t="s">
        <v>4594</v>
      </c>
      <c r="AY183" s="0" t="s">
        <v>8649</v>
      </c>
      <c r="AZ183" s="0" t="s">
        <v>6032</v>
      </c>
      <c r="BA183" s="0" t="s">
        <v>5191</v>
      </c>
      <c r="BB183" s="0" t="s">
        <v>163</v>
      </c>
      <c r="BD183" s="0" t="s">
        <v>168</v>
      </c>
      <c r="BE183" s="0" t="s">
        <v>8651</v>
      </c>
      <c r="BF183" s="0" t="s">
        <v>168</v>
      </c>
      <c r="BG183" s="0" t="s">
        <v>168</v>
      </c>
      <c r="BH183" s="0" t="s">
        <v>163</v>
      </c>
      <c r="BJ183" s="0" t="s">
        <v>5143</v>
      </c>
      <c r="BK183" s="0" t="s">
        <v>162</v>
      </c>
      <c r="BL183" s="0" t="s">
        <v>162</v>
      </c>
      <c r="BO183" s="0" t="s">
        <v>162</v>
      </c>
      <c r="BP183" s="0" t="n">
        <v>0</v>
      </c>
      <c r="BS183" s="0" t="s">
        <v>163</v>
      </c>
      <c r="BU183" s="0" t="s">
        <v>4694</v>
      </c>
      <c r="BV183" s="0" t="n">
        <v>95</v>
      </c>
      <c r="BX183" s="0" t="s">
        <v>8640</v>
      </c>
      <c r="BY183" s="0" t="s">
        <v>7143</v>
      </c>
      <c r="CA183" s="0" t="s">
        <v>8652</v>
      </c>
      <c r="CB183" s="0" t="s">
        <v>8652</v>
      </c>
      <c r="CC183" s="0" t="s">
        <v>163</v>
      </c>
      <c r="CD183" s="0" t="s">
        <v>5702</v>
      </c>
      <c r="CE183" s="0" t="s">
        <v>6723</v>
      </c>
      <c r="CF183" s="0" t="s">
        <v>5008</v>
      </c>
      <c r="CG183" s="0" t="s">
        <v>7143</v>
      </c>
      <c r="CK183" s="0" t="s">
        <v>158</v>
      </c>
      <c r="CL183" s="0" t="n">
        <v>36</v>
      </c>
      <c r="CM183" s="0" t="n">
        <v>6</v>
      </c>
      <c r="CN183" s="0" t="n">
        <v>8</v>
      </c>
      <c r="CO183" s="0" t="n">
        <v>8</v>
      </c>
      <c r="CP183" s="0" t="n">
        <v>5</v>
      </c>
      <c r="CQ183" s="0" t="n">
        <v>10</v>
      </c>
      <c r="CR183" s="0" t="n">
        <v>3</v>
      </c>
      <c r="CS183" s="0" t="n">
        <f aca="false">IF(R183="Y",10,0)</f>
        <v>0</v>
      </c>
      <c r="CT183" s="0" t="n">
        <v>-4</v>
      </c>
      <c r="CU183" s="0" t="s">
        <v>8653</v>
      </c>
      <c r="CV183" s="0" t="s">
        <v>5150</v>
      </c>
      <c r="CW183" s="0" t="s">
        <v>8654</v>
      </c>
      <c r="CX183" s="0" t="s">
        <v>8655</v>
      </c>
      <c r="CZ183" s="0" t="s">
        <v>8646</v>
      </c>
      <c r="DA183" s="0" t="s">
        <v>6234</v>
      </c>
      <c r="DC183" s="0" t="s">
        <v>172</v>
      </c>
      <c r="DY183" s="0" t="str">
        <f aca="false">IF(ISNUMBER(MATCH(U183,{"queued","contacted","replied","call_booked","call_done","yes_in_principle","materials_sent"},0)),"Y","N")</f>
        <v>N</v>
      </c>
      <c r="DZ183" s="0" t="str">
        <f aca="false">IF(COUNTIFS($AN$2:$AN$1000,AN183,$DY$2:$DY$1000,"Y")+COUNTIFS($AN$2:$AN$1000,AN183,$T$2:$T$1000,"Y")&gt;0,"Y","N")</f>
        <v>N</v>
      </c>
      <c r="EA183" s="0" t="str">
        <f aca="false">IF(AND(U183="new",T183="N",AR183="Y",AQ183="",DZ183="N"),"Y","N")</f>
        <v>Y</v>
      </c>
      <c r="EB183" s="0" t="str">
        <f aca="false">IF(EA183&lt;&gt;"Y","N",IF(COUNTIFS($AN$2:$AN$1000,AN183,$EA$2:$EA$1000,"Y",$J$2:$J$1000,"&gt;"&amp;J183)+COUNTIFS($AN$2:$AN$1000,AN183,$EA$2:$EA$1000,"Y",$J$2:$J$1000,J183,$ED$2:$ED$1000,"&lt;"&amp;ED183)=0,"Y","N"))</f>
        <v>Y</v>
      </c>
      <c r="EC183" s="0" t="str">
        <f aca="false">IF(Y183="","N",IF(Y183&lt;=10,"Y","N"))</f>
        <v>N</v>
      </c>
      <c r="ED183" s="0" t="n">
        <f aca="false">ROW()-1</f>
        <v>182</v>
      </c>
    </row>
    <row r="184" customFormat="false" ht="15" hidden="false" customHeight="false" outlineLevel="0" collapsed="false">
      <c r="A184" s="0" t="s">
        <v>8656</v>
      </c>
      <c r="B184" s="0" t="s">
        <v>8657</v>
      </c>
      <c r="C184" s="0" t="s">
        <v>8658</v>
      </c>
      <c r="D184" s="0" t="s">
        <v>8659</v>
      </c>
      <c r="E184" s="0" t="s">
        <v>7354</v>
      </c>
      <c r="H184" s="5" t="s">
        <v>158</v>
      </c>
      <c r="I184" s="5" t="s">
        <v>159</v>
      </c>
      <c r="J184" s="0" t="n">
        <f aca="false">IF(AU184="pass",CM184+CN184+CO184+CP184+CQ184+CR184+CS184+CT184,0)</f>
        <v>36</v>
      </c>
      <c r="K184" s="0" t="s">
        <v>8660</v>
      </c>
      <c r="M184" s="0" t="s">
        <v>5291</v>
      </c>
      <c r="N184" s="0" t="s">
        <v>598</v>
      </c>
      <c r="O184" s="0" t="s">
        <v>8661</v>
      </c>
      <c r="P184" s="0" t="s">
        <v>8662</v>
      </c>
      <c r="Q184" s="0" t="s">
        <v>4685</v>
      </c>
      <c r="R184" s="5" t="s">
        <v>162</v>
      </c>
      <c r="S184" s="0" t="s">
        <v>163</v>
      </c>
      <c r="T184" s="5" t="s">
        <v>162</v>
      </c>
      <c r="U184" s="5" t="s">
        <v>561</v>
      </c>
      <c r="V184" s="0" t="s">
        <v>8663</v>
      </c>
      <c r="W184" s="0" t="s">
        <v>166</v>
      </c>
      <c r="X184" s="0" t="s">
        <v>4585</v>
      </c>
      <c r="Y184" s="0" t="n">
        <f aca="false">IF(EB184&lt;&gt;"Y","",COUNTIFS($EB$2:$EB$1000,"Y",$J$2:$J$1000,"&gt;"&amp;J184)+COUNTIFS($EB$2:$EB$1000,"Y",$J$2:$J$1000,J184,$ED$2:$ED$1000,"&lt;"&amp;ED184)+1)</f>
        <v>148</v>
      </c>
      <c r="Z184" s="0" t="n">
        <v>183</v>
      </c>
      <c r="AA184" s="0" t="s">
        <v>162</v>
      </c>
      <c r="AB184" s="0" t="s">
        <v>8664</v>
      </c>
      <c r="AC184" s="0" t="s">
        <v>4587</v>
      </c>
      <c r="AD184" s="0" t="s">
        <v>171</v>
      </c>
      <c r="AE184" s="0" t="s">
        <v>172</v>
      </c>
      <c r="AF184" s="0" t="s">
        <v>8663</v>
      </c>
      <c r="AG184" s="0" t="s">
        <v>166</v>
      </c>
      <c r="AH184" s="0" t="s">
        <v>8665</v>
      </c>
      <c r="AI184" s="0" t="s">
        <v>4826</v>
      </c>
      <c r="AJ184" s="0" t="s">
        <v>8666</v>
      </c>
      <c r="AK184" s="0" t="s">
        <v>8667</v>
      </c>
      <c r="AL184" s="0" t="s">
        <v>162</v>
      </c>
      <c r="AN184" s="0" t="s">
        <v>8656</v>
      </c>
      <c r="AO184" s="5" t="s">
        <v>162</v>
      </c>
      <c r="AR184" s="0" t="str">
        <f aca="false">IF(AND(AU184="pass",AO184&lt;&gt;"Y",C184&lt;&gt;""),"Y","N")</f>
        <v>Y</v>
      </c>
      <c r="AS184" s="0" t="str">
        <f aca="false">_xlfn.TEXTJOIN("; ",TRUE(),IF(AU184&lt;&gt;"pass","gated out",""),IF(AO184="Y","on hold: "&amp;AP184,""),IF(C184="","no contact named on an opened page",""))</f>
        <v/>
      </c>
      <c r="AU184" s="0" t="s">
        <v>181</v>
      </c>
      <c r="AW184" s="0" t="s">
        <v>182</v>
      </c>
      <c r="AY184" s="0" t="s">
        <v>8667</v>
      </c>
      <c r="AZ184" s="0" t="s">
        <v>5657</v>
      </c>
      <c r="BA184" s="0" t="s">
        <v>5329</v>
      </c>
      <c r="BB184" s="0" t="s">
        <v>163</v>
      </c>
      <c r="BD184" s="0" t="s">
        <v>168</v>
      </c>
      <c r="BE184" s="0" t="s">
        <v>8668</v>
      </c>
      <c r="BF184" s="0" t="s">
        <v>163</v>
      </c>
      <c r="BG184" s="0" t="s">
        <v>168</v>
      </c>
      <c r="BH184" s="0" t="s">
        <v>163</v>
      </c>
      <c r="BJ184" s="0" t="s">
        <v>163</v>
      </c>
      <c r="BK184" s="0" t="s">
        <v>162</v>
      </c>
      <c r="BL184" s="0" t="s">
        <v>162</v>
      </c>
      <c r="BO184" s="0" t="s">
        <v>162</v>
      </c>
      <c r="BP184" s="0" t="n">
        <v>0</v>
      </c>
      <c r="BR184" s="0" t="s">
        <v>6762</v>
      </c>
      <c r="BS184" s="0" t="s">
        <v>6875</v>
      </c>
      <c r="BT184" s="0" t="s">
        <v>8669</v>
      </c>
      <c r="BU184" s="0" t="s">
        <v>4694</v>
      </c>
      <c r="BV184" s="0" t="n">
        <v>22</v>
      </c>
      <c r="BX184" s="0" t="s">
        <v>8670</v>
      </c>
      <c r="CF184" s="0" t="s">
        <v>158</v>
      </c>
      <c r="CK184" s="0" t="s">
        <v>158</v>
      </c>
      <c r="CL184" s="0" t="n">
        <v>36</v>
      </c>
      <c r="CM184" s="0" t="n">
        <v>6</v>
      </c>
      <c r="CN184" s="0" t="n">
        <v>3</v>
      </c>
      <c r="CO184" s="0" t="n">
        <v>8</v>
      </c>
      <c r="CP184" s="0" t="n">
        <v>5</v>
      </c>
      <c r="CQ184" s="0" t="n">
        <v>8</v>
      </c>
      <c r="CR184" s="0" t="n">
        <v>6</v>
      </c>
      <c r="CS184" s="0" t="n">
        <f aca="false">IF(R184="Y",10,0)</f>
        <v>0</v>
      </c>
      <c r="CT184" s="0" t="n">
        <v>0</v>
      </c>
      <c r="CU184" s="0" t="s">
        <v>8671</v>
      </c>
      <c r="CV184" s="0" t="s">
        <v>4841</v>
      </c>
      <c r="CW184" s="0" t="s">
        <v>8672</v>
      </c>
      <c r="CX184" s="0" t="s">
        <v>8673</v>
      </c>
      <c r="CY184" s="0" t="s">
        <v>8674</v>
      </c>
      <c r="DA184" s="0" t="s">
        <v>6234</v>
      </c>
      <c r="DY184" s="0" t="str">
        <f aca="false">IF(ISNUMBER(MATCH(U184,{"queued","contacted","replied","call_booked","call_done","yes_in_principle","materials_sent"},0)),"Y","N")</f>
        <v>N</v>
      </c>
      <c r="DZ184" s="0" t="str">
        <f aca="false">IF(COUNTIFS($AN$2:$AN$1000,AN184,$DY$2:$DY$1000,"Y")+COUNTIFS($AN$2:$AN$1000,AN184,$T$2:$T$1000,"Y")&gt;0,"Y","N")</f>
        <v>N</v>
      </c>
      <c r="EA184" s="0" t="str">
        <f aca="false">IF(AND(U184="new",T184="N",AR184="Y",AQ184="",DZ184="N"),"Y","N")</f>
        <v>Y</v>
      </c>
      <c r="EB184" s="0" t="str">
        <f aca="false">IF(EA184&lt;&gt;"Y","N",IF(COUNTIFS($AN$2:$AN$1000,AN184,$EA$2:$EA$1000,"Y",$J$2:$J$1000,"&gt;"&amp;J184)+COUNTIFS($AN$2:$AN$1000,AN184,$EA$2:$EA$1000,"Y",$J$2:$J$1000,J184,$ED$2:$ED$1000,"&lt;"&amp;ED184)=0,"Y","N"))</f>
        <v>Y</v>
      </c>
      <c r="EC184" s="0" t="str">
        <f aca="false">IF(Y184="","N",IF(Y184&lt;=10,"Y","N"))</f>
        <v>N</v>
      </c>
      <c r="ED184" s="0" t="n">
        <f aca="false">ROW()-1</f>
        <v>183</v>
      </c>
    </row>
    <row r="185" customFormat="false" ht="15" hidden="false" customHeight="false" outlineLevel="0" collapsed="false">
      <c r="A185" s="0" t="s">
        <v>8675</v>
      </c>
      <c r="B185" s="0" t="s">
        <v>8676</v>
      </c>
      <c r="H185" s="5" t="s">
        <v>158</v>
      </c>
      <c r="I185" s="5"/>
      <c r="J185" s="0" t="n">
        <f aca="false">IF(AU185="pass",CM185+CN185+CO185+CP185+CQ185+CR185+CS185+CT185,0)</f>
        <v>36</v>
      </c>
      <c r="K185" s="0" t="s">
        <v>8677</v>
      </c>
      <c r="M185" s="0" t="s">
        <v>5291</v>
      </c>
      <c r="N185" s="0" t="s">
        <v>598</v>
      </c>
      <c r="R185" s="5" t="s">
        <v>162</v>
      </c>
      <c r="S185" s="0" t="s">
        <v>163</v>
      </c>
      <c r="T185" s="5" t="s">
        <v>162</v>
      </c>
      <c r="U185" s="5" t="s">
        <v>561</v>
      </c>
      <c r="V185" s="0" t="s">
        <v>7756</v>
      </c>
      <c r="W185" s="0" t="s">
        <v>174</v>
      </c>
      <c r="X185" s="0" t="s">
        <v>4585</v>
      </c>
      <c r="Y185" s="0" t="str">
        <f aca="false">IF(EB185&lt;&gt;"Y","",COUNTIFS($EB$2:$EB$1000,"Y",$J$2:$J$1000,"&gt;"&amp;J185)+COUNTIFS($EB$2:$EB$1000,"Y",$J$2:$J$1000,J185,$ED$2:$ED$1000,"&lt;"&amp;ED185)+1)</f>
        <v/>
      </c>
      <c r="Z185" s="0" t="n">
        <v>184</v>
      </c>
      <c r="AA185" s="0" t="s">
        <v>162</v>
      </c>
      <c r="AB185" s="0" t="s">
        <v>8678</v>
      </c>
      <c r="AD185" s="0" t="s">
        <v>158</v>
      </c>
      <c r="AH185" s="0" t="s">
        <v>8679</v>
      </c>
      <c r="AI185" s="0" t="s">
        <v>4664</v>
      </c>
      <c r="AJ185" s="0" t="s">
        <v>8680</v>
      </c>
      <c r="AK185" s="0" t="s">
        <v>8681</v>
      </c>
      <c r="AL185" s="0" t="s">
        <v>168</v>
      </c>
      <c r="AM185" s="0" t="s">
        <v>8682</v>
      </c>
      <c r="AN185" s="0" t="s">
        <v>8675</v>
      </c>
      <c r="AO185" s="5" t="s">
        <v>162</v>
      </c>
      <c r="AR185" s="0" t="str">
        <f aca="false">IF(AND(AU185="pass",AO185&lt;&gt;"Y",C185&lt;&gt;""),"Y","N")</f>
        <v>N</v>
      </c>
      <c r="AS185" s="0" t="str">
        <f aca="false">_xlfn.TEXTJOIN("; ",TRUE(),IF(AU185&lt;&gt;"pass","gated out",""),IF(AO185="Y","on hold: "&amp;AP185,""),IF(C185="","no contact named on an opened page",""))</f>
        <v>no contact named on an opened page</v>
      </c>
      <c r="AU185" s="0" t="s">
        <v>181</v>
      </c>
      <c r="AW185" s="0" t="s">
        <v>182</v>
      </c>
      <c r="AX185" s="0" t="s">
        <v>5270</v>
      </c>
      <c r="AY185" s="0" t="s">
        <v>8683</v>
      </c>
      <c r="AZ185" s="0" t="s">
        <v>4595</v>
      </c>
      <c r="BA185" s="0" t="s">
        <v>4596</v>
      </c>
      <c r="BB185" s="0" t="s">
        <v>163</v>
      </c>
      <c r="BD185" s="0" t="s">
        <v>168</v>
      </c>
      <c r="BE185" s="0" t="s">
        <v>8684</v>
      </c>
      <c r="BF185" s="0" t="s">
        <v>168</v>
      </c>
      <c r="BG185" s="0" t="s">
        <v>168</v>
      </c>
      <c r="BH185" s="0" t="s">
        <v>163</v>
      </c>
      <c r="BJ185" s="0" t="s">
        <v>5143</v>
      </c>
      <c r="BK185" s="0" t="s">
        <v>162</v>
      </c>
      <c r="BL185" s="0" t="s">
        <v>162</v>
      </c>
      <c r="BO185" s="0" t="s">
        <v>162</v>
      </c>
      <c r="BP185" s="0" t="n">
        <v>0</v>
      </c>
      <c r="BS185" s="0" t="s">
        <v>8685</v>
      </c>
      <c r="BT185" s="0" t="s">
        <v>8686</v>
      </c>
      <c r="BU185" s="0" t="s">
        <v>158</v>
      </c>
      <c r="CF185" s="0" t="s">
        <v>158</v>
      </c>
      <c r="CK185" s="0" t="s">
        <v>158</v>
      </c>
      <c r="CL185" s="0" t="n">
        <v>36</v>
      </c>
      <c r="CM185" s="0" t="n">
        <v>6</v>
      </c>
      <c r="CN185" s="0" t="n">
        <v>20</v>
      </c>
      <c r="CO185" s="0" t="n">
        <v>0</v>
      </c>
      <c r="CP185" s="0" t="n">
        <v>5</v>
      </c>
      <c r="CQ185" s="0" t="n">
        <v>10</v>
      </c>
      <c r="CR185" s="0" t="n">
        <v>0</v>
      </c>
      <c r="CS185" s="0" t="n">
        <f aca="false">IF(R185="Y",10,0)</f>
        <v>0</v>
      </c>
      <c r="CT185" s="0" t="n">
        <v>-5</v>
      </c>
      <c r="CU185" s="0" t="s">
        <v>8687</v>
      </c>
      <c r="CV185" s="0" t="s">
        <v>5150</v>
      </c>
      <c r="CW185" s="0" t="s">
        <v>8688</v>
      </c>
      <c r="CX185" s="0" t="s">
        <v>8689</v>
      </c>
      <c r="DA185" s="0" t="s">
        <v>6234</v>
      </c>
      <c r="DY185" s="0" t="str">
        <f aca="false">IF(ISNUMBER(MATCH(U185,{"queued","contacted","replied","call_booked","call_done","yes_in_principle","materials_sent"},0)),"Y","N")</f>
        <v>N</v>
      </c>
      <c r="DZ185" s="0" t="str">
        <f aca="false">IF(COUNTIFS($AN$2:$AN$1000,AN185,$DY$2:$DY$1000,"Y")+COUNTIFS($AN$2:$AN$1000,AN185,$T$2:$T$1000,"Y")&gt;0,"Y","N")</f>
        <v>N</v>
      </c>
      <c r="EA185" s="0" t="str">
        <f aca="false">IF(AND(U185="new",T185="N",AR185="Y",AQ185="",DZ185="N"),"Y","N")</f>
        <v>N</v>
      </c>
      <c r="EB185" s="0" t="str">
        <f aca="false">IF(EA185&lt;&gt;"Y","N",IF(COUNTIFS($AN$2:$AN$1000,AN185,$EA$2:$EA$1000,"Y",$J$2:$J$1000,"&gt;"&amp;J185)+COUNTIFS($AN$2:$AN$1000,AN185,$EA$2:$EA$1000,"Y",$J$2:$J$1000,J185,$ED$2:$ED$1000,"&lt;"&amp;ED185)=0,"Y","N"))</f>
        <v>N</v>
      </c>
      <c r="EC185" s="0" t="str">
        <f aca="false">IF(Y185="","N",IF(Y185&lt;=10,"Y","N"))</f>
        <v>N</v>
      </c>
      <c r="ED185" s="0" t="n">
        <f aca="false">ROW()-1</f>
        <v>184</v>
      </c>
    </row>
    <row r="186" customFormat="false" ht="15" hidden="false" customHeight="false" outlineLevel="0" collapsed="false">
      <c r="A186" s="0" t="s">
        <v>8690</v>
      </c>
      <c r="B186" s="0" t="s">
        <v>8691</v>
      </c>
      <c r="C186" s="0" t="s">
        <v>4940</v>
      </c>
      <c r="D186" s="0" t="s">
        <v>8692</v>
      </c>
      <c r="E186" s="0" t="s">
        <v>4910</v>
      </c>
      <c r="H186" s="5" t="s">
        <v>158</v>
      </c>
      <c r="I186" s="5" t="s">
        <v>159</v>
      </c>
      <c r="J186" s="0" t="n">
        <f aca="false">IF(AU186="pass",CM186+CN186+CO186+CP186+CQ186+CR186+CS186+CT186,0)</f>
        <v>35</v>
      </c>
      <c r="K186" s="0" t="s">
        <v>8693</v>
      </c>
      <c r="M186" s="0" t="s">
        <v>4580</v>
      </c>
      <c r="N186" s="0" t="s">
        <v>4581</v>
      </c>
      <c r="O186" s="0" t="s">
        <v>8694</v>
      </c>
      <c r="P186" s="0" t="s">
        <v>8695</v>
      </c>
      <c r="Q186" s="0" t="s">
        <v>6754</v>
      </c>
      <c r="R186" s="5" t="s">
        <v>162</v>
      </c>
      <c r="S186" s="0" t="s">
        <v>163</v>
      </c>
      <c r="T186" s="5" t="s">
        <v>162</v>
      </c>
      <c r="U186" s="5" t="s">
        <v>561</v>
      </c>
      <c r="V186" s="0" t="s">
        <v>8696</v>
      </c>
      <c r="W186" s="0" t="s">
        <v>166</v>
      </c>
      <c r="X186" s="0" t="s">
        <v>4585</v>
      </c>
      <c r="Y186" s="0" t="n">
        <f aca="false">IF(EB186&lt;&gt;"Y","",COUNTIFS($EB$2:$EB$1000,"Y",$J$2:$J$1000,"&gt;"&amp;J186)+COUNTIFS($EB$2:$EB$1000,"Y",$J$2:$J$1000,J186,$ED$2:$ED$1000,"&lt;"&amp;ED186)+1)</f>
        <v>149</v>
      </c>
      <c r="Z186" s="0" t="n">
        <v>185</v>
      </c>
      <c r="AA186" s="0" t="s">
        <v>162</v>
      </c>
      <c r="AB186" s="0" t="s">
        <v>8697</v>
      </c>
      <c r="AC186" s="0" t="s">
        <v>4587</v>
      </c>
      <c r="AD186" s="0" t="s">
        <v>171</v>
      </c>
      <c r="AE186" s="0" t="s">
        <v>1189</v>
      </c>
      <c r="AF186" s="0" t="s">
        <v>8698</v>
      </c>
      <c r="AG186" s="0" t="s">
        <v>166</v>
      </c>
      <c r="AH186" s="0" t="s">
        <v>8699</v>
      </c>
      <c r="AI186" s="0" t="s">
        <v>4826</v>
      </c>
      <c r="AJ186" s="0" t="s">
        <v>8700</v>
      </c>
      <c r="AK186" s="0" t="s">
        <v>8701</v>
      </c>
      <c r="AL186" s="0" t="s">
        <v>168</v>
      </c>
      <c r="AM186" s="0" t="s">
        <v>8702</v>
      </c>
      <c r="AN186" s="0" t="s">
        <v>8690</v>
      </c>
      <c r="AO186" s="5" t="s">
        <v>162</v>
      </c>
      <c r="AR186" s="0" t="str">
        <f aca="false">IF(AND(AU186="pass",AO186&lt;&gt;"Y",C186&lt;&gt;""),"Y","N")</f>
        <v>Y</v>
      </c>
      <c r="AS186" s="0" t="str">
        <f aca="false">_xlfn.TEXTJOIN("; ",TRUE(),IF(AU186&lt;&gt;"pass","gated out",""),IF(AO186="Y","on hold: "&amp;AP186,""),IF(C186="","no contact named on an opened page",""))</f>
        <v/>
      </c>
      <c r="AU186" s="0" t="s">
        <v>181</v>
      </c>
      <c r="AW186" s="0" t="s">
        <v>182</v>
      </c>
      <c r="AX186" s="0" t="s">
        <v>8703</v>
      </c>
      <c r="AY186" s="0" t="s">
        <v>8701</v>
      </c>
      <c r="AZ186" s="0" t="s">
        <v>163</v>
      </c>
      <c r="BA186" s="0" t="s">
        <v>5271</v>
      </c>
      <c r="BB186" s="0" t="s">
        <v>163</v>
      </c>
      <c r="BD186" s="0" t="s">
        <v>168</v>
      </c>
      <c r="BE186" s="0" t="s">
        <v>8704</v>
      </c>
      <c r="BF186" s="0" t="s">
        <v>168</v>
      </c>
      <c r="BG186" s="0" t="s">
        <v>168</v>
      </c>
      <c r="BH186" s="0" t="s">
        <v>7179</v>
      </c>
      <c r="BI186" s="0" t="s">
        <v>6457</v>
      </c>
      <c r="BJ186" s="0" t="s">
        <v>8705</v>
      </c>
      <c r="BK186" s="0" t="s">
        <v>162</v>
      </c>
      <c r="BL186" s="0" t="s">
        <v>162</v>
      </c>
      <c r="BN186" s="0" t="n">
        <v>0</v>
      </c>
      <c r="BO186" s="0" t="s">
        <v>168</v>
      </c>
      <c r="BP186" s="0" t="n">
        <v>3</v>
      </c>
      <c r="BQ186" s="0" t="s">
        <v>4669</v>
      </c>
      <c r="BR186" s="0" t="s">
        <v>4670</v>
      </c>
      <c r="BS186" s="0" t="s">
        <v>8706</v>
      </c>
      <c r="BT186" s="0" t="s">
        <v>8707</v>
      </c>
      <c r="BU186" s="0" t="s">
        <v>4694</v>
      </c>
      <c r="BV186" s="0" t="n">
        <v>164</v>
      </c>
      <c r="BX186" s="0" t="s">
        <v>8708</v>
      </c>
      <c r="CA186" s="0" t="s">
        <v>8709</v>
      </c>
      <c r="CE186" s="0" t="s">
        <v>6260</v>
      </c>
      <c r="CF186" s="0" t="s">
        <v>598</v>
      </c>
      <c r="CG186" s="0" t="s">
        <v>7381</v>
      </c>
      <c r="CK186" s="0" t="s">
        <v>158</v>
      </c>
      <c r="CL186" s="0" t="n">
        <v>35</v>
      </c>
      <c r="CM186" s="0" t="n">
        <v>25</v>
      </c>
      <c r="CN186" s="0" t="n">
        <v>17</v>
      </c>
      <c r="CO186" s="0" t="n">
        <v>8</v>
      </c>
      <c r="CP186" s="0" t="n">
        <v>0</v>
      </c>
      <c r="CQ186" s="0" t="n">
        <v>10</v>
      </c>
      <c r="CR186" s="0" t="n">
        <v>10</v>
      </c>
      <c r="CS186" s="0" t="n">
        <f aca="false">IF(R186="Y",10,0)</f>
        <v>0</v>
      </c>
      <c r="CT186" s="0" t="n">
        <v>-35</v>
      </c>
      <c r="CV186" s="0" t="s">
        <v>4615</v>
      </c>
      <c r="CW186" s="0" t="s">
        <v>8710</v>
      </c>
      <c r="CX186" s="0" t="s">
        <v>8711</v>
      </c>
      <c r="CY186" s="0" t="s">
        <v>8712</v>
      </c>
      <c r="DA186" s="0" t="s">
        <v>6234</v>
      </c>
      <c r="DC186" s="0" t="s">
        <v>163</v>
      </c>
      <c r="DY186" s="0" t="str">
        <f aca="false">IF(ISNUMBER(MATCH(U186,{"queued","contacted","replied","call_booked","call_done","yes_in_principle","materials_sent"},0)),"Y","N")</f>
        <v>N</v>
      </c>
      <c r="DZ186" s="0" t="str">
        <f aca="false">IF(COUNTIFS($AN$2:$AN$1000,AN186,$DY$2:$DY$1000,"Y")+COUNTIFS($AN$2:$AN$1000,AN186,$T$2:$T$1000,"Y")&gt;0,"Y","N")</f>
        <v>N</v>
      </c>
      <c r="EA186" s="0" t="str">
        <f aca="false">IF(AND(U186="new",T186="N",AR186="Y",AQ186="",DZ186="N"),"Y","N")</f>
        <v>Y</v>
      </c>
      <c r="EB186" s="0" t="str">
        <f aca="false">IF(EA186&lt;&gt;"Y","N",IF(COUNTIFS($AN$2:$AN$1000,AN186,$EA$2:$EA$1000,"Y",$J$2:$J$1000,"&gt;"&amp;J186)+COUNTIFS($AN$2:$AN$1000,AN186,$EA$2:$EA$1000,"Y",$J$2:$J$1000,J186,$ED$2:$ED$1000,"&lt;"&amp;ED186)=0,"Y","N"))</f>
        <v>Y</v>
      </c>
      <c r="EC186" s="0" t="str">
        <f aca="false">IF(Y186="","N",IF(Y186&lt;=10,"Y","N"))</f>
        <v>N</v>
      </c>
      <c r="ED186" s="0" t="n">
        <f aca="false">ROW()-1</f>
        <v>185</v>
      </c>
    </row>
    <row r="187" customFormat="false" ht="15" hidden="false" customHeight="false" outlineLevel="0" collapsed="false">
      <c r="A187" s="0" t="s">
        <v>8713</v>
      </c>
      <c r="B187" s="0" t="s">
        <v>8714</v>
      </c>
      <c r="C187" s="0" t="s">
        <v>8715</v>
      </c>
      <c r="D187" s="0" t="s">
        <v>8716</v>
      </c>
      <c r="E187" s="0" t="s">
        <v>4771</v>
      </c>
      <c r="H187" s="5" t="s">
        <v>158</v>
      </c>
      <c r="I187" s="5" t="s">
        <v>159</v>
      </c>
      <c r="J187" s="0" t="n">
        <f aca="false">IF(AU187="pass",CM187+CN187+CO187+CP187+CQ187+CR187+CS187+CT187,0)</f>
        <v>35</v>
      </c>
      <c r="K187" s="0" t="s">
        <v>8717</v>
      </c>
      <c r="M187" s="0" t="s">
        <v>8718</v>
      </c>
      <c r="N187" s="0" t="s">
        <v>5021</v>
      </c>
      <c r="R187" s="5" t="s">
        <v>162</v>
      </c>
      <c r="S187" s="0" t="s">
        <v>163</v>
      </c>
      <c r="T187" s="5" t="s">
        <v>162</v>
      </c>
      <c r="U187" s="5" t="s">
        <v>561</v>
      </c>
      <c r="V187" s="0" t="s">
        <v>8719</v>
      </c>
      <c r="W187" s="0" t="s">
        <v>166</v>
      </c>
      <c r="X187" s="0" t="s">
        <v>4585</v>
      </c>
      <c r="Y187" s="0" t="n">
        <f aca="false">IF(EB187&lt;&gt;"Y","",COUNTIFS($EB$2:$EB$1000,"Y",$J$2:$J$1000,"&gt;"&amp;J187)+COUNTIFS($EB$2:$EB$1000,"Y",$J$2:$J$1000,J187,$ED$2:$ED$1000,"&lt;"&amp;ED187)+1)</f>
        <v>150</v>
      </c>
      <c r="Z187" s="0" t="n">
        <v>186</v>
      </c>
      <c r="AA187" s="0" t="s">
        <v>162</v>
      </c>
      <c r="AB187" s="0" t="s">
        <v>8720</v>
      </c>
      <c r="AC187" s="0" t="s">
        <v>4587</v>
      </c>
      <c r="AD187" s="0" t="s">
        <v>171</v>
      </c>
      <c r="AE187" s="0" t="s">
        <v>1189</v>
      </c>
      <c r="AF187" s="0" t="s">
        <v>8721</v>
      </c>
      <c r="AG187" s="0" t="s">
        <v>166</v>
      </c>
      <c r="AH187" s="0" t="s">
        <v>8722</v>
      </c>
      <c r="AI187" s="0" t="s">
        <v>5763</v>
      </c>
      <c r="AJ187" s="0" t="s">
        <v>163</v>
      </c>
      <c r="AK187" s="0" t="s">
        <v>8723</v>
      </c>
      <c r="AL187" s="0" t="s">
        <v>168</v>
      </c>
      <c r="AM187" s="0" t="s">
        <v>8724</v>
      </c>
      <c r="AN187" s="0" t="s">
        <v>8713</v>
      </c>
      <c r="AO187" s="5" t="s">
        <v>162</v>
      </c>
      <c r="AR187" s="0" t="str">
        <f aca="false">IF(AND(AU187="pass",AO187&lt;&gt;"Y",C187&lt;&gt;""),"Y","N")</f>
        <v>Y</v>
      </c>
      <c r="AS187" s="0" t="str">
        <f aca="false">_xlfn.TEXTJOIN("; ",TRUE(),IF(AU187&lt;&gt;"pass","gated out",""),IF(AO187="Y","on hold: "&amp;AP187,""),IF(C187="","no contact named on an opened page",""))</f>
        <v/>
      </c>
      <c r="AU187" s="0" t="s">
        <v>181</v>
      </c>
      <c r="AW187" s="0" t="s">
        <v>182</v>
      </c>
      <c r="AX187" s="0" t="s">
        <v>4594</v>
      </c>
      <c r="AY187" s="0" t="s">
        <v>8723</v>
      </c>
      <c r="AZ187" s="0" t="s">
        <v>163</v>
      </c>
      <c r="BA187" s="0" t="s">
        <v>163</v>
      </c>
      <c r="BB187" s="0" t="s">
        <v>163</v>
      </c>
      <c r="BD187" s="0" t="s">
        <v>163</v>
      </c>
      <c r="BE187" s="0" t="s">
        <v>5927</v>
      </c>
      <c r="BF187" s="0" t="s">
        <v>168</v>
      </c>
      <c r="BG187" s="0" t="s">
        <v>168</v>
      </c>
      <c r="BH187" s="0" t="s">
        <v>163</v>
      </c>
      <c r="BJ187" s="0" t="s">
        <v>5549</v>
      </c>
      <c r="BK187" s="0" t="s">
        <v>162</v>
      </c>
      <c r="BL187" s="0" t="s">
        <v>162</v>
      </c>
      <c r="BN187" s="0" t="n">
        <v>0</v>
      </c>
      <c r="BO187" s="0" t="s">
        <v>168</v>
      </c>
      <c r="BP187" s="0" t="n">
        <v>5</v>
      </c>
      <c r="BQ187" s="0" t="s">
        <v>8725</v>
      </c>
      <c r="BS187" s="0" t="s">
        <v>8726</v>
      </c>
      <c r="BT187" s="0" t="s">
        <v>8727</v>
      </c>
      <c r="BU187" s="0" t="s">
        <v>158</v>
      </c>
      <c r="BX187" s="0" t="s">
        <v>8728</v>
      </c>
      <c r="CF187" s="0" t="s">
        <v>158</v>
      </c>
      <c r="CK187" s="0" t="s">
        <v>158</v>
      </c>
      <c r="CL187" s="0" t="n">
        <v>35</v>
      </c>
      <c r="CM187" s="0" t="n">
        <v>17</v>
      </c>
      <c r="CN187" s="0" t="n">
        <v>4</v>
      </c>
      <c r="CO187" s="0" t="n">
        <v>0</v>
      </c>
      <c r="CP187" s="0" t="n">
        <v>5</v>
      </c>
      <c r="CQ187" s="0" t="n">
        <v>7</v>
      </c>
      <c r="CR187" s="0" t="n">
        <v>6</v>
      </c>
      <c r="CS187" s="0" t="n">
        <f aca="false">IF(R187="Y",10,0)</f>
        <v>0</v>
      </c>
      <c r="CT187" s="0" t="n">
        <v>-4</v>
      </c>
      <c r="CU187" s="0" t="s">
        <v>163</v>
      </c>
      <c r="CV187" s="0" t="s">
        <v>5562</v>
      </c>
      <c r="CW187" s="0" t="s">
        <v>8729</v>
      </c>
      <c r="CX187" s="0" t="s">
        <v>8730</v>
      </c>
      <c r="CY187" s="0" t="s">
        <v>8731</v>
      </c>
      <c r="DA187" s="0" t="s">
        <v>6234</v>
      </c>
      <c r="DY187" s="0" t="str">
        <f aca="false">IF(ISNUMBER(MATCH(U187,{"queued","contacted","replied","call_booked","call_done","yes_in_principle","materials_sent"},0)),"Y","N")</f>
        <v>N</v>
      </c>
      <c r="DZ187" s="0" t="str">
        <f aca="false">IF(COUNTIFS($AN$2:$AN$1000,AN187,$DY$2:$DY$1000,"Y")+COUNTIFS($AN$2:$AN$1000,AN187,$T$2:$T$1000,"Y")&gt;0,"Y","N")</f>
        <v>N</v>
      </c>
      <c r="EA187" s="0" t="str">
        <f aca="false">IF(AND(U187="new",T187="N",AR187="Y",AQ187="",DZ187="N"),"Y","N")</f>
        <v>Y</v>
      </c>
      <c r="EB187" s="0" t="str">
        <f aca="false">IF(EA187&lt;&gt;"Y","N",IF(COUNTIFS($AN$2:$AN$1000,AN187,$EA$2:$EA$1000,"Y",$J$2:$J$1000,"&gt;"&amp;J187)+COUNTIFS($AN$2:$AN$1000,AN187,$EA$2:$EA$1000,"Y",$J$2:$J$1000,J187,$ED$2:$ED$1000,"&lt;"&amp;ED187)=0,"Y","N"))</f>
        <v>Y</v>
      </c>
      <c r="EC187" s="0" t="str">
        <f aca="false">IF(Y187="","N",IF(Y187&lt;=10,"Y","N"))</f>
        <v>N</v>
      </c>
      <c r="ED187" s="0" t="n">
        <f aca="false">ROW()-1</f>
        <v>186</v>
      </c>
    </row>
    <row r="188" customFormat="false" ht="15" hidden="false" customHeight="false" outlineLevel="0" collapsed="false">
      <c r="A188" s="0" t="s">
        <v>8732</v>
      </c>
      <c r="B188" s="0" t="s">
        <v>8733</v>
      </c>
      <c r="C188" s="0" t="s">
        <v>8734</v>
      </c>
      <c r="D188" s="0" t="s">
        <v>8735</v>
      </c>
      <c r="E188" s="0" t="s">
        <v>4625</v>
      </c>
      <c r="H188" s="5" t="s">
        <v>158</v>
      </c>
      <c r="I188" s="5" t="s">
        <v>159</v>
      </c>
      <c r="J188" s="0" t="n">
        <f aca="false">IF(AU188="pass",CM188+CN188+CO188+CP188+CQ188+CR188+CS188+CT188,0)</f>
        <v>35</v>
      </c>
      <c r="K188" s="0" t="s">
        <v>8736</v>
      </c>
      <c r="M188" s="0" t="s">
        <v>5291</v>
      </c>
      <c r="N188" s="0" t="s">
        <v>598</v>
      </c>
      <c r="O188" s="0" t="s">
        <v>8737</v>
      </c>
      <c r="P188" s="0" t="s">
        <v>8738</v>
      </c>
      <c r="Q188" s="0" t="s">
        <v>4821</v>
      </c>
      <c r="R188" s="5" t="s">
        <v>162</v>
      </c>
      <c r="S188" s="0" t="s">
        <v>163</v>
      </c>
      <c r="T188" s="5" t="s">
        <v>162</v>
      </c>
      <c r="U188" s="5" t="s">
        <v>561</v>
      </c>
      <c r="V188" s="0" t="s">
        <v>8739</v>
      </c>
      <c r="W188" s="0" t="s">
        <v>166</v>
      </c>
      <c r="X188" s="0" t="s">
        <v>4585</v>
      </c>
      <c r="Y188" s="0" t="n">
        <f aca="false">IF(EB188&lt;&gt;"Y","",COUNTIFS($EB$2:$EB$1000,"Y",$J$2:$J$1000,"&gt;"&amp;J188)+COUNTIFS($EB$2:$EB$1000,"Y",$J$2:$J$1000,J188,$ED$2:$ED$1000,"&lt;"&amp;ED188)+1)</f>
        <v>151</v>
      </c>
      <c r="Z188" s="0" t="n">
        <v>187</v>
      </c>
      <c r="AA188" s="0" t="s">
        <v>162</v>
      </c>
      <c r="AB188" s="0" t="s">
        <v>8740</v>
      </c>
      <c r="AC188" s="0" t="s">
        <v>4587</v>
      </c>
      <c r="AD188" s="0" t="s">
        <v>171</v>
      </c>
      <c r="AE188" s="0" t="s">
        <v>1189</v>
      </c>
      <c r="AF188" s="0" t="s">
        <v>8741</v>
      </c>
      <c r="AG188" s="0" t="s">
        <v>166</v>
      </c>
      <c r="AH188" s="0" t="s">
        <v>8742</v>
      </c>
      <c r="AI188" s="0" t="s">
        <v>4590</v>
      </c>
      <c r="AJ188" s="0" t="s">
        <v>8743</v>
      </c>
      <c r="AK188" s="0" t="s">
        <v>8744</v>
      </c>
      <c r="AL188" s="0" t="s">
        <v>168</v>
      </c>
      <c r="AM188" s="0" t="s">
        <v>8745</v>
      </c>
      <c r="AN188" s="0" t="s">
        <v>8732</v>
      </c>
      <c r="AO188" s="5" t="s">
        <v>162</v>
      </c>
      <c r="AR188" s="0" t="str">
        <f aca="false">IF(AND(AU188="pass",AO188&lt;&gt;"Y",C188&lt;&gt;""),"Y","N")</f>
        <v>Y</v>
      </c>
      <c r="AS188" s="0" t="str">
        <f aca="false">_xlfn.TEXTJOIN("; ",TRUE(),IF(AU188&lt;&gt;"pass","gated out",""),IF(AO188="Y","on hold: "&amp;AP188,""),IF(C188="","no contact named on an opened page",""))</f>
        <v/>
      </c>
      <c r="AU188" s="0" t="s">
        <v>181</v>
      </c>
      <c r="AW188" s="0" t="s">
        <v>182</v>
      </c>
      <c r="AX188" s="0" t="s">
        <v>282</v>
      </c>
      <c r="AY188" s="0" t="s">
        <v>8744</v>
      </c>
      <c r="AZ188" s="0" t="s">
        <v>8746</v>
      </c>
      <c r="BA188" s="0" t="s">
        <v>5329</v>
      </c>
      <c r="BB188" s="0" t="s">
        <v>163</v>
      </c>
      <c r="BD188" s="0" t="s">
        <v>163</v>
      </c>
      <c r="BE188" s="0" t="s">
        <v>8632</v>
      </c>
      <c r="BF188" s="0" t="s">
        <v>163</v>
      </c>
      <c r="BG188" s="0" t="s">
        <v>168</v>
      </c>
      <c r="BH188" s="0" t="s">
        <v>163</v>
      </c>
      <c r="BJ188" s="0" t="s">
        <v>5549</v>
      </c>
      <c r="BK188" s="0" t="s">
        <v>162</v>
      </c>
      <c r="BL188" s="0" t="s">
        <v>162</v>
      </c>
      <c r="BO188" s="0" t="s">
        <v>162</v>
      </c>
      <c r="BP188" s="0" t="n">
        <v>0</v>
      </c>
      <c r="BR188" s="0" t="s">
        <v>8747</v>
      </c>
      <c r="BS188" s="0" t="s">
        <v>8748</v>
      </c>
      <c r="BT188" s="0" t="s">
        <v>8749</v>
      </c>
      <c r="BU188" s="0" t="s">
        <v>4694</v>
      </c>
      <c r="BV188" s="0" t="n">
        <v>12</v>
      </c>
      <c r="BX188" s="0" t="s">
        <v>8750</v>
      </c>
      <c r="CA188" s="0" t="s">
        <v>8751</v>
      </c>
      <c r="CB188" s="0" t="s">
        <v>8752</v>
      </c>
      <c r="CC188" s="0" t="s">
        <v>8753</v>
      </c>
      <c r="CD188" s="0" t="s">
        <v>8754</v>
      </c>
      <c r="CE188" s="0" t="s">
        <v>6260</v>
      </c>
      <c r="CF188" s="0" t="s">
        <v>171</v>
      </c>
      <c r="CK188" s="0" t="s">
        <v>158</v>
      </c>
      <c r="CL188" s="0" t="n">
        <v>35</v>
      </c>
      <c r="CM188" s="0" t="n">
        <v>6</v>
      </c>
      <c r="CN188" s="0" t="n">
        <v>3</v>
      </c>
      <c r="CO188" s="0" t="n">
        <v>8</v>
      </c>
      <c r="CP188" s="0" t="n">
        <v>5</v>
      </c>
      <c r="CQ188" s="0" t="n">
        <v>5</v>
      </c>
      <c r="CR188" s="0" t="n">
        <v>10</v>
      </c>
      <c r="CS188" s="0" t="n">
        <f aca="false">IF(R188="Y",10,0)</f>
        <v>0</v>
      </c>
      <c r="CT188" s="0" t="n">
        <v>-2</v>
      </c>
      <c r="CU188" s="0" t="s">
        <v>8755</v>
      </c>
      <c r="CV188" s="0" t="s">
        <v>5562</v>
      </c>
      <c r="CW188" s="0" t="s">
        <v>8756</v>
      </c>
      <c r="CX188" s="0" t="s">
        <v>8757</v>
      </c>
      <c r="CY188" s="0" t="s">
        <v>8758</v>
      </c>
      <c r="CZ188" s="0" t="s">
        <v>8741</v>
      </c>
      <c r="DA188" s="0" t="s">
        <v>6234</v>
      </c>
      <c r="DC188" s="0" t="s">
        <v>1189</v>
      </c>
      <c r="DY188" s="0" t="str">
        <f aca="false">IF(ISNUMBER(MATCH(U188,{"queued","contacted","replied","call_booked","call_done","yes_in_principle","materials_sent"},0)),"Y","N")</f>
        <v>N</v>
      </c>
      <c r="DZ188" s="0" t="str">
        <f aca="false">IF(COUNTIFS($AN$2:$AN$1000,AN188,$DY$2:$DY$1000,"Y")+COUNTIFS($AN$2:$AN$1000,AN188,$T$2:$T$1000,"Y")&gt;0,"Y","N")</f>
        <v>N</v>
      </c>
      <c r="EA188" s="0" t="str">
        <f aca="false">IF(AND(U188="new",T188="N",AR188="Y",AQ188="",DZ188="N"),"Y","N")</f>
        <v>Y</v>
      </c>
      <c r="EB188" s="0" t="str">
        <f aca="false">IF(EA188&lt;&gt;"Y","N",IF(COUNTIFS($AN$2:$AN$1000,AN188,$EA$2:$EA$1000,"Y",$J$2:$J$1000,"&gt;"&amp;J188)+COUNTIFS($AN$2:$AN$1000,AN188,$EA$2:$EA$1000,"Y",$J$2:$J$1000,J188,$ED$2:$ED$1000,"&lt;"&amp;ED188)=0,"Y","N"))</f>
        <v>Y</v>
      </c>
      <c r="EC188" s="0" t="str">
        <f aca="false">IF(Y188="","N",IF(Y188&lt;=10,"Y","N"))</f>
        <v>N</v>
      </c>
      <c r="ED188" s="0" t="n">
        <f aca="false">ROW()-1</f>
        <v>187</v>
      </c>
    </row>
    <row r="189" customFormat="false" ht="15" hidden="false" customHeight="false" outlineLevel="0" collapsed="false">
      <c r="A189" s="0" t="s">
        <v>8759</v>
      </c>
      <c r="B189" s="0" t="s">
        <v>8760</v>
      </c>
      <c r="C189" s="0" t="s">
        <v>8761</v>
      </c>
      <c r="D189" s="0" t="s">
        <v>8762</v>
      </c>
      <c r="E189" s="0" t="s">
        <v>4625</v>
      </c>
      <c r="H189" s="5" t="s">
        <v>158</v>
      </c>
      <c r="I189" s="5" t="s">
        <v>159</v>
      </c>
      <c r="J189" s="0" t="n">
        <f aca="false">IF(AU189="pass",CM189+CN189+CO189+CP189+CQ189+CR189+CS189+CT189,0)</f>
        <v>35</v>
      </c>
      <c r="K189" s="0" t="s">
        <v>8763</v>
      </c>
      <c r="M189" s="0" t="s">
        <v>5291</v>
      </c>
      <c r="N189" s="0" t="s">
        <v>598</v>
      </c>
      <c r="O189" s="0" t="s">
        <v>8764</v>
      </c>
      <c r="P189" s="0" t="s">
        <v>8765</v>
      </c>
      <c r="Q189" s="0" t="s">
        <v>8766</v>
      </c>
      <c r="R189" s="5" t="s">
        <v>162</v>
      </c>
      <c r="S189" s="0" t="s">
        <v>163</v>
      </c>
      <c r="T189" s="5" t="s">
        <v>162</v>
      </c>
      <c r="U189" s="5" t="s">
        <v>561</v>
      </c>
      <c r="V189" s="0" t="s">
        <v>8767</v>
      </c>
      <c r="W189" s="0" t="s">
        <v>166</v>
      </c>
      <c r="X189" s="0" t="s">
        <v>4585</v>
      </c>
      <c r="Y189" s="0" t="n">
        <f aca="false">IF(EB189&lt;&gt;"Y","",COUNTIFS($EB$2:$EB$1000,"Y",$J$2:$J$1000,"&gt;"&amp;J189)+COUNTIFS($EB$2:$EB$1000,"Y",$J$2:$J$1000,J189,$ED$2:$ED$1000,"&lt;"&amp;ED189)+1)</f>
        <v>152</v>
      </c>
      <c r="Z189" s="0" t="n">
        <v>188</v>
      </c>
      <c r="AA189" s="0" t="s">
        <v>162</v>
      </c>
      <c r="AB189" s="0" t="s">
        <v>8768</v>
      </c>
      <c r="AC189" s="0" t="s">
        <v>4587</v>
      </c>
      <c r="AD189" s="0" t="s">
        <v>171</v>
      </c>
      <c r="AE189" s="0" t="s">
        <v>1189</v>
      </c>
      <c r="AF189" s="0" t="s">
        <v>8765</v>
      </c>
      <c r="AG189" s="0" t="s">
        <v>166</v>
      </c>
      <c r="AH189" s="0" t="s">
        <v>8769</v>
      </c>
      <c r="AI189" s="0" t="s">
        <v>5383</v>
      </c>
      <c r="AJ189" s="0" t="s">
        <v>2954</v>
      </c>
      <c r="AK189" s="0" t="s">
        <v>8770</v>
      </c>
      <c r="AL189" s="0" t="s">
        <v>168</v>
      </c>
      <c r="AM189" s="0" t="s">
        <v>8771</v>
      </c>
      <c r="AN189" s="0" t="s">
        <v>8759</v>
      </c>
      <c r="AO189" s="5" t="s">
        <v>162</v>
      </c>
      <c r="AR189" s="0" t="str">
        <f aca="false">IF(AND(AU189="pass",AO189&lt;&gt;"Y",C189&lt;&gt;""),"Y","N")</f>
        <v>Y</v>
      </c>
      <c r="AS189" s="0" t="str">
        <f aca="false">_xlfn.TEXTJOIN("; ",TRUE(),IF(AU189&lt;&gt;"pass","gated out",""),IF(AO189="Y","on hold: "&amp;AP189,""),IF(C189="","no contact named on an opened page",""))</f>
        <v/>
      </c>
      <c r="AU189" s="0" t="s">
        <v>181</v>
      </c>
      <c r="AW189" s="0" t="s">
        <v>182</v>
      </c>
      <c r="AY189" s="0" t="s">
        <v>8770</v>
      </c>
      <c r="AZ189" s="0" t="s">
        <v>5657</v>
      </c>
      <c r="BA189" s="0" t="s">
        <v>5329</v>
      </c>
      <c r="BB189" s="0" t="s">
        <v>163</v>
      </c>
      <c r="BD189" s="0" t="s">
        <v>168</v>
      </c>
      <c r="BE189" s="0" t="s">
        <v>8772</v>
      </c>
      <c r="BF189" s="0" t="s">
        <v>162</v>
      </c>
      <c r="BG189" s="0" t="s">
        <v>168</v>
      </c>
      <c r="BH189" s="0" t="s">
        <v>163</v>
      </c>
      <c r="BJ189" s="0" t="s">
        <v>163</v>
      </c>
      <c r="BK189" s="0" t="s">
        <v>162</v>
      </c>
      <c r="BL189" s="0" t="s">
        <v>162</v>
      </c>
      <c r="BO189" s="0" t="s">
        <v>162</v>
      </c>
      <c r="BP189" s="0" t="n">
        <v>0</v>
      </c>
      <c r="BR189" s="0" t="s">
        <v>6762</v>
      </c>
      <c r="BS189" s="0" t="s">
        <v>6809</v>
      </c>
      <c r="BT189" s="0" t="s">
        <v>8773</v>
      </c>
      <c r="BU189" s="0" t="s">
        <v>4604</v>
      </c>
      <c r="BV189" s="0" t="n">
        <v>340</v>
      </c>
      <c r="BX189" s="0" t="s">
        <v>8774</v>
      </c>
      <c r="BY189" s="0" t="s">
        <v>5208</v>
      </c>
      <c r="CA189" s="0" t="s">
        <v>8775</v>
      </c>
      <c r="CB189" s="0" t="s">
        <v>8776</v>
      </c>
      <c r="CC189" s="0" t="s">
        <v>8777</v>
      </c>
      <c r="CD189" s="0" t="s">
        <v>4625</v>
      </c>
      <c r="CE189" s="0" t="s">
        <v>6723</v>
      </c>
      <c r="CF189" s="0" t="s">
        <v>171</v>
      </c>
      <c r="CG189" s="0" t="s">
        <v>5208</v>
      </c>
      <c r="CK189" s="0" t="s">
        <v>158</v>
      </c>
      <c r="CL189" s="0" t="n">
        <v>35</v>
      </c>
      <c r="CM189" s="0" t="n">
        <v>6</v>
      </c>
      <c r="CN189" s="0" t="n">
        <v>3</v>
      </c>
      <c r="CO189" s="0" t="n">
        <v>8</v>
      </c>
      <c r="CP189" s="0" t="n">
        <v>5</v>
      </c>
      <c r="CQ189" s="0" t="n">
        <v>7</v>
      </c>
      <c r="CR189" s="0" t="n">
        <v>6</v>
      </c>
      <c r="CS189" s="0" t="n">
        <f aca="false">IF(R189="Y",10,0)</f>
        <v>0</v>
      </c>
      <c r="CT189" s="0" t="n">
        <v>0</v>
      </c>
      <c r="CU189" s="0" t="s">
        <v>8778</v>
      </c>
      <c r="CV189" s="0" t="s">
        <v>4841</v>
      </c>
      <c r="CW189" s="0" t="s">
        <v>8779</v>
      </c>
      <c r="CX189" s="0" t="s">
        <v>8780</v>
      </c>
      <c r="CY189" s="0" t="s">
        <v>8781</v>
      </c>
      <c r="CZ189" s="0" t="s">
        <v>8765</v>
      </c>
      <c r="DA189" s="0" t="s">
        <v>6234</v>
      </c>
      <c r="DC189" s="0" t="s">
        <v>1189</v>
      </c>
      <c r="DY189" s="0" t="str">
        <f aca="false">IF(ISNUMBER(MATCH(U189,{"queued","contacted","replied","call_booked","call_done","yes_in_principle","materials_sent"},0)),"Y","N")</f>
        <v>N</v>
      </c>
      <c r="DZ189" s="0" t="str">
        <f aca="false">IF(COUNTIFS($AN$2:$AN$1000,AN189,$DY$2:$DY$1000,"Y")+COUNTIFS($AN$2:$AN$1000,AN189,$T$2:$T$1000,"Y")&gt;0,"Y","N")</f>
        <v>N</v>
      </c>
      <c r="EA189" s="0" t="str">
        <f aca="false">IF(AND(U189="new",T189="N",AR189="Y",AQ189="",DZ189="N"),"Y","N")</f>
        <v>Y</v>
      </c>
      <c r="EB189" s="0" t="str">
        <f aca="false">IF(EA189&lt;&gt;"Y","N",IF(COUNTIFS($AN$2:$AN$1000,AN189,$EA$2:$EA$1000,"Y",$J$2:$J$1000,"&gt;"&amp;J189)+COUNTIFS($AN$2:$AN$1000,AN189,$EA$2:$EA$1000,"Y",$J$2:$J$1000,J189,$ED$2:$ED$1000,"&lt;"&amp;ED189)=0,"Y","N"))</f>
        <v>Y</v>
      </c>
      <c r="EC189" s="0" t="str">
        <f aca="false">IF(Y189="","N",IF(Y189&lt;=10,"Y","N"))</f>
        <v>N</v>
      </c>
      <c r="ED189" s="0" t="n">
        <f aca="false">ROW()-1</f>
        <v>188</v>
      </c>
    </row>
    <row r="190" customFormat="false" ht="15" hidden="false" customHeight="false" outlineLevel="0" collapsed="false">
      <c r="A190" s="0" t="s">
        <v>8782</v>
      </c>
      <c r="B190" s="0" t="s">
        <v>8783</v>
      </c>
      <c r="H190" s="5" t="s">
        <v>158</v>
      </c>
      <c r="I190" s="5"/>
      <c r="J190" s="0" t="n">
        <f aca="false">IF(AU190="pass",CM190+CN190+CO190+CP190+CQ190+CR190+CS190+CT190,0)</f>
        <v>35</v>
      </c>
      <c r="K190" s="0" t="s">
        <v>8784</v>
      </c>
      <c r="M190" s="0" t="s">
        <v>5291</v>
      </c>
      <c r="N190" s="0" t="s">
        <v>598</v>
      </c>
      <c r="O190" s="0" t="s">
        <v>8785</v>
      </c>
      <c r="P190" s="0" t="s">
        <v>8786</v>
      </c>
      <c r="Q190" s="0" t="s">
        <v>8787</v>
      </c>
      <c r="R190" s="5" t="s">
        <v>162</v>
      </c>
      <c r="S190" s="0" t="s">
        <v>168</v>
      </c>
      <c r="T190" s="5" t="s">
        <v>162</v>
      </c>
      <c r="U190" s="5" t="s">
        <v>561</v>
      </c>
      <c r="V190" s="0" t="s">
        <v>8788</v>
      </c>
      <c r="W190" s="0" t="s">
        <v>174</v>
      </c>
      <c r="X190" s="0" t="s">
        <v>4585</v>
      </c>
      <c r="Y190" s="0" t="str">
        <f aca="false">IF(EB190&lt;&gt;"Y","",COUNTIFS($EB$2:$EB$1000,"Y",$J$2:$J$1000,"&gt;"&amp;J190)+COUNTIFS($EB$2:$EB$1000,"Y",$J$2:$J$1000,J190,$ED$2:$ED$1000,"&lt;"&amp;ED190)+1)</f>
        <v/>
      </c>
      <c r="Z190" s="0" t="n">
        <v>189</v>
      </c>
      <c r="AA190" s="0" t="s">
        <v>162</v>
      </c>
      <c r="AB190" s="0" t="s">
        <v>6315</v>
      </c>
      <c r="AD190" s="0" t="s">
        <v>158</v>
      </c>
      <c r="AH190" s="0" t="s">
        <v>8789</v>
      </c>
      <c r="AI190" s="0" t="s">
        <v>5079</v>
      </c>
      <c r="AJ190" s="0" t="s">
        <v>163</v>
      </c>
      <c r="AK190" s="0" t="s">
        <v>8790</v>
      </c>
      <c r="AL190" s="0" t="s">
        <v>168</v>
      </c>
      <c r="AM190" s="0" t="s">
        <v>8791</v>
      </c>
      <c r="AN190" s="0" t="s">
        <v>8782</v>
      </c>
      <c r="AO190" s="5" t="s">
        <v>162</v>
      </c>
      <c r="AR190" s="0" t="str">
        <f aca="false">IF(AND(AU190="pass",AO190&lt;&gt;"Y",C190&lt;&gt;""),"Y","N")</f>
        <v>N</v>
      </c>
      <c r="AS190" s="0" t="str">
        <f aca="false">_xlfn.TEXTJOIN("; ",TRUE(),IF(AU190&lt;&gt;"pass","gated out",""),IF(AO190="Y","on hold: "&amp;AP190,""),IF(C190="","no contact named on an opened page",""))</f>
        <v>no contact named on an opened page</v>
      </c>
      <c r="AU190" s="0" t="s">
        <v>181</v>
      </c>
      <c r="AW190" s="0" t="s">
        <v>182</v>
      </c>
      <c r="AX190" s="0" t="s">
        <v>282</v>
      </c>
      <c r="AY190" s="0" t="s">
        <v>8790</v>
      </c>
      <c r="AZ190" s="0" t="s">
        <v>6032</v>
      </c>
      <c r="BA190" s="0" t="s">
        <v>5191</v>
      </c>
      <c r="BB190" s="0" t="s">
        <v>163</v>
      </c>
      <c r="BD190" s="0" t="s">
        <v>168</v>
      </c>
      <c r="BE190" s="0" t="s">
        <v>8792</v>
      </c>
      <c r="BF190" s="0" t="s">
        <v>168</v>
      </c>
      <c r="BG190" s="0" t="s">
        <v>168</v>
      </c>
      <c r="BH190" s="0" t="s">
        <v>163</v>
      </c>
      <c r="BJ190" s="0" t="s">
        <v>5143</v>
      </c>
      <c r="BK190" s="0" t="s">
        <v>162</v>
      </c>
      <c r="BL190" s="0" t="s">
        <v>162</v>
      </c>
      <c r="BO190" s="0" t="s">
        <v>162</v>
      </c>
      <c r="BP190" s="0" t="n">
        <v>0</v>
      </c>
      <c r="BS190" s="0" t="s">
        <v>163</v>
      </c>
      <c r="BU190" s="0" t="s">
        <v>4694</v>
      </c>
      <c r="BV190" s="0" t="n">
        <v>160</v>
      </c>
      <c r="BW190" s="0" t="s">
        <v>5134</v>
      </c>
      <c r="CF190" s="0" t="s">
        <v>158</v>
      </c>
      <c r="CK190" s="0" t="s">
        <v>158</v>
      </c>
      <c r="CL190" s="0" t="n">
        <v>35</v>
      </c>
      <c r="CM190" s="0" t="n">
        <v>6</v>
      </c>
      <c r="CN190" s="0" t="n">
        <v>8</v>
      </c>
      <c r="CO190" s="0" t="n">
        <v>8</v>
      </c>
      <c r="CP190" s="0" t="n">
        <v>5</v>
      </c>
      <c r="CQ190" s="0" t="n">
        <v>10</v>
      </c>
      <c r="CR190" s="0" t="n">
        <v>0</v>
      </c>
      <c r="CS190" s="0" t="n">
        <f aca="false">IF(R190="Y",10,0)</f>
        <v>0</v>
      </c>
      <c r="CT190" s="0" t="n">
        <v>-2</v>
      </c>
      <c r="CU190" s="0" t="s">
        <v>8793</v>
      </c>
      <c r="CV190" s="0" t="s">
        <v>5150</v>
      </c>
      <c r="CW190" s="0" t="s">
        <v>8794</v>
      </c>
      <c r="CX190" s="0" t="s">
        <v>8795</v>
      </c>
      <c r="DA190" s="0" t="s">
        <v>6234</v>
      </c>
      <c r="DY190" s="0" t="str">
        <f aca="false">IF(ISNUMBER(MATCH(U190,{"queued","contacted","replied","call_booked","call_done","yes_in_principle","materials_sent"},0)),"Y","N")</f>
        <v>N</v>
      </c>
      <c r="DZ190" s="0" t="str">
        <f aca="false">IF(COUNTIFS($AN$2:$AN$1000,AN190,$DY$2:$DY$1000,"Y")+COUNTIFS($AN$2:$AN$1000,AN190,$T$2:$T$1000,"Y")&gt;0,"Y","N")</f>
        <v>N</v>
      </c>
      <c r="EA190" s="0" t="str">
        <f aca="false">IF(AND(U190="new",T190="N",AR190="Y",AQ190="",DZ190="N"),"Y","N")</f>
        <v>N</v>
      </c>
      <c r="EB190" s="0" t="str">
        <f aca="false">IF(EA190&lt;&gt;"Y","N",IF(COUNTIFS($AN$2:$AN$1000,AN190,$EA$2:$EA$1000,"Y",$J$2:$J$1000,"&gt;"&amp;J190)+COUNTIFS($AN$2:$AN$1000,AN190,$EA$2:$EA$1000,"Y",$J$2:$J$1000,J190,$ED$2:$ED$1000,"&lt;"&amp;ED190)=0,"Y","N"))</f>
        <v>N</v>
      </c>
      <c r="EC190" s="0" t="str">
        <f aca="false">IF(Y190="","N",IF(Y190&lt;=10,"Y","N"))</f>
        <v>N</v>
      </c>
      <c r="ED190" s="0" t="n">
        <f aca="false">ROW()-1</f>
        <v>189</v>
      </c>
    </row>
    <row r="191" customFormat="false" ht="15" hidden="false" customHeight="false" outlineLevel="0" collapsed="false">
      <c r="A191" s="0" t="s">
        <v>8796</v>
      </c>
      <c r="B191" s="0" t="s">
        <v>8797</v>
      </c>
      <c r="C191" s="0" t="s">
        <v>556</v>
      </c>
      <c r="D191" s="0" t="s">
        <v>8798</v>
      </c>
      <c r="E191" s="0" t="s">
        <v>4771</v>
      </c>
      <c r="H191" s="5" t="s">
        <v>158</v>
      </c>
      <c r="I191" s="5" t="s">
        <v>159</v>
      </c>
      <c r="J191" s="0" t="n">
        <f aca="false">IF(AU191="pass",CM191+CN191+CO191+CP191+CQ191+CR191+CS191+CT191,0)</f>
        <v>35</v>
      </c>
      <c r="K191" s="0" t="s">
        <v>8799</v>
      </c>
      <c r="M191" s="0" t="s">
        <v>5291</v>
      </c>
      <c r="N191" s="0" t="s">
        <v>598</v>
      </c>
      <c r="R191" s="5" t="s">
        <v>162</v>
      </c>
      <c r="S191" s="0" t="s">
        <v>163</v>
      </c>
      <c r="T191" s="5" t="s">
        <v>162</v>
      </c>
      <c r="U191" s="5" t="s">
        <v>561</v>
      </c>
      <c r="V191" s="0" t="s">
        <v>8800</v>
      </c>
      <c r="W191" s="0" t="s">
        <v>166</v>
      </c>
      <c r="X191" s="0" t="s">
        <v>4585</v>
      </c>
      <c r="Y191" s="0" t="n">
        <f aca="false">IF(EB191&lt;&gt;"Y","",COUNTIFS($EB$2:$EB$1000,"Y",$J$2:$J$1000,"&gt;"&amp;J191)+COUNTIFS($EB$2:$EB$1000,"Y",$J$2:$J$1000,J191,$ED$2:$ED$1000,"&lt;"&amp;ED191)+1)</f>
        <v>153</v>
      </c>
      <c r="Z191" s="0" t="n">
        <v>190</v>
      </c>
      <c r="AA191" s="0" t="s">
        <v>162</v>
      </c>
      <c r="AB191" s="0" t="s">
        <v>8801</v>
      </c>
      <c r="AC191" s="0" t="s">
        <v>4587</v>
      </c>
      <c r="AD191" s="0" t="s">
        <v>171</v>
      </c>
      <c r="AE191" s="0" t="s">
        <v>172</v>
      </c>
      <c r="AF191" s="0" t="s">
        <v>8802</v>
      </c>
      <c r="AG191" s="0" t="s">
        <v>166</v>
      </c>
      <c r="AH191" s="0" t="s">
        <v>8803</v>
      </c>
      <c r="AI191" s="0" t="s">
        <v>4590</v>
      </c>
      <c r="AJ191" s="0" t="s">
        <v>8804</v>
      </c>
      <c r="AK191" s="0" t="s">
        <v>8805</v>
      </c>
      <c r="AL191" s="0" t="s">
        <v>168</v>
      </c>
      <c r="AM191" s="0" t="s">
        <v>8806</v>
      </c>
      <c r="AN191" s="0" t="s">
        <v>8796</v>
      </c>
      <c r="AO191" s="5" t="s">
        <v>162</v>
      </c>
      <c r="AR191" s="0" t="str">
        <f aca="false">IF(AND(AU191="pass",AO191&lt;&gt;"Y",C191&lt;&gt;""),"Y","N")</f>
        <v>Y</v>
      </c>
      <c r="AS191" s="0" t="str">
        <f aca="false">_xlfn.TEXTJOIN("; ",TRUE(),IF(AU191&lt;&gt;"pass","gated out",""),IF(AO191="Y","on hold: "&amp;AP191,""),IF(C191="","no contact named on an opened page",""))</f>
        <v/>
      </c>
      <c r="AU191" s="0" t="s">
        <v>181</v>
      </c>
      <c r="AW191" s="0" t="s">
        <v>182</v>
      </c>
      <c r="AX191" s="0" t="s">
        <v>8189</v>
      </c>
      <c r="AY191" s="0" t="s">
        <v>8805</v>
      </c>
      <c r="AZ191" s="0" t="s">
        <v>4595</v>
      </c>
      <c r="BA191" s="0" t="s">
        <v>4596</v>
      </c>
      <c r="BB191" s="0" t="s">
        <v>163</v>
      </c>
      <c r="BD191" s="0" t="s">
        <v>168</v>
      </c>
      <c r="BE191" s="0" t="s">
        <v>8807</v>
      </c>
      <c r="BF191" s="0" t="s">
        <v>168</v>
      </c>
      <c r="BG191" s="0" t="s">
        <v>168</v>
      </c>
      <c r="BH191" s="0" t="s">
        <v>163</v>
      </c>
      <c r="BJ191" s="0" t="s">
        <v>5549</v>
      </c>
      <c r="BK191" s="0" t="s">
        <v>168</v>
      </c>
      <c r="BL191" s="0" t="s">
        <v>162</v>
      </c>
      <c r="BO191" s="0" t="s">
        <v>162</v>
      </c>
      <c r="BP191" s="0" t="n">
        <v>0</v>
      </c>
      <c r="BS191" s="0" t="s">
        <v>163</v>
      </c>
      <c r="BU191" s="0" t="s">
        <v>158</v>
      </c>
      <c r="BX191" s="0" t="s">
        <v>8808</v>
      </c>
      <c r="CF191" s="0" t="s">
        <v>158</v>
      </c>
      <c r="CK191" s="0" t="s">
        <v>158</v>
      </c>
      <c r="CL191" s="0" t="n">
        <v>35</v>
      </c>
      <c r="CM191" s="0" t="n">
        <v>6</v>
      </c>
      <c r="CN191" s="0" t="n">
        <v>20</v>
      </c>
      <c r="CO191" s="0" t="n">
        <v>0</v>
      </c>
      <c r="CP191" s="0" t="n">
        <v>5</v>
      </c>
      <c r="CQ191" s="0" t="n">
        <v>10</v>
      </c>
      <c r="CR191" s="0" t="n">
        <v>6</v>
      </c>
      <c r="CS191" s="0" t="n">
        <f aca="false">IF(R191="Y",10,0)</f>
        <v>0</v>
      </c>
      <c r="CT191" s="0" t="n">
        <v>-12</v>
      </c>
      <c r="CU191" s="0" t="s">
        <v>8809</v>
      </c>
      <c r="CV191" s="0" t="s">
        <v>5562</v>
      </c>
      <c r="CW191" s="0" t="s">
        <v>8810</v>
      </c>
      <c r="CX191" s="0" t="s">
        <v>8811</v>
      </c>
      <c r="CY191" s="0" t="s">
        <v>8812</v>
      </c>
      <c r="DA191" s="0" t="s">
        <v>6234</v>
      </c>
      <c r="DY191" s="0" t="str">
        <f aca="false">IF(ISNUMBER(MATCH(U191,{"queued","contacted","replied","call_booked","call_done","yes_in_principle","materials_sent"},0)),"Y","N")</f>
        <v>N</v>
      </c>
      <c r="DZ191" s="0" t="str">
        <f aca="false">IF(COUNTIFS($AN$2:$AN$1000,AN191,$DY$2:$DY$1000,"Y")+COUNTIFS($AN$2:$AN$1000,AN191,$T$2:$T$1000,"Y")&gt;0,"Y","N")</f>
        <v>N</v>
      </c>
      <c r="EA191" s="0" t="str">
        <f aca="false">IF(AND(U191="new",T191="N",AR191="Y",AQ191="",DZ191="N"),"Y","N")</f>
        <v>Y</v>
      </c>
      <c r="EB191" s="0" t="str">
        <f aca="false">IF(EA191&lt;&gt;"Y","N",IF(COUNTIFS($AN$2:$AN$1000,AN191,$EA$2:$EA$1000,"Y",$J$2:$J$1000,"&gt;"&amp;J191)+COUNTIFS($AN$2:$AN$1000,AN191,$EA$2:$EA$1000,"Y",$J$2:$J$1000,J191,$ED$2:$ED$1000,"&lt;"&amp;ED191)=0,"Y","N"))</f>
        <v>Y</v>
      </c>
      <c r="EC191" s="0" t="str">
        <f aca="false">IF(Y191="","N",IF(Y191&lt;=10,"Y","N"))</f>
        <v>N</v>
      </c>
      <c r="ED191" s="0" t="n">
        <f aca="false">ROW()-1</f>
        <v>190</v>
      </c>
    </row>
    <row r="192" customFormat="false" ht="15" hidden="false" customHeight="false" outlineLevel="0" collapsed="false">
      <c r="A192" s="0" t="s">
        <v>8813</v>
      </c>
      <c r="B192" s="0" t="s">
        <v>8814</v>
      </c>
      <c r="C192" s="0" t="s">
        <v>8815</v>
      </c>
      <c r="D192" s="0" t="s">
        <v>6929</v>
      </c>
      <c r="E192" s="0" t="s">
        <v>4771</v>
      </c>
      <c r="H192" s="5" t="s">
        <v>158</v>
      </c>
      <c r="I192" s="5" t="s">
        <v>159</v>
      </c>
      <c r="J192" s="0" t="n">
        <f aca="false">IF(AU192="pass",CM192+CN192+CO192+CP192+CQ192+CR192+CS192+CT192,0)</f>
        <v>34</v>
      </c>
      <c r="K192" s="0" t="s">
        <v>8816</v>
      </c>
      <c r="M192" s="0" t="s">
        <v>4580</v>
      </c>
      <c r="N192" s="0" t="s">
        <v>4581</v>
      </c>
      <c r="R192" s="5" t="s">
        <v>162</v>
      </c>
      <c r="S192" s="0" t="s">
        <v>163</v>
      </c>
      <c r="T192" s="5" t="s">
        <v>162</v>
      </c>
      <c r="U192" s="5" t="s">
        <v>561</v>
      </c>
      <c r="V192" s="0" t="s">
        <v>8817</v>
      </c>
      <c r="W192" s="0" t="s">
        <v>166</v>
      </c>
      <c r="X192" s="0" t="s">
        <v>4585</v>
      </c>
      <c r="Y192" s="0" t="n">
        <f aca="false">IF(EB192&lt;&gt;"Y","",COUNTIFS($EB$2:$EB$1000,"Y",$J$2:$J$1000,"&gt;"&amp;J192)+COUNTIFS($EB$2:$EB$1000,"Y",$J$2:$J$1000,J192,$ED$2:$ED$1000,"&lt;"&amp;ED192)+1)</f>
        <v>154</v>
      </c>
      <c r="Z192" s="0" t="n">
        <v>191</v>
      </c>
      <c r="AA192" s="0" t="s">
        <v>162</v>
      </c>
      <c r="AB192" s="0" t="s">
        <v>8818</v>
      </c>
      <c r="AC192" s="0" t="s">
        <v>4587</v>
      </c>
      <c r="AD192" s="0" t="s">
        <v>171</v>
      </c>
      <c r="AE192" s="0" t="s">
        <v>172</v>
      </c>
      <c r="AF192" s="0" t="s">
        <v>8817</v>
      </c>
      <c r="AG192" s="0" t="s">
        <v>166</v>
      </c>
      <c r="AH192" s="0" t="s">
        <v>8819</v>
      </c>
      <c r="AI192" s="0" t="s">
        <v>4633</v>
      </c>
      <c r="AJ192" s="0" t="s">
        <v>8820</v>
      </c>
      <c r="AK192" s="0" t="s">
        <v>8821</v>
      </c>
      <c r="AL192" s="0" t="s">
        <v>168</v>
      </c>
      <c r="AM192" s="0" t="s">
        <v>8822</v>
      </c>
      <c r="AN192" s="0" t="s">
        <v>8813</v>
      </c>
      <c r="AO192" s="5" t="s">
        <v>162</v>
      </c>
      <c r="AR192" s="0" t="str">
        <f aca="false">IF(AND(AU192="pass",AO192&lt;&gt;"Y",C192&lt;&gt;""),"Y","N")</f>
        <v>Y</v>
      </c>
      <c r="AS192" s="0" t="str">
        <f aca="false">_xlfn.TEXTJOIN("; ",TRUE(),IF(AU192&lt;&gt;"pass","gated out",""),IF(AO192="Y","on hold: "&amp;AP192,""),IF(C192="","no contact named on an opened page",""))</f>
        <v/>
      </c>
      <c r="AU192" s="0" t="s">
        <v>181</v>
      </c>
      <c r="AW192" s="0" t="s">
        <v>182</v>
      </c>
      <c r="AX192" s="0" t="s">
        <v>7579</v>
      </c>
      <c r="AY192" s="0" t="s">
        <v>8821</v>
      </c>
      <c r="AZ192" s="0" t="s">
        <v>6386</v>
      </c>
      <c r="BA192" s="0" t="s">
        <v>5329</v>
      </c>
      <c r="BB192" s="0" t="s">
        <v>163</v>
      </c>
      <c r="BD192" s="0" t="s">
        <v>168</v>
      </c>
      <c r="BE192" s="0" t="s">
        <v>8823</v>
      </c>
      <c r="BF192" s="0" t="s">
        <v>162</v>
      </c>
      <c r="BG192" s="0" t="s">
        <v>168</v>
      </c>
      <c r="BH192" s="0" t="s">
        <v>163</v>
      </c>
      <c r="BJ192" s="0" t="s">
        <v>163</v>
      </c>
      <c r="BK192" s="0" t="s">
        <v>162</v>
      </c>
      <c r="BL192" s="0" t="s">
        <v>162</v>
      </c>
      <c r="BN192" s="0" t="n">
        <v>0</v>
      </c>
      <c r="BO192" s="0" t="s">
        <v>168</v>
      </c>
      <c r="BP192" s="0" t="n">
        <v>3</v>
      </c>
      <c r="BQ192" s="0" t="s">
        <v>4669</v>
      </c>
      <c r="BS192" s="0" t="s">
        <v>8824</v>
      </c>
      <c r="BT192" s="0" t="s">
        <v>8825</v>
      </c>
      <c r="BU192" s="0" t="s">
        <v>158</v>
      </c>
      <c r="BX192" s="0" t="s">
        <v>8826</v>
      </c>
      <c r="CF192" s="0" t="s">
        <v>158</v>
      </c>
      <c r="CK192" s="0" t="s">
        <v>158</v>
      </c>
      <c r="CL192" s="0" t="n">
        <v>34</v>
      </c>
      <c r="CM192" s="0" t="n">
        <v>25</v>
      </c>
      <c r="CN192" s="0" t="n">
        <v>3</v>
      </c>
      <c r="CO192" s="0" t="n">
        <v>0</v>
      </c>
      <c r="CP192" s="0" t="n">
        <v>5</v>
      </c>
      <c r="CQ192" s="0" t="n">
        <v>7</v>
      </c>
      <c r="CR192" s="0" t="n">
        <v>6</v>
      </c>
      <c r="CS192" s="0" t="n">
        <f aca="false">IF(R192="Y",10,0)</f>
        <v>0</v>
      </c>
      <c r="CT192" s="0" t="n">
        <v>-12</v>
      </c>
      <c r="CU192" s="0" t="s">
        <v>163</v>
      </c>
      <c r="CV192" s="0" t="s">
        <v>4841</v>
      </c>
      <c r="CW192" s="0" t="s">
        <v>8827</v>
      </c>
      <c r="CX192" s="0" t="s">
        <v>8828</v>
      </c>
      <c r="DA192" s="0" t="s">
        <v>6234</v>
      </c>
      <c r="DY192" s="0" t="str">
        <f aca="false">IF(ISNUMBER(MATCH(U192,{"queued","contacted","replied","call_booked","call_done","yes_in_principle","materials_sent"},0)),"Y","N")</f>
        <v>N</v>
      </c>
      <c r="DZ192" s="0" t="str">
        <f aca="false">IF(COUNTIFS($AN$2:$AN$1000,AN192,$DY$2:$DY$1000,"Y")+COUNTIFS($AN$2:$AN$1000,AN192,$T$2:$T$1000,"Y")&gt;0,"Y","N")</f>
        <v>N</v>
      </c>
      <c r="EA192" s="0" t="str">
        <f aca="false">IF(AND(U192="new",T192="N",AR192="Y",AQ192="",DZ192="N"),"Y","N")</f>
        <v>Y</v>
      </c>
      <c r="EB192" s="0" t="str">
        <f aca="false">IF(EA192&lt;&gt;"Y","N",IF(COUNTIFS($AN$2:$AN$1000,AN192,$EA$2:$EA$1000,"Y",$J$2:$J$1000,"&gt;"&amp;J192)+COUNTIFS($AN$2:$AN$1000,AN192,$EA$2:$EA$1000,"Y",$J$2:$J$1000,J192,$ED$2:$ED$1000,"&lt;"&amp;ED192)=0,"Y","N"))</f>
        <v>Y</v>
      </c>
      <c r="EC192" s="0" t="str">
        <f aca="false">IF(Y192="","N",IF(Y192&lt;=10,"Y","N"))</f>
        <v>N</v>
      </c>
      <c r="ED192" s="0" t="n">
        <f aca="false">ROW()-1</f>
        <v>191</v>
      </c>
    </row>
    <row r="193" customFormat="false" ht="15" hidden="false" customHeight="false" outlineLevel="0" collapsed="false">
      <c r="A193" s="0" t="s">
        <v>8829</v>
      </c>
      <c r="B193" s="0" t="s">
        <v>8830</v>
      </c>
      <c r="C193" s="0" t="s">
        <v>8831</v>
      </c>
      <c r="D193" s="0" t="s">
        <v>451</v>
      </c>
      <c r="E193" s="0" t="s">
        <v>4771</v>
      </c>
      <c r="H193" s="5" t="s">
        <v>158</v>
      </c>
      <c r="I193" s="5" t="s">
        <v>159</v>
      </c>
      <c r="J193" s="0" t="n">
        <f aca="false">IF(AU193="pass",CM193+CN193+CO193+CP193+CQ193+CR193+CS193+CT193,0)</f>
        <v>34</v>
      </c>
      <c r="K193" s="0" t="s">
        <v>8832</v>
      </c>
      <c r="M193" s="0" t="s">
        <v>4580</v>
      </c>
      <c r="N193" s="0" t="s">
        <v>4581</v>
      </c>
      <c r="R193" s="5" t="s">
        <v>162</v>
      </c>
      <c r="S193" s="0" t="s">
        <v>163</v>
      </c>
      <c r="T193" s="5" t="s">
        <v>162</v>
      </c>
      <c r="U193" s="5" t="s">
        <v>561</v>
      </c>
      <c r="V193" s="0" t="s">
        <v>8833</v>
      </c>
      <c r="W193" s="0" t="s">
        <v>166</v>
      </c>
      <c r="X193" s="0" t="s">
        <v>4585</v>
      </c>
      <c r="Y193" s="0" t="n">
        <f aca="false">IF(EB193&lt;&gt;"Y","",COUNTIFS($EB$2:$EB$1000,"Y",$J$2:$J$1000,"&gt;"&amp;J193)+COUNTIFS($EB$2:$EB$1000,"Y",$J$2:$J$1000,J193,$ED$2:$ED$1000,"&lt;"&amp;ED193)+1)</f>
        <v>155</v>
      </c>
      <c r="Z193" s="0" t="n">
        <v>192</v>
      </c>
      <c r="AA193" s="0" t="s">
        <v>162</v>
      </c>
      <c r="AB193" s="0" t="s">
        <v>8834</v>
      </c>
      <c r="AC193" s="0" t="s">
        <v>4587</v>
      </c>
      <c r="AD193" s="0" t="s">
        <v>171</v>
      </c>
      <c r="AE193" s="0" t="s">
        <v>1189</v>
      </c>
      <c r="AF193" s="0" t="s">
        <v>8835</v>
      </c>
      <c r="AG193" s="0" t="s">
        <v>166</v>
      </c>
      <c r="AH193" s="0" t="s">
        <v>8836</v>
      </c>
      <c r="AI193" s="0" t="s">
        <v>4722</v>
      </c>
      <c r="AJ193" s="0" t="s">
        <v>8837</v>
      </c>
      <c r="AK193" s="0" t="s">
        <v>8838</v>
      </c>
      <c r="AL193" s="0" t="s">
        <v>168</v>
      </c>
      <c r="AM193" s="0" t="s">
        <v>8839</v>
      </c>
      <c r="AN193" s="0" t="s">
        <v>8829</v>
      </c>
      <c r="AO193" s="5" t="s">
        <v>162</v>
      </c>
      <c r="AR193" s="0" t="str">
        <f aca="false">IF(AND(AU193="pass",AO193&lt;&gt;"Y",C193&lt;&gt;""),"Y","N")</f>
        <v>Y</v>
      </c>
      <c r="AS193" s="0" t="str">
        <f aca="false">_xlfn.TEXTJOIN("; ",TRUE(),IF(AU193&lt;&gt;"pass","gated out",""),IF(AO193="Y","on hold: "&amp;AP193,""),IF(C193="","no contact named on an opened page",""))</f>
        <v/>
      </c>
      <c r="AU193" s="0" t="s">
        <v>181</v>
      </c>
      <c r="AW193" s="0" t="s">
        <v>182</v>
      </c>
      <c r="AX193" s="0" t="s">
        <v>7614</v>
      </c>
      <c r="AY193" s="0" t="s">
        <v>8838</v>
      </c>
      <c r="AZ193" s="0" t="s">
        <v>4595</v>
      </c>
      <c r="BA193" s="0" t="s">
        <v>4951</v>
      </c>
      <c r="BB193" s="0" t="s">
        <v>8840</v>
      </c>
      <c r="BD193" s="0" t="s">
        <v>168</v>
      </c>
      <c r="BE193" s="0" t="s">
        <v>8841</v>
      </c>
      <c r="BF193" s="0" t="s">
        <v>168</v>
      </c>
      <c r="BG193" s="0" t="s">
        <v>168</v>
      </c>
      <c r="BH193" s="0" t="s">
        <v>163</v>
      </c>
      <c r="BJ193" s="0" t="s">
        <v>8842</v>
      </c>
      <c r="BK193" s="0" t="s">
        <v>162</v>
      </c>
      <c r="BL193" s="0" t="s">
        <v>162</v>
      </c>
      <c r="BN193" s="0" t="n">
        <v>0</v>
      </c>
      <c r="BO193" s="0" t="s">
        <v>168</v>
      </c>
      <c r="BP193" s="0" t="n">
        <v>3</v>
      </c>
      <c r="BQ193" s="0" t="s">
        <v>4669</v>
      </c>
      <c r="BR193" s="0" t="s">
        <v>4670</v>
      </c>
      <c r="BS193" s="0" t="s">
        <v>8843</v>
      </c>
      <c r="BT193" s="0" t="s">
        <v>8844</v>
      </c>
      <c r="BU193" s="0" t="s">
        <v>158</v>
      </c>
      <c r="BX193" s="0" t="s">
        <v>8845</v>
      </c>
      <c r="CF193" s="0" t="s">
        <v>158</v>
      </c>
      <c r="CK193" s="0" t="s">
        <v>158</v>
      </c>
      <c r="CL193" s="0" t="n">
        <v>34</v>
      </c>
      <c r="CM193" s="0" t="n">
        <v>25</v>
      </c>
      <c r="CN193" s="0" t="n">
        <v>13</v>
      </c>
      <c r="CO193" s="0" t="n">
        <v>0</v>
      </c>
      <c r="CP193" s="0" t="n">
        <v>5</v>
      </c>
      <c r="CQ193" s="0" t="n">
        <v>10</v>
      </c>
      <c r="CR193" s="0" t="n">
        <v>6</v>
      </c>
      <c r="CS193" s="0" t="n">
        <f aca="false">IF(R193="Y",10,0)</f>
        <v>0</v>
      </c>
      <c r="CT193" s="0" t="n">
        <v>-25</v>
      </c>
      <c r="CV193" s="0" t="s">
        <v>4615</v>
      </c>
      <c r="CW193" s="0" t="s">
        <v>8846</v>
      </c>
      <c r="CX193" s="0" t="s">
        <v>8847</v>
      </c>
      <c r="CY193" s="0" t="s">
        <v>8848</v>
      </c>
      <c r="DA193" s="0" t="s">
        <v>6234</v>
      </c>
      <c r="DY193" s="0" t="str">
        <f aca="false">IF(ISNUMBER(MATCH(U193,{"queued","contacted","replied","call_booked","call_done","yes_in_principle","materials_sent"},0)),"Y","N")</f>
        <v>N</v>
      </c>
      <c r="DZ193" s="0" t="str">
        <f aca="false">IF(COUNTIFS($AN$2:$AN$1000,AN193,$DY$2:$DY$1000,"Y")+COUNTIFS($AN$2:$AN$1000,AN193,$T$2:$T$1000,"Y")&gt;0,"Y","N")</f>
        <v>N</v>
      </c>
      <c r="EA193" s="0" t="str">
        <f aca="false">IF(AND(U193="new",T193="N",AR193="Y",AQ193="",DZ193="N"),"Y","N")</f>
        <v>Y</v>
      </c>
      <c r="EB193" s="0" t="str">
        <f aca="false">IF(EA193&lt;&gt;"Y","N",IF(COUNTIFS($AN$2:$AN$1000,AN193,$EA$2:$EA$1000,"Y",$J$2:$J$1000,"&gt;"&amp;J193)+COUNTIFS($AN$2:$AN$1000,AN193,$EA$2:$EA$1000,"Y",$J$2:$J$1000,J193,$ED$2:$ED$1000,"&lt;"&amp;ED193)=0,"Y","N"))</f>
        <v>Y</v>
      </c>
      <c r="EC193" s="0" t="str">
        <f aca="false">IF(Y193="","N",IF(Y193&lt;=10,"Y","N"))</f>
        <v>N</v>
      </c>
      <c r="ED193" s="0" t="n">
        <f aca="false">ROW()-1</f>
        <v>192</v>
      </c>
    </row>
    <row r="194" customFormat="false" ht="15" hidden="false" customHeight="false" outlineLevel="0" collapsed="false">
      <c r="A194" s="0" t="s">
        <v>8849</v>
      </c>
      <c r="B194" s="0" t="s">
        <v>8850</v>
      </c>
      <c r="C194" s="0" t="s">
        <v>8851</v>
      </c>
      <c r="D194" s="0" t="s">
        <v>8852</v>
      </c>
      <c r="E194" s="0" t="s">
        <v>4625</v>
      </c>
      <c r="H194" s="5" t="s">
        <v>158</v>
      </c>
      <c r="I194" s="5" t="s">
        <v>159</v>
      </c>
      <c r="J194" s="0" t="n">
        <f aca="false">IF(AU194="pass",CM194+CN194+CO194+CP194+CQ194+CR194+CS194+CT194,0)</f>
        <v>34</v>
      </c>
      <c r="K194" s="0" t="s">
        <v>8853</v>
      </c>
      <c r="M194" s="0" t="s">
        <v>5291</v>
      </c>
      <c r="N194" s="0" t="s">
        <v>598</v>
      </c>
      <c r="O194" s="0" t="s">
        <v>8854</v>
      </c>
      <c r="P194" s="0" t="s">
        <v>8855</v>
      </c>
      <c r="Q194" s="0" t="s">
        <v>8856</v>
      </c>
      <c r="R194" s="5" t="s">
        <v>162</v>
      </c>
      <c r="S194" s="0" t="s">
        <v>163</v>
      </c>
      <c r="T194" s="5" t="s">
        <v>162</v>
      </c>
      <c r="U194" s="5" t="s">
        <v>561</v>
      </c>
      <c r="V194" s="0" t="s">
        <v>8857</v>
      </c>
      <c r="W194" s="0" t="s">
        <v>166</v>
      </c>
      <c r="X194" s="0" t="s">
        <v>4585</v>
      </c>
      <c r="Y194" s="0" t="n">
        <f aca="false">IF(EB194&lt;&gt;"Y","",COUNTIFS($EB$2:$EB$1000,"Y",$J$2:$J$1000,"&gt;"&amp;J194)+COUNTIFS($EB$2:$EB$1000,"Y",$J$2:$J$1000,J194,$ED$2:$ED$1000,"&lt;"&amp;ED194)+1)</f>
        <v>156</v>
      </c>
      <c r="Z194" s="0" t="n">
        <v>193</v>
      </c>
      <c r="AA194" s="0" t="s">
        <v>162</v>
      </c>
      <c r="AB194" s="0" t="s">
        <v>8858</v>
      </c>
      <c r="AC194" s="0" t="s">
        <v>4587</v>
      </c>
      <c r="AD194" s="0" t="s">
        <v>171</v>
      </c>
      <c r="AE194" s="0" t="s">
        <v>172</v>
      </c>
      <c r="AF194" s="0" t="s">
        <v>8857</v>
      </c>
      <c r="AG194" s="0" t="s">
        <v>166</v>
      </c>
      <c r="AH194" s="0" t="s">
        <v>8859</v>
      </c>
      <c r="AI194" s="0" t="s">
        <v>4633</v>
      </c>
      <c r="AJ194" s="0" t="s">
        <v>8608</v>
      </c>
      <c r="AK194" s="0" t="s">
        <v>8860</v>
      </c>
      <c r="AL194" s="0" t="s">
        <v>168</v>
      </c>
      <c r="AM194" s="0" t="s">
        <v>8861</v>
      </c>
      <c r="AN194" s="0" t="s">
        <v>8849</v>
      </c>
      <c r="AO194" s="5" t="s">
        <v>162</v>
      </c>
      <c r="AR194" s="0" t="str">
        <f aca="false">IF(AND(AU194="pass",AO194&lt;&gt;"Y",C194&lt;&gt;""),"Y","N")</f>
        <v>Y</v>
      </c>
      <c r="AS194" s="0" t="str">
        <f aca="false">_xlfn.TEXTJOIN("; ",TRUE(),IF(AU194&lt;&gt;"pass","gated out",""),IF(AO194="Y","on hold: "&amp;AP194,""),IF(C194="","no contact named on an opened page",""))</f>
        <v/>
      </c>
      <c r="AU194" s="0" t="s">
        <v>181</v>
      </c>
      <c r="AW194" s="0" t="s">
        <v>182</v>
      </c>
      <c r="AX194" s="0" t="s">
        <v>4594</v>
      </c>
      <c r="AY194" s="0" t="s">
        <v>8860</v>
      </c>
      <c r="AZ194" s="0" t="s">
        <v>5488</v>
      </c>
      <c r="BA194" s="0" t="s">
        <v>5329</v>
      </c>
      <c r="BB194" s="0" t="s">
        <v>163</v>
      </c>
      <c r="BD194" s="0" t="s">
        <v>168</v>
      </c>
      <c r="BE194" s="0" t="s">
        <v>8862</v>
      </c>
      <c r="BF194" s="0" t="s">
        <v>168</v>
      </c>
      <c r="BG194" s="0" t="s">
        <v>168</v>
      </c>
      <c r="BH194" s="0" t="s">
        <v>163</v>
      </c>
      <c r="BJ194" s="0" t="s">
        <v>163</v>
      </c>
      <c r="BK194" s="0" t="s">
        <v>162</v>
      </c>
      <c r="BL194" s="0" t="s">
        <v>162</v>
      </c>
      <c r="BO194" s="0" t="s">
        <v>162</v>
      </c>
      <c r="BP194" s="0" t="n">
        <v>0</v>
      </c>
      <c r="BR194" s="0" t="s">
        <v>6762</v>
      </c>
      <c r="BS194" s="0" t="s">
        <v>8863</v>
      </c>
      <c r="BT194" s="0" t="s">
        <v>8864</v>
      </c>
      <c r="BU194" s="0" t="s">
        <v>4694</v>
      </c>
      <c r="BV194" s="0" t="n">
        <v>180</v>
      </c>
      <c r="BX194" s="0" t="s">
        <v>8865</v>
      </c>
      <c r="BY194" s="0" t="s">
        <v>7655</v>
      </c>
      <c r="CA194" s="0" t="s">
        <v>8866</v>
      </c>
      <c r="CB194" s="0" t="s">
        <v>8866</v>
      </c>
      <c r="CC194" s="0" t="s">
        <v>163</v>
      </c>
      <c r="CD194" s="0" t="s">
        <v>4625</v>
      </c>
      <c r="CE194" s="0" t="s">
        <v>6723</v>
      </c>
      <c r="CF194" s="0" t="s">
        <v>5008</v>
      </c>
      <c r="CG194" s="0" t="s">
        <v>7655</v>
      </c>
      <c r="CK194" s="0" t="s">
        <v>158</v>
      </c>
      <c r="CL194" s="0" t="n">
        <v>34</v>
      </c>
      <c r="CM194" s="0" t="n">
        <v>6</v>
      </c>
      <c r="CN194" s="0" t="n">
        <v>3</v>
      </c>
      <c r="CO194" s="0" t="n">
        <v>8</v>
      </c>
      <c r="CP194" s="0" t="n">
        <v>5</v>
      </c>
      <c r="CQ194" s="0" t="n">
        <v>10</v>
      </c>
      <c r="CR194" s="0" t="n">
        <v>6</v>
      </c>
      <c r="CS194" s="0" t="n">
        <f aca="false">IF(R194="Y",10,0)</f>
        <v>0</v>
      </c>
      <c r="CT194" s="0" t="n">
        <v>-4</v>
      </c>
      <c r="CU194" s="0" t="s">
        <v>8867</v>
      </c>
      <c r="CV194" s="0" t="s">
        <v>4841</v>
      </c>
      <c r="CW194" s="0" t="s">
        <v>8868</v>
      </c>
      <c r="CX194" s="0" t="s">
        <v>8869</v>
      </c>
      <c r="CZ194" s="0" t="s">
        <v>8857</v>
      </c>
      <c r="DA194" s="0" t="s">
        <v>6234</v>
      </c>
      <c r="DC194" s="0" t="s">
        <v>172</v>
      </c>
      <c r="DY194" s="0" t="str">
        <f aca="false">IF(ISNUMBER(MATCH(U194,{"queued","contacted","replied","call_booked","call_done","yes_in_principle","materials_sent"},0)),"Y","N")</f>
        <v>N</v>
      </c>
      <c r="DZ194" s="0" t="str">
        <f aca="false">IF(COUNTIFS($AN$2:$AN$1000,AN194,$DY$2:$DY$1000,"Y")+COUNTIFS($AN$2:$AN$1000,AN194,$T$2:$T$1000,"Y")&gt;0,"Y","N")</f>
        <v>N</v>
      </c>
      <c r="EA194" s="0" t="str">
        <f aca="false">IF(AND(U194="new",T194="N",AR194="Y",AQ194="",DZ194="N"),"Y","N")</f>
        <v>Y</v>
      </c>
      <c r="EB194" s="0" t="str">
        <f aca="false">IF(EA194&lt;&gt;"Y","N",IF(COUNTIFS($AN$2:$AN$1000,AN194,$EA$2:$EA$1000,"Y",$J$2:$J$1000,"&gt;"&amp;J194)+COUNTIFS($AN$2:$AN$1000,AN194,$EA$2:$EA$1000,"Y",$J$2:$J$1000,J194,$ED$2:$ED$1000,"&lt;"&amp;ED194)=0,"Y","N"))</f>
        <v>Y</v>
      </c>
      <c r="EC194" s="0" t="str">
        <f aca="false">IF(Y194="","N",IF(Y194&lt;=10,"Y","N"))</f>
        <v>N</v>
      </c>
      <c r="ED194" s="0" t="n">
        <f aca="false">ROW()-1</f>
        <v>193</v>
      </c>
    </row>
    <row r="195" customFormat="false" ht="15" hidden="false" customHeight="false" outlineLevel="0" collapsed="false">
      <c r="A195" s="0" t="s">
        <v>8870</v>
      </c>
      <c r="B195" s="0" t="s">
        <v>8871</v>
      </c>
      <c r="C195" s="0" t="s">
        <v>8872</v>
      </c>
      <c r="D195" s="0" t="s">
        <v>8873</v>
      </c>
      <c r="E195" s="0" t="s">
        <v>4625</v>
      </c>
      <c r="H195" s="5" t="s">
        <v>158</v>
      </c>
      <c r="I195" s="5" t="s">
        <v>159</v>
      </c>
      <c r="J195" s="0" t="n">
        <f aca="false">IF(AU195="pass",CM195+CN195+CO195+CP195+CQ195+CR195+CS195+CT195,0)</f>
        <v>34</v>
      </c>
      <c r="K195" s="0" t="s">
        <v>8874</v>
      </c>
      <c r="M195" s="0" t="s">
        <v>5291</v>
      </c>
      <c r="N195" s="0" t="s">
        <v>598</v>
      </c>
      <c r="O195" s="0" t="s">
        <v>8875</v>
      </c>
      <c r="P195" s="0" t="s">
        <v>8876</v>
      </c>
      <c r="Q195" s="0" t="s">
        <v>6407</v>
      </c>
      <c r="R195" s="5" t="s">
        <v>162</v>
      </c>
      <c r="S195" s="0" t="s">
        <v>168</v>
      </c>
      <c r="T195" s="5" t="s">
        <v>162</v>
      </c>
      <c r="U195" s="5" t="s">
        <v>561</v>
      </c>
      <c r="V195" s="0" t="s">
        <v>8876</v>
      </c>
      <c r="W195" s="0" t="s">
        <v>166</v>
      </c>
      <c r="X195" s="0" t="s">
        <v>4585</v>
      </c>
      <c r="Y195" s="0" t="n">
        <f aca="false">IF(EB195&lt;&gt;"Y","",COUNTIFS($EB$2:$EB$1000,"Y",$J$2:$J$1000,"&gt;"&amp;J195)+COUNTIFS($EB$2:$EB$1000,"Y",$J$2:$J$1000,J195,$ED$2:$ED$1000,"&lt;"&amp;ED195)+1)</f>
        <v>157</v>
      </c>
      <c r="Z195" s="0" t="n">
        <v>194</v>
      </c>
      <c r="AA195" s="0" t="s">
        <v>162</v>
      </c>
      <c r="AB195" s="0" t="s">
        <v>8877</v>
      </c>
      <c r="AC195" s="0" t="s">
        <v>4587</v>
      </c>
      <c r="AD195" s="0" t="s">
        <v>171</v>
      </c>
      <c r="AE195" s="0" t="s">
        <v>1189</v>
      </c>
      <c r="AF195" s="0" t="s">
        <v>8876</v>
      </c>
      <c r="AG195" s="0" t="s">
        <v>166</v>
      </c>
      <c r="AH195" s="0" t="s">
        <v>8878</v>
      </c>
      <c r="AI195" s="0" t="s">
        <v>5028</v>
      </c>
      <c r="AJ195" s="0" t="s">
        <v>8879</v>
      </c>
      <c r="AK195" s="0" t="s">
        <v>8880</v>
      </c>
      <c r="AL195" s="0" t="s">
        <v>168</v>
      </c>
      <c r="AM195" s="0" t="s">
        <v>8881</v>
      </c>
      <c r="AN195" s="0" t="s">
        <v>8870</v>
      </c>
      <c r="AO195" s="5" t="s">
        <v>162</v>
      </c>
      <c r="AR195" s="0" t="str">
        <f aca="false">IF(AND(AU195="pass",AO195&lt;&gt;"Y",C195&lt;&gt;""),"Y","N")</f>
        <v>Y</v>
      </c>
      <c r="AS195" s="0" t="str">
        <f aca="false">_xlfn.TEXTJOIN("; ",TRUE(),IF(AU195&lt;&gt;"pass","gated out",""),IF(AO195="Y","on hold: "&amp;AP195,""),IF(C195="","no contact named on an opened page",""))</f>
        <v/>
      </c>
      <c r="AU195" s="0" t="s">
        <v>181</v>
      </c>
      <c r="AW195" s="0" t="s">
        <v>182</v>
      </c>
      <c r="AX195" s="0" t="s">
        <v>282</v>
      </c>
      <c r="AY195" s="0" t="s">
        <v>8880</v>
      </c>
      <c r="AZ195" s="0" t="s">
        <v>5356</v>
      </c>
      <c r="BA195" s="0" t="s">
        <v>5329</v>
      </c>
      <c r="BB195" s="0" t="s">
        <v>8882</v>
      </c>
      <c r="BD195" s="0" t="s">
        <v>168</v>
      </c>
      <c r="BE195" s="0" t="s">
        <v>8883</v>
      </c>
      <c r="BF195" s="0" t="s">
        <v>163</v>
      </c>
      <c r="BG195" s="0" t="s">
        <v>168</v>
      </c>
      <c r="BH195" s="0" t="s">
        <v>163</v>
      </c>
      <c r="BJ195" s="0" t="s">
        <v>163</v>
      </c>
      <c r="BK195" s="0" t="s">
        <v>162</v>
      </c>
      <c r="BL195" s="0" t="s">
        <v>162</v>
      </c>
      <c r="BO195" s="0" t="s">
        <v>162</v>
      </c>
      <c r="BP195" s="0" t="n">
        <v>0</v>
      </c>
      <c r="BS195" s="0" t="s">
        <v>8884</v>
      </c>
      <c r="BT195" s="0" t="s">
        <v>8885</v>
      </c>
      <c r="BU195" s="0" t="s">
        <v>4694</v>
      </c>
      <c r="BV195" s="0" t="n">
        <v>177</v>
      </c>
      <c r="BW195" s="0" t="s">
        <v>8876</v>
      </c>
      <c r="BX195" s="0" t="s">
        <v>8886</v>
      </c>
      <c r="CA195" s="0" t="s">
        <v>8887</v>
      </c>
      <c r="CB195" s="0" t="s">
        <v>8888</v>
      </c>
      <c r="CC195" s="0" t="s">
        <v>8873</v>
      </c>
      <c r="CD195" s="0" t="s">
        <v>4625</v>
      </c>
      <c r="CE195" s="0" t="s">
        <v>6723</v>
      </c>
      <c r="CF195" s="0" t="s">
        <v>171</v>
      </c>
      <c r="CK195" s="0" t="s">
        <v>158</v>
      </c>
      <c r="CL195" s="0" t="n">
        <v>34</v>
      </c>
      <c r="CM195" s="0" t="n">
        <v>6</v>
      </c>
      <c r="CN195" s="0" t="n">
        <v>3</v>
      </c>
      <c r="CO195" s="0" t="n">
        <v>8</v>
      </c>
      <c r="CP195" s="0" t="n">
        <v>5</v>
      </c>
      <c r="CQ195" s="0" t="n">
        <v>8</v>
      </c>
      <c r="CR195" s="0" t="n">
        <v>6</v>
      </c>
      <c r="CS195" s="0" t="n">
        <f aca="false">IF(R195="Y",10,0)</f>
        <v>0</v>
      </c>
      <c r="CT195" s="0" t="n">
        <v>-2</v>
      </c>
      <c r="CU195" s="0" t="s">
        <v>163</v>
      </c>
      <c r="CV195" s="0" t="s">
        <v>4841</v>
      </c>
      <c r="CW195" s="0" t="s">
        <v>8889</v>
      </c>
      <c r="CX195" s="0" t="s">
        <v>8890</v>
      </c>
      <c r="CZ195" s="0" t="s">
        <v>8876</v>
      </c>
      <c r="DA195" s="0" t="s">
        <v>6234</v>
      </c>
      <c r="DC195" s="0" t="s">
        <v>1189</v>
      </c>
      <c r="DY195" s="0" t="str">
        <f aca="false">IF(ISNUMBER(MATCH(U195,{"queued","contacted","replied","call_booked","call_done","yes_in_principle","materials_sent"},0)),"Y","N")</f>
        <v>N</v>
      </c>
      <c r="DZ195" s="0" t="str">
        <f aca="false">IF(COUNTIFS($AN$2:$AN$1000,AN195,$DY$2:$DY$1000,"Y")+COUNTIFS($AN$2:$AN$1000,AN195,$T$2:$T$1000,"Y")&gt;0,"Y","N")</f>
        <v>N</v>
      </c>
      <c r="EA195" s="0" t="str">
        <f aca="false">IF(AND(U195="new",T195="N",AR195="Y",AQ195="",DZ195="N"),"Y","N")</f>
        <v>Y</v>
      </c>
      <c r="EB195" s="0" t="str">
        <f aca="false">IF(EA195&lt;&gt;"Y","N",IF(COUNTIFS($AN$2:$AN$1000,AN195,$EA$2:$EA$1000,"Y",$J$2:$J$1000,"&gt;"&amp;J195)+COUNTIFS($AN$2:$AN$1000,AN195,$EA$2:$EA$1000,"Y",$J$2:$J$1000,J195,$ED$2:$ED$1000,"&lt;"&amp;ED195)=0,"Y","N"))</f>
        <v>Y</v>
      </c>
      <c r="EC195" s="0" t="str">
        <f aca="false">IF(Y195="","N",IF(Y195&lt;=10,"Y","N"))</f>
        <v>N</v>
      </c>
      <c r="ED195" s="0" t="n">
        <f aca="false">ROW()-1</f>
        <v>194</v>
      </c>
    </row>
    <row r="196" customFormat="false" ht="15" hidden="false" customHeight="false" outlineLevel="0" collapsed="false">
      <c r="A196" s="0" t="s">
        <v>8891</v>
      </c>
      <c r="B196" s="0" t="s">
        <v>8892</v>
      </c>
      <c r="C196" s="0" t="s">
        <v>8893</v>
      </c>
      <c r="D196" s="0" t="s">
        <v>8894</v>
      </c>
      <c r="E196" s="0" t="s">
        <v>4771</v>
      </c>
      <c r="H196" s="5" t="s">
        <v>158</v>
      </c>
      <c r="I196" s="5" t="s">
        <v>159</v>
      </c>
      <c r="J196" s="0" t="n">
        <f aca="false">IF(AU196="pass",CM196+CN196+CO196+CP196+CQ196+CR196+CS196+CT196,0)</f>
        <v>34</v>
      </c>
      <c r="K196" s="0" t="s">
        <v>8895</v>
      </c>
      <c r="M196" s="0" t="s">
        <v>5291</v>
      </c>
      <c r="N196" s="0" t="s">
        <v>598</v>
      </c>
      <c r="O196" s="0" t="s">
        <v>8896</v>
      </c>
      <c r="P196" s="0" t="s">
        <v>8897</v>
      </c>
      <c r="Q196" s="0" t="s">
        <v>8898</v>
      </c>
      <c r="R196" s="5" t="s">
        <v>162</v>
      </c>
      <c r="S196" s="0" t="s">
        <v>163</v>
      </c>
      <c r="T196" s="5" t="s">
        <v>162</v>
      </c>
      <c r="U196" s="5" t="s">
        <v>561</v>
      </c>
      <c r="V196" s="0" t="s">
        <v>8899</v>
      </c>
      <c r="W196" s="0" t="s">
        <v>166</v>
      </c>
      <c r="X196" s="0" t="s">
        <v>4585</v>
      </c>
      <c r="Y196" s="0" t="n">
        <f aca="false">IF(EB196&lt;&gt;"Y","",COUNTIFS($EB$2:$EB$1000,"Y",$J$2:$J$1000,"&gt;"&amp;J196)+COUNTIFS($EB$2:$EB$1000,"Y",$J$2:$J$1000,J196,$ED$2:$ED$1000,"&lt;"&amp;ED196)+1)</f>
        <v>158</v>
      </c>
      <c r="Z196" s="0" t="n">
        <v>195</v>
      </c>
      <c r="AA196" s="0" t="s">
        <v>162</v>
      </c>
      <c r="AB196" s="0" t="s">
        <v>8900</v>
      </c>
      <c r="AC196" s="0" t="s">
        <v>4587</v>
      </c>
      <c r="AD196" s="0" t="s">
        <v>171</v>
      </c>
      <c r="AE196" s="0" t="s">
        <v>172</v>
      </c>
      <c r="AF196" s="0" t="s">
        <v>8901</v>
      </c>
      <c r="AG196" s="0" t="s">
        <v>166</v>
      </c>
      <c r="AH196" s="0" t="s">
        <v>8902</v>
      </c>
      <c r="AI196" s="0" t="s">
        <v>5461</v>
      </c>
      <c r="AJ196" s="0" t="s">
        <v>8903</v>
      </c>
      <c r="AK196" s="0" t="s">
        <v>8904</v>
      </c>
      <c r="AL196" s="0" t="s">
        <v>168</v>
      </c>
      <c r="AM196" s="0" t="s">
        <v>8905</v>
      </c>
      <c r="AN196" s="0" t="s">
        <v>8891</v>
      </c>
      <c r="AO196" s="5" t="s">
        <v>162</v>
      </c>
      <c r="AR196" s="0" t="str">
        <f aca="false">IF(AND(AU196="pass",AO196&lt;&gt;"Y",C196&lt;&gt;""),"Y","N")</f>
        <v>Y</v>
      </c>
      <c r="AS196" s="0" t="str">
        <f aca="false">_xlfn.TEXTJOIN("; ",TRUE(),IF(AU196&lt;&gt;"pass","gated out",""),IF(AO196="Y","on hold: "&amp;AP196,""),IF(C196="","no contact named on an opened page",""))</f>
        <v/>
      </c>
      <c r="AU196" s="0" t="s">
        <v>181</v>
      </c>
      <c r="AW196" s="0" t="s">
        <v>182</v>
      </c>
      <c r="AX196" s="0" t="s">
        <v>4594</v>
      </c>
      <c r="AY196" s="0" t="s">
        <v>8904</v>
      </c>
      <c r="AZ196" s="0" t="s">
        <v>8906</v>
      </c>
      <c r="BA196" s="0" t="s">
        <v>5058</v>
      </c>
      <c r="BB196" s="0" t="s">
        <v>163</v>
      </c>
      <c r="BD196" s="0" t="s">
        <v>168</v>
      </c>
      <c r="BE196" s="0" t="s">
        <v>8907</v>
      </c>
      <c r="BF196" s="0" t="s">
        <v>168</v>
      </c>
      <c r="BG196" s="0" t="s">
        <v>168</v>
      </c>
      <c r="BH196" s="0" t="s">
        <v>163</v>
      </c>
      <c r="BJ196" s="0" t="s">
        <v>163</v>
      </c>
      <c r="BK196" s="0" t="s">
        <v>162</v>
      </c>
      <c r="BL196" s="0" t="s">
        <v>162</v>
      </c>
      <c r="BO196" s="0" t="s">
        <v>162</v>
      </c>
      <c r="BP196" s="0" t="n">
        <v>0</v>
      </c>
      <c r="BS196" s="0" t="s">
        <v>8908</v>
      </c>
      <c r="BT196" s="0" t="s">
        <v>8909</v>
      </c>
      <c r="BU196" s="0" t="s">
        <v>4694</v>
      </c>
      <c r="BV196" s="0" t="n">
        <v>72</v>
      </c>
      <c r="BX196" s="0" t="s">
        <v>8910</v>
      </c>
      <c r="CF196" s="0" t="s">
        <v>158</v>
      </c>
      <c r="CK196" s="0" t="s">
        <v>158</v>
      </c>
      <c r="CL196" s="0" t="n">
        <v>34</v>
      </c>
      <c r="CM196" s="0" t="n">
        <v>6</v>
      </c>
      <c r="CN196" s="0" t="n">
        <v>3</v>
      </c>
      <c r="CO196" s="0" t="n">
        <v>8</v>
      </c>
      <c r="CP196" s="0" t="n">
        <v>5</v>
      </c>
      <c r="CQ196" s="0" t="n">
        <v>10</v>
      </c>
      <c r="CR196" s="0" t="n">
        <v>6</v>
      </c>
      <c r="CS196" s="0" t="n">
        <f aca="false">IF(R196="Y",10,0)</f>
        <v>0</v>
      </c>
      <c r="CT196" s="0" t="n">
        <v>-4</v>
      </c>
      <c r="CU196" s="0" t="s">
        <v>8911</v>
      </c>
      <c r="CV196" s="0" t="s">
        <v>4615</v>
      </c>
      <c r="CW196" s="0" t="s">
        <v>8912</v>
      </c>
      <c r="CX196" s="0" t="s">
        <v>8913</v>
      </c>
      <c r="CY196" s="0" t="s">
        <v>8914</v>
      </c>
      <c r="DA196" s="0" t="s">
        <v>6234</v>
      </c>
      <c r="DY196" s="0" t="str">
        <f aca="false">IF(ISNUMBER(MATCH(U196,{"queued","contacted","replied","call_booked","call_done","yes_in_principle","materials_sent"},0)),"Y","N")</f>
        <v>N</v>
      </c>
      <c r="DZ196" s="0" t="str">
        <f aca="false">IF(COUNTIFS($AN$2:$AN$1000,AN196,$DY$2:$DY$1000,"Y")+COUNTIFS($AN$2:$AN$1000,AN196,$T$2:$T$1000,"Y")&gt;0,"Y","N")</f>
        <v>N</v>
      </c>
      <c r="EA196" s="0" t="str">
        <f aca="false">IF(AND(U196="new",T196="N",AR196="Y",AQ196="",DZ196="N"),"Y","N")</f>
        <v>Y</v>
      </c>
      <c r="EB196" s="0" t="str">
        <f aca="false">IF(EA196&lt;&gt;"Y","N",IF(COUNTIFS($AN$2:$AN$1000,AN196,$EA$2:$EA$1000,"Y",$J$2:$J$1000,"&gt;"&amp;J196)+COUNTIFS($AN$2:$AN$1000,AN196,$EA$2:$EA$1000,"Y",$J$2:$J$1000,J196,$ED$2:$ED$1000,"&lt;"&amp;ED196)=0,"Y","N"))</f>
        <v>Y</v>
      </c>
      <c r="EC196" s="0" t="str">
        <f aca="false">IF(Y196="","N",IF(Y196&lt;=10,"Y","N"))</f>
        <v>N</v>
      </c>
      <c r="ED196" s="0" t="n">
        <f aca="false">ROW()-1</f>
        <v>195</v>
      </c>
    </row>
    <row r="197" customFormat="false" ht="15" hidden="false" customHeight="false" outlineLevel="0" collapsed="false">
      <c r="A197" s="0" t="s">
        <v>8915</v>
      </c>
      <c r="B197" s="0" t="s">
        <v>8916</v>
      </c>
      <c r="C197" s="0" t="s">
        <v>8917</v>
      </c>
      <c r="D197" s="0" t="s">
        <v>643</v>
      </c>
      <c r="E197" s="0" t="s">
        <v>4771</v>
      </c>
      <c r="H197" s="5" t="s">
        <v>158</v>
      </c>
      <c r="I197" s="5" t="s">
        <v>159</v>
      </c>
      <c r="J197" s="0" t="n">
        <f aca="false">IF(AU197="pass",CM197+CN197+CO197+CP197+CQ197+CR197+CS197+CT197,0)</f>
        <v>34</v>
      </c>
      <c r="K197" s="0" t="s">
        <v>8918</v>
      </c>
      <c r="M197" s="0" t="s">
        <v>5291</v>
      </c>
      <c r="N197" s="0" t="s">
        <v>598</v>
      </c>
      <c r="O197" s="0" t="s">
        <v>8919</v>
      </c>
      <c r="P197" s="0" t="s">
        <v>8920</v>
      </c>
      <c r="Q197" s="0" t="s">
        <v>8921</v>
      </c>
      <c r="R197" s="5" t="s">
        <v>162</v>
      </c>
      <c r="S197" s="0" t="s">
        <v>168</v>
      </c>
      <c r="T197" s="5" t="s">
        <v>162</v>
      </c>
      <c r="U197" s="5" t="s">
        <v>561</v>
      </c>
      <c r="V197" s="0" t="s">
        <v>8920</v>
      </c>
      <c r="W197" s="0" t="s">
        <v>166</v>
      </c>
      <c r="X197" s="0" t="s">
        <v>4585</v>
      </c>
      <c r="Y197" s="0" t="n">
        <f aca="false">IF(EB197&lt;&gt;"Y","",COUNTIFS($EB$2:$EB$1000,"Y",$J$2:$J$1000,"&gt;"&amp;J197)+COUNTIFS($EB$2:$EB$1000,"Y",$J$2:$J$1000,J197,$ED$2:$ED$1000,"&lt;"&amp;ED197)+1)</f>
        <v>159</v>
      </c>
      <c r="Z197" s="0" t="n">
        <v>196</v>
      </c>
      <c r="AA197" s="0" t="s">
        <v>162</v>
      </c>
      <c r="AB197" s="0" t="s">
        <v>8922</v>
      </c>
      <c r="AC197" s="0" t="s">
        <v>4587</v>
      </c>
      <c r="AD197" s="0" t="s">
        <v>171</v>
      </c>
      <c r="AE197" s="0" t="s">
        <v>172</v>
      </c>
      <c r="AF197" s="0" t="s">
        <v>8923</v>
      </c>
      <c r="AG197" s="0" t="s">
        <v>166</v>
      </c>
      <c r="AH197" s="0" t="s">
        <v>8924</v>
      </c>
      <c r="AI197" s="0" t="s">
        <v>4664</v>
      </c>
      <c r="AJ197" s="0" t="s">
        <v>8925</v>
      </c>
      <c r="AL197" s="0" t="s">
        <v>168</v>
      </c>
      <c r="AM197" s="0" t="s">
        <v>8926</v>
      </c>
      <c r="AN197" s="0" t="s">
        <v>8915</v>
      </c>
      <c r="AO197" s="5" t="s">
        <v>162</v>
      </c>
      <c r="AR197" s="0" t="str">
        <f aca="false">IF(AND(AU197="pass",AO197&lt;&gt;"Y",C197&lt;&gt;""),"Y","N")</f>
        <v>Y</v>
      </c>
      <c r="AS197" s="0" t="str">
        <f aca="false">_xlfn.TEXTJOIN("; ",TRUE(),IF(AU197&lt;&gt;"pass","gated out",""),IF(AO197="Y","on hold: "&amp;AP197,""),IF(C197="","no contact named on an opened page",""))</f>
        <v/>
      </c>
      <c r="AU197" s="0" t="s">
        <v>181</v>
      </c>
      <c r="AW197" s="0" t="s">
        <v>182</v>
      </c>
      <c r="AX197" s="0" t="s">
        <v>4594</v>
      </c>
      <c r="AY197" s="0" t="s">
        <v>8927</v>
      </c>
      <c r="AZ197" s="0" t="s">
        <v>4922</v>
      </c>
      <c r="BA197" s="0" t="s">
        <v>5191</v>
      </c>
      <c r="BB197" s="0" t="s">
        <v>163</v>
      </c>
      <c r="BD197" s="0" t="s">
        <v>163</v>
      </c>
      <c r="BE197" s="0" t="s">
        <v>8928</v>
      </c>
      <c r="BF197" s="0" t="s">
        <v>163</v>
      </c>
      <c r="BG197" s="0" t="s">
        <v>168</v>
      </c>
      <c r="BH197" s="0" t="s">
        <v>163</v>
      </c>
      <c r="BJ197" s="0" t="s">
        <v>163</v>
      </c>
      <c r="BK197" s="0" t="s">
        <v>162</v>
      </c>
      <c r="BL197" s="0" t="s">
        <v>162</v>
      </c>
      <c r="BO197" s="0" t="s">
        <v>162</v>
      </c>
      <c r="BP197" s="0" t="n">
        <v>0</v>
      </c>
      <c r="BS197" s="0" t="s">
        <v>163</v>
      </c>
      <c r="BU197" s="0" t="s">
        <v>4604</v>
      </c>
      <c r="BV197" s="0" t="n">
        <v>344</v>
      </c>
      <c r="BW197" s="0" t="s">
        <v>8920</v>
      </c>
      <c r="BX197" s="0" t="s">
        <v>8929</v>
      </c>
      <c r="CF197" s="0" t="s">
        <v>158</v>
      </c>
      <c r="CK197" s="0" t="s">
        <v>158</v>
      </c>
      <c r="CL197" s="0" t="n">
        <v>34</v>
      </c>
      <c r="CM197" s="0" t="n">
        <v>6</v>
      </c>
      <c r="CN197" s="0" t="n">
        <v>8</v>
      </c>
      <c r="CO197" s="0" t="n">
        <v>8</v>
      </c>
      <c r="CP197" s="0" t="n">
        <v>5</v>
      </c>
      <c r="CQ197" s="0" t="n">
        <v>5</v>
      </c>
      <c r="CR197" s="0" t="n">
        <v>6</v>
      </c>
      <c r="CS197" s="0" t="n">
        <f aca="false">IF(R197="Y",10,0)</f>
        <v>0</v>
      </c>
      <c r="CT197" s="0" t="n">
        <v>-4</v>
      </c>
      <c r="CV197" s="0" t="s">
        <v>4615</v>
      </c>
      <c r="CW197" s="0" t="s">
        <v>8930</v>
      </c>
      <c r="CX197" s="0" t="s">
        <v>8931</v>
      </c>
      <c r="CY197" s="0" t="s">
        <v>8932</v>
      </c>
      <c r="DA197" s="0" t="s">
        <v>6234</v>
      </c>
      <c r="DY197" s="0" t="str">
        <f aca="false">IF(ISNUMBER(MATCH(U197,{"queued","contacted","replied","call_booked","call_done","yes_in_principle","materials_sent"},0)),"Y","N")</f>
        <v>N</v>
      </c>
      <c r="DZ197" s="0" t="str">
        <f aca="false">IF(COUNTIFS($AN$2:$AN$1000,AN197,$DY$2:$DY$1000,"Y")+COUNTIFS($AN$2:$AN$1000,AN197,$T$2:$T$1000,"Y")&gt;0,"Y","N")</f>
        <v>N</v>
      </c>
      <c r="EA197" s="0" t="str">
        <f aca="false">IF(AND(U197="new",T197="N",AR197="Y",AQ197="",DZ197="N"),"Y","N")</f>
        <v>Y</v>
      </c>
      <c r="EB197" s="0" t="str">
        <f aca="false">IF(EA197&lt;&gt;"Y","N",IF(COUNTIFS($AN$2:$AN$1000,AN197,$EA$2:$EA$1000,"Y",$J$2:$J$1000,"&gt;"&amp;J197)+COUNTIFS($AN$2:$AN$1000,AN197,$EA$2:$EA$1000,"Y",$J$2:$J$1000,J197,$ED$2:$ED$1000,"&lt;"&amp;ED197)=0,"Y","N"))</f>
        <v>Y</v>
      </c>
      <c r="EC197" s="0" t="str">
        <f aca="false">IF(Y197="","N",IF(Y197&lt;=10,"Y","N"))</f>
        <v>N</v>
      </c>
      <c r="ED197" s="0" t="n">
        <f aca="false">ROW()-1</f>
        <v>196</v>
      </c>
    </row>
    <row r="198" customFormat="false" ht="15" hidden="false" customHeight="false" outlineLevel="0" collapsed="false">
      <c r="A198" s="0" t="s">
        <v>8933</v>
      </c>
      <c r="B198" s="0" t="s">
        <v>8934</v>
      </c>
      <c r="C198" s="0" t="s">
        <v>8935</v>
      </c>
      <c r="D198" s="0" t="s">
        <v>8936</v>
      </c>
      <c r="E198" s="0" t="s">
        <v>8937</v>
      </c>
      <c r="H198" s="5" t="s">
        <v>158</v>
      </c>
      <c r="I198" s="5" t="s">
        <v>159</v>
      </c>
      <c r="J198" s="0" t="n">
        <f aca="false">IF(AU198="pass",CM198+CN198+CO198+CP198+CQ198+CR198+CS198+CT198,0)</f>
        <v>34</v>
      </c>
      <c r="K198" s="0" t="s">
        <v>8938</v>
      </c>
      <c r="M198" s="0" t="s">
        <v>5291</v>
      </c>
      <c r="N198" s="0" t="s">
        <v>598</v>
      </c>
      <c r="R198" s="5" t="s">
        <v>162</v>
      </c>
      <c r="S198" s="0" t="s">
        <v>163</v>
      </c>
      <c r="T198" s="5" t="s">
        <v>162</v>
      </c>
      <c r="U198" s="5" t="s">
        <v>561</v>
      </c>
      <c r="V198" s="0" t="s">
        <v>8939</v>
      </c>
      <c r="W198" s="0" t="s">
        <v>166</v>
      </c>
      <c r="X198" s="0" t="s">
        <v>4585</v>
      </c>
      <c r="Y198" s="0" t="n">
        <f aca="false">IF(EB198&lt;&gt;"Y","",COUNTIFS($EB$2:$EB$1000,"Y",$J$2:$J$1000,"&gt;"&amp;J198)+COUNTIFS($EB$2:$EB$1000,"Y",$J$2:$J$1000,J198,$ED$2:$ED$1000,"&lt;"&amp;ED198)+1)</f>
        <v>160</v>
      </c>
      <c r="Z198" s="0" t="n">
        <v>197</v>
      </c>
      <c r="AA198" s="0" t="s">
        <v>162</v>
      </c>
      <c r="AB198" s="0" t="s">
        <v>8940</v>
      </c>
      <c r="AC198" s="0" t="s">
        <v>4587</v>
      </c>
      <c r="AD198" s="0" t="s">
        <v>171</v>
      </c>
      <c r="AE198" s="0" t="s">
        <v>1189</v>
      </c>
      <c r="AF198" s="0" t="s">
        <v>8941</v>
      </c>
      <c r="AG198" s="0" t="s">
        <v>166</v>
      </c>
      <c r="AH198" s="0" t="s">
        <v>8942</v>
      </c>
      <c r="AI198" s="0" t="s">
        <v>4590</v>
      </c>
      <c r="AJ198" s="0" t="s">
        <v>4634</v>
      </c>
      <c r="AK198" s="0" t="s">
        <v>8943</v>
      </c>
      <c r="AL198" s="0" t="s">
        <v>168</v>
      </c>
      <c r="AM198" s="0" t="s">
        <v>8944</v>
      </c>
      <c r="AN198" s="0" t="s">
        <v>8933</v>
      </c>
      <c r="AO198" s="5" t="s">
        <v>162</v>
      </c>
      <c r="AR198" s="0" t="str">
        <f aca="false">IF(AND(AU198="pass",AO198&lt;&gt;"Y",C198&lt;&gt;""),"Y","N")</f>
        <v>Y</v>
      </c>
      <c r="AS198" s="0" t="str">
        <f aca="false">_xlfn.TEXTJOIN("; ",TRUE(),IF(AU198&lt;&gt;"pass","gated out",""),IF(AO198="Y","on hold: "&amp;AP198,""),IF(C198="","no contact named on an opened page",""))</f>
        <v/>
      </c>
      <c r="AU198" s="0" t="s">
        <v>181</v>
      </c>
      <c r="AW198" s="0" t="s">
        <v>182</v>
      </c>
      <c r="AX198" s="0" t="s">
        <v>8945</v>
      </c>
      <c r="AY198" s="0" t="s">
        <v>8946</v>
      </c>
      <c r="AZ198" s="0" t="s">
        <v>4595</v>
      </c>
      <c r="BA198" s="0" t="s">
        <v>4596</v>
      </c>
      <c r="BB198" s="0" t="s">
        <v>8947</v>
      </c>
      <c r="BC198" s="0" t="s">
        <v>8939</v>
      </c>
      <c r="BD198" s="0" t="s">
        <v>163</v>
      </c>
      <c r="BE198" s="0" t="s">
        <v>8948</v>
      </c>
      <c r="BF198" s="0" t="s">
        <v>168</v>
      </c>
      <c r="BG198" s="0" t="s">
        <v>168</v>
      </c>
      <c r="BH198" s="0" t="s">
        <v>163</v>
      </c>
      <c r="BJ198" s="0" t="s">
        <v>5549</v>
      </c>
      <c r="BK198" s="0" t="s">
        <v>162</v>
      </c>
      <c r="BL198" s="0" t="s">
        <v>162</v>
      </c>
      <c r="BO198" s="0" t="s">
        <v>162</v>
      </c>
      <c r="BP198" s="0" t="n">
        <v>0</v>
      </c>
      <c r="BS198" s="0" t="s">
        <v>8949</v>
      </c>
      <c r="BU198" s="0" t="s">
        <v>158</v>
      </c>
      <c r="BX198" s="0" t="s">
        <v>8950</v>
      </c>
      <c r="BY198" s="0" t="s">
        <v>8951</v>
      </c>
      <c r="CA198" s="0" t="s">
        <v>8952</v>
      </c>
      <c r="CB198" s="0" t="s">
        <v>8953</v>
      </c>
      <c r="CC198" s="0" t="s">
        <v>8936</v>
      </c>
      <c r="CD198" s="0" t="s">
        <v>8937</v>
      </c>
      <c r="CE198" s="0" t="s">
        <v>6723</v>
      </c>
      <c r="CF198" s="0" t="s">
        <v>171</v>
      </c>
      <c r="CG198" s="0" t="s">
        <v>8951</v>
      </c>
      <c r="CK198" s="0" t="s">
        <v>158</v>
      </c>
      <c r="CL198" s="0" t="n">
        <v>34</v>
      </c>
      <c r="CM198" s="0" t="n">
        <v>6</v>
      </c>
      <c r="CN198" s="0" t="n">
        <v>20</v>
      </c>
      <c r="CO198" s="0" t="n">
        <v>0</v>
      </c>
      <c r="CP198" s="0" t="n">
        <v>5</v>
      </c>
      <c r="CQ198" s="0" t="n">
        <v>7</v>
      </c>
      <c r="CR198" s="0" t="n">
        <v>6</v>
      </c>
      <c r="CS198" s="0" t="n">
        <f aca="false">IF(R198="Y",10,0)</f>
        <v>0</v>
      </c>
      <c r="CT198" s="0" t="n">
        <v>-10</v>
      </c>
      <c r="CU198" s="0" t="s">
        <v>163</v>
      </c>
      <c r="CV198" s="0" t="s">
        <v>5562</v>
      </c>
      <c r="CW198" s="0" t="s">
        <v>8954</v>
      </c>
      <c r="CX198" s="0" t="s">
        <v>8955</v>
      </c>
      <c r="CY198" s="0" t="s">
        <v>8956</v>
      </c>
      <c r="CZ198" s="0" t="s">
        <v>8941</v>
      </c>
      <c r="DA198" s="0" t="s">
        <v>6234</v>
      </c>
      <c r="DC198" s="0" t="s">
        <v>1189</v>
      </c>
      <c r="DY198" s="0" t="str">
        <f aca="false">IF(ISNUMBER(MATCH(U198,{"queued","contacted","replied","call_booked","call_done","yes_in_principle","materials_sent"},0)),"Y","N")</f>
        <v>N</v>
      </c>
      <c r="DZ198" s="0" t="str">
        <f aca="false">IF(COUNTIFS($AN$2:$AN$1000,AN198,$DY$2:$DY$1000,"Y")+COUNTIFS($AN$2:$AN$1000,AN198,$T$2:$T$1000,"Y")&gt;0,"Y","N")</f>
        <v>N</v>
      </c>
      <c r="EA198" s="0" t="str">
        <f aca="false">IF(AND(U198="new",T198="N",AR198="Y",AQ198="",DZ198="N"),"Y","N")</f>
        <v>Y</v>
      </c>
      <c r="EB198" s="0" t="str">
        <f aca="false">IF(EA198&lt;&gt;"Y","N",IF(COUNTIFS($AN$2:$AN$1000,AN198,$EA$2:$EA$1000,"Y",$J$2:$J$1000,"&gt;"&amp;J198)+COUNTIFS($AN$2:$AN$1000,AN198,$EA$2:$EA$1000,"Y",$J$2:$J$1000,J198,$ED$2:$ED$1000,"&lt;"&amp;ED198)=0,"Y","N"))</f>
        <v>Y</v>
      </c>
      <c r="EC198" s="0" t="str">
        <f aca="false">IF(Y198="","N",IF(Y198&lt;=10,"Y","N"))</f>
        <v>N</v>
      </c>
      <c r="ED198" s="0" t="n">
        <f aca="false">ROW()-1</f>
        <v>197</v>
      </c>
    </row>
    <row r="199" customFormat="false" ht="15" hidden="false" customHeight="false" outlineLevel="0" collapsed="false">
      <c r="A199" s="0" t="s">
        <v>8957</v>
      </c>
      <c r="B199" s="0" t="s">
        <v>8958</v>
      </c>
      <c r="C199" s="0" t="s">
        <v>8959</v>
      </c>
      <c r="D199" s="0" t="s">
        <v>8960</v>
      </c>
      <c r="E199" s="0" t="s">
        <v>8961</v>
      </c>
      <c r="F199" s="0" t="s">
        <v>8962</v>
      </c>
      <c r="H199" s="5" t="s">
        <v>158</v>
      </c>
      <c r="I199" s="5" t="s">
        <v>159</v>
      </c>
      <c r="J199" s="0" t="n">
        <f aca="false">IF(AU199="pass",CM199+CN199+CO199+CP199+CQ199+CR199+CS199+CT199,0)</f>
        <v>33</v>
      </c>
      <c r="K199" s="0" t="s">
        <v>8963</v>
      </c>
      <c r="M199" s="0" t="s">
        <v>4580</v>
      </c>
      <c r="N199" s="0" t="s">
        <v>4581</v>
      </c>
      <c r="O199" s="0" t="s">
        <v>8964</v>
      </c>
      <c r="P199" s="0" t="s">
        <v>8965</v>
      </c>
      <c r="Q199" s="0" t="s">
        <v>5540</v>
      </c>
      <c r="R199" s="5" t="s">
        <v>162</v>
      </c>
      <c r="S199" s="0" t="s">
        <v>163</v>
      </c>
      <c r="T199" s="5" t="s">
        <v>162</v>
      </c>
      <c r="U199" s="5" t="s">
        <v>561</v>
      </c>
      <c r="V199" s="0" t="s">
        <v>8966</v>
      </c>
      <c r="W199" s="0" t="s">
        <v>166</v>
      </c>
      <c r="X199" s="0" t="s">
        <v>4585</v>
      </c>
      <c r="Y199" s="0" t="str">
        <f aca="false">IF(EB199&lt;&gt;"Y","",COUNTIFS($EB$2:$EB$1000,"Y",$J$2:$J$1000,"&gt;"&amp;J199)+COUNTIFS($EB$2:$EB$1000,"Y",$J$2:$J$1000,J199,$ED$2:$ED$1000,"&lt;"&amp;ED199)+1)</f>
        <v/>
      </c>
      <c r="Z199" s="0" t="n">
        <v>198</v>
      </c>
      <c r="AA199" s="0" t="s">
        <v>162</v>
      </c>
      <c r="AB199" s="0" t="s">
        <v>8967</v>
      </c>
      <c r="AC199" s="0" t="s">
        <v>5323</v>
      </c>
      <c r="AD199" s="0" t="s">
        <v>171</v>
      </c>
      <c r="AE199" s="0" t="s">
        <v>1189</v>
      </c>
      <c r="AF199" s="0" t="s">
        <v>8968</v>
      </c>
      <c r="AG199" s="0" t="s">
        <v>174</v>
      </c>
      <c r="AH199" s="0" t="s">
        <v>8969</v>
      </c>
      <c r="AI199" s="0" t="s">
        <v>5028</v>
      </c>
      <c r="AJ199" s="0" t="s">
        <v>7475</v>
      </c>
      <c r="AK199" s="0" t="s">
        <v>8970</v>
      </c>
      <c r="AL199" s="0" t="s">
        <v>168</v>
      </c>
      <c r="AM199" s="0" t="s">
        <v>8971</v>
      </c>
      <c r="AN199" s="0" t="s">
        <v>4921</v>
      </c>
      <c r="AO199" s="5" t="s">
        <v>162</v>
      </c>
      <c r="AR199" s="0" t="str">
        <f aca="false">IF(AND(AU199="pass",AO199&lt;&gt;"Y",C199&lt;&gt;""),"Y","N")</f>
        <v>Y</v>
      </c>
      <c r="AS199" s="0" t="str">
        <f aca="false">_xlfn.TEXTJOIN("; ",TRUE(),IF(AU199&lt;&gt;"pass","gated out",""),IF(AO199="Y","on hold: "&amp;AP199,""),IF(C199="","no contact named on an opened page",""))</f>
        <v/>
      </c>
      <c r="AU199" s="0" t="s">
        <v>181</v>
      </c>
      <c r="AW199" s="0" t="s">
        <v>182</v>
      </c>
      <c r="AX199" s="0" t="s">
        <v>8972</v>
      </c>
      <c r="AY199" s="0" t="s">
        <v>8970</v>
      </c>
      <c r="AZ199" s="0" t="s">
        <v>6476</v>
      </c>
      <c r="BA199" s="0" t="s">
        <v>5191</v>
      </c>
      <c r="BB199" s="0" t="s">
        <v>163</v>
      </c>
      <c r="BD199" s="0" t="s">
        <v>168</v>
      </c>
      <c r="BE199" s="0" t="s">
        <v>8973</v>
      </c>
      <c r="BF199" s="0" t="s">
        <v>168</v>
      </c>
      <c r="BG199" s="0" t="s">
        <v>168</v>
      </c>
      <c r="BH199" s="0" t="s">
        <v>7179</v>
      </c>
      <c r="BI199" s="0" t="s">
        <v>6457</v>
      </c>
      <c r="BJ199" s="0" t="s">
        <v>8974</v>
      </c>
      <c r="BK199" s="0" t="s">
        <v>162</v>
      </c>
      <c r="BL199" s="0" t="s">
        <v>162</v>
      </c>
      <c r="BN199" s="0" t="n">
        <v>0</v>
      </c>
      <c r="BO199" s="0" t="s">
        <v>168</v>
      </c>
      <c r="BP199" s="0" t="n">
        <v>3</v>
      </c>
      <c r="BQ199" s="0" t="s">
        <v>4669</v>
      </c>
      <c r="BS199" s="0" t="s">
        <v>4981</v>
      </c>
      <c r="BT199" s="0" t="s">
        <v>8975</v>
      </c>
      <c r="BU199" s="0" t="s">
        <v>4604</v>
      </c>
      <c r="BV199" s="0" t="n">
        <v>43</v>
      </c>
      <c r="BX199" s="0" t="s">
        <v>8976</v>
      </c>
      <c r="BY199" s="0" t="s">
        <v>8977</v>
      </c>
      <c r="BZ199" s="0" t="s">
        <v>4607</v>
      </c>
      <c r="CA199" s="0" t="s">
        <v>4930</v>
      </c>
      <c r="CB199" s="0" t="s">
        <v>8978</v>
      </c>
      <c r="CC199" s="0" t="s">
        <v>8979</v>
      </c>
      <c r="CD199" s="0" t="s">
        <v>8980</v>
      </c>
      <c r="CE199" s="0" t="s">
        <v>4612</v>
      </c>
      <c r="CF199" s="0" t="s">
        <v>171</v>
      </c>
      <c r="CG199" s="0" t="s">
        <v>8981</v>
      </c>
      <c r="CK199" s="0" t="s">
        <v>158</v>
      </c>
      <c r="CL199" s="0" t="n">
        <v>33</v>
      </c>
      <c r="CM199" s="0" t="n">
        <v>25</v>
      </c>
      <c r="CN199" s="0" t="n">
        <v>8</v>
      </c>
      <c r="CO199" s="0" t="n">
        <v>15</v>
      </c>
      <c r="CP199" s="0" t="n">
        <v>0</v>
      </c>
      <c r="CQ199" s="0" t="n">
        <v>10</v>
      </c>
      <c r="CR199" s="0" t="n">
        <v>10</v>
      </c>
      <c r="CS199" s="0" t="n">
        <f aca="false">IF(R199="Y",10,0)</f>
        <v>0</v>
      </c>
      <c r="CT199" s="0" t="n">
        <v>-35</v>
      </c>
      <c r="CU199" s="0" t="s">
        <v>163</v>
      </c>
      <c r="CV199" s="0" t="s">
        <v>4841</v>
      </c>
      <c r="CW199" s="0" t="s">
        <v>8982</v>
      </c>
      <c r="CX199" s="0" t="s">
        <v>8983</v>
      </c>
      <c r="CY199" s="0" t="s">
        <v>8984</v>
      </c>
      <c r="CZ199" s="0" t="s">
        <v>8968</v>
      </c>
      <c r="DA199" s="0" t="s">
        <v>4620</v>
      </c>
      <c r="DB199" s="0" t="s">
        <v>8985</v>
      </c>
      <c r="DC199" s="0" t="s">
        <v>1189</v>
      </c>
      <c r="DD199" s="0" t="s">
        <v>8985</v>
      </c>
      <c r="DF199" s="0" t="s">
        <v>8986</v>
      </c>
      <c r="DY199" s="0" t="str">
        <f aca="false">IF(ISNUMBER(MATCH(U199,{"queued","contacted","replied","call_booked","call_done","yes_in_principle","materials_sent"},0)),"Y","N")</f>
        <v>N</v>
      </c>
      <c r="DZ199" s="0" t="str">
        <f aca="false">IF(COUNTIFS($AN$2:$AN$1000,AN199,$DY$2:$DY$1000,"Y")+COUNTIFS($AN$2:$AN$1000,AN199,$T$2:$T$1000,"Y")&gt;0,"Y","N")</f>
        <v>N</v>
      </c>
      <c r="EA199" s="0" t="str">
        <f aca="false">IF(AND(U199="new",T199="N",AR199="Y",AQ199="",DZ199="N"),"Y","N")</f>
        <v>Y</v>
      </c>
      <c r="EB199" s="0" t="str">
        <f aca="false">IF(EA199&lt;&gt;"Y","N",IF(COUNTIFS($AN$2:$AN$1000,AN199,$EA$2:$EA$1000,"Y",$J$2:$J$1000,"&gt;"&amp;J199)+COUNTIFS($AN$2:$AN$1000,AN199,$EA$2:$EA$1000,"Y",$J$2:$J$1000,J199,$ED$2:$ED$1000,"&lt;"&amp;ED199)=0,"Y","N"))</f>
        <v>N</v>
      </c>
      <c r="EC199" s="0" t="str">
        <f aca="false">IF(Y199="","N",IF(Y199&lt;=10,"Y","N"))</f>
        <v>N</v>
      </c>
      <c r="ED199" s="0" t="n">
        <f aca="false">ROW()-1</f>
        <v>198</v>
      </c>
    </row>
    <row r="200" customFormat="false" ht="15" hidden="false" customHeight="false" outlineLevel="0" collapsed="false">
      <c r="A200" s="0" t="s">
        <v>8987</v>
      </c>
      <c r="B200" s="0" t="s">
        <v>8988</v>
      </c>
      <c r="C200" s="0" t="s">
        <v>8989</v>
      </c>
      <c r="D200" s="0" t="s">
        <v>163</v>
      </c>
      <c r="E200" s="0" t="s">
        <v>4771</v>
      </c>
      <c r="H200" s="5" t="s">
        <v>158</v>
      </c>
      <c r="I200" s="5" t="s">
        <v>159</v>
      </c>
      <c r="J200" s="0" t="n">
        <f aca="false">IF(AU200="pass",CM200+CN200+CO200+CP200+CQ200+CR200+CS200+CT200,0)</f>
        <v>33</v>
      </c>
      <c r="K200" s="0" t="s">
        <v>8990</v>
      </c>
      <c r="M200" s="0" t="s">
        <v>5291</v>
      </c>
      <c r="N200" s="0" t="s">
        <v>598</v>
      </c>
      <c r="O200" s="0" t="s">
        <v>8991</v>
      </c>
      <c r="P200" s="0" t="s">
        <v>8992</v>
      </c>
      <c r="Q200" s="0" t="s">
        <v>6734</v>
      </c>
      <c r="R200" s="5" t="s">
        <v>162</v>
      </c>
      <c r="S200" s="0" t="s">
        <v>163</v>
      </c>
      <c r="T200" s="5" t="s">
        <v>162</v>
      </c>
      <c r="U200" s="5" t="s">
        <v>561</v>
      </c>
      <c r="V200" s="0" t="s">
        <v>8993</v>
      </c>
      <c r="W200" s="0" t="s">
        <v>174</v>
      </c>
      <c r="X200" s="0" t="s">
        <v>4585</v>
      </c>
      <c r="Y200" s="0" t="n">
        <f aca="false">IF(EB200&lt;&gt;"Y","",COUNTIFS($EB$2:$EB$1000,"Y",$J$2:$J$1000,"&gt;"&amp;J200)+COUNTIFS($EB$2:$EB$1000,"Y",$J$2:$J$1000,J200,$ED$2:$ED$1000,"&lt;"&amp;ED200)+1)</f>
        <v>161</v>
      </c>
      <c r="Z200" s="0" t="n">
        <v>199</v>
      </c>
      <c r="AA200" s="0" t="s">
        <v>162</v>
      </c>
      <c r="AB200" s="0" t="s">
        <v>8994</v>
      </c>
      <c r="AC200" s="0" t="s">
        <v>4587</v>
      </c>
      <c r="AD200" s="0" t="s">
        <v>5008</v>
      </c>
      <c r="AE200" s="0" t="s">
        <v>1189</v>
      </c>
      <c r="AF200" s="0" t="s">
        <v>8993</v>
      </c>
      <c r="AG200" s="0" t="s">
        <v>174</v>
      </c>
      <c r="AH200" s="0" t="s">
        <v>8995</v>
      </c>
      <c r="AI200" s="0" t="s">
        <v>5383</v>
      </c>
      <c r="AJ200" s="0" t="s">
        <v>163</v>
      </c>
      <c r="AK200" s="0" t="s">
        <v>8996</v>
      </c>
      <c r="AL200" s="0" t="s">
        <v>168</v>
      </c>
      <c r="AM200" s="0" t="s">
        <v>8997</v>
      </c>
      <c r="AN200" s="0" t="s">
        <v>8987</v>
      </c>
      <c r="AO200" s="5" t="s">
        <v>162</v>
      </c>
      <c r="AR200" s="0" t="str">
        <f aca="false">IF(AND(AU200="pass",AO200&lt;&gt;"Y",C200&lt;&gt;""),"Y","N")</f>
        <v>Y</v>
      </c>
      <c r="AS200" s="0" t="str">
        <f aca="false">_xlfn.TEXTJOIN("; ",TRUE(),IF(AU200&lt;&gt;"pass","gated out",""),IF(AO200="Y","on hold: "&amp;AP200,""),IF(C200="","no contact named on an opened page",""))</f>
        <v/>
      </c>
      <c r="AU200" s="0" t="s">
        <v>181</v>
      </c>
      <c r="AW200" s="0" t="s">
        <v>182</v>
      </c>
      <c r="AX200" s="0" t="s">
        <v>5516</v>
      </c>
      <c r="AY200" s="0" t="s">
        <v>8996</v>
      </c>
      <c r="AZ200" s="0" t="s">
        <v>6689</v>
      </c>
      <c r="BA200" s="0" t="s">
        <v>5191</v>
      </c>
      <c r="BB200" s="0" t="s">
        <v>163</v>
      </c>
      <c r="BD200" s="0" t="s">
        <v>168</v>
      </c>
      <c r="BE200" s="0" t="s">
        <v>8998</v>
      </c>
      <c r="BF200" s="0" t="s">
        <v>162</v>
      </c>
      <c r="BG200" s="0" t="s">
        <v>168</v>
      </c>
      <c r="BH200" s="0" t="s">
        <v>163</v>
      </c>
      <c r="BJ200" s="0" t="s">
        <v>5143</v>
      </c>
      <c r="BK200" s="0" t="s">
        <v>162</v>
      </c>
      <c r="BL200" s="0" t="s">
        <v>162</v>
      </c>
      <c r="BO200" s="0" t="s">
        <v>162</v>
      </c>
      <c r="BP200" s="0" t="n">
        <v>0</v>
      </c>
      <c r="BS200" s="0" t="s">
        <v>163</v>
      </c>
      <c r="BU200" s="0" t="s">
        <v>4694</v>
      </c>
      <c r="BV200" s="0" t="n">
        <v>60</v>
      </c>
      <c r="BX200" s="0" t="s">
        <v>8989</v>
      </c>
      <c r="CA200" s="0" t="s">
        <v>8999</v>
      </c>
      <c r="CB200" s="0" t="s">
        <v>9000</v>
      </c>
      <c r="CC200" s="0" t="s">
        <v>9001</v>
      </c>
      <c r="CD200" s="0" t="s">
        <v>4771</v>
      </c>
      <c r="CE200" s="0" t="s">
        <v>6723</v>
      </c>
      <c r="CF200" s="0" t="s">
        <v>171</v>
      </c>
      <c r="CK200" s="0" t="s">
        <v>158</v>
      </c>
      <c r="CL200" s="0" t="n">
        <v>33</v>
      </c>
      <c r="CM200" s="0" t="n">
        <v>6</v>
      </c>
      <c r="CN200" s="0" t="n">
        <v>8</v>
      </c>
      <c r="CO200" s="0" t="n">
        <v>8</v>
      </c>
      <c r="CP200" s="0" t="n">
        <v>5</v>
      </c>
      <c r="CQ200" s="0" t="n">
        <v>7</v>
      </c>
      <c r="CR200" s="0" t="n">
        <v>3</v>
      </c>
      <c r="CS200" s="0" t="n">
        <f aca="false">IF(R200="Y",10,0)</f>
        <v>0</v>
      </c>
      <c r="CT200" s="0" t="n">
        <v>-4</v>
      </c>
      <c r="CU200" s="0" t="s">
        <v>9002</v>
      </c>
      <c r="CV200" s="0" t="s">
        <v>5150</v>
      </c>
      <c r="CW200" s="0" t="s">
        <v>9003</v>
      </c>
      <c r="CX200" s="0" t="s">
        <v>9004</v>
      </c>
      <c r="CZ200" s="0" t="s">
        <v>8993</v>
      </c>
      <c r="DA200" s="0" t="s">
        <v>6234</v>
      </c>
      <c r="DC200" s="0" t="s">
        <v>1189</v>
      </c>
      <c r="DY200" s="0" t="str">
        <f aca="false">IF(ISNUMBER(MATCH(U200,{"queued","contacted","replied","call_booked","call_done","yes_in_principle","materials_sent"},0)),"Y","N")</f>
        <v>N</v>
      </c>
      <c r="DZ200" s="0" t="str">
        <f aca="false">IF(COUNTIFS($AN$2:$AN$1000,AN200,$DY$2:$DY$1000,"Y")+COUNTIFS($AN$2:$AN$1000,AN200,$T$2:$T$1000,"Y")&gt;0,"Y","N")</f>
        <v>N</v>
      </c>
      <c r="EA200" s="0" t="str">
        <f aca="false">IF(AND(U200="new",T200="N",AR200="Y",AQ200="",DZ200="N"),"Y","N")</f>
        <v>Y</v>
      </c>
      <c r="EB200" s="0" t="str">
        <f aca="false">IF(EA200&lt;&gt;"Y","N",IF(COUNTIFS($AN$2:$AN$1000,AN200,$EA$2:$EA$1000,"Y",$J$2:$J$1000,"&gt;"&amp;J200)+COUNTIFS($AN$2:$AN$1000,AN200,$EA$2:$EA$1000,"Y",$J$2:$J$1000,J200,$ED$2:$ED$1000,"&lt;"&amp;ED200)=0,"Y","N"))</f>
        <v>Y</v>
      </c>
      <c r="EC200" s="0" t="str">
        <f aca="false">IF(Y200="","N",IF(Y200&lt;=10,"Y","N"))</f>
        <v>N</v>
      </c>
      <c r="ED200" s="0" t="n">
        <f aca="false">ROW()-1</f>
        <v>199</v>
      </c>
    </row>
    <row r="201" customFormat="false" ht="15" hidden="false" customHeight="false" outlineLevel="0" collapsed="false">
      <c r="A201" s="0" t="s">
        <v>9005</v>
      </c>
      <c r="B201" s="0" t="s">
        <v>9006</v>
      </c>
      <c r="C201" s="0" t="s">
        <v>9007</v>
      </c>
      <c r="D201" s="0" t="s">
        <v>163</v>
      </c>
      <c r="E201" s="0" t="s">
        <v>4771</v>
      </c>
      <c r="H201" s="5" t="s">
        <v>158</v>
      </c>
      <c r="I201" s="5" t="s">
        <v>159</v>
      </c>
      <c r="J201" s="0" t="n">
        <f aca="false">IF(AU201="pass",CM201+CN201+CO201+CP201+CQ201+CR201+CS201+CT201,0)</f>
        <v>33</v>
      </c>
      <c r="K201" s="0" t="s">
        <v>9008</v>
      </c>
      <c r="M201" s="0" t="s">
        <v>5291</v>
      </c>
      <c r="N201" s="0" t="s">
        <v>598</v>
      </c>
      <c r="O201" s="0" t="s">
        <v>9009</v>
      </c>
      <c r="P201" s="0" t="s">
        <v>9010</v>
      </c>
      <c r="Q201" s="0" t="s">
        <v>2032</v>
      </c>
      <c r="R201" s="5" t="s">
        <v>162</v>
      </c>
      <c r="S201" s="0" t="s">
        <v>163</v>
      </c>
      <c r="T201" s="5" t="s">
        <v>162</v>
      </c>
      <c r="U201" s="5" t="s">
        <v>561</v>
      </c>
      <c r="V201" s="0" t="s">
        <v>9011</v>
      </c>
      <c r="W201" s="0" t="s">
        <v>174</v>
      </c>
      <c r="X201" s="0" t="s">
        <v>4585</v>
      </c>
      <c r="Y201" s="0" t="n">
        <f aca="false">IF(EB201&lt;&gt;"Y","",COUNTIFS($EB$2:$EB$1000,"Y",$J$2:$J$1000,"&gt;"&amp;J201)+COUNTIFS($EB$2:$EB$1000,"Y",$J$2:$J$1000,J201,$ED$2:$ED$1000,"&lt;"&amp;ED201)+1)</f>
        <v>162</v>
      </c>
      <c r="Z201" s="0" t="n">
        <v>200</v>
      </c>
      <c r="AA201" s="0" t="s">
        <v>162</v>
      </c>
      <c r="AB201" s="0" t="s">
        <v>9012</v>
      </c>
      <c r="AC201" s="0" t="s">
        <v>4587</v>
      </c>
      <c r="AD201" s="0" t="s">
        <v>5008</v>
      </c>
      <c r="AE201" s="0" t="s">
        <v>172</v>
      </c>
      <c r="AF201" s="0" t="s">
        <v>9013</v>
      </c>
      <c r="AG201" s="0" t="s">
        <v>174</v>
      </c>
      <c r="AH201" s="0" t="s">
        <v>9014</v>
      </c>
      <c r="AI201" s="0" t="s">
        <v>4722</v>
      </c>
      <c r="AJ201" s="0" t="s">
        <v>9015</v>
      </c>
      <c r="AK201" s="0" t="s">
        <v>9016</v>
      </c>
      <c r="AL201" s="0" t="s">
        <v>168</v>
      </c>
      <c r="AM201" s="0" t="s">
        <v>9017</v>
      </c>
      <c r="AN201" s="0" t="s">
        <v>9005</v>
      </c>
      <c r="AO201" s="5" t="s">
        <v>162</v>
      </c>
      <c r="AR201" s="0" t="str">
        <f aca="false">IF(AND(AU201="pass",AO201&lt;&gt;"Y",C201&lt;&gt;""),"Y","N")</f>
        <v>Y</v>
      </c>
      <c r="AS201" s="0" t="str">
        <f aca="false">_xlfn.TEXTJOIN("; ",TRUE(),IF(AU201&lt;&gt;"pass","gated out",""),IF(AO201="Y","on hold: "&amp;AP201,""),IF(C201="","no contact named on an opened page",""))</f>
        <v/>
      </c>
      <c r="AU201" s="0" t="s">
        <v>181</v>
      </c>
      <c r="AW201" s="0" t="s">
        <v>182</v>
      </c>
      <c r="AX201" s="0" t="s">
        <v>5516</v>
      </c>
      <c r="AY201" s="0" t="s">
        <v>9016</v>
      </c>
      <c r="AZ201" s="0" t="s">
        <v>5190</v>
      </c>
      <c r="BA201" s="0" t="s">
        <v>5191</v>
      </c>
      <c r="BB201" s="0" t="s">
        <v>163</v>
      </c>
      <c r="BD201" s="0" t="s">
        <v>168</v>
      </c>
      <c r="BE201" s="0" t="s">
        <v>9018</v>
      </c>
      <c r="BF201" s="0" t="s">
        <v>162</v>
      </c>
      <c r="BG201" s="0" t="s">
        <v>168</v>
      </c>
      <c r="BH201" s="0" t="s">
        <v>163</v>
      </c>
      <c r="BJ201" s="0" t="s">
        <v>5143</v>
      </c>
      <c r="BK201" s="0" t="s">
        <v>162</v>
      </c>
      <c r="BL201" s="0" t="s">
        <v>162</v>
      </c>
      <c r="BO201" s="0" t="s">
        <v>162</v>
      </c>
      <c r="BP201" s="0" t="n">
        <v>0</v>
      </c>
      <c r="BS201" s="0" t="s">
        <v>163</v>
      </c>
      <c r="BU201" s="0" t="s">
        <v>4694</v>
      </c>
      <c r="BV201" s="0" t="n">
        <v>32</v>
      </c>
      <c r="BX201" s="0" t="s">
        <v>9007</v>
      </c>
      <c r="BY201" s="0" t="s">
        <v>9019</v>
      </c>
      <c r="CF201" s="0" t="s">
        <v>158</v>
      </c>
      <c r="CK201" s="0" t="s">
        <v>158</v>
      </c>
      <c r="CL201" s="0" t="n">
        <v>33</v>
      </c>
      <c r="CM201" s="0" t="n">
        <v>6</v>
      </c>
      <c r="CN201" s="0" t="n">
        <v>8</v>
      </c>
      <c r="CO201" s="0" t="n">
        <v>8</v>
      </c>
      <c r="CP201" s="0" t="n">
        <v>5</v>
      </c>
      <c r="CQ201" s="0" t="n">
        <v>7</v>
      </c>
      <c r="CR201" s="0" t="n">
        <v>3</v>
      </c>
      <c r="CS201" s="0" t="n">
        <f aca="false">IF(R201="Y",10,0)</f>
        <v>0</v>
      </c>
      <c r="CT201" s="0" t="n">
        <v>-4</v>
      </c>
      <c r="CU201" s="0" t="s">
        <v>9020</v>
      </c>
      <c r="CV201" s="0" t="s">
        <v>5150</v>
      </c>
      <c r="CW201" s="0" t="s">
        <v>9021</v>
      </c>
      <c r="CX201" s="0" t="s">
        <v>9022</v>
      </c>
      <c r="DA201" s="0" t="s">
        <v>6234</v>
      </c>
      <c r="DY201" s="0" t="str">
        <f aca="false">IF(ISNUMBER(MATCH(U201,{"queued","contacted","replied","call_booked","call_done","yes_in_principle","materials_sent"},0)),"Y","N")</f>
        <v>N</v>
      </c>
      <c r="DZ201" s="0" t="str">
        <f aca="false">IF(COUNTIFS($AN$2:$AN$1000,AN201,$DY$2:$DY$1000,"Y")+COUNTIFS($AN$2:$AN$1000,AN201,$T$2:$T$1000,"Y")&gt;0,"Y","N")</f>
        <v>N</v>
      </c>
      <c r="EA201" s="0" t="str">
        <f aca="false">IF(AND(U201="new",T201="N",AR201="Y",AQ201="",DZ201="N"),"Y","N")</f>
        <v>Y</v>
      </c>
      <c r="EB201" s="0" t="str">
        <f aca="false">IF(EA201&lt;&gt;"Y","N",IF(COUNTIFS($AN$2:$AN$1000,AN201,$EA$2:$EA$1000,"Y",$J$2:$J$1000,"&gt;"&amp;J201)+COUNTIFS($AN$2:$AN$1000,AN201,$EA$2:$EA$1000,"Y",$J$2:$J$1000,J201,$ED$2:$ED$1000,"&lt;"&amp;ED201)=0,"Y","N"))</f>
        <v>Y</v>
      </c>
      <c r="EC201" s="0" t="str">
        <f aca="false">IF(Y201="","N",IF(Y201&lt;=10,"Y","N"))</f>
        <v>N</v>
      </c>
      <c r="ED201" s="0" t="n">
        <f aca="false">ROW()-1</f>
        <v>200</v>
      </c>
    </row>
    <row r="202" customFormat="false" ht="15" hidden="false" customHeight="false" outlineLevel="0" collapsed="false">
      <c r="A202" s="0" t="s">
        <v>9023</v>
      </c>
      <c r="B202" s="0" t="s">
        <v>9024</v>
      </c>
      <c r="C202" s="0" t="s">
        <v>9025</v>
      </c>
      <c r="D202" s="0" t="s">
        <v>9026</v>
      </c>
      <c r="E202" s="0" t="s">
        <v>4771</v>
      </c>
      <c r="H202" s="5" t="s">
        <v>158</v>
      </c>
      <c r="I202" s="5" t="s">
        <v>159</v>
      </c>
      <c r="J202" s="0" t="n">
        <f aca="false">IF(AU202="pass",CM202+CN202+CO202+CP202+CQ202+CR202+CS202+CT202,0)</f>
        <v>33</v>
      </c>
      <c r="K202" s="0" t="s">
        <v>9027</v>
      </c>
      <c r="M202" s="0" t="s">
        <v>5291</v>
      </c>
      <c r="N202" s="0" t="s">
        <v>598</v>
      </c>
      <c r="O202" s="0" t="s">
        <v>9028</v>
      </c>
      <c r="P202" s="0" t="s">
        <v>9029</v>
      </c>
      <c r="Q202" s="0" t="s">
        <v>9030</v>
      </c>
      <c r="R202" s="5" t="s">
        <v>162</v>
      </c>
      <c r="S202" s="0" t="s">
        <v>163</v>
      </c>
      <c r="T202" s="5" t="s">
        <v>162</v>
      </c>
      <c r="U202" s="5" t="s">
        <v>561</v>
      </c>
      <c r="V202" s="0" t="s">
        <v>9031</v>
      </c>
      <c r="W202" s="0" t="s">
        <v>166</v>
      </c>
      <c r="X202" s="0" t="s">
        <v>4585</v>
      </c>
      <c r="Y202" s="0" t="n">
        <f aca="false">IF(EB202&lt;&gt;"Y","",COUNTIFS($EB$2:$EB$1000,"Y",$J$2:$J$1000,"&gt;"&amp;J202)+COUNTIFS($EB$2:$EB$1000,"Y",$J$2:$J$1000,J202,$ED$2:$ED$1000,"&lt;"&amp;ED202)+1)</f>
        <v>163</v>
      </c>
      <c r="Z202" s="0" t="n">
        <v>201</v>
      </c>
      <c r="AA202" s="0" t="s">
        <v>162</v>
      </c>
      <c r="AB202" s="0" t="s">
        <v>9032</v>
      </c>
      <c r="AC202" s="0" t="s">
        <v>4587</v>
      </c>
      <c r="AD202" s="0" t="s">
        <v>171</v>
      </c>
      <c r="AE202" s="0" t="s">
        <v>172</v>
      </c>
      <c r="AF202" s="0" t="s">
        <v>9031</v>
      </c>
      <c r="AG202" s="0" t="s">
        <v>166</v>
      </c>
      <c r="AH202" s="0" t="s">
        <v>9033</v>
      </c>
      <c r="AI202" s="0" t="s">
        <v>5924</v>
      </c>
      <c r="AJ202" s="0" t="s">
        <v>9034</v>
      </c>
      <c r="AK202" s="0" t="s">
        <v>9035</v>
      </c>
      <c r="AL202" s="0" t="s">
        <v>168</v>
      </c>
      <c r="AM202" s="0" t="s">
        <v>9036</v>
      </c>
      <c r="AN202" s="0" t="s">
        <v>9023</v>
      </c>
      <c r="AO202" s="5" t="s">
        <v>162</v>
      </c>
      <c r="AR202" s="0" t="str">
        <f aca="false">IF(AND(AU202="pass",AO202&lt;&gt;"Y",C202&lt;&gt;""),"Y","N")</f>
        <v>Y</v>
      </c>
      <c r="AS202" s="0" t="str">
        <f aca="false">_xlfn.TEXTJOIN("; ",TRUE(),IF(AU202&lt;&gt;"pass","gated out",""),IF(AO202="Y","on hold: "&amp;AP202,""),IF(C202="","no contact named on an opened page",""))</f>
        <v/>
      </c>
      <c r="AU202" s="0" t="s">
        <v>181</v>
      </c>
      <c r="AW202" s="0" t="s">
        <v>182</v>
      </c>
      <c r="AX202" s="0" t="s">
        <v>282</v>
      </c>
      <c r="AY202" s="0" t="s">
        <v>9035</v>
      </c>
      <c r="AZ202" s="0" t="s">
        <v>5057</v>
      </c>
      <c r="BA202" s="0" t="s">
        <v>5329</v>
      </c>
      <c r="BB202" s="0" t="s">
        <v>163</v>
      </c>
      <c r="BD202" s="0" t="s">
        <v>163</v>
      </c>
      <c r="BE202" s="0" t="s">
        <v>5927</v>
      </c>
      <c r="BF202" s="0" t="s">
        <v>168</v>
      </c>
      <c r="BG202" s="0" t="s">
        <v>168</v>
      </c>
      <c r="BH202" s="0" t="s">
        <v>163</v>
      </c>
      <c r="BJ202" s="0" t="s">
        <v>5549</v>
      </c>
      <c r="BK202" s="0" t="s">
        <v>162</v>
      </c>
      <c r="BL202" s="0" t="s">
        <v>162</v>
      </c>
      <c r="BO202" s="0" t="s">
        <v>162</v>
      </c>
      <c r="BP202" s="0" t="n">
        <v>0</v>
      </c>
      <c r="BR202" s="0" t="s">
        <v>8089</v>
      </c>
      <c r="BS202" s="0" t="s">
        <v>9037</v>
      </c>
      <c r="BT202" s="0" t="s">
        <v>9029</v>
      </c>
      <c r="BU202" s="0" t="s">
        <v>4694</v>
      </c>
      <c r="BV202" s="0" t="n">
        <v>25</v>
      </c>
      <c r="BX202" s="0" t="s">
        <v>9038</v>
      </c>
      <c r="CF202" s="0" t="s">
        <v>158</v>
      </c>
      <c r="CK202" s="0" t="s">
        <v>158</v>
      </c>
      <c r="CL202" s="0" t="n">
        <v>33</v>
      </c>
      <c r="CM202" s="0" t="n">
        <v>6</v>
      </c>
      <c r="CN202" s="0" t="n">
        <v>3</v>
      </c>
      <c r="CO202" s="0" t="n">
        <v>8</v>
      </c>
      <c r="CP202" s="0" t="n">
        <v>5</v>
      </c>
      <c r="CQ202" s="0" t="n">
        <v>7</v>
      </c>
      <c r="CR202" s="0" t="n">
        <v>6</v>
      </c>
      <c r="CS202" s="0" t="n">
        <f aca="false">IF(R202="Y",10,0)</f>
        <v>0</v>
      </c>
      <c r="CT202" s="0" t="n">
        <v>-2</v>
      </c>
      <c r="CU202" s="0" t="s">
        <v>163</v>
      </c>
      <c r="CV202" s="0" t="s">
        <v>5562</v>
      </c>
      <c r="CW202" s="0" t="s">
        <v>9039</v>
      </c>
      <c r="CX202" s="0" t="s">
        <v>9040</v>
      </c>
      <c r="CY202" s="0" t="s">
        <v>9041</v>
      </c>
      <c r="DA202" s="0" t="s">
        <v>6234</v>
      </c>
      <c r="DY202" s="0" t="str">
        <f aca="false">IF(ISNUMBER(MATCH(U202,{"queued","contacted","replied","call_booked","call_done","yes_in_principle","materials_sent"},0)),"Y","N")</f>
        <v>N</v>
      </c>
      <c r="DZ202" s="0" t="str">
        <f aca="false">IF(COUNTIFS($AN$2:$AN$1000,AN202,$DY$2:$DY$1000,"Y")+COUNTIFS($AN$2:$AN$1000,AN202,$T$2:$T$1000,"Y")&gt;0,"Y","N")</f>
        <v>N</v>
      </c>
      <c r="EA202" s="0" t="str">
        <f aca="false">IF(AND(U202="new",T202="N",AR202="Y",AQ202="",DZ202="N"),"Y","N")</f>
        <v>Y</v>
      </c>
      <c r="EB202" s="0" t="str">
        <f aca="false">IF(EA202&lt;&gt;"Y","N",IF(COUNTIFS($AN$2:$AN$1000,AN202,$EA$2:$EA$1000,"Y",$J$2:$J$1000,"&gt;"&amp;J202)+COUNTIFS($AN$2:$AN$1000,AN202,$EA$2:$EA$1000,"Y",$J$2:$J$1000,J202,$ED$2:$ED$1000,"&lt;"&amp;ED202)=0,"Y","N"))</f>
        <v>Y</v>
      </c>
      <c r="EC202" s="0" t="str">
        <f aca="false">IF(Y202="","N",IF(Y202&lt;=10,"Y","N"))</f>
        <v>N</v>
      </c>
      <c r="ED202" s="0" t="n">
        <f aca="false">ROW()-1</f>
        <v>201</v>
      </c>
    </row>
    <row r="203" customFormat="false" ht="15" hidden="false" customHeight="false" outlineLevel="0" collapsed="false">
      <c r="A203" s="0" t="s">
        <v>9042</v>
      </c>
      <c r="B203" s="0" t="s">
        <v>9043</v>
      </c>
      <c r="C203" s="0" t="s">
        <v>9044</v>
      </c>
      <c r="D203" s="0" t="s">
        <v>9045</v>
      </c>
      <c r="E203" s="0" t="s">
        <v>4771</v>
      </c>
      <c r="H203" s="5" t="s">
        <v>158</v>
      </c>
      <c r="I203" s="5" t="s">
        <v>159</v>
      </c>
      <c r="J203" s="0" t="n">
        <f aca="false">IF(AU203="pass",CM203+CN203+CO203+CP203+CQ203+CR203+CS203+CT203,0)</f>
        <v>32</v>
      </c>
      <c r="K203" s="0" t="s">
        <v>9046</v>
      </c>
      <c r="M203" s="0" t="s">
        <v>5291</v>
      </c>
      <c r="N203" s="0" t="s">
        <v>598</v>
      </c>
      <c r="O203" s="0" t="s">
        <v>9047</v>
      </c>
      <c r="P203" s="0" t="s">
        <v>9048</v>
      </c>
      <c r="Q203" s="0" t="s">
        <v>9049</v>
      </c>
      <c r="R203" s="5" t="s">
        <v>162</v>
      </c>
      <c r="S203" s="0" t="s">
        <v>163</v>
      </c>
      <c r="T203" s="5" t="s">
        <v>162</v>
      </c>
      <c r="U203" s="5" t="s">
        <v>561</v>
      </c>
      <c r="V203" s="0" t="s">
        <v>9050</v>
      </c>
      <c r="W203" s="0" t="s">
        <v>166</v>
      </c>
      <c r="X203" s="0" t="s">
        <v>4585</v>
      </c>
      <c r="Y203" s="0" t="n">
        <f aca="false">IF(EB203&lt;&gt;"Y","",COUNTIFS($EB$2:$EB$1000,"Y",$J$2:$J$1000,"&gt;"&amp;J203)+COUNTIFS($EB$2:$EB$1000,"Y",$J$2:$J$1000,J203,$ED$2:$ED$1000,"&lt;"&amp;ED203)+1)</f>
        <v>164</v>
      </c>
      <c r="Z203" s="0" t="n">
        <v>202</v>
      </c>
      <c r="AA203" s="0" t="s">
        <v>162</v>
      </c>
      <c r="AB203" s="0" t="s">
        <v>9051</v>
      </c>
      <c r="AC203" s="0" t="s">
        <v>4587</v>
      </c>
      <c r="AD203" s="0" t="s">
        <v>171</v>
      </c>
      <c r="AE203" s="0" t="s">
        <v>172</v>
      </c>
      <c r="AF203" s="0" t="s">
        <v>9050</v>
      </c>
      <c r="AG203" s="0" t="s">
        <v>166</v>
      </c>
      <c r="AH203" s="0" t="s">
        <v>9052</v>
      </c>
      <c r="AI203" s="0" t="s">
        <v>5763</v>
      </c>
      <c r="AJ203" s="0" t="s">
        <v>9053</v>
      </c>
      <c r="AK203" s="0" t="s">
        <v>9054</v>
      </c>
      <c r="AL203" s="0" t="s">
        <v>168</v>
      </c>
      <c r="AM203" s="0" t="s">
        <v>9055</v>
      </c>
      <c r="AN203" s="0" t="s">
        <v>9042</v>
      </c>
      <c r="AO203" s="5" t="s">
        <v>162</v>
      </c>
      <c r="AR203" s="0" t="str">
        <f aca="false">IF(AND(AU203="pass",AO203&lt;&gt;"Y",C203&lt;&gt;""),"Y","N")</f>
        <v>Y</v>
      </c>
      <c r="AS203" s="0" t="str">
        <f aca="false">_xlfn.TEXTJOIN("; ",TRUE(),IF(AU203&lt;&gt;"pass","gated out",""),IF(AO203="Y","on hold: "&amp;AP203,""),IF(C203="","no contact named on an opened page",""))</f>
        <v/>
      </c>
      <c r="AU203" s="0" t="s">
        <v>181</v>
      </c>
      <c r="AW203" s="0" t="s">
        <v>182</v>
      </c>
      <c r="AX203" s="0" t="s">
        <v>4594</v>
      </c>
      <c r="AY203" s="0" t="s">
        <v>9054</v>
      </c>
      <c r="AZ203" s="0" t="s">
        <v>4922</v>
      </c>
      <c r="BA203" s="0" t="s">
        <v>5191</v>
      </c>
      <c r="BB203" s="0" t="s">
        <v>163</v>
      </c>
      <c r="BD203" s="0" t="s">
        <v>163</v>
      </c>
      <c r="BE203" s="0" t="s">
        <v>9056</v>
      </c>
      <c r="BF203" s="0" t="s">
        <v>168</v>
      </c>
      <c r="BG203" s="0" t="s">
        <v>168</v>
      </c>
      <c r="BH203" s="0" t="s">
        <v>163</v>
      </c>
      <c r="BJ203" s="0" t="s">
        <v>5549</v>
      </c>
      <c r="BK203" s="0" t="s">
        <v>162</v>
      </c>
      <c r="BL203" s="0" t="s">
        <v>162</v>
      </c>
      <c r="BO203" s="0" t="s">
        <v>162</v>
      </c>
      <c r="BP203" s="0" t="n">
        <v>0</v>
      </c>
      <c r="BS203" s="0" t="s">
        <v>9057</v>
      </c>
      <c r="BT203" s="0" t="s">
        <v>9058</v>
      </c>
      <c r="BU203" s="0" t="s">
        <v>4694</v>
      </c>
      <c r="BV203" s="0" t="n">
        <v>223</v>
      </c>
      <c r="BX203" s="0" t="s">
        <v>9059</v>
      </c>
      <c r="CF203" s="0" t="s">
        <v>158</v>
      </c>
      <c r="CK203" s="0" t="s">
        <v>158</v>
      </c>
      <c r="CL203" s="0" t="n">
        <v>32</v>
      </c>
      <c r="CM203" s="0" t="n">
        <v>6</v>
      </c>
      <c r="CN203" s="0" t="n">
        <v>8</v>
      </c>
      <c r="CO203" s="0" t="n">
        <v>4</v>
      </c>
      <c r="CP203" s="0" t="n">
        <v>5</v>
      </c>
      <c r="CQ203" s="0" t="n">
        <v>7</v>
      </c>
      <c r="CR203" s="0" t="n">
        <v>6</v>
      </c>
      <c r="CS203" s="0" t="n">
        <f aca="false">IF(R203="Y",10,0)</f>
        <v>0</v>
      </c>
      <c r="CT203" s="0" t="n">
        <v>-4</v>
      </c>
      <c r="CU203" s="0" t="s">
        <v>9060</v>
      </c>
      <c r="CV203" s="0" t="s">
        <v>5562</v>
      </c>
      <c r="CW203" s="0" t="s">
        <v>9061</v>
      </c>
      <c r="CX203" s="0" t="s">
        <v>9062</v>
      </c>
      <c r="CY203" s="0" t="s">
        <v>9063</v>
      </c>
      <c r="DA203" s="0" t="s">
        <v>6234</v>
      </c>
      <c r="DY203" s="0" t="str">
        <f aca="false">IF(ISNUMBER(MATCH(U203,{"queued","contacted","replied","call_booked","call_done","yes_in_principle","materials_sent"},0)),"Y","N")</f>
        <v>N</v>
      </c>
      <c r="DZ203" s="0" t="str">
        <f aca="false">IF(COUNTIFS($AN$2:$AN$1000,AN203,$DY$2:$DY$1000,"Y")+COUNTIFS($AN$2:$AN$1000,AN203,$T$2:$T$1000,"Y")&gt;0,"Y","N")</f>
        <v>N</v>
      </c>
      <c r="EA203" s="0" t="str">
        <f aca="false">IF(AND(U203="new",T203="N",AR203="Y",AQ203="",DZ203="N"),"Y","N")</f>
        <v>Y</v>
      </c>
      <c r="EB203" s="0" t="str">
        <f aca="false">IF(EA203&lt;&gt;"Y","N",IF(COUNTIFS($AN$2:$AN$1000,AN203,$EA$2:$EA$1000,"Y",$J$2:$J$1000,"&gt;"&amp;J203)+COUNTIFS($AN$2:$AN$1000,AN203,$EA$2:$EA$1000,"Y",$J$2:$J$1000,J203,$ED$2:$ED$1000,"&lt;"&amp;ED203)=0,"Y","N"))</f>
        <v>Y</v>
      </c>
      <c r="EC203" s="0" t="str">
        <f aca="false">IF(Y203="","N",IF(Y203&lt;=10,"Y","N"))</f>
        <v>N</v>
      </c>
      <c r="ED203" s="0" t="n">
        <f aca="false">ROW()-1</f>
        <v>202</v>
      </c>
    </row>
    <row r="204" customFormat="false" ht="15" hidden="false" customHeight="false" outlineLevel="0" collapsed="false">
      <c r="A204" s="0" t="s">
        <v>9064</v>
      </c>
      <c r="B204" s="0" t="s">
        <v>9065</v>
      </c>
      <c r="H204" s="5" t="s">
        <v>158</v>
      </c>
      <c r="I204" s="5"/>
      <c r="J204" s="0" t="n">
        <f aca="false">IF(AU204="pass",CM204+CN204+CO204+CP204+CQ204+CR204+CS204+CT204,0)</f>
        <v>31</v>
      </c>
      <c r="K204" s="0" t="s">
        <v>9066</v>
      </c>
      <c r="M204" s="0" t="s">
        <v>4580</v>
      </c>
      <c r="N204" s="0" t="s">
        <v>4581</v>
      </c>
      <c r="O204" s="0" t="s">
        <v>9067</v>
      </c>
      <c r="P204" s="0" t="s">
        <v>9068</v>
      </c>
      <c r="Q204" s="0" t="s">
        <v>1267</v>
      </c>
      <c r="R204" s="5" t="s">
        <v>162</v>
      </c>
      <c r="S204" s="0" t="s">
        <v>163</v>
      </c>
      <c r="T204" s="5" t="s">
        <v>162</v>
      </c>
      <c r="U204" s="5" t="s">
        <v>561</v>
      </c>
      <c r="V204" s="0" t="s">
        <v>9069</v>
      </c>
      <c r="W204" s="0" t="s">
        <v>166</v>
      </c>
      <c r="X204" s="0" t="s">
        <v>4585</v>
      </c>
      <c r="Y204" s="0" t="str">
        <f aca="false">IF(EB204&lt;&gt;"Y","",COUNTIFS($EB$2:$EB$1000,"Y",$J$2:$J$1000,"&gt;"&amp;J204)+COUNTIFS($EB$2:$EB$1000,"Y",$J$2:$J$1000,J204,$ED$2:$ED$1000,"&lt;"&amp;ED204)+1)</f>
        <v/>
      </c>
      <c r="Z204" s="0" t="n">
        <v>203</v>
      </c>
      <c r="AA204" s="0" t="s">
        <v>162</v>
      </c>
      <c r="AB204" s="0" t="s">
        <v>9070</v>
      </c>
      <c r="AD204" s="0" t="s">
        <v>158</v>
      </c>
      <c r="AH204" s="0" t="s">
        <v>9071</v>
      </c>
      <c r="AI204" s="0" t="s">
        <v>5461</v>
      </c>
      <c r="AJ204" s="0" t="s">
        <v>9072</v>
      </c>
      <c r="AK204" s="0" t="s">
        <v>9069</v>
      </c>
      <c r="AL204" s="0" t="s">
        <v>168</v>
      </c>
      <c r="AM204" s="0" t="s">
        <v>9073</v>
      </c>
      <c r="AN204" s="0" t="s">
        <v>9064</v>
      </c>
      <c r="AO204" s="5" t="s">
        <v>162</v>
      </c>
      <c r="AR204" s="0" t="str">
        <f aca="false">IF(AND(AU204="pass",AO204&lt;&gt;"Y",C204&lt;&gt;""),"Y","N")</f>
        <v>N</v>
      </c>
      <c r="AS204" s="0" t="str">
        <f aca="false">_xlfn.TEXTJOIN("; ",TRUE(),IF(AU204&lt;&gt;"pass","gated out",""),IF(AO204="Y","on hold: "&amp;AP204,""),IF(C204="","no contact named on an opened page",""))</f>
        <v>no contact named on an opened page</v>
      </c>
      <c r="AU204" s="0" t="s">
        <v>181</v>
      </c>
      <c r="AW204" s="0" t="s">
        <v>182</v>
      </c>
      <c r="AX204" s="0" t="s">
        <v>8541</v>
      </c>
      <c r="AY204" s="0" t="s">
        <v>9074</v>
      </c>
      <c r="AZ204" s="0" t="s">
        <v>6032</v>
      </c>
      <c r="BA204" s="0" t="s">
        <v>5191</v>
      </c>
      <c r="BB204" s="0" t="s">
        <v>163</v>
      </c>
      <c r="BD204" s="0" t="s">
        <v>168</v>
      </c>
      <c r="BE204" s="0" t="s">
        <v>9075</v>
      </c>
      <c r="BF204" s="0" t="s">
        <v>168</v>
      </c>
      <c r="BG204" s="0" t="s">
        <v>168</v>
      </c>
      <c r="BH204" s="0" t="s">
        <v>163</v>
      </c>
      <c r="BJ204" s="0" t="s">
        <v>163</v>
      </c>
      <c r="BK204" s="0" t="s">
        <v>162</v>
      </c>
      <c r="BL204" s="0" t="s">
        <v>162</v>
      </c>
      <c r="BN204" s="0" t="n">
        <v>0</v>
      </c>
      <c r="BO204" s="0" t="s">
        <v>168</v>
      </c>
      <c r="BP204" s="0" t="n">
        <v>3</v>
      </c>
      <c r="BQ204" s="0" t="s">
        <v>4669</v>
      </c>
      <c r="BS204" s="0" t="s">
        <v>7851</v>
      </c>
      <c r="BT204" s="0" t="s">
        <v>9076</v>
      </c>
      <c r="BU204" s="0" t="s">
        <v>4694</v>
      </c>
      <c r="BV204" s="0" t="n">
        <v>159</v>
      </c>
      <c r="CF204" s="0" t="s">
        <v>158</v>
      </c>
      <c r="CK204" s="0" t="s">
        <v>158</v>
      </c>
      <c r="CL204" s="0" t="n">
        <v>31</v>
      </c>
      <c r="CM204" s="0" t="n">
        <v>25</v>
      </c>
      <c r="CN204" s="0" t="n">
        <v>8</v>
      </c>
      <c r="CO204" s="0" t="n">
        <v>8</v>
      </c>
      <c r="CP204" s="0" t="n">
        <v>5</v>
      </c>
      <c r="CQ204" s="0" t="n">
        <v>10</v>
      </c>
      <c r="CR204" s="0" t="n">
        <v>0</v>
      </c>
      <c r="CS204" s="0" t="n">
        <f aca="false">IF(R204="Y",10,0)</f>
        <v>0</v>
      </c>
      <c r="CT204" s="0" t="n">
        <v>-25</v>
      </c>
      <c r="CU204" s="0" t="s">
        <v>163</v>
      </c>
      <c r="CV204" s="0" t="s">
        <v>4841</v>
      </c>
      <c r="CW204" s="0" t="s">
        <v>9077</v>
      </c>
      <c r="CX204" s="0" t="s">
        <v>9078</v>
      </c>
      <c r="CY204" s="0" t="s">
        <v>9079</v>
      </c>
      <c r="DA204" s="0" t="s">
        <v>6234</v>
      </c>
      <c r="DY204" s="0" t="str">
        <f aca="false">IF(ISNUMBER(MATCH(U204,{"queued","contacted","replied","call_booked","call_done","yes_in_principle","materials_sent"},0)),"Y","N")</f>
        <v>N</v>
      </c>
      <c r="DZ204" s="0" t="str">
        <f aca="false">IF(COUNTIFS($AN$2:$AN$1000,AN204,$DY$2:$DY$1000,"Y")+COUNTIFS($AN$2:$AN$1000,AN204,$T$2:$T$1000,"Y")&gt;0,"Y","N")</f>
        <v>N</v>
      </c>
      <c r="EA204" s="0" t="str">
        <f aca="false">IF(AND(U204="new",T204="N",AR204="Y",AQ204="",DZ204="N"),"Y","N")</f>
        <v>N</v>
      </c>
      <c r="EB204" s="0" t="str">
        <f aca="false">IF(EA204&lt;&gt;"Y","N",IF(COUNTIFS($AN$2:$AN$1000,AN204,$EA$2:$EA$1000,"Y",$J$2:$J$1000,"&gt;"&amp;J204)+COUNTIFS($AN$2:$AN$1000,AN204,$EA$2:$EA$1000,"Y",$J$2:$J$1000,J204,$ED$2:$ED$1000,"&lt;"&amp;ED204)=0,"Y","N"))</f>
        <v>N</v>
      </c>
      <c r="EC204" s="0" t="str">
        <f aca="false">IF(Y204="","N",IF(Y204&lt;=10,"Y","N"))</f>
        <v>N</v>
      </c>
      <c r="ED204" s="0" t="n">
        <f aca="false">ROW()-1</f>
        <v>203</v>
      </c>
    </row>
    <row r="205" customFormat="false" ht="15" hidden="false" customHeight="false" outlineLevel="0" collapsed="false">
      <c r="A205" s="0" t="s">
        <v>9080</v>
      </c>
      <c r="B205" s="0" t="s">
        <v>9081</v>
      </c>
      <c r="C205" s="0" t="s">
        <v>9082</v>
      </c>
      <c r="D205" s="0" t="s">
        <v>9083</v>
      </c>
      <c r="E205" s="0" t="s">
        <v>9084</v>
      </c>
      <c r="H205" s="5" t="s">
        <v>158</v>
      </c>
      <c r="I205" s="5" t="s">
        <v>159</v>
      </c>
      <c r="J205" s="0" t="n">
        <f aca="false">IF(AU205="pass",CM205+CN205+CO205+CP205+CQ205+CR205+CS205+CT205,0)</f>
        <v>31</v>
      </c>
      <c r="K205" s="0" t="s">
        <v>9085</v>
      </c>
      <c r="M205" s="0" t="s">
        <v>5291</v>
      </c>
      <c r="N205" s="0" t="s">
        <v>598</v>
      </c>
      <c r="O205" s="0" t="s">
        <v>9086</v>
      </c>
      <c r="P205" s="0" t="s">
        <v>9087</v>
      </c>
      <c r="Q205" s="0" t="s">
        <v>7089</v>
      </c>
      <c r="R205" s="5" t="s">
        <v>162</v>
      </c>
      <c r="S205" s="0" t="s">
        <v>163</v>
      </c>
      <c r="T205" s="5" t="s">
        <v>162</v>
      </c>
      <c r="U205" s="5" t="s">
        <v>561</v>
      </c>
      <c r="V205" s="0" t="s">
        <v>9088</v>
      </c>
      <c r="W205" s="0" t="s">
        <v>166</v>
      </c>
      <c r="X205" s="0" t="s">
        <v>4585</v>
      </c>
      <c r="Y205" s="0" t="n">
        <f aca="false">IF(EB205&lt;&gt;"Y","",COUNTIFS($EB$2:$EB$1000,"Y",$J$2:$J$1000,"&gt;"&amp;J205)+COUNTIFS($EB$2:$EB$1000,"Y",$J$2:$J$1000,J205,$ED$2:$ED$1000,"&lt;"&amp;ED205)+1)</f>
        <v>165</v>
      </c>
      <c r="Z205" s="0" t="n">
        <v>204</v>
      </c>
      <c r="AA205" s="0" t="s">
        <v>162</v>
      </c>
      <c r="AB205" s="0" t="s">
        <v>9089</v>
      </c>
      <c r="AC205" s="0" t="s">
        <v>4587</v>
      </c>
      <c r="AD205" s="0" t="s">
        <v>171</v>
      </c>
      <c r="AE205" s="0" t="s">
        <v>1189</v>
      </c>
      <c r="AF205" s="0" t="s">
        <v>9087</v>
      </c>
      <c r="AG205" s="0" t="s">
        <v>166</v>
      </c>
      <c r="AH205" s="0" t="s">
        <v>9090</v>
      </c>
      <c r="AI205" s="0" t="s">
        <v>5028</v>
      </c>
      <c r="AJ205" s="0" t="s">
        <v>9091</v>
      </c>
      <c r="AK205" s="0" t="s">
        <v>9092</v>
      </c>
      <c r="AL205" s="0" t="s">
        <v>168</v>
      </c>
      <c r="AM205" s="0" t="s">
        <v>9093</v>
      </c>
      <c r="AN205" s="0" t="s">
        <v>9080</v>
      </c>
      <c r="AO205" s="5" t="s">
        <v>162</v>
      </c>
      <c r="AR205" s="0" t="str">
        <f aca="false">IF(AND(AU205="pass",AO205&lt;&gt;"Y",C205&lt;&gt;""),"Y","N")</f>
        <v>Y</v>
      </c>
      <c r="AS205" s="0" t="str">
        <f aca="false">_xlfn.TEXTJOIN("; ",TRUE(),IF(AU205&lt;&gt;"pass","gated out",""),IF(AO205="Y","on hold: "&amp;AP205,""),IF(C205="","no contact named on an opened page",""))</f>
        <v/>
      </c>
      <c r="AU205" s="0" t="s">
        <v>181</v>
      </c>
      <c r="AW205" s="0" t="s">
        <v>182</v>
      </c>
      <c r="AX205" s="0" t="s">
        <v>4891</v>
      </c>
      <c r="AY205" s="0" t="s">
        <v>9092</v>
      </c>
      <c r="AZ205" s="0" t="s">
        <v>5873</v>
      </c>
      <c r="BA205" s="0" t="s">
        <v>5329</v>
      </c>
      <c r="BB205" s="0" t="s">
        <v>163</v>
      </c>
      <c r="BD205" s="0" t="s">
        <v>168</v>
      </c>
      <c r="BE205" s="0" t="s">
        <v>9094</v>
      </c>
      <c r="BF205" s="0" t="s">
        <v>163</v>
      </c>
      <c r="BG205" s="0" t="s">
        <v>168</v>
      </c>
      <c r="BH205" s="0" t="s">
        <v>163</v>
      </c>
      <c r="BJ205" s="0" t="s">
        <v>163</v>
      </c>
      <c r="BK205" s="0" t="s">
        <v>162</v>
      </c>
      <c r="BL205" s="0" t="s">
        <v>162</v>
      </c>
      <c r="BO205" s="0" t="s">
        <v>162</v>
      </c>
      <c r="BP205" s="0" t="n">
        <v>0</v>
      </c>
      <c r="BS205" s="0" t="s">
        <v>9095</v>
      </c>
      <c r="BT205" s="0" t="s">
        <v>9096</v>
      </c>
      <c r="BU205" s="0" t="s">
        <v>4604</v>
      </c>
      <c r="BV205" s="0" t="n">
        <v>46</v>
      </c>
      <c r="BX205" s="0" t="s">
        <v>9097</v>
      </c>
      <c r="CF205" s="0" t="s">
        <v>158</v>
      </c>
      <c r="CK205" s="0" t="s">
        <v>158</v>
      </c>
      <c r="CL205" s="0" t="n">
        <v>31</v>
      </c>
      <c r="CM205" s="0" t="n">
        <v>6</v>
      </c>
      <c r="CN205" s="0" t="n">
        <v>3</v>
      </c>
      <c r="CO205" s="0" t="n">
        <v>15</v>
      </c>
      <c r="CP205" s="0" t="n">
        <v>5</v>
      </c>
      <c r="CQ205" s="0" t="n">
        <v>8</v>
      </c>
      <c r="CR205" s="0" t="n">
        <v>6</v>
      </c>
      <c r="CS205" s="0" t="n">
        <f aca="false">IF(R205="Y",10,0)</f>
        <v>0</v>
      </c>
      <c r="CT205" s="0" t="n">
        <v>-12</v>
      </c>
      <c r="CU205" s="0" t="s">
        <v>163</v>
      </c>
      <c r="CV205" s="0" t="s">
        <v>4841</v>
      </c>
      <c r="CW205" s="0" t="s">
        <v>9098</v>
      </c>
      <c r="CX205" s="0" t="s">
        <v>9099</v>
      </c>
      <c r="DA205" s="0" t="s">
        <v>6234</v>
      </c>
      <c r="DY205" s="0" t="str">
        <f aca="false">IF(ISNUMBER(MATCH(U205,{"queued","contacted","replied","call_booked","call_done","yes_in_principle","materials_sent"},0)),"Y","N")</f>
        <v>N</v>
      </c>
      <c r="DZ205" s="0" t="str">
        <f aca="false">IF(COUNTIFS($AN$2:$AN$1000,AN205,$DY$2:$DY$1000,"Y")+COUNTIFS($AN$2:$AN$1000,AN205,$T$2:$T$1000,"Y")&gt;0,"Y","N")</f>
        <v>N</v>
      </c>
      <c r="EA205" s="0" t="str">
        <f aca="false">IF(AND(U205="new",T205="N",AR205="Y",AQ205="",DZ205="N"),"Y","N")</f>
        <v>Y</v>
      </c>
      <c r="EB205" s="0" t="str">
        <f aca="false">IF(EA205&lt;&gt;"Y","N",IF(COUNTIFS($AN$2:$AN$1000,AN205,$EA$2:$EA$1000,"Y",$J$2:$J$1000,"&gt;"&amp;J205)+COUNTIFS($AN$2:$AN$1000,AN205,$EA$2:$EA$1000,"Y",$J$2:$J$1000,J205,$ED$2:$ED$1000,"&lt;"&amp;ED205)=0,"Y","N"))</f>
        <v>Y</v>
      </c>
      <c r="EC205" s="0" t="str">
        <f aca="false">IF(Y205="","N",IF(Y205&lt;=10,"Y","N"))</f>
        <v>N</v>
      </c>
      <c r="ED205" s="0" t="n">
        <f aca="false">ROW()-1</f>
        <v>204</v>
      </c>
    </row>
    <row r="206" customFormat="false" ht="15" hidden="false" customHeight="false" outlineLevel="0" collapsed="false">
      <c r="A206" s="0" t="s">
        <v>9100</v>
      </c>
      <c r="B206" s="0" t="s">
        <v>9101</v>
      </c>
      <c r="H206" s="5" t="s">
        <v>158</v>
      </c>
      <c r="I206" s="5"/>
      <c r="J206" s="0" t="n">
        <f aca="false">IF(AU206="pass",CM206+CN206+CO206+CP206+CQ206+CR206+CS206+CT206,0)</f>
        <v>31</v>
      </c>
      <c r="K206" s="0" t="s">
        <v>9102</v>
      </c>
      <c r="M206" s="0" t="s">
        <v>5291</v>
      </c>
      <c r="N206" s="0" t="s">
        <v>598</v>
      </c>
      <c r="O206" s="0" t="s">
        <v>9103</v>
      </c>
      <c r="P206" s="0" t="s">
        <v>9104</v>
      </c>
      <c r="Q206" s="0" t="s">
        <v>7507</v>
      </c>
      <c r="R206" s="5" t="s">
        <v>162</v>
      </c>
      <c r="S206" s="0" t="s">
        <v>163</v>
      </c>
      <c r="T206" s="5" t="s">
        <v>162</v>
      </c>
      <c r="U206" s="5" t="s">
        <v>561</v>
      </c>
      <c r="V206" s="0" t="s">
        <v>9105</v>
      </c>
      <c r="W206" s="0" t="s">
        <v>174</v>
      </c>
      <c r="X206" s="0" t="s">
        <v>4585</v>
      </c>
      <c r="Y206" s="0" t="str">
        <f aca="false">IF(EB206&lt;&gt;"Y","",COUNTIFS($EB$2:$EB$1000,"Y",$J$2:$J$1000,"&gt;"&amp;J206)+COUNTIFS($EB$2:$EB$1000,"Y",$J$2:$J$1000,J206,$ED$2:$ED$1000,"&lt;"&amp;ED206)+1)</f>
        <v/>
      </c>
      <c r="Z206" s="0" t="n">
        <v>205</v>
      </c>
      <c r="AA206" s="0" t="s">
        <v>162</v>
      </c>
      <c r="AB206" s="0" t="s">
        <v>9106</v>
      </c>
      <c r="AD206" s="0" t="s">
        <v>158</v>
      </c>
      <c r="AH206" s="0" t="s">
        <v>9107</v>
      </c>
      <c r="AI206" s="0" t="s">
        <v>4722</v>
      </c>
      <c r="AJ206" s="0" t="s">
        <v>9108</v>
      </c>
      <c r="AK206" s="0" t="s">
        <v>9109</v>
      </c>
      <c r="AL206" s="0" t="s">
        <v>168</v>
      </c>
      <c r="AM206" s="0" t="s">
        <v>9110</v>
      </c>
      <c r="AN206" s="0" t="s">
        <v>9100</v>
      </c>
      <c r="AO206" s="5" t="s">
        <v>162</v>
      </c>
      <c r="AR206" s="0" t="str">
        <f aca="false">IF(AND(AU206="pass",AO206&lt;&gt;"Y",C206&lt;&gt;""),"Y","N")</f>
        <v>N</v>
      </c>
      <c r="AS206" s="0" t="str">
        <f aca="false">_xlfn.TEXTJOIN("; ",TRUE(),IF(AU206&lt;&gt;"pass","gated out",""),IF(AO206="Y","on hold: "&amp;AP206,""),IF(C206="","no contact named on an opened page",""))</f>
        <v>no contact named on an opened page</v>
      </c>
      <c r="AU206" s="0" t="s">
        <v>181</v>
      </c>
      <c r="AW206" s="0" t="s">
        <v>182</v>
      </c>
      <c r="AX206" s="0" t="s">
        <v>4828</v>
      </c>
      <c r="AY206" s="0" t="s">
        <v>9109</v>
      </c>
      <c r="AZ206" s="0" t="s">
        <v>5190</v>
      </c>
      <c r="BA206" s="0" t="s">
        <v>5191</v>
      </c>
      <c r="BB206" s="0" t="s">
        <v>163</v>
      </c>
      <c r="BD206" s="0" t="s">
        <v>168</v>
      </c>
      <c r="BE206" s="0" t="s">
        <v>9111</v>
      </c>
      <c r="BF206" s="0" t="s">
        <v>163</v>
      </c>
      <c r="BG206" s="0" t="s">
        <v>168</v>
      </c>
      <c r="BH206" s="0" t="s">
        <v>163</v>
      </c>
      <c r="BJ206" s="0" t="s">
        <v>5143</v>
      </c>
      <c r="BK206" s="0" t="s">
        <v>162</v>
      </c>
      <c r="BL206" s="0" t="s">
        <v>162</v>
      </c>
      <c r="BO206" s="0" t="s">
        <v>162</v>
      </c>
      <c r="BP206" s="0" t="n">
        <v>0</v>
      </c>
      <c r="BS206" s="0" t="s">
        <v>9112</v>
      </c>
      <c r="BU206" s="0" t="s">
        <v>4694</v>
      </c>
      <c r="BV206" s="0" t="n">
        <v>20</v>
      </c>
      <c r="CF206" s="0" t="s">
        <v>158</v>
      </c>
      <c r="CK206" s="0" t="s">
        <v>158</v>
      </c>
      <c r="CL206" s="0" t="n">
        <v>31</v>
      </c>
      <c r="CM206" s="0" t="n">
        <v>6</v>
      </c>
      <c r="CN206" s="0" t="n">
        <v>8</v>
      </c>
      <c r="CO206" s="0" t="n">
        <v>8</v>
      </c>
      <c r="CP206" s="0" t="n">
        <v>5</v>
      </c>
      <c r="CQ206" s="0" t="n">
        <v>8</v>
      </c>
      <c r="CR206" s="0" t="n">
        <v>0</v>
      </c>
      <c r="CS206" s="0" t="n">
        <f aca="false">IF(R206="Y",10,0)</f>
        <v>0</v>
      </c>
      <c r="CT206" s="0" t="n">
        <v>-4</v>
      </c>
      <c r="CV206" s="0" t="s">
        <v>5150</v>
      </c>
      <c r="CW206" s="0" t="s">
        <v>9113</v>
      </c>
      <c r="CX206" s="0" t="s">
        <v>9114</v>
      </c>
      <c r="DA206" s="0" t="s">
        <v>6234</v>
      </c>
      <c r="DY206" s="0" t="str">
        <f aca="false">IF(ISNUMBER(MATCH(U206,{"queued","contacted","replied","call_booked","call_done","yes_in_principle","materials_sent"},0)),"Y","N")</f>
        <v>N</v>
      </c>
      <c r="DZ206" s="0" t="str">
        <f aca="false">IF(COUNTIFS($AN$2:$AN$1000,AN206,$DY$2:$DY$1000,"Y")+COUNTIFS($AN$2:$AN$1000,AN206,$T$2:$T$1000,"Y")&gt;0,"Y","N")</f>
        <v>N</v>
      </c>
      <c r="EA206" s="0" t="str">
        <f aca="false">IF(AND(U206="new",T206="N",AR206="Y",AQ206="",DZ206="N"),"Y","N")</f>
        <v>N</v>
      </c>
      <c r="EB206" s="0" t="str">
        <f aca="false">IF(EA206&lt;&gt;"Y","N",IF(COUNTIFS($AN$2:$AN$1000,AN206,$EA$2:$EA$1000,"Y",$J$2:$J$1000,"&gt;"&amp;J206)+COUNTIFS($AN$2:$AN$1000,AN206,$EA$2:$EA$1000,"Y",$J$2:$J$1000,J206,$ED$2:$ED$1000,"&lt;"&amp;ED206)=0,"Y","N"))</f>
        <v>N</v>
      </c>
      <c r="EC206" s="0" t="str">
        <f aca="false">IF(Y206="","N",IF(Y206&lt;=10,"Y","N"))</f>
        <v>N</v>
      </c>
      <c r="ED206" s="0" t="n">
        <f aca="false">ROW()-1</f>
        <v>205</v>
      </c>
    </row>
    <row r="207" customFormat="false" ht="15" hidden="false" customHeight="false" outlineLevel="0" collapsed="false">
      <c r="A207" s="0" t="s">
        <v>9115</v>
      </c>
      <c r="B207" s="0" t="s">
        <v>9116</v>
      </c>
      <c r="C207" s="0" t="s">
        <v>9117</v>
      </c>
      <c r="D207" s="0" t="s">
        <v>9118</v>
      </c>
      <c r="E207" s="0" t="s">
        <v>4656</v>
      </c>
      <c r="H207" s="5" t="s">
        <v>158</v>
      </c>
      <c r="I207" s="5" t="s">
        <v>159</v>
      </c>
      <c r="J207" s="0" t="n">
        <f aca="false">IF(AU207="pass",CM207+CN207+CO207+CP207+CQ207+CR207+CS207+CT207,0)</f>
        <v>30</v>
      </c>
      <c r="K207" s="0" t="s">
        <v>9119</v>
      </c>
      <c r="M207" s="0" t="s">
        <v>4580</v>
      </c>
      <c r="N207" s="0" t="s">
        <v>4581</v>
      </c>
      <c r="O207" s="0" t="s">
        <v>9120</v>
      </c>
      <c r="P207" s="0" t="s">
        <v>9121</v>
      </c>
      <c r="Q207" s="0" t="s">
        <v>9122</v>
      </c>
      <c r="R207" s="5" t="s">
        <v>162</v>
      </c>
      <c r="S207" s="0" t="s">
        <v>163</v>
      </c>
      <c r="T207" s="5" t="s">
        <v>162</v>
      </c>
      <c r="U207" s="5" t="s">
        <v>561</v>
      </c>
      <c r="V207" s="0" t="s">
        <v>9123</v>
      </c>
      <c r="W207" s="0" t="s">
        <v>166</v>
      </c>
      <c r="X207" s="0" t="s">
        <v>4585</v>
      </c>
      <c r="Y207" s="0" t="n">
        <f aca="false">IF(EB207&lt;&gt;"Y","",COUNTIFS($EB$2:$EB$1000,"Y",$J$2:$J$1000,"&gt;"&amp;J207)+COUNTIFS($EB$2:$EB$1000,"Y",$J$2:$J$1000,J207,$ED$2:$ED$1000,"&lt;"&amp;ED207)+1)</f>
        <v>166</v>
      </c>
      <c r="Z207" s="0" t="n">
        <v>206</v>
      </c>
      <c r="AA207" s="0" t="s">
        <v>162</v>
      </c>
      <c r="AB207" s="0" t="s">
        <v>9124</v>
      </c>
      <c r="AC207" s="0" t="s">
        <v>4587</v>
      </c>
      <c r="AD207" s="0" t="s">
        <v>171</v>
      </c>
      <c r="AE207" s="0" t="s">
        <v>172</v>
      </c>
      <c r="AF207" s="0" t="s">
        <v>9123</v>
      </c>
      <c r="AG207" s="0" t="s">
        <v>166</v>
      </c>
      <c r="AH207" s="0" t="s">
        <v>9125</v>
      </c>
      <c r="AI207" s="0" t="s">
        <v>4664</v>
      </c>
      <c r="AJ207" s="0" t="s">
        <v>9126</v>
      </c>
      <c r="AK207" s="0" t="s">
        <v>9127</v>
      </c>
      <c r="AL207" s="0" t="s">
        <v>168</v>
      </c>
      <c r="AM207" s="0" t="s">
        <v>9128</v>
      </c>
      <c r="AN207" s="0" t="s">
        <v>9115</v>
      </c>
      <c r="AO207" s="5" t="s">
        <v>162</v>
      </c>
      <c r="AR207" s="0" t="str">
        <f aca="false">IF(AND(AU207="pass",AO207&lt;&gt;"Y",C207&lt;&gt;""),"Y","N")</f>
        <v>Y</v>
      </c>
      <c r="AS207" s="0" t="str">
        <f aca="false">_xlfn.TEXTJOIN("; ",TRUE(),IF(AU207&lt;&gt;"pass","gated out",""),IF(AO207="Y","on hold: "&amp;AP207,""),IF(C207="","no contact named on an opened page",""))</f>
        <v/>
      </c>
      <c r="AU207" s="0" t="s">
        <v>181</v>
      </c>
      <c r="AW207" s="0" t="s">
        <v>182</v>
      </c>
      <c r="AX207" s="0" t="s">
        <v>8541</v>
      </c>
      <c r="AY207" s="0" t="s">
        <v>9127</v>
      </c>
      <c r="AZ207" s="0" t="s">
        <v>9129</v>
      </c>
      <c r="BA207" s="0" t="s">
        <v>5329</v>
      </c>
      <c r="BB207" s="0" t="s">
        <v>9130</v>
      </c>
      <c r="BC207" s="0" t="s">
        <v>9123</v>
      </c>
      <c r="BD207" s="0" t="s">
        <v>263</v>
      </c>
      <c r="BE207" s="0" t="s">
        <v>4691</v>
      </c>
      <c r="BF207" s="0" t="s">
        <v>168</v>
      </c>
      <c r="BG207" s="0" t="s">
        <v>168</v>
      </c>
      <c r="BH207" s="0" t="s">
        <v>163</v>
      </c>
      <c r="BJ207" s="0" t="s">
        <v>163</v>
      </c>
      <c r="BK207" s="0" t="s">
        <v>162</v>
      </c>
      <c r="BL207" s="0" t="s">
        <v>162</v>
      </c>
      <c r="BN207" s="0" t="n">
        <v>0</v>
      </c>
      <c r="BO207" s="0" t="s">
        <v>168</v>
      </c>
      <c r="BP207" s="0" t="n">
        <v>3</v>
      </c>
      <c r="BQ207" s="0" t="s">
        <v>4669</v>
      </c>
      <c r="BS207" s="0" t="s">
        <v>9131</v>
      </c>
      <c r="BT207" s="0" t="s">
        <v>9132</v>
      </c>
      <c r="BU207" s="0" t="s">
        <v>4694</v>
      </c>
      <c r="BV207" s="0" t="n">
        <v>39</v>
      </c>
      <c r="BX207" s="0" t="s">
        <v>9133</v>
      </c>
      <c r="CF207" s="0" t="s">
        <v>158</v>
      </c>
      <c r="CK207" s="0" t="s">
        <v>158</v>
      </c>
      <c r="CL207" s="0" t="n">
        <v>30</v>
      </c>
      <c r="CM207" s="0" t="n">
        <v>25</v>
      </c>
      <c r="CN207" s="0" t="n">
        <v>3</v>
      </c>
      <c r="CO207" s="0" t="n">
        <v>8</v>
      </c>
      <c r="CP207" s="0" t="n">
        <v>5</v>
      </c>
      <c r="CQ207" s="0" t="n">
        <v>8</v>
      </c>
      <c r="CR207" s="0" t="n">
        <v>6</v>
      </c>
      <c r="CS207" s="0" t="n">
        <f aca="false">IF(R207="Y",10,0)</f>
        <v>0</v>
      </c>
      <c r="CT207" s="0" t="n">
        <v>-25</v>
      </c>
      <c r="CU207" s="0" t="s">
        <v>9134</v>
      </c>
      <c r="CV207" s="0" t="s">
        <v>4703</v>
      </c>
      <c r="CW207" s="0" t="s">
        <v>9135</v>
      </c>
      <c r="CX207" s="0" t="s">
        <v>9136</v>
      </c>
      <c r="CY207" s="0" t="s">
        <v>9137</v>
      </c>
      <c r="DA207" s="0" t="s">
        <v>6234</v>
      </c>
      <c r="DY207" s="0" t="str">
        <f aca="false">IF(ISNUMBER(MATCH(U207,{"queued","contacted","replied","call_booked","call_done","yes_in_principle","materials_sent"},0)),"Y","N")</f>
        <v>N</v>
      </c>
      <c r="DZ207" s="0" t="str">
        <f aca="false">IF(COUNTIFS($AN$2:$AN$1000,AN207,$DY$2:$DY$1000,"Y")+COUNTIFS($AN$2:$AN$1000,AN207,$T$2:$T$1000,"Y")&gt;0,"Y","N")</f>
        <v>N</v>
      </c>
      <c r="EA207" s="0" t="str">
        <f aca="false">IF(AND(U207="new",T207="N",AR207="Y",AQ207="",DZ207="N"),"Y","N")</f>
        <v>Y</v>
      </c>
      <c r="EB207" s="0" t="str">
        <f aca="false">IF(EA207&lt;&gt;"Y","N",IF(COUNTIFS($AN$2:$AN$1000,AN207,$EA$2:$EA$1000,"Y",$J$2:$J$1000,"&gt;"&amp;J207)+COUNTIFS($AN$2:$AN$1000,AN207,$EA$2:$EA$1000,"Y",$J$2:$J$1000,J207,$ED$2:$ED$1000,"&lt;"&amp;ED207)=0,"Y","N"))</f>
        <v>Y</v>
      </c>
      <c r="EC207" s="0" t="str">
        <f aca="false">IF(Y207="","N",IF(Y207&lt;=10,"Y","N"))</f>
        <v>N</v>
      </c>
      <c r="ED207" s="0" t="n">
        <f aca="false">ROW()-1</f>
        <v>206</v>
      </c>
    </row>
    <row r="208" customFormat="false" ht="15" hidden="false" customHeight="false" outlineLevel="0" collapsed="false">
      <c r="A208" s="0" t="s">
        <v>9138</v>
      </c>
      <c r="B208" s="0" t="s">
        <v>9139</v>
      </c>
      <c r="C208" s="0" t="s">
        <v>6979</v>
      </c>
      <c r="D208" s="0" t="s">
        <v>9140</v>
      </c>
      <c r="E208" s="0" t="s">
        <v>4625</v>
      </c>
      <c r="H208" s="5" t="s">
        <v>158</v>
      </c>
      <c r="I208" s="5" t="s">
        <v>159</v>
      </c>
      <c r="J208" s="0" t="n">
        <f aca="false">IF(AU208="pass",CM208+CN208+CO208+CP208+CQ208+CR208+CS208+CT208,0)</f>
        <v>30</v>
      </c>
      <c r="K208" s="0" t="s">
        <v>9141</v>
      </c>
      <c r="M208" s="0" t="s">
        <v>5291</v>
      </c>
      <c r="N208" s="0" t="s">
        <v>598</v>
      </c>
      <c r="O208" s="0" t="s">
        <v>9142</v>
      </c>
      <c r="P208" s="0" t="s">
        <v>9143</v>
      </c>
      <c r="Q208" s="0" t="s">
        <v>2032</v>
      </c>
      <c r="R208" s="5" t="s">
        <v>162</v>
      </c>
      <c r="S208" s="0" t="s">
        <v>163</v>
      </c>
      <c r="T208" s="5" t="s">
        <v>162</v>
      </c>
      <c r="U208" s="5" t="s">
        <v>561</v>
      </c>
      <c r="V208" s="0" t="s">
        <v>9144</v>
      </c>
      <c r="W208" s="0" t="s">
        <v>166</v>
      </c>
      <c r="X208" s="0" t="s">
        <v>4585</v>
      </c>
      <c r="Y208" s="0" t="n">
        <f aca="false">IF(EB208&lt;&gt;"Y","",COUNTIFS($EB$2:$EB$1000,"Y",$J$2:$J$1000,"&gt;"&amp;J208)+COUNTIFS($EB$2:$EB$1000,"Y",$J$2:$J$1000,J208,$ED$2:$ED$1000,"&lt;"&amp;ED208)+1)</f>
        <v>167</v>
      </c>
      <c r="Z208" s="0" t="n">
        <v>207</v>
      </c>
      <c r="AA208" s="0" t="s">
        <v>162</v>
      </c>
      <c r="AB208" s="0" t="s">
        <v>9145</v>
      </c>
      <c r="AC208" s="0" t="s">
        <v>4587</v>
      </c>
      <c r="AD208" s="0" t="s">
        <v>171</v>
      </c>
      <c r="AE208" s="0" t="s">
        <v>1189</v>
      </c>
      <c r="AF208" s="0" t="s">
        <v>9146</v>
      </c>
      <c r="AG208" s="0" t="s">
        <v>166</v>
      </c>
      <c r="AH208" s="0" t="s">
        <v>9147</v>
      </c>
      <c r="AI208" s="0" t="s">
        <v>5736</v>
      </c>
      <c r="AJ208" s="0" t="s">
        <v>163</v>
      </c>
      <c r="AK208" s="0" t="s">
        <v>9148</v>
      </c>
      <c r="AL208" s="0" t="s">
        <v>168</v>
      </c>
      <c r="AM208" s="0" t="s">
        <v>9149</v>
      </c>
      <c r="AN208" s="0" t="s">
        <v>9138</v>
      </c>
      <c r="AO208" s="5" t="s">
        <v>162</v>
      </c>
      <c r="AR208" s="0" t="str">
        <f aca="false">IF(AND(AU208="pass",AO208&lt;&gt;"Y",C208&lt;&gt;""),"Y","N")</f>
        <v>Y</v>
      </c>
      <c r="AS208" s="0" t="str">
        <f aca="false">_xlfn.TEXTJOIN("; ",TRUE(),IF(AU208&lt;&gt;"pass","gated out",""),IF(AO208="Y","on hold: "&amp;AP208,""),IF(C208="","no contact named on an opened page",""))</f>
        <v/>
      </c>
      <c r="AU208" s="0" t="s">
        <v>181</v>
      </c>
      <c r="AW208" s="0" t="s">
        <v>182</v>
      </c>
      <c r="AX208" s="0" t="s">
        <v>5605</v>
      </c>
      <c r="AY208" s="0" t="s">
        <v>9148</v>
      </c>
      <c r="AZ208" s="0" t="s">
        <v>8746</v>
      </c>
      <c r="BA208" s="0" t="s">
        <v>5329</v>
      </c>
      <c r="BB208" s="0" t="s">
        <v>163</v>
      </c>
      <c r="BD208" s="0" t="s">
        <v>168</v>
      </c>
      <c r="BE208" s="0" t="s">
        <v>9150</v>
      </c>
      <c r="BF208" s="0" t="s">
        <v>168</v>
      </c>
      <c r="BG208" s="0" t="s">
        <v>168</v>
      </c>
      <c r="BH208" s="0" t="s">
        <v>163</v>
      </c>
      <c r="BJ208" s="0" t="s">
        <v>5549</v>
      </c>
      <c r="BK208" s="0" t="s">
        <v>162</v>
      </c>
      <c r="BL208" s="0" t="s">
        <v>162</v>
      </c>
      <c r="BO208" s="0" t="s">
        <v>162</v>
      </c>
      <c r="BP208" s="0" t="n">
        <v>0</v>
      </c>
      <c r="BS208" s="0" t="s">
        <v>9151</v>
      </c>
      <c r="BT208" s="0" t="s">
        <v>9152</v>
      </c>
      <c r="BU208" s="0" t="s">
        <v>4694</v>
      </c>
      <c r="BV208" s="0" t="n">
        <v>32</v>
      </c>
      <c r="BX208" s="0" t="s">
        <v>9153</v>
      </c>
      <c r="CA208" s="0" t="s">
        <v>9154</v>
      </c>
      <c r="CB208" s="0" t="s">
        <v>4989</v>
      </c>
      <c r="CC208" s="0" t="s">
        <v>9155</v>
      </c>
      <c r="CD208" s="0" t="s">
        <v>4700</v>
      </c>
      <c r="CE208" s="0" t="s">
        <v>6260</v>
      </c>
      <c r="CF208" s="0" t="s">
        <v>171</v>
      </c>
      <c r="CK208" s="0" t="s">
        <v>158</v>
      </c>
      <c r="CL208" s="0" t="n">
        <v>30</v>
      </c>
      <c r="CM208" s="0" t="n">
        <v>6</v>
      </c>
      <c r="CN208" s="0" t="n">
        <v>3</v>
      </c>
      <c r="CO208" s="0" t="n">
        <v>8</v>
      </c>
      <c r="CP208" s="0" t="n">
        <v>5</v>
      </c>
      <c r="CQ208" s="0" t="n">
        <v>10</v>
      </c>
      <c r="CR208" s="0" t="n">
        <v>10</v>
      </c>
      <c r="CS208" s="0" t="n">
        <f aca="false">IF(R208="Y",10,0)</f>
        <v>0</v>
      </c>
      <c r="CT208" s="0" t="n">
        <v>-12</v>
      </c>
      <c r="CU208" s="0" t="s">
        <v>9156</v>
      </c>
      <c r="CV208" s="0" t="s">
        <v>5562</v>
      </c>
      <c r="CW208" s="0" t="s">
        <v>9157</v>
      </c>
      <c r="CX208" s="0" t="s">
        <v>9158</v>
      </c>
      <c r="CY208" s="0" t="s">
        <v>9159</v>
      </c>
      <c r="CZ208" s="0" t="s">
        <v>9160</v>
      </c>
      <c r="DA208" s="0" t="s">
        <v>6234</v>
      </c>
      <c r="DC208" s="0" t="s">
        <v>1189</v>
      </c>
      <c r="DY208" s="0" t="str">
        <f aca="false">IF(ISNUMBER(MATCH(U208,{"queued","contacted","replied","call_booked","call_done","yes_in_principle","materials_sent"},0)),"Y","N")</f>
        <v>N</v>
      </c>
      <c r="DZ208" s="0" t="str">
        <f aca="false">IF(COUNTIFS($AN$2:$AN$1000,AN208,$DY$2:$DY$1000,"Y")+COUNTIFS($AN$2:$AN$1000,AN208,$T$2:$T$1000,"Y")&gt;0,"Y","N")</f>
        <v>N</v>
      </c>
      <c r="EA208" s="0" t="str">
        <f aca="false">IF(AND(U208="new",T208="N",AR208="Y",AQ208="",DZ208="N"),"Y","N")</f>
        <v>Y</v>
      </c>
      <c r="EB208" s="0" t="str">
        <f aca="false">IF(EA208&lt;&gt;"Y","N",IF(COUNTIFS($AN$2:$AN$1000,AN208,$EA$2:$EA$1000,"Y",$J$2:$J$1000,"&gt;"&amp;J208)+COUNTIFS($AN$2:$AN$1000,AN208,$EA$2:$EA$1000,"Y",$J$2:$J$1000,J208,$ED$2:$ED$1000,"&lt;"&amp;ED208)=0,"Y","N"))</f>
        <v>Y</v>
      </c>
      <c r="EC208" s="0" t="str">
        <f aca="false">IF(Y208="","N",IF(Y208&lt;=10,"Y","N"))</f>
        <v>N</v>
      </c>
      <c r="ED208" s="0" t="n">
        <f aca="false">ROW()-1</f>
        <v>207</v>
      </c>
    </row>
    <row r="209" customFormat="false" ht="15" hidden="false" customHeight="false" outlineLevel="0" collapsed="false">
      <c r="A209" s="0" t="s">
        <v>9161</v>
      </c>
      <c r="B209" s="0" t="s">
        <v>9162</v>
      </c>
      <c r="H209" s="5" t="s">
        <v>158</v>
      </c>
      <c r="I209" s="5"/>
      <c r="J209" s="0" t="n">
        <f aca="false">IF(AU209="pass",CM209+CN209+CO209+CP209+CQ209+CR209+CS209+CT209,0)</f>
        <v>30</v>
      </c>
      <c r="K209" s="0" t="s">
        <v>9163</v>
      </c>
      <c r="M209" s="0" t="s">
        <v>5291</v>
      </c>
      <c r="N209" s="0" t="s">
        <v>598</v>
      </c>
      <c r="O209" s="0" t="s">
        <v>9164</v>
      </c>
      <c r="P209" s="0" t="s">
        <v>9165</v>
      </c>
      <c r="Q209" s="0" t="s">
        <v>9166</v>
      </c>
      <c r="R209" s="5" t="s">
        <v>162</v>
      </c>
      <c r="S209" s="0" t="s">
        <v>163</v>
      </c>
      <c r="T209" s="5" t="s">
        <v>162</v>
      </c>
      <c r="U209" s="5" t="s">
        <v>561</v>
      </c>
      <c r="V209" s="0" t="s">
        <v>9167</v>
      </c>
      <c r="W209" s="0" t="s">
        <v>166</v>
      </c>
      <c r="X209" s="0" t="s">
        <v>4585</v>
      </c>
      <c r="Y209" s="0" t="str">
        <f aca="false">IF(EB209&lt;&gt;"Y","",COUNTIFS($EB$2:$EB$1000,"Y",$J$2:$J$1000,"&gt;"&amp;J209)+COUNTIFS($EB$2:$EB$1000,"Y",$J$2:$J$1000,J209,$ED$2:$ED$1000,"&lt;"&amp;ED209)+1)</f>
        <v/>
      </c>
      <c r="Z209" s="0" t="n">
        <v>208</v>
      </c>
      <c r="AA209" s="0" t="s">
        <v>162</v>
      </c>
      <c r="AB209" s="0" t="s">
        <v>6315</v>
      </c>
      <c r="AC209" s="0" t="s">
        <v>4587</v>
      </c>
      <c r="AD209" s="0" t="s">
        <v>598</v>
      </c>
      <c r="AE209" s="0" t="s">
        <v>163</v>
      </c>
      <c r="AG209" s="0" t="s">
        <v>166</v>
      </c>
      <c r="AH209" s="0" t="s">
        <v>9168</v>
      </c>
      <c r="AI209" s="0" t="s">
        <v>4590</v>
      </c>
      <c r="AJ209" s="0" t="s">
        <v>2954</v>
      </c>
      <c r="AK209" s="0" t="s">
        <v>9169</v>
      </c>
      <c r="AL209" s="0" t="s">
        <v>168</v>
      </c>
      <c r="AM209" s="0" t="s">
        <v>9170</v>
      </c>
      <c r="AN209" s="0" t="s">
        <v>9161</v>
      </c>
      <c r="AO209" s="5" t="s">
        <v>162</v>
      </c>
      <c r="AR209" s="0" t="str">
        <f aca="false">IF(AND(AU209="pass",AO209&lt;&gt;"Y",C209&lt;&gt;""),"Y","N")</f>
        <v>N</v>
      </c>
      <c r="AS209" s="0" t="str">
        <f aca="false">_xlfn.TEXTJOIN("; ",TRUE(),IF(AU209&lt;&gt;"pass","gated out",""),IF(AO209="Y","on hold: "&amp;AP209,""),IF(C209="","no contact named on an opened page",""))</f>
        <v>no contact named on an opened page</v>
      </c>
      <c r="AU209" s="0" t="s">
        <v>181</v>
      </c>
      <c r="AW209" s="0" t="s">
        <v>182</v>
      </c>
      <c r="AX209" s="0" t="s">
        <v>282</v>
      </c>
      <c r="AY209" s="0" t="s">
        <v>9169</v>
      </c>
      <c r="AZ209" s="0" t="s">
        <v>5657</v>
      </c>
      <c r="BA209" s="0" t="s">
        <v>5329</v>
      </c>
      <c r="BB209" s="0" t="s">
        <v>163</v>
      </c>
      <c r="BD209" s="0" t="s">
        <v>163</v>
      </c>
      <c r="BE209" s="0" t="s">
        <v>6387</v>
      </c>
      <c r="BF209" s="0" t="s">
        <v>168</v>
      </c>
      <c r="BG209" s="0" t="s">
        <v>168</v>
      </c>
      <c r="BH209" s="0" t="s">
        <v>163</v>
      </c>
      <c r="BJ209" s="0" t="s">
        <v>5549</v>
      </c>
      <c r="BK209" s="0" t="s">
        <v>162</v>
      </c>
      <c r="BL209" s="0" t="s">
        <v>162</v>
      </c>
      <c r="BO209" s="0" t="s">
        <v>162</v>
      </c>
      <c r="BP209" s="0" t="n">
        <v>0</v>
      </c>
      <c r="BS209" s="0" t="s">
        <v>9171</v>
      </c>
      <c r="BU209" s="0" t="s">
        <v>4694</v>
      </c>
      <c r="BV209" s="0" t="n">
        <v>359</v>
      </c>
      <c r="BX209" s="0" t="s">
        <v>9172</v>
      </c>
      <c r="BY209" s="0" t="s">
        <v>7381</v>
      </c>
      <c r="CA209" s="0" t="s">
        <v>9173</v>
      </c>
      <c r="CB209" s="0" t="s">
        <v>9174</v>
      </c>
      <c r="CC209" s="0" t="s">
        <v>9175</v>
      </c>
      <c r="CD209" s="0" t="s">
        <v>9176</v>
      </c>
      <c r="CE209" s="0" t="s">
        <v>6260</v>
      </c>
      <c r="CF209" s="0" t="s">
        <v>171</v>
      </c>
      <c r="CG209" s="0" t="s">
        <v>9177</v>
      </c>
      <c r="CK209" s="0" t="s">
        <v>158</v>
      </c>
      <c r="CL209" s="0" t="n">
        <v>30</v>
      </c>
      <c r="CM209" s="0" t="n">
        <v>6</v>
      </c>
      <c r="CN209" s="0" t="n">
        <v>3</v>
      </c>
      <c r="CO209" s="0" t="n">
        <v>4</v>
      </c>
      <c r="CP209" s="0" t="n">
        <v>5</v>
      </c>
      <c r="CQ209" s="0" t="n">
        <v>7</v>
      </c>
      <c r="CR209" s="0" t="n">
        <v>7</v>
      </c>
      <c r="CS209" s="0" t="n">
        <f aca="false">IF(R209="Y",10,0)</f>
        <v>0</v>
      </c>
      <c r="CT209" s="0" t="n">
        <v>-2</v>
      </c>
      <c r="CU209" s="0" t="s">
        <v>163</v>
      </c>
      <c r="CV209" s="0" t="s">
        <v>5562</v>
      </c>
      <c r="CW209" s="0" t="s">
        <v>9178</v>
      </c>
      <c r="CX209" s="0" t="s">
        <v>9179</v>
      </c>
      <c r="CY209" s="0" t="s">
        <v>9180</v>
      </c>
      <c r="CZ209" s="0" t="s">
        <v>9181</v>
      </c>
      <c r="DA209" s="0" t="s">
        <v>6234</v>
      </c>
      <c r="DC209" s="0" t="s">
        <v>1189</v>
      </c>
      <c r="DY209" s="0" t="str">
        <f aca="false">IF(ISNUMBER(MATCH(U209,{"queued","contacted","replied","call_booked","call_done","yes_in_principle","materials_sent"},0)),"Y","N")</f>
        <v>N</v>
      </c>
      <c r="DZ209" s="0" t="str">
        <f aca="false">IF(COUNTIFS($AN$2:$AN$1000,AN209,$DY$2:$DY$1000,"Y")+COUNTIFS($AN$2:$AN$1000,AN209,$T$2:$T$1000,"Y")&gt;0,"Y","N")</f>
        <v>N</v>
      </c>
      <c r="EA209" s="0" t="str">
        <f aca="false">IF(AND(U209="new",T209="N",AR209="Y",AQ209="",DZ209="N"),"Y","N")</f>
        <v>N</v>
      </c>
      <c r="EB209" s="0" t="str">
        <f aca="false">IF(EA209&lt;&gt;"Y","N",IF(COUNTIFS($AN$2:$AN$1000,AN209,$EA$2:$EA$1000,"Y",$J$2:$J$1000,"&gt;"&amp;J209)+COUNTIFS($AN$2:$AN$1000,AN209,$EA$2:$EA$1000,"Y",$J$2:$J$1000,J209,$ED$2:$ED$1000,"&lt;"&amp;ED209)=0,"Y","N"))</f>
        <v>N</v>
      </c>
      <c r="EC209" s="0" t="str">
        <f aca="false">IF(Y209="","N",IF(Y209&lt;=10,"Y","N"))</f>
        <v>N</v>
      </c>
      <c r="ED209" s="0" t="n">
        <f aca="false">ROW()-1</f>
        <v>208</v>
      </c>
    </row>
    <row r="210" customFormat="false" ht="15" hidden="false" customHeight="false" outlineLevel="0" collapsed="false">
      <c r="A210" s="0" t="s">
        <v>9182</v>
      </c>
      <c r="B210" s="0" t="s">
        <v>9183</v>
      </c>
      <c r="H210" s="5" t="s">
        <v>158</v>
      </c>
      <c r="I210" s="5"/>
      <c r="J210" s="0" t="n">
        <f aca="false">IF(AU210="pass",CM210+CN210+CO210+CP210+CQ210+CR210+CS210+CT210,0)</f>
        <v>30</v>
      </c>
      <c r="K210" s="0" t="s">
        <v>9184</v>
      </c>
      <c r="M210" s="0" t="s">
        <v>5291</v>
      </c>
      <c r="N210" s="0" t="s">
        <v>598</v>
      </c>
      <c r="R210" s="5" t="s">
        <v>162</v>
      </c>
      <c r="S210" s="0" t="s">
        <v>163</v>
      </c>
      <c r="T210" s="5" t="s">
        <v>162</v>
      </c>
      <c r="U210" s="5" t="s">
        <v>561</v>
      </c>
      <c r="V210" s="0" t="s">
        <v>9185</v>
      </c>
      <c r="W210" s="0" t="s">
        <v>166</v>
      </c>
      <c r="X210" s="0" t="s">
        <v>4585</v>
      </c>
      <c r="Y210" s="0" t="str">
        <f aca="false">IF(EB210&lt;&gt;"Y","",COUNTIFS($EB$2:$EB$1000,"Y",$J$2:$J$1000,"&gt;"&amp;J210)+COUNTIFS($EB$2:$EB$1000,"Y",$J$2:$J$1000,J210,$ED$2:$ED$1000,"&lt;"&amp;ED210)+1)</f>
        <v/>
      </c>
      <c r="Z210" s="0" t="n">
        <v>209</v>
      </c>
      <c r="AA210" s="0" t="s">
        <v>162</v>
      </c>
      <c r="AB210" s="0" t="s">
        <v>6315</v>
      </c>
      <c r="AD210" s="0" t="s">
        <v>158</v>
      </c>
      <c r="AH210" s="0" t="s">
        <v>9186</v>
      </c>
      <c r="AI210" s="0" t="s">
        <v>4664</v>
      </c>
      <c r="AJ210" s="0" t="s">
        <v>9187</v>
      </c>
      <c r="AK210" s="0" t="s">
        <v>9188</v>
      </c>
      <c r="AL210" s="0" t="s">
        <v>168</v>
      </c>
      <c r="AM210" s="0" t="s">
        <v>9189</v>
      </c>
      <c r="AN210" s="0" t="s">
        <v>9182</v>
      </c>
      <c r="AO210" s="5" t="s">
        <v>162</v>
      </c>
      <c r="AR210" s="0" t="str">
        <f aca="false">IF(AND(AU210="pass",AO210&lt;&gt;"Y",C210&lt;&gt;""),"Y","N")</f>
        <v>N</v>
      </c>
      <c r="AS210" s="0" t="str">
        <f aca="false">_xlfn.TEXTJOIN("; ",TRUE(),IF(AU210&lt;&gt;"pass","gated out",""),IF(AO210="Y","on hold: "&amp;AP210,""),IF(C210="","no contact named on an opened page",""))</f>
        <v>no contact named on an opened page</v>
      </c>
      <c r="AU210" s="0" t="s">
        <v>181</v>
      </c>
      <c r="AW210" s="0" t="s">
        <v>182</v>
      </c>
      <c r="AX210" s="0" t="s">
        <v>282</v>
      </c>
      <c r="AY210" s="0" t="s">
        <v>9188</v>
      </c>
      <c r="AZ210" s="0" t="s">
        <v>4595</v>
      </c>
      <c r="BA210" s="0" t="s">
        <v>4951</v>
      </c>
      <c r="BB210" s="0" t="s">
        <v>163</v>
      </c>
      <c r="BD210" s="0" t="s">
        <v>263</v>
      </c>
      <c r="BE210" s="0" t="s">
        <v>9190</v>
      </c>
      <c r="BF210" s="0" t="s">
        <v>168</v>
      </c>
      <c r="BG210" s="0" t="s">
        <v>168</v>
      </c>
      <c r="BH210" s="0" t="s">
        <v>163</v>
      </c>
      <c r="BJ210" s="0" t="s">
        <v>163</v>
      </c>
      <c r="BK210" s="0" t="s">
        <v>162</v>
      </c>
      <c r="BL210" s="0" t="s">
        <v>162</v>
      </c>
      <c r="BO210" s="0" t="s">
        <v>162</v>
      </c>
      <c r="BP210" s="0" t="n">
        <v>0</v>
      </c>
      <c r="BR210" s="0" t="s">
        <v>9191</v>
      </c>
      <c r="BS210" s="0" t="s">
        <v>9192</v>
      </c>
      <c r="BT210" s="0" t="s">
        <v>9193</v>
      </c>
      <c r="BU210" s="0" t="s">
        <v>158</v>
      </c>
      <c r="CF210" s="0" t="s">
        <v>158</v>
      </c>
      <c r="CK210" s="0" t="s">
        <v>158</v>
      </c>
      <c r="CL210" s="0" t="n">
        <v>30</v>
      </c>
      <c r="CM210" s="0" t="n">
        <v>6</v>
      </c>
      <c r="CN210" s="0" t="n">
        <v>13</v>
      </c>
      <c r="CO210" s="0" t="n">
        <v>0</v>
      </c>
      <c r="CP210" s="0" t="n">
        <v>5</v>
      </c>
      <c r="CQ210" s="0" t="n">
        <v>8</v>
      </c>
      <c r="CR210" s="0" t="n">
        <v>0</v>
      </c>
      <c r="CS210" s="0" t="n">
        <f aca="false">IF(R210="Y",10,0)</f>
        <v>0</v>
      </c>
      <c r="CT210" s="0" t="n">
        <v>-2</v>
      </c>
      <c r="CU210" s="0" t="s">
        <v>9194</v>
      </c>
      <c r="CV210" s="0" t="s">
        <v>4703</v>
      </c>
      <c r="CW210" s="0" t="s">
        <v>9195</v>
      </c>
      <c r="CX210" s="0" t="s">
        <v>9196</v>
      </c>
      <c r="CY210" s="0" t="s">
        <v>9197</v>
      </c>
      <c r="DA210" s="0" t="s">
        <v>6234</v>
      </c>
      <c r="DY210" s="0" t="str">
        <f aca="false">IF(ISNUMBER(MATCH(U210,{"queued","contacted","replied","call_booked","call_done","yes_in_principle","materials_sent"},0)),"Y","N")</f>
        <v>N</v>
      </c>
      <c r="DZ210" s="0" t="str">
        <f aca="false">IF(COUNTIFS($AN$2:$AN$1000,AN210,$DY$2:$DY$1000,"Y")+COUNTIFS($AN$2:$AN$1000,AN210,$T$2:$T$1000,"Y")&gt;0,"Y","N")</f>
        <v>N</v>
      </c>
      <c r="EA210" s="0" t="str">
        <f aca="false">IF(AND(U210="new",T210="N",AR210="Y",AQ210="",DZ210="N"),"Y","N")</f>
        <v>N</v>
      </c>
      <c r="EB210" s="0" t="str">
        <f aca="false">IF(EA210&lt;&gt;"Y","N",IF(COUNTIFS($AN$2:$AN$1000,AN210,$EA$2:$EA$1000,"Y",$J$2:$J$1000,"&gt;"&amp;J210)+COUNTIFS($AN$2:$AN$1000,AN210,$EA$2:$EA$1000,"Y",$J$2:$J$1000,J210,$ED$2:$ED$1000,"&lt;"&amp;ED210)=0,"Y","N"))</f>
        <v>N</v>
      </c>
      <c r="EC210" s="0" t="str">
        <f aca="false">IF(Y210="","N",IF(Y210&lt;=10,"Y","N"))</f>
        <v>N</v>
      </c>
      <c r="ED210" s="0" t="n">
        <f aca="false">ROW()-1</f>
        <v>209</v>
      </c>
    </row>
    <row r="211" customFormat="false" ht="15" hidden="false" customHeight="false" outlineLevel="0" collapsed="false">
      <c r="A211" s="0" t="s">
        <v>9198</v>
      </c>
      <c r="B211" s="0" t="s">
        <v>9199</v>
      </c>
      <c r="H211" s="5" t="s">
        <v>158</v>
      </c>
      <c r="I211" s="5"/>
      <c r="J211" s="0" t="n">
        <f aca="false">IF(AU211="pass",CM211+CN211+CO211+CP211+CQ211+CR211+CS211+CT211,0)</f>
        <v>29</v>
      </c>
      <c r="K211" s="0" t="s">
        <v>9200</v>
      </c>
      <c r="M211" s="0" t="s">
        <v>5291</v>
      </c>
      <c r="N211" s="0" t="s">
        <v>598</v>
      </c>
      <c r="O211" s="0" t="s">
        <v>9201</v>
      </c>
      <c r="P211" s="0" t="s">
        <v>9202</v>
      </c>
      <c r="Q211" s="0" t="s">
        <v>9203</v>
      </c>
      <c r="R211" s="5" t="s">
        <v>162</v>
      </c>
      <c r="S211" s="0" t="s">
        <v>163</v>
      </c>
      <c r="T211" s="5" t="s">
        <v>162</v>
      </c>
      <c r="U211" s="5" t="s">
        <v>561</v>
      </c>
      <c r="V211" s="0" t="s">
        <v>9204</v>
      </c>
      <c r="W211" s="0" t="s">
        <v>166</v>
      </c>
      <c r="X211" s="0" t="s">
        <v>4585</v>
      </c>
      <c r="Y211" s="0" t="str">
        <f aca="false">IF(EB211&lt;&gt;"Y","",COUNTIFS($EB$2:$EB$1000,"Y",$J$2:$J$1000,"&gt;"&amp;J211)+COUNTIFS($EB$2:$EB$1000,"Y",$J$2:$J$1000,J211,$ED$2:$ED$1000,"&lt;"&amp;ED211)+1)</f>
        <v/>
      </c>
      <c r="Z211" s="0" t="n">
        <v>210</v>
      </c>
      <c r="AA211" s="0" t="s">
        <v>162</v>
      </c>
      <c r="AB211" s="0" t="s">
        <v>9205</v>
      </c>
      <c r="AD211" s="0" t="s">
        <v>158</v>
      </c>
      <c r="AH211" s="0" t="s">
        <v>9206</v>
      </c>
      <c r="AI211" s="0" t="s">
        <v>4826</v>
      </c>
      <c r="AJ211" s="0" t="s">
        <v>9207</v>
      </c>
      <c r="AK211" s="0" t="s">
        <v>9208</v>
      </c>
      <c r="AL211" s="0" t="s">
        <v>162</v>
      </c>
      <c r="AN211" s="0" t="s">
        <v>9198</v>
      </c>
      <c r="AO211" s="5" t="s">
        <v>162</v>
      </c>
      <c r="AR211" s="0" t="str">
        <f aca="false">IF(AND(AU211="pass",AO211&lt;&gt;"Y",C211&lt;&gt;""),"Y","N")</f>
        <v>N</v>
      </c>
      <c r="AS211" s="0" t="str">
        <f aca="false">_xlfn.TEXTJOIN("; ",TRUE(),IF(AU211&lt;&gt;"pass","gated out",""),IF(AO211="Y","on hold: "&amp;AP211,""),IF(C211="","no contact named on an opened page",""))</f>
        <v>no contact named on an opened page</v>
      </c>
      <c r="AU211" s="0" t="s">
        <v>181</v>
      </c>
      <c r="AW211" s="0" t="s">
        <v>182</v>
      </c>
      <c r="AY211" s="0" t="s">
        <v>9208</v>
      </c>
      <c r="AZ211" s="0" t="s">
        <v>5657</v>
      </c>
      <c r="BA211" s="0" t="s">
        <v>5329</v>
      </c>
      <c r="BB211" s="0" t="s">
        <v>163</v>
      </c>
      <c r="BD211" s="0" t="s">
        <v>168</v>
      </c>
      <c r="BE211" s="0" t="s">
        <v>9209</v>
      </c>
      <c r="BF211" s="0" t="s">
        <v>162</v>
      </c>
      <c r="BG211" s="0" t="s">
        <v>168</v>
      </c>
      <c r="BH211" s="0" t="s">
        <v>163</v>
      </c>
      <c r="BJ211" s="0" t="s">
        <v>163</v>
      </c>
      <c r="BK211" s="0" t="s">
        <v>162</v>
      </c>
      <c r="BL211" s="0" t="s">
        <v>162</v>
      </c>
      <c r="BO211" s="0" t="s">
        <v>162</v>
      </c>
      <c r="BP211" s="0" t="n">
        <v>0</v>
      </c>
      <c r="BR211" s="0" t="s">
        <v>6762</v>
      </c>
      <c r="BS211" s="0" t="s">
        <v>9210</v>
      </c>
      <c r="BT211" s="0" t="s">
        <v>9211</v>
      </c>
      <c r="BU211" s="0" t="s">
        <v>4694</v>
      </c>
      <c r="BV211" s="0" t="n">
        <v>88</v>
      </c>
      <c r="CF211" s="0" t="s">
        <v>158</v>
      </c>
      <c r="CK211" s="0" t="s">
        <v>158</v>
      </c>
      <c r="CL211" s="0" t="n">
        <v>29</v>
      </c>
      <c r="CM211" s="0" t="n">
        <v>6</v>
      </c>
      <c r="CN211" s="0" t="n">
        <v>3</v>
      </c>
      <c r="CO211" s="0" t="n">
        <v>8</v>
      </c>
      <c r="CP211" s="0" t="n">
        <v>5</v>
      </c>
      <c r="CQ211" s="0" t="n">
        <v>7</v>
      </c>
      <c r="CR211" s="0" t="n">
        <v>0</v>
      </c>
      <c r="CS211" s="0" t="n">
        <f aca="false">IF(R211="Y",10,0)</f>
        <v>0</v>
      </c>
      <c r="CT211" s="0" t="n">
        <v>0</v>
      </c>
      <c r="CU211" s="0" t="s">
        <v>9212</v>
      </c>
      <c r="CV211" s="0" t="s">
        <v>4841</v>
      </c>
      <c r="CW211" s="0" t="s">
        <v>9213</v>
      </c>
      <c r="CX211" s="0" t="s">
        <v>9214</v>
      </c>
      <c r="DA211" s="0" t="s">
        <v>6234</v>
      </c>
      <c r="DY211" s="0" t="str">
        <f aca="false">IF(ISNUMBER(MATCH(U211,{"queued","contacted","replied","call_booked","call_done","yes_in_principle","materials_sent"},0)),"Y","N")</f>
        <v>N</v>
      </c>
      <c r="DZ211" s="0" t="str">
        <f aca="false">IF(COUNTIFS($AN$2:$AN$1000,AN211,$DY$2:$DY$1000,"Y")+COUNTIFS($AN$2:$AN$1000,AN211,$T$2:$T$1000,"Y")&gt;0,"Y","N")</f>
        <v>N</v>
      </c>
      <c r="EA211" s="0" t="str">
        <f aca="false">IF(AND(U211="new",T211="N",AR211="Y",AQ211="",DZ211="N"),"Y","N")</f>
        <v>N</v>
      </c>
      <c r="EB211" s="0" t="str">
        <f aca="false">IF(EA211&lt;&gt;"Y","N",IF(COUNTIFS($AN$2:$AN$1000,AN211,$EA$2:$EA$1000,"Y",$J$2:$J$1000,"&gt;"&amp;J211)+COUNTIFS($AN$2:$AN$1000,AN211,$EA$2:$EA$1000,"Y",$J$2:$J$1000,J211,$ED$2:$ED$1000,"&lt;"&amp;ED211)=0,"Y","N"))</f>
        <v>N</v>
      </c>
      <c r="EC211" s="0" t="str">
        <f aca="false">IF(Y211="","N",IF(Y211&lt;=10,"Y","N"))</f>
        <v>N</v>
      </c>
      <c r="ED211" s="0" t="n">
        <f aca="false">ROW()-1</f>
        <v>210</v>
      </c>
    </row>
    <row r="212" customFormat="false" ht="15" hidden="false" customHeight="false" outlineLevel="0" collapsed="false">
      <c r="A212" s="0" t="s">
        <v>9215</v>
      </c>
      <c r="B212" s="0" t="s">
        <v>9216</v>
      </c>
      <c r="C212" s="0" t="s">
        <v>9217</v>
      </c>
      <c r="D212" s="0" t="s">
        <v>163</v>
      </c>
      <c r="E212" s="0" t="s">
        <v>4625</v>
      </c>
      <c r="H212" s="5" t="s">
        <v>158</v>
      </c>
      <c r="I212" s="5" t="s">
        <v>159</v>
      </c>
      <c r="J212" s="0" t="n">
        <f aca="false">IF(AU212="pass",CM212+CN212+CO212+CP212+CQ212+CR212+CS212+CT212,0)</f>
        <v>29</v>
      </c>
      <c r="K212" s="0" t="s">
        <v>9218</v>
      </c>
      <c r="M212" s="0" t="s">
        <v>5291</v>
      </c>
      <c r="N212" s="0" t="s">
        <v>598</v>
      </c>
      <c r="O212" s="0" t="s">
        <v>9219</v>
      </c>
      <c r="P212" s="0" t="s">
        <v>9220</v>
      </c>
      <c r="Q212" s="0" t="s">
        <v>246</v>
      </c>
      <c r="R212" s="5" t="s">
        <v>162</v>
      </c>
      <c r="S212" s="0" t="s">
        <v>163</v>
      </c>
      <c r="T212" s="5" t="s">
        <v>162</v>
      </c>
      <c r="U212" s="5" t="s">
        <v>561</v>
      </c>
      <c r="V212" s="0" t="s">
        <v>9221</v>
      </c>
      <c r="W212" s="0" t="s">
        <v>166</v>
      </c>
      <c r="X212" s="0" t="s">
        <v>4585</v>
      </c>
      <c r="Y212" s="0" t="n">
        <f aca="false">IF(EB212&lt;&gt;"Y","",COUNTIFS($EB$2:$EB$1000,"Y",$J$2:$J$1000,"&gt;"&amp;J212)+COUNTIFS($EB$2:$EB$1000,"Y",$J$2:$J$1000,J212,$ED$2:$ED$1000,"&lt;"&amp;ED212)+1)</f>
        <v>168</v>
      </c>
      <c r="Z212" s="0" t="n">
        <v>211</v>
      </c>
      <c r="AA212" s="0" t="s">
        <v>162</v>
      </c>
      <c r="AB212" s="0" t="s">
        <v>9222</v>
      </c>
      <c r="AC212" s="0" t="s">
        <v>4587</v>
      </c>
      <c r="AD212" s="0" t="s">
        <v>5008</v>
      </c>
      <c r="AE212" s="0" t="s">
        <v>172</v>
      </c>
      <c r="AF212" s="0" t="s">
        <v>9221</v>
      </c>
      <c r="AG212" s="0" t="s">
        <v>166</v>
      </c>
      <c r="AH212" s="0" t="s">
        <v>9223</v>
      </c>
      <c r="AI212" s="0" t="s">
        <v>5028</v>
      </c>
      <c r="AJ212" s="0" t="s">
        <v>9224</v>
      </c>
      <c r="AK212" s="0" t="s">
        <v>9225</v>
      </c>
      <c r="AL212" s="0" t="s">
        <v>168</v>
      </c>
      <c r="AM212" s="0" t="s">
        <v>9226</v>
      </c>
      <c r="AN212" s="0" t="s">
        <v>9215</v>
      </c>
      <c r="AO212" s="5" t="s">
        <v>162</v>
      </c>
      <c r="AR212" s="0" t="str">
        <f aca="false">IF(AND(AU212="pass",AO212&lt;&gt;"Y",C212&lt;&gt;""),"Y","N")</f>
        <v>Y</v>
      </c>
      <c r="AS212" s="0" t="str">
        <f aca="false">_xlfn.TEXTJOIN("; ",TRUE(),IF(AU212&lt;&gt;"pass","gated out",""),IF(AO212="Y","on hold: "&amp;AP212,""),IF(C212="","no contact named on an opened page",""))</f>
        <v/>
      </c>
      <c r="AU212" s="0" t="s">
        <v>181</v>
      </c>
      <c r="AW212" s="0" t="s">
        <v>182</v>
      </c>
      <c r="AX212" s="0" t="s">
        <v>4594</v>
      </c>
      <c r="AY212" s="0" t="s">
        <v>9225</v>
      </c>
      <c r="AZ212" s="0" t="s">
        <v>5328</v>
      </c>
      <c r="BA212" s="0" t="s">
        <v>5329</v>
      </c>
      <c r="BB212" s="0" t="s">
        <v>163</v>
      </c>
      <c r="BD212" s="0" t="s">
        <v>168</v>
      </c>
      <c r="BE212" s="0" t="s">
        <v>9227</v>
      </c>
      <c r="BF212" s="0" t="s">
        <v>163</v>
      </c>
      <c r="BG212" s="0" t="s">
        <v>168</v>
      </c>
      <c r="BH212" s="0" t="s">
        <v>163</v>
      </c>
      <c r="BJ212" s="0" t="s">
        <v>163</v>
      </c>
      <c r="BK212" s="0" t="s">
        <v>162</v>
      </c>
      <c r="BL212" s="0" t="s">
        <v>162</v>
      </c>
      <c r="BO212" s="0" t="s">
        <v>162</v>
      </c>
      <c r="BP212" s="0" t="n">
        <v>0</v>
      </c>
      <c r="BR212" s="0" t="s">
        <v>6762</v>
      </c>
      <c r="BS212" s="0" t="s">
        <v>6809</v>
      </c>
      <c r="BT212" s="0" t="s">
        <v>9228</v>
      </c>
      <c r="BU212" s="0" t="s">
        <v>4694</v>
      </c>
      <c r="BV212" s="0" t="n">
        <v>71</v>
      </c>
      <c r="BX212" s="0" t="s">
        <v>9217</v>
      </c>
      <c r="BY212" s="0" t="s">
        <v>9229</v>
      </c>
      <c r="CA212" s="0" t="s">
        <v>9230</v>
      </c>
      <c r="CB212" s="0" t="s">
        <v>9230</v>
      </c>
      <c r="CC212" s="0" t="s">
        <v>163</v>
      </c>
      <c r="CD212" s="0" t="s">
        <v>4625</v>
      </c>
      <c r="CE212" s="0" t="s">
        <v>6723</v>
      </c>
      <c r="CF212" s="0" t="s">
        <v>5008</v>
      </c>
      <c r="CG212" s="0" t="s">
        <v>9229</v>
      </c>
      <c r="CK212" s="0" t="s">
        <v>158</v>
      </c>
      <c r="CL212" s="0" t="n">
        <v>29</v>
      </c>
      <c r="CM212" s="0" t="n">
        <v>6</v>
      </c>
      <c r="CN212" s="0" t="n">
        <v>3</v>
      </c>
      <c r="CO212" s="0" t="n">
        <v>8</v>
      </c>
      <c r="CP212" s="0" t="n">
        <v>5</v>
      </c>
      <c r="CQ212" s="0" t="n">
        <v>8</v>
      </c>
      <c r="CR212" s="0" t="n">
        <v>3</v>
      </c>
      <c r="CS212" s="0" t="n">
        <f aca="false">IF(R212="Y",10,0)</f>
        <v>0</v>
      </c>
      <c r="CT212" s="0" t="n">
        <v>-4</v>
      </c>
      <c r="CU212" s="0" t="s">
        <v>9231</v>
      </c>
      <c r="CV212" s="0" t="s">
        <v>4841</v>
      </c>
      <c r="CW212" s="0" t="s">
        <v>9232</v>
      </c>
      <c r="CX212" s="0" t="s">
        <v>9233</v>
      </c>
      <c r="CZ212" s="0" t="s">
        <v>9221</v>
      </c>
      <c r="DA212" s="0" t="s">
        <v>6234</v>
      </c>
      <c r="DC212" s="0" t="s">
        <v>172</v>
      </c>
      <c r="DY212" s="0" t="str">
        <f aca="false">IF(ISNUMBER(MATCH(U212,{"queued","contacted","replied","call_booked","call_done","yes_in_principle","materials_sent"},0)),"Y","N")</f>
        <v>N</v>
      </c>
      <c r="DZ212" s="0" t="str">
        <f aca="false">IF(COUNTIFS($AN$2:$AN$1000,AN212,$DY$2:$DY$1000,"Y")+COUNTIFS($AN$2:$AN$1000,AN212,$T$2:$T$1000,"Y")&gt;0,"Y","N")</f>
        <v>N</v>
      </c>
      <c r="EA212" s="0" t="str">
        <f aca="false">IF(AND(U212="new",T212="N",AR212="Y",AQ212="",DZ212="N"),"Y","N")</f>
        <v>Y</v>
      </c>
      <c r="EB212" s="0" t="str">
        <f aca="false">IF(EA212&lt;&gt;"Y","N",IF(COUNTIFS($AN$2:$AN$1000,AN212,$EA$2:$EA$1000,"Y",$J$2:$J$1000,"&gt;"&amp;J212)+COUNTIFS($AN$2:$AN$1000,AN212,$EA$2:$EA$1000,"Y",$J$2:$J$1000,J212,$ED$2:$ED$1000,"&lt;"&amp;ED212)=0,"Y","N"))</f>
        <v>Y</v>
      </c>
      <c r="EC212" s="0" t="str">
        <f aca="false">IF(Y212="","N",IF(Y212&lt;=10,"Y","N"))</f>
        <v>N</v>
      </c>
      <c r="ED212" s="0" t="n">
        <f aca="false">ROW()-1</f>
        <v>211</v>
      </c>
    </row>
    <row r="213" customFormat="false" ht="15" hidden="false" customHeight="false" outlineLevel="0" collapsed="false">
      <c r="A213" s="0" t="s">
        <v>9234</v>
      </c>
      <c r="B213" s="0" t="s">
        <v>9235</v>
      </c>
      <c r="C213" s="0" t="s">
        <v>9236</v>
      </c>
      <c r="D213" s="0" t="s">
        <v>9237</v>
      </c>
      <c r="E213" s="0" t="s">
        <v>4771</v>
      </c>
      <c r="H213" s="5" t="s">
        <v>158</v>
      </c>
      <c r="I213" s="5" t="s">
        <v>159</v>
      </c>
      <c r="J213" s="0" t="n">
        <f aca="false">IF(AU213="pass",CM213+CN213+CO213+CP213+CQ213+CR213+CS213+CT213,0)</f>
        <v>29</v>
      </c>
      <c r="K213" s="0" t="s">
        <v>9238</v>
      </c>
      <c r="M213" s="0" t="s">
        <v>5291</v>
      </c>
      <c r="N213" s="0" t="s">
        <v>598</v>
      </c>
      <c r="O213" s="0" t="s">
        <v>9239</v>
      </c>
      <c r="P213" s="0" t="s">
        <v>9240</v>
      </c>
      <c r="Q213" s="0" t="s">
        <v>9241</v>
      </c>
      <c r="R213" s="5" t="s">
        <v>162</v>
      </c>
      <c r="S213" s="0" t="s">
        <v>163</v>
      </c>
      <c r="T213" s="5" t="s">
        <v>162</v>
      </c>
      <c r="U213" s="5" t="s">
        <v>561</v>
      </c>
      <c r="V213" s="0" t="s">
        <v>9242</v>
      </c>
      <c r="W213" s="0" t="s">
        <v>166</v>
      </c>
      <c r="X213" s="0" t="s">
        <v>4585</v>
      </c>
      <c r="Y213" s="0" t="n">
        <f aca="false">IF(EB213&lt;&gt;"Y","",COUNTIFS($EB$2:$EB$1000,"Y",$J$2:$J$1000,"&gt;"&amp;J213)+COUNTIFS($EB$2:$EB$1000,"Y",$J$2:$J$1000,J213,$ED$2:$ED$1000,"&lt;"&amp;ED213)+1)</f>
        <v>169</v>
      </c>
      <c r="Z213" s="0" t="n">
        <v>212</v>
      </c>
      <c r="AA213" s="0" t="s">
        <v>162</v>
      </c>
      <c r="AB213" s="0" t="s">
        <v>9243</v>
      </c>
      <c r="AC213" s="0" t="s">
        <v>4587</v>
      </c>
      <c r="AD213" s="0" t="s">
        <v>171</v>
      </c>
      <c r="AE213" s="0" t="s">
        <v>172</v>
      </c>
      <c r="AF213" s="0" t="s">
        <v>9242</v>
      </c>
      <c r="AG213" s="0" t="s">
        <v>166</v>
      </c>
      <c r="AH213" s="0" t="s">
        <v>9244</v>
      </c>
      <c r="AI213" s="0" t="s">
        <v>5736</v>
      </c>
      <c r="AJ213" s="0" t="s">
        <v>9245</v>
      </c>
      <c r="AK213" s="0" t="s">
        <v>9240</v>
      </c>
      <c r="AL213" s="0" t="s">
        <v>168</v>
      </c>
      <c r="AM213" s="0" t="s">
        <v>9246</v>
      </c>
      <c r="AN213" s="0" t="s">
        <v>9234</v>
      </c>
      <c r="AO213" s="5" t="s">
        <v>162</v>
      </c>
      <c r="AR213" s="0" t="str">
        <f aca="false">IF(AND(AU213="pass",AO213&lt;&gt;"Y",C213&lt;&gt;""),"Y","N")</f>
        <v>Y</v>
      </c>
      <c r="AS213" s="0" t="str">
        <f aca="false">_xlfn.TEXTJOIN("; ",TRUE(),IF(AU213&lt;&gt;"pass","gated out",""),IF(AO213="Y","on hold: "&amp;AP213,""),IF(C213="","no contact named on an opened page",""))</f>
        <v/>
      </c>
      <c r="AU213" s="0" t="s">
        <v>181</v>
      </c>
      <c r="AW213" s="0" t="s">
        <v>182</v>
      </c>
      <c r="AX213" s="0" t="s">
        <v>5221</v>
      </c>
      <c r="AY213" s="0" t="s">
        <v>9247</v>
      </c>
      <c r="AZ213" s="0" t="s">
        <v>4595</v>
      </c>
      <c r="BA213" s="0" t="s">
        <v>4951</v>
      </c>
      <c r="BB213" s="0" t="s">
        <v>163</v>
      </c>
      <c r="BD213" s="0" t="s">
        <v>163</v>
      </c>
      <c r="BE213" s="0" t="s">
        <v>9248</v>
      </c>
      <c r="BF213" s="0" t="s">
        <v>168</v>
      </c>
      <c r="BG213" s="0" t="s">
        <v>168</v>
      </c>
      <c r="BH213" s="0" t="s">
        <v>163</v>
      </c>
      <c r="BJ213" s="0" t="s">
        <v>5549</v>
      </c>
      <c r="BK213" s="0" t="s">
        <v>162</v>
      </c>
      <c r="BL213" s="0" t="s">
        <v>162</v>
      </c>
      <c r="BO213" s="0" t="s">
        <v>162</v>
      </c>
      <c r="BP213" s="0" t="n">
        <v>0</v>
      </c>
      <c r="BS213" s="0" t="s">
        <v>8243</v>
      </c>
      <c r="BU213" s="0" t="s">
        <v>4694</v>
      </c>
      <c r="BV213" s="0" t="n">
        <v>204</v>
      </c>
      <c r="BX213" s="0" t="s">
        <v>9249</v>
      </c>
      <c r="CF213" s="0" t="s">
        <v>158</v>
      </c>
      <c r="CK213" s="0" t="s">
        <v>158</v>
      </c>
      <c r="CL213" s="0" t="n">
        <v>29</v>
      </c>
      <c r="CM213" s="0" t="n">
        <v>6</v>
      </c>
      <c r="CN213" s="0" t="n">
        <v>13</v>
      </c>
      <c r="CO213" s="0" t="n">
        <v>4</v>
      </c>
      <c r="CP213" s="0" t="n">
        <v>5</v>
      </c>
      <c r="CQ213" s="0" t="n">
        <v>7</v>
      </c>
      <c r="CR213" s="0" t="n">
        <v>6</v>
      </c>
      <c r="CS213" s="0" t="n">
        <f aca="false">IF(R213="Y",10,0)</f>
        <v>0</v>
      </c>
      <c r="CT213" s="0" t="n">
        <v>-12</v>
      </c>
      <c r="CU213" s="0" t="s">
        <v>9250</v>
      </c>
      <c r="CV213" s="0" t="s">
        <v>5562</v>
      </c>
      <c r="CW213" s="0" t="s">
        <v>9251</v>
      </c>
      <c r="CX213" s="0" t="s">
        <v>9252</v>
      </c>
      <c r="DA213" s="0" t="s">
        <v>6234</v>
      </c>
      <c r="DY213" s="0" t="str">
        <f aca="false">IF(ISNUMBER(MATCH(U213,{"queued","contacted","replied","call_booked","call_done","yes_in_principle","materials_sent"},0)),"Y","N")</f>
        <v>N</v>
      </c>
      <c r="DZ213" s="0" t="str">
        <f aca="false">IF(COUNTIFS($AN$2:$AN$1000,AN213,$DY$2:$DY$1000,"Y")+COUNTIFS($AN$2:$AN$1000,AN213,$T$2:$T$1000,"Y")&gt;0,"Y","N")</f>
        <v>N</v>
      </c>
      <c r="EA213" s="0" t="str">
        <f aca="false">IF(AND(U213="new",T213="N",AR213="Y",AQ213="",DZ213="N"),"Y","N")</f>
        <v>Y</v>
      </c>
      <c r="EB213" s="0" t="str">
        <f aca="false">IF(EA213&lt;&gt;"Y","N",IF(COUNTIFS($AN$2:$AN$1000,AN213,$EA$2:$EA$1000,"Y",$J$2:$J$1000,"&gt;"&amp;J213)+COUNTIFS($AN$2:$AN$1000,AN213,$EA$2:$EA$1000,"Y",$J$2:$J$1000,J213,$ED$2:$ED$1000,"&lt;"&amp;ED213)=0,"Y","N"))</f>
        <v>Y</v>
      </c>
      <c r="EC213" s="0" t="str">
        <f aca="false">IF(Y213="","N",IF(Y213&lt;=10,"Y","N"))</f>
        <v>N</v>
      </c>
      <c r="ED213" s="0" t="n">
        <f aca="false">ROW()-1</f>
        <v>212</v>
      </c>
    </row>
    <row r="214" customFormat="false" ht="15" hidden="false" customHeight="false" outlineLevel="0" collapsed="false">
      <c r="A214" s="0" t="s">
        <v>9253</v>
      </c>
      <c r="B214" s="0" t="s">
        <v>9254</v>
      </c>
      <c r="H214" s="5" t="s">
        <v>158</v>
      </c>
      <c r="I214" s="5"/>
      <c r="J214" s="0" t="n">
        <f aca="false">IF(AU214="pass",CM214+CN214+CO214+CP214+CQ214+CR214+CS214+CT214,0)</f>
        <v>29</v>
      </c>
      <c r="K214" s="0" t="s">
        <v>9255</v>
      </c>
      <c r="M214" s="0" t="s">
        <v>5291</v>
      </c>
      <c r="N214" s="0" t="s">
        <v>598</v>
      </c>
      <c r="O214" s="0" t="s">
        <v>9256</v>
      </c>
      <c r="P214" s="0" t="s">
        <v>9257</v>
      </c>
      <c r="Q214" s="0" t="s">
        <v>797</v>
      </c>
      <c r="R214" s="5" t="s">
        <v>162</v>
      </c>
      <c r="S214" s="0" t="s">
        <v>163</v>
      </c>
      <c r="T214" s="5" t="s">
        <v>162</v>
      </c>
      <c r="U214" s="5" t="s">
        <v>561</v>
      </c>
      <c r="V214" s="0" t="s">
        <v>9258</v>
      </c>
      <c r="W214" s="0" t="s">
        <v>174</v>
      </c>
      <c r="X214" s="0" t="s">
        <v>4585</v>
      </c>
      <c r="Y214" s="0" t="str">
        <f aca="false">IF(EB214&lt;&gt;"Y","",COUNTIFS($EB$2:$EB$1000,"Y",$J$2:$J$1000,"&gt;"&amp;J214)+COUNTIFS($EB$2:$EB$1000,"Y",$J$2:$J$1000,J214,$ED$2:$ED$1000,"&lt;"&amp;ED214)+1)</f>
        <v/>
      </c>
      <c r="Z214" s="0" t="n">
        <v>213</v>
      </c>
      <c r="AA214" s="0" t="s">
        <v>162</v>
      </c>
      <c r="AB214" s="0" t="s">
        <v>6915</v>
      </c>
      <c r="AD214" s="0" t="s">
        <v>158</v>
      </c>
      <c r="AH214" s="0" t="s">
        <v>9259</v>
      </c>
      <c r="AI214" s="0" t="s">
        <v>5028</v>
      </c>
      <c r="AJ214" s="0" t="s">
        <v>9260</v>
      </c>
      <c r="AK214" s="0" t="s">
        <v>9261</v>
      </c>
      <c r="AL214" s="0" t="s">
        <v>168</v>
      </c>
      <c r="AM214" s="0" t="s">
        <v>9262</v>
      </c>
      <c r="AN214" s="0" t="s">
        <v>9253</v>
      </c>
      <c r="AO214" s="5" t="s">
        <v>162</v>
      </c>
      <c r="AR214" s="0" t="str">
        <f aca="false">IF(AND(AU214="pass",AO214&lt;&gt;"Y",C214&lt;&gt;""),"Y","N")</f>
        <v>N</v>
      </c>
      <c r="AS214" s="0" t="str">
        <f aca="false">_xlfn.TEXTJOIN("; ",TRUE(),IF(AU214&lt;&gt;"pass","gated out",""),IF(AO214="Y","on hold: "&amp;AP214,""),IF(C214="","no contact named on an opened page",""))</f>
        <v>no contact named on an opened page</v>
      </c>
      <c r="AU214" s="0" t="s">
        <v>181</v>
      </c>
      <c r="AW214" s="0" t="s">
        <v>182</v>
      </c>
      <c r="AX214" s="0" t="s">
        <v>4594</v>
      </c>
      <c r="AY214" s="0" t="s">
        <v>9261</v>
      </c>
      <c r="AZ214" s="0" t="s">
        <v>7320</v>
      </c>
      <c r="BA214" s="0" t="s">
        <v>5191</v>
      </c>
      <c r="BB214" s="0" t="s">
        <v>163</v>
      </c>
      <c r="BD214" s="0" t="s">
        <v>168</v>
      </c>
      <c r="BE214" s="0" t="s">
        <v>9263</v>
      </c>
      <c r="BF214" s="0" t="s">
        <v>168</v>
      </c>
      <c r="BG214" s="0" t="s">
        <v>168</v>
      </c>
      <c r="BH214" s="0" t="s">
        <v>163</v>
      </c>
      <c r="BJ214" s="0" t="s">
        <v>5143</v>
      </c>
      <c r="BK214" s="0" t="s">
        <v>162</v>
      </c>
      <c r="BL214" s="0" t="s">
        <v>162</v>
      </c>
      <c r="BO214" s="0" t="s">
        <v>162</v>
      </c>
      <c r="BP214" s="0" t="n">
        <v>0</v>
      </c>
      <c r="BS214" s="0" t="s">
        <v>9264</v>
      </c>
      <c r="BU214" s="0" t="s">
        <v>4694</v>
      </c>
      <c r="BV214" s="0" t="n">
        <v>254</v>
      </c>
      <c r="CF214" s="0" t="s">
        <v>158</v>
      </c>
      <c r="CK214" s="0" t="s">
        <v>158</v>
      </c>
      <c r="CL214" s="0" t="n">
        <v>29</v>
      </c>
      <c r="CM214" s="0" t="n">
        <v>6</v>
      </c>
      <c r="CN214" s="0" t="n">
        <v>8</v>
      </c>
      <c r="CO214" s="0" t="n">
        <v>4</v>
      </c>
      <c r="CP214" s="0" t="n">
        <v>5</v>
      </c>
      <c r="CQ214" s="0" t="n">
        <v>10</v>
      </c>
      <c r="CR214" s="0" t="n">
        <v>0</v>
      </c>
      <c r="CS214" s="0" t="n">
        <f aca="false">IF(R214="Y",10,0)</f>
        <v>0</v>
      </c>
      <c r="CT214" s="0" t="n">
        <v>-4</v>
      </c>
      <c r="CU214" s="0" t="s">
        <v>9265</v>
      </c>
      <c r="CV214" s="0" t="s">
        <v>5150</v>
      </c>
      <c r="CW214" s="0" t="s">
        <v>9266</v>
      </c>
      <c r="CX214" s="0" t="s">
        <v>9267</v>
      </c>
      <c r="DA214" s="0" t="s">
        <v>6234</v>
      </c>
      <c r="DY214" s="0" t="str">
        <f aca="false">IF(ISNUMBER(MATCH(U214,{"queued","contacted","replied","call_booked","call_done","yes_in_principle","materials_sent"},0)),"Y","N")</f>
        <v>N</v>
      </c>
      <c r="DZ214" s="0" t="str">
        <f aca="false">IF(COUNTIFS($AN$2:$AN$1000,AN214,$DY$2:$DY$1000,"Y")+COUNTIFS($AN$2:$AN$1000,AN214,$T$2:$T$1000,"Y")&gt;0,"Y","N")</f>
        <v>N</v>
      </c>
      <c r="EA214" s="0" t="str">
        <f aca="false">IF(AND(U214="new",T214="N",AR214="Y",AQ214="",DZ214="N"),"Y","N")</f>
        <v>N</v>
      </c>
      <c r="EB214" s="0" t="str">
        <f aca="false">IF(EA214&lt;&gt;"Y","N",IF(COUNTIFS($AN$2:$AN$1000,AN214,$EA$2:$EA$1000,"Y",$J$2:$J$1000,"&gt;"&amp;J214)+COUNTIFS($AN$2:$AN$1000,AN214,$EA$2:$EA$1000,"Y",$J$2:$J$1000,J214,$ED$2:$ED$1000,"&lt;"&amp;ED214)=0,"Y","N"))</f>
        <v>N</v>
      </c>
      <c r="EC214" s="0" t="str">
        <f aca="false">IF(Y214="","N",IF(Y214&lt;=10,"Y","N"))</f>
        <v>N</v>
      </c>
      <c r="ED214" s="0" t="n">
        <f aca="false">ROW()-1</f>
        <v>213</v>
      </c>
    </row>
    <row r="215" customFormat="false" ht="15" hidden="false" customHeight="false" outlineLevel="0" collapsed="false">
      <c r="A215" s="0" t="s">
        <v>9268</v>
      </c>
      <c r="B215" s="0" t="s">
        <v>9269</v>
      </c>
      <c r="C215" s="0" t="s">
        <v>5744</v>
      </c>
      <c r="D215" s="0" t="s">
        <v>9270</v>
      </c>
      <c r="E215" s="0" t="s">
        <v>4771</v>
      </c>
      <c r="H215" s="5" t="s">
        <v>158</v>
      </c>
      <c r="I215" s="5" t="s">
        <v>159</v>
      </c>
      <c r="J215" s="0" t="n">
        <f aca="false">IF(AU215="pass",CM215+CN215+CO215+CP215+CQ215+CR215+CS215+CT215,0)</f>
        <v>29</v>
      </c>
      <c r="K215" s="0" t="s">
        <v>9271</v>
      </c>
      <c r="M215" s="0" t="s">
        <v>5291</v>
      </c>
      <c r="N215" s="0" t="s">
        <v>598</v>
      </c>
      <c r="R215" s="5" t="s">
        <v>162</v>
      </c>
      <c r="S215" s="0" t="s">
        <v>163</v>
      </c>
      <c r="T215" s="5" t="s">
        <v>162</v>
      </c>
      <c r="U215" s="5" t="s">
        <v>561</v>
      </c>
      <c r="V215" s="0" t="s">
        <v>9272</v>
      </c>
      <c r="W215" s="0" t="s">
        <v>166</v>
      </c>
      <c r="X215" s="0" t="s">
        <v>4585</v>
      </c>
      <c r="Y215" s="0" t="n">
        <f aca="false">IF(EB215&lt;&gt;"Y","",COUNTIFS($EB$2:$EB$1000,"Y",$J$2:$J$1000,"&gt;"&amp;J215)+COUNTIFS($EB$2:$EB$1000,"Y",$J$2:$J$1000,J215,$ED$2:$ED$1000,"&lt;"&amp;ED215)+1)</f>
        <v>170</v>
      </c>
      <c r="Z215" s="0" t="n">
        <v>214</v>
      </c>
      <c r="AA215" s="0" t="s">
        <v>162</v>
      </c>
      <c r="AB215" s="0" t="s">
        <v>9273</v>
      </c>
      <c r="AC215" s="0" t="s">
        <v>4587</v>
      </c>
      <c r="AD215" s="0" t="s">
        <v>171</v>
      </c>
      <c r="AE215" s="0" t="s">
        <v>172</v>
      </c>
      <c r="AF215" s="0" t="s">
        <v>9272</v>
      </c>
      <c r="AG215" s="0" t="s">
        <v>166</v>
      </c>
      <c r="AH215" s="0" t="s">
        <v>9274</v>
      </c>
      <c r="AI215" s="0" t="s">
        <v>5079</v>
      </c>
      <c r="AJ215" s="0" t="s">
        <v>9275</v>
      </c>
      <c r="AK215" s="0" t="s">
        <v>9276</v>
      </c>
      <c r="AL215" s="0" t="s">
        <v>168</v>
      </c>
      <c r="AM215" s="0" t="s">
        <v>9277</v>
      </c>
      <c r="AN215" s="0" t="s">
        <v>9268</v>
      </c>
      <c r="AO215" s="5" t="s">
        <v>162</v>
      </c>
      <c r="AR215" s="0" t="str">
        <f aca="false">IF(AND(AU215="pass",AO215&lt;&gt;"Y",C215&lt;&gt;""),"Y","N")</f>
        <v>Y</v>
      </c>
      <c r="AS215" s="0" t="str">
        <f aca="false">_xlfn.TEXTJOIN("; ",TRUE(),IF(AU215&lt;&gt;"pass","gated out",""),IF(AO215="Y","on hold: "&amp;AP215,""),IF(C215="","no contact named on an opened page",""))</f>
        <v/>
      </c>
      <c r="AU215" s="0" t="s">
        <v>181</v>
      </c>
      <c r="AW215" s="0" t="s">
        <v>182</v>
      </c>
      <c r="AX215" s="0" t="s">
        <v>282</v>
      </c>
      <c r="AY215" s="0" t="s">
        <v>9278</v>
      </c>
      <c r="AZ215" s="0" t="s">
        <v>6476</v>
      </c>
      <c r="BA215" s="0" t="s">
        <v>5191</v>
      </c>
      <c r="BB215" s="0" t="s">
        <v>163</v>
      </c>
      <c r="BD215" s="0" t="s">
        <v>263</v>
      </c>
      <c r="BE215" s="0" t="s">
        <v>9279</v>
      </c>
      <c r="BF215" s="0" t="s">
        <v>163</v>
      </c>
      <c r="BG215" s="0" t="s">
        <v>168</v>
      </c>
      <c r="BH215" s="0" t="s">
        <v>163</v>
      </c>
      <c r="BJ215" s="0" t="s">
        <v>163</v>
      </c>
      <c r="BK215" s="0" t="s">
        <v>162</v>
      </c>
      <c r="BL215" s="0" t="s">
        <v>162</v>
      </c>
      <c r="BO215" s="0" t="s">
        <v>162</v>
      </c>
      <c r="BP215" s="0" t="n">
        <v>0</v>
      </c>
      <c r="BS215" s="0" t="s">
        <v>9280</v>
      </c>
      <c r="BT215" s="0" t="s">
        <v>9281</v>
      </c>
      <c r="BU215" s="0" t="s">
        <v>158</v>
      </c>
      <c r="BX215" s="0" t="s">
        <v>9282</v>
      </c>
      <c r="CF215" s="0" t="s">
        <v>158</v>
      </c>
      <c r="CK215" s="0" t="s">
        <v>158</v>
      </c>
      <c r="CL215" s="0" t="n">
        <v>29</v>
      </c>
      <c r="CM215" s="0" t="n">
        <v>6</v>
      </c>
      <c r="CN215" s="0" t="n">
        <v>8</v>
      </c>
      <c r="CO215" s="0" t="n">
        <v>0</v>
      </c>
      <c r="CP215" s="0" t="n">
        <v>5</v>
      </c>
      <c r="CQ215" s="0" t="n">
        <v>6</v>
      </c>
      <c r="CR215" s="0" t="n">
        <v>6</v>
      </c>
      <c r="CS215" s="0" t="n">
        <f aca="false">IF(R215="Y",10,0)</f>
        <v>0</v>
      </c>
      <c r="CT215" s="0" t="n">
        <v>-2</v>
      </c>
      <c r="CU215" s="0" t="s">
        <v>9283</v>
      </c>
      <c r="CV215" s="0" t="s">
        <v>4703</v>
      </c>
      <c r="CW215" s="0" t="s">
        <v>9284</v>
      </c>
      <c r="CX215" s="0" t="s">
        <v>9285</v>
      </c>
      <c r="CY215" s="0" t="s">
        <v>9286</v>
      </c>
      <c r="DA215" s="0" t="s">
        <v>6234</v>
      </c>
      <c r="DY215" s="0" t="str">
        <f aca="false">IF(ISNUMBER(MATCH(U215,{"queued","contacted","replied","call_booked","call_done","yes_in_principle","materials_sent"},0)),"Y","N")</f>
        <v>N</v>
      </c>
      <c r="DZ215" s="0" t="str">
        <f aca="false">IF(COUNTIFS($AN$2:$AN$1000,AN215,$DY$2:$DY$1000,"Y")+COUNTIFS($AN$2:$AN$1000,AN215,$T$2:$T$1000,"Y")&gt;0,"Y","N")</f>
        <v>N</v>
      </c>
      <c r="EA215" s="0" t="str">
        <f aca="false">IF(AND(U215="new",T215="N",AR215="Y",AQ215="",DZ215="N"),"Y","N")</f>
        <v>Y</v>
      </c>
      <c r="EB215" s="0" t="str">
        <f aca="false">IF(EA215&lt;&gt;"Y","N",IF(COUNTIFS($AN$2:$AN$1000,AN215,$EA$2:$EA$1000,"Y",$J$2:$J$1000,"&gt;"&amp;J215)+COUNTIFS($AN$2:$AN$1000,AN215,$EA$2:$EA$1000,"Y",$J$2:$J$1000,J215,$ED$2:$ED$1000,"&lt;"&amp;ED215)=0,"Y","N"))</f>
        <v>Y</v>
      </c>
      <c r="EC215" s="0" t="str">
        <f aca="false">IF(Y215="","N",IF(Y215&lt;=10,"Y","N"))</f>
        <v>N</v>
      </c>
      <c r="ED215" s="0" t="n">
        <f aca="false">ROW()-1</f>
        <v>214</v>
      </c>
    </row>
    <row r="216" customFormat="false" ht="15" hidden="false" customHeight="false" outlineLevel="0" collapsed="false">
      <c r="A216" s="0" t="s">
        <v>9287</v>
      </c>
      <c r="B216" s="0" t="s">
        <v>9288</v>
      </c>
      <c r="C216" s="0" t="s">
        <v>9289</v>
      </c>
      <c r="D216" s="0" t="s">
        <v>9290</v>
      </c>
      <c r="E216" s="0" t="s">
        <v>4656</v>
      </c>
      <c r="F216" s="0" t="s">
        <v>9291</v>
      </c>
      <c r="H216" s="5" t="s">
        <v>158</v>
      </c>
      <c r="I216" s="5" t="s">
        <v>159</v>
      </c>
      <c r="J216" s="0" t="n">
        <f aca="false">IF(AU216="pass",CM216+CN216+CO216+CP216+CQ216+CR216+CS216+CT216,0)</f>
        <v>28</v>
      </c>
      <c r="K216" s="0" t="s">
        <v>9292</v>
      </c>
      <c r="M216" s="0" t="s">
        <v>4580</v>
      </c>
      <c r="N216" s="0" t="s">
        <v>4581</v>
      </c>
      <c r="R216" s="5" t="s">
        <v>162</v>
      </c>
      <c r="S216" s="0" t="s">
        <v>163</v>
      </c>
      <c r="T216" s="5" t="s">
        <v>162</v>
      </c>
      <c r="U216" s="5" t="s">
        <v>561</v>
      </c>
      <c r="V216" s="0" t="s">
        <v>9293</v>
      </c>
      <c r="W216" s="0" t="s">
        <v>166</v>
      </c>
      <c r="X216" s="0" t="s">
        <v>4585</v>
      </c>
      <c r="Y216" s="0" t="n">
        <f aca="false">IF(EB216&lt;&gt;"Y","",COUNTIFS($EB$2:$EB$1000,"Y",$J$2:$J$1000,"&gt;"&amp;J216)+COUNTIFS($EB$2:$EB$1000,"Y",$J$2:$J$1000,J216,$ED$2:$ED$1000,"&lt;"&amp;ED216)+1)</f>
        <v>171</v>
      </c>
      <c r="Z216" s="0" t="n">
        <v>215</v>
      </c>
      <c r="AA216" s="0" t="s">
        <v>162</v>
      </c>
      <c r="AB216" s="0" t="s">
        <v>9294</v>
      </c>
      <c r="AC216" s="0" t="s">
        <v>4587</v>
      </c>
      <c r="AD216" s="0" t="s">
        <v>171</v>
      </c>
      <c r="AE216" s="0" t="s">
        <v>172</v>
      </c>
      <c r="AF216" s="0" t="s">
        <v>9295</v>
      </c>
      <c r="AG216" s="0" t="s">
        <v>174</v>
      </c>
      <c r="AH216" s="0" t="s">
        <v>9296</v>
      </c>
      <c r="AI216" s="0" t="s">
        <v>4722</v>
      </c>
      <c r="AJ216" s="0" t="s">
        <v>9297</v>
      </c>
      <c r="AK216" s="0" t="s">
        <v>9298</v>
      </c>
      <c r="AL216" s="0" t="s">
        <v>168</v>
      </c>
      <c r="AM216" s="0" t="s">
        <v>9299</v>
      </c>
      <c r="AN216" s="0" t="s">
        <v>9287</v>
      </c>
      <c r="AO216" s="5" t="s">
        <v>162</v>
      </c>
      <c r="AR216" s="0" t="str">
        <f aca="false">IF(AND(AU216="pass",AO216&lt;&gt;"Y",C216&lt;&gt;""),"Y","N")</f>
        <v>Y</v>
      </c>
      <c r="AS216" s="0" t="str">
        <f aca="false">_xlfn.TEXTJOIN("; ",TRUE(),IF(AU216&lt;&gt;"pass","gated out",""),IF(AO216="Y","on hold: "&amp;AP216,""),IF(C216="","no contact named on an opened page",""))</f>
        <v/>
      </c>
      <c r="AU216" s="0" t="s">
        <v>181</v>
      </c>
      <c r="AW216" s="0" t="s">
        <v>182</v>
      </c>
      <c r="AX216" s="0" t="s">
        <v>9300</v>
      </c>
      <c r="AY216" s="0" t="s">
        <v>9298</v>
      </c>
      <c r="AZ216" s="0" t="s">
        <v>4595</v>
      </c>
      <c r="BA216" s="0" t="s">
        <v>4596</v>
      </c>
      <c r="BB216" s="0" t="s">
        <v>163</v>
      </c>
      <c r="BD216" s="0" t="s">
        <v>168</v>
      </c>
      <c r="BE216" s="0" t="s">
        <v>9301</v>
      </c>
      <c r="BF216" s="0" t="s">
        <v>163</v>
      </c>
      <c r="BG216" s="0" t="s">
        <v>168</v>
      </c>
      <c r="BH216" s="0" t="s">
        <v>7179</v>
      </c>
      <c r="BI216" s="0" t="s">
        <v>9302</v>
      </c>
      <c r="BJ216" s="0" t="s">
        <v>9303</v>
      </c>
      <c r="BK216" s="0" t="s">
        <v>162</v>
      </c>
      <c r="BL216" s="0" t="s">
        <v>162</v>
      </c>
      <c r="BN216" s="0" t="n">
        <v>0</v>
      </c>
      <c r="BO216" s="0" t="s">
        <v>168</v>
      </c>
      <c r="BP216" s="0" t="n">
        <v>3</v>
      </c>
      <c r="BQ216" s="0" t="s">
        <v>4669</v>
      </c>
      <c r="BS216" s="0" t="s">
        <v>9304</v>
      </c>
      <c r="BT216" s="0" t="s">
        <v>9305</v>
      </c>
      <c r="BU216" s="0" t="s">
        <v>158</v>
      </c>
      <c r="BX216" s="0" t="s">
        <v>9306</v>
      </c>
      <c r="BY216" s="0" t="s">
        <v>9307</v>
      </c>
      <c r="BZ216" s="0" t="s">
        <v>4607</v>
      </c>
      <c r="CA216" s="0" t="s">
        <v>9308</v>
      </c>
      <c r="CB216" s="0" t="s">
        <v>9309</v>
      </c>
      <c r="CC216" s="0" t="s">
        <v>9310</v>
      </c>
      <c r="CD216" s="0" t="s">
        <v>9311</v>
      </c>
      <c r="CE216" s="0" t="s">
        <v>4612</v>
      </c>
      <c r="CF216" s="0" t="s">
        <v>171</v>
      </c>
      <c r="CG216" s="0" t="s">
        <v>9312</v>
      </c>
      <c r="CK216" s="0" t="s">
        <v>158</v>
      </c>
      <c r="CL216" s="0" t="n">
        <v>28</v>
      </c>
      <c r="CM216" s="0" t="n">
        <v>25</v>
      </c>
      <c r="CN216" s="0" t="n">
        <v>20</v>
      </c>
      <c r="CO216" s="0" t="n">
        <v>0</v>
      </c>
      <c r="CP216" s="0" t="n">
        <v>0</v>
      </c>
      <c r="CQ216" s="0" t="n">
        <v>8</v>
      </c>
      <c r="CR216" s="0" t="n">
        <v>10</v>
      </c>
      <c r="CS216" s="0" t="n">
        <f aca="false">IF(R216="Y",10,0)</f>
        <v>0</v>
      </c>
      <c r="CT216" s="0" t="n">
        <v>-35</v>
      </c>
      <c r="CU216" s="0" t="s">
        <v>9313</v>
      </c>
      <c r="CV216" s="0" t="s">
        <v>4703</v>
      </c>
      <c r="CW216" s="0" t="s">
        <v>9314</v>
      </c>
      <c r="CX216" s="0" t="s">
        <v>9315</v>
      </c>
      <c r="CY216" s="0" t="s">
        <v>9316</v>
      </c>
      <c r="CZ216" s="0" t="s">
        <v>9317</v>
      </c>
      <c r="DA216" s="0" t="s">
        <v>4620</v>
      </c>
      <c r="DC216" s="0" t="s">
        <v>230</v>
      </c>
      <c r="DD216" s="0" t="s">
        <v>9318</v>
      </c>
      <c r="DY216" s="0" t="str">
        <f aca="false">IF(ISNUMBER(MATCH(U216,{"queued","contacted","replied","call_booked","call_done","yes_in_principle","materials_sent"},0)),"Y","N")</f>
        <v>N</v>
      </c>
      <c r="DZ216" s="0" t="str">
        <f aca="false">IF(COUNTIFS($AN$2:$AN$1000,AN216,$DY$2:$DY$1000,"Y")+COUNTIFS($AN$2:$AN$1000,AN216,$T$2:$T$1000,"Y")&gt;0,"Y","N")</f>
        <v>N</v>
      </c>
      <c r="EA216" s="0" t="str">
        <f aca="false">IF(AND(U216="new",T216="N",AR216="Y",AQ216="",DZ216="N"),"Y","N")</f>
        <v>Y</v>
      </c>
      <c r="EB216" s="0" t="str">
        <f aca="false">IF(EA216&lt;&gt;"Y","N",IF(COUNTIFS($AN$2:$AN$1000,AN216,$EA$2:$EA$1000,"Y",$J$2:$J$1000,"&gt;"&amp;J216)+COUNTIFS($AN$2:$AN$1000,AN216,$EA$2:$EA$1000,"Y",$J$2:$J$1000,J216,$ED$2:$ED$1000,"&lt;"&amp;ED216)=0,"Y","N"))</f>
        <v>Y</v>
      </c>
      <c r="EC216" s="0" t="str">
        <f aca="false">IF(Y216="","N",IF(Y216&lt;=10,"Y","N"))</f>
        <v>N</v>
      </c>
      <c r="ED216" s="0" t="n">
        <f aca="false">ROW()-1</f>
        <v>215</v>
      </c>
    </row>
    <row r="217" customFormat="false" ht="15" hidden="false" customHeight="false" outlineLevel="0" collapsed="false">
      <c r="A217" s="0" t="s">
        <v>9319</v>
      </c>
      <c r="B217" s="0" t="s">
        <v>9320</v>
      </c>
      <c r="H217" s="5" t="s">
        <v>158</v>
      </c>
      <c r="I217" s="5"/>
      <c r="J217" s="0" t="n">
        <f aca="false">IF(AU217="pass",CM217+CN217+CO217+CP217+CQ217+CR217+CS217+CT217,0)</f>
        <v>28</v>
      </c>
      <c r="K217" s="0" t="s">
        <v>9321</v>
      </c>
      <c r="M217" s="0" t="s">
        <v>5291</v>
      </c>
      <c r="N217" s="0" t="s">
        <v>598</v>
      </c>
      <c r="O217" s="0" t="s">
        <v>9322</v>
      </c>
      <c r="P217" s="0" t="s">
        <v>9323</v>
      </c>
      <c r="Q217" s="0" t="s">
        <v>4795</v>
      </c>
      <c r="R217" s="5" t="s">
        <v>162</v>
      </c>
      <c r="S217" s="0" t="s">
        <v>163</v>
      </c>
      <c r="T217" s="5" t="s">
        <v>162</v>
      </c>
      <c r="U217" s="5" t="s">
        <v>561</v>
      </c>
      <c r="V217" s="0" t="s">
        <v>9323</v>
      </c>
      <c r="W217" s="0" t="s">
        <v>166</v>
      </c>
      <c r="X217" s="0" t="s">
        <v>4585</v>
      </c>
      <c r="Y217" s="0" t="str">
        <f aca="false">IF(EB217&lt;&gt;"Y","",COUNTIFS($EB$2:$EB$1000,"Y",$J$2:$J$1000,"&gt;"&amp;J217)+COUNTIFS($EB$2:$EB$1000,"Y",$J$2:$J$1000,J217,$ED$2:$ED$1000,"&lt;"&amp;ED217)+1)</f>
        <v/>
      </c>
      <c r="Z217" s="0" t="n">
        <v>216</v>
      </c>
      <c r="AA217" s="0" t="s">
        <v>162</v>
      </c>
      <c r="AB217" s="0" t="s">
        <v>6915</v>
      </c>
      <c r="AD217" s="0" t="s">
        <v>158</v>
      </c>
      <c r="AH217" s="0" t="s">
        <v>9324</v>
      </c>
      <c r="AI217" s="0" t="s">
        <v>5079</v>
      </c>
      <c r="AJ217" s="0" t="s">
        <v>9325</v>
      </c>
      <c r="AK217" s="0" t="s">
        <v>9326</v>
      </c>
      <c r="AL217" s="0" t="s">
        <v>168</v>
      </c>
      <c r="AM217" s="0" t="s">
        <v>9327</v>
      </c>
      <c r="AN217" s="0" t="s">
        <v>9319</v>
      </c>
      <c r="AO217" s="5" t="s">
        <v>162</v>
      </c>
      <c r="AR217" s="0" t="str">
        <f aca="false">IF(AND(AU217="pass",AO217&lt;&gt;"Y",C217&lt;&gt;""),"Y","N")</f>
        <v>N</v>
      </c>
      <c r="AS217" s="0" t="str">
        <f aca="false">_xlfn.TEXTJOIN("; ",TRUE(),IF(AU217&lt;&gt;"pass","gated out",""),IF(AO217="Y","on hold: "&amp;AP217,""),IF(C217="","no contact named on an opened page",""))</f>
        <v>no contact named on an opened page</v>
      </c>
      <c r="AU217" s="0" t="s">
        <v>181</v>
      </c>
      <c r="AW217" s="0" t="s">
        <v>182</v>
      </c>
      <c r="AX217" s="0" t="s">
        <v>4594</v>
      </c>
      <c r="AY217" s="0" t="s">
        <v>9326</v>
      </c>
      <c r="AZ217" s="0" t="s">
        <v>7239</v>
      </c>
      <c r="BA217" s="0" t="s">
        <v>5329</v>
      </c>
      <c r="BB217" s="0" t="s">
        <v>163</v>
      </c>
      <c r="BD217" s="0" t="s">
        <v>168</v>
      </c>
      <c r="BE217" s="0" t="s">
        <v>9328</v>
      </c>
      <c r="BF217" s="0" t="s">
        <v>168</v>
      </c>
      <c r="BG217" s="0" t="s">
        <v>168</v>
      </c>
      <c r="BH217" s="0" t="s">
        <v>163</v>
      </c>
      <c r="BJ217" s="0" t="s">
        <v>163</v>
      </c>
      <c r="BK217" s="0" t="s">
        <v>162</v>
      </c>
      <c r="BL217" s="0" t="s">
        <v>162</v>
      </c>
      <c r="BO217" s="0" t="s">
        <v>162</v>
      </c>
      <c r="BP217" s="0" t="n">
        <v>0</v>
      </c>
      <c r="BS217" s="0" t="s">
        <v>9329</v>
      </c>
      <c r="BT217" s="0" t="s">
        <v>9330</v>
      </c>
      <c r="BU217" s="0" t="s">
        <v>4694</v>
      </c>
      <c r="BV217" s="0" t="n">
        <v>36</v>
      </c>
      <c r="CF217" s="0" t="s">
        <v>158</v>
      </c>
      <c r="CK217" s="0" t="s">
        <v>158</v>
      </c>
      <c r="CL217" s="0" t="n">
        <v>28</v>
      </c>
      <c r="CM217" s="0" t="n">
        <v>6</v>
      </c>
      <c r="CN217" s="0" t="n">
        <v>3</v>
      </c>
      <c r="CO217" s="0" t="n">
        <v>8</v>
      </c>
      <c r="CP217" s="0" t="n">
        <v>5</v>
      </c>
      <c r="CQ217" s="0" t="n">
        <v>10</v>
      </c>
      <c r="CR217" s="0" t="n">
        <v>0</v>
      </c>
      <c r="CS217" s="0" t="n">
        <f aca="false">IF(R217="Y",10,0)</f>
        <v>0</v>
      </c>
      <c r="CT217" s="0" t="n">
        <v>-4</v>
      </c>
      <c r="CU217" s="0" t="s">
        <v>9331</v>
      </c>
      <c r="CV217" s="0" t="s">
        <v>4703</v>
      </c>
      <c r="CW217" s="0" t="s">
        <v>9332</v>
      </c>
      <c r="CX217" s="0" t="s">
        <v>9333</v>
      </c>
      <c r="CY217" s="0" t="s">
        <v>9334</v>
      </c>
      <c r="DA217" s="0" t="s">
        <v>6234</v>
      </c>
      <c r="DY217" s="0" t="str">
        <f aca="false">IF(ISNUMBER(MATCH(U217,{"queued","contacted","replied","call_booked","call_done","yes_in_principle","materials_sent"},0)),"Y","N")</f>
        <v>N</v>
      </c>
      <c r="DZ217" s="0" t="str">
        <f aca="false">IF(COUNTIFS($AN$2:$AN$1000,AN217,$DY$2:$DY$1000,"Y")+COUNTIFS($AN$2:$AN$1000,AN217,$T$2:$T$1000,"Y")&gt;0,"Y","N")</f>
        <v>N</v>
      </c>
      <c r="EA217" s="0" t="str">
        <f aca="false">IF(AND(U217="new",T217="N",AR217="Y",AQ217="",DZ217="N"),"Y","N")</f>
        <v>N</v>
      </c>
      <c r="EB217" s="0" t="str">
        <f aca="false">IF(EA217&lt;&gt;"Y","N",IF(COUNTIFS($AN$2:$AN$1000,AN217,$EA$2:$EA$1000,"Y",$J$2:$J$1000,"&gt;"&amp;J217)+COUNTIFS($AN$2:$AN$1000,AN217,$EA$2:$EA$1000,"Y",$J$2:$J$1000,J217,$ED$2:$ED$1000,"&lt;"&amp;ED217)=0,"Y","N"))</f>
        <v>N</v>
      </c>
      <c r="EC217" s="0" t="str">
        <f aca="false">IF(Y217="","N",IF(Y217&lt;=10,"Y","N"))</f>
        <v>N</v>
      </c>
      <c r="ED217" s="0" t="n">
        <f aca="false">ROW()-1</f>
        <v>216</v>
      </c>
    </row>
    <row r="218" customFormat="false" ht="15" hidden="false" customHeight="false" outlineLevel="0" collapsed="false">
      <c r="A218" s="0" t="s">
        <v>9335</v>
      </c>
      <c r="B218" s="0" t="s">
        <v>9336</v>
      </c>
      <c r="H218" s="5" t="s">
        <v>158</v>
      </c>
      <c r="I218" s="5"/>
      <c r="J218" s="0" t="n">
        <f aca="false">IF(AU218="pass",CM218+CN218+CO218+CP218+CQ218+CR218+CS218+CT218,0)</f>
        <v>28</v>
      </c>
      <c r="K218" s="0" t="s">
        <v>9337</v>
      </c>
      <c r="M218" s="0" t="s">
        <v>5291</v>
      </c>
      <c r="N218" s="0" t="s">
        <v>598</v>
      </c>
      <c r="R218" s="5" t="s">
        <v>162</v>
      </c>
      <c r="S218" s="0" t="s">
        <v>163</v>
      </c>
      <c r="T218" s="5" t="s">
        <v>162</v>
      </c>
      <c r="U218" s="5" t="s">
        <v>561</v>
      </c>
      <c r="V218" s="0" t="s">
        <v>9338</v>
      </c>
      <c r="W218" s="0" t="s">
        <v>166</v>
      </c>
      <c r="X218" s="0" t="s">
        <v>4585</v>
      </c>
      <c r="Y218" s="0" t="str">
        <f aca="false">IF(EB218&lt;&gt;"Y","",COUNTIFS($EB$2:$EB$1000,"Y",$J$2:$J$1000,"&gt;"&amp;J218)+COUNTIFS($EB$2:$EB$1000,"Y",$J$2:$J$1000,J218,$ED$2:$ED$1000,"&lt;"&amp;ED218)+1)</f>
        <v/>
      </c>
      <c r="Z218" s="0" t="n">
        <v>217</v>
      </c>
      <c r="AA218" s="0" t="s">
        <v>162</v>
      </c>
      <c r="AB218" s="0" t="s">
        <v>6915</v>
      </c>
      <c r="AC218" s="0" t="s">
        <v>4587</v>
      </c>
      <c r="AD218" s="0" t="s">
        <v>598</v>
      </c>
      <c r="AE218" s="0" t="s">
        <v>172</v>
      </c>
      <c r="AF218" s="0" t="s">
        <v>9339</v>
      </c>
      <c r="AG218" s="0" t="s">
        <v>166</v>
      </c>
      <c r="AH218" s="0" t="s">
        <v>9340</v>
      </c>
      <c r="AI218" s="0" t="s">
        <v>5383</v>
      </c>
      <c r="AJ218" s="0" t="s">
        <v>9341</v>
      </c>
      <c r="AK218" s="0" t="s">
        <v>9342</v>
      </c>
      <c r="AL218" s="0" t="s">
        <v>168</v>
      </c>
      <c r="AM218" s="0" t="s">
        <v>9343</v>
      </c>
      <c r="AN218" s="0" t="s">
        <v>9335</v>
      </c>
      <c r="AO218" s="5" t="s">
        <v>162</v>
      </c>
      <c r="AR218" s="0" t="str">
        <f aca="false">IF(AND(AU218="pass",AO218&lt;&gt;"Y",C218&lt;&gt;""),"Y","N")</f>
        <v>N</v>
      </c>
      <c r="AS218" s="0" t="str">
        <f aca="false">_xlfn.TEXTJOIN("; ",TRUE(),IF(AU218&lt;&gt;"pass","gated out",""),IF(AO218="Y","on hold: "&amp;AP218,""),IF(C218="","no contact named on an opened page",""))</f>
        <v>no contact named on an opened page</v>
      </c>
      <c r="AU218" s="0" t="s">
        <v>181</v>
      </c>
      <c r="AW218" s="0" t="s">
        <v>182</v>
      </c>
      <c r="AX218" s="0" t="s">
        <v>4594</v>
      </c>
      <c r="AY218" s="0" t="s">
        <v>9342</v>
      </c>
      <c r="AZ218" s="0" t="s">
        <v>4922</v>
      </c>
      <c r="BA218" s="0" t="s">
        <v>5191</v>
      </c>
      <c r="BB218" s="0" t="s">
        <v>163</v>
      </c>
      <c r="BD218" s="0" t="s">
        <v>168</v>
      </c>
      <c r="BE218" s="0" t="s">
        <v>9344</v>
      </c>
      <c r="BF218" s="0" t="s">
        <v>168</v>
      </c>
      <c r="BG218" s="0" t="s">
        <v>168</v>
      </c>
      <c r="BH218" s="0" t="s">
        <v>163</v>
      </c>
      <c r="BJ218" s="0" t="s">
        <v>163</v>
      </c>
      <c r="BK218" s="0" t="s">
        <v>168</v>
      </c>
      <c r="BL218" s="0" t="s">
        <v>162</v>
      </c>
      <c r="BO218" s="0" t="s">
        <v>162</v>
      </c>
      <c r="BP218" s="0" t="n">
        <v>0</v>
      </c>
      <c r="BR218" s="0" t="s">
        <v>6668</v>
      </c>
      <c r="BS218" s="0" t="s">
        <v>6573</v>
      </c>
      <c r="BT218" s="0" t="s">
        <v>9338</v>
      </c>
      <c r="BU218" s="0" t="s">
        <v>158</v>
      </c>
      <c r="BX218" s="0" t="s">
        <v>5525</v>
      </c>
      <c r="BY218" s="0" t="s">
        <v>9345</v>
      </c>
      <c r="CA218" s="0" t="s">
        <v>9346</v>
      </c>
      <c r="CE218" s="0" t="s">
        <v>6723</v>
      </c>
      <c r="CF218" s="0" t="s">
        <v>598</v>
      </c>
      <c r="CG218" s="0" t="s">
        <v>9345</v>
      </c>
      <c r="CK218" s="0" t="s">
        <v>158</v>
      </c>
      <c r="CL218" s="0" t="n">
        <v>28</v>
      </c>
      <c r="CM218" s="0" t="n">
        <v>6</v>
      </c>
      <c r="CN218" s="0" t="n">
        <v>8</v>
      </c>
      <c r="CO218" s="0" t="n">
        <v>0</v>
      </c>
      <c r="CP218" s="0" t="n">
        <v>5</v>
      </c>
      <c r="CQ218" s="0" t="n">
        <v>10</v>
      </c>
      <c r="CR218" s="0" t="n">
        <v>3</v>
      </c>
      <c r="CS218" s="0" t="n">
        <f aca="false">IF(R218="Y",10,0)</f>
        <v>0</v>
      </c>
      <c r="CT218" s="0" t="n">
        <v>-4</v>
      </c>
      <c r="CV218" s="0" t="s">
        <v>4615</v>
      </c>
      <c r="CW218" s="0" t="s">
        <v>9347</v>
      </c>
      <c r="CX218" s="0" t="s">
        <v>9348</v>
      </c>
      <c r="CY218" s="0" t="s">
        <v>9349</v>
      </c>
      <c r="CZ218" s="0" t="s">
        <v>9339</v>
      </c>
      <c r="DA218" s="0" t="s">
        <v>6234</v>
      </c>
      <c r="DC218" s="0" t="s">
        <v>172</v>
      </c>
      <c r="DY218" s="0" t="str">
        <f aca="false">IF(ISNUMBER(MATCH(U218,{"queued","contacted","replied","call_booked","call_done","yes_in_principle","materials_sent"},0)),"Y","N")</f>
        <v>N</v>
      </c>
      <c r="DZ218" s="0" t="str">
        <f aca="false">IF(COUNTIFS($AN$2:$AN$1000,AN218,$DY$2:$DY$1000,"Y")+COUNTIFS($AN$2:$AN$1000,AN218,$T$2:$T$1000,"Y")&gt;0,"Y","N")</f>
        <v>N</v>
      </c>
      <c r="EA218" s="0" t="str">
        <f aca="false">IF(AND(U218="new",T218="N",AR218="Y",AQ218="",DZ218="N"),"Y","N")</f>
        <v>N</v>
      </c>
      <c r="EB218" s="0" t="str">
        <f aca="false">IF(EA218&lt;&gt;"Y","N",IF(COUNTIFS($AN$2:$AN$1000,AN218,$EA$2:$EA$1000,"Y",$J$2:$J$1000,"&gt;"&amp;J218)+COUNTIFS($AN$2:$AN$1000,AN218,$EA$2:$EA$1000,"Y",$J$2:$J$1000,J218,$ED$2:$ED$1000,"&lt;"&amp;ED218)=0,"Y","N"))</f>
        <v>N</v>
      </c>
      <c r="EC218" s="0" t="str">
        <f aca="false">IF(Y218="","N",IF(Y218&lt;=10,"Y","N"))</f>
        <v>N</v>
      </c>
      <c r="ED218" s="0" t="n">
        <f aca="false">ROW()-1</f>
        <v>217</v>
      </c>
    </row>
    <row r="219" customFormat="false" ht="15" hidden="false" customHeight="false" outlineLevel="0" collapsed="false">
      <c r="A219" s="0" t="s">
        <v>9350</v>
      </c>
      <c r="B219" s="0" t="s">
        <v>9351</v>
      </c>
      <c r="C219" s="0" t="s">
        <v>5961</v>
      </c>
      <c r="D219" s="0" t="s">
        <v>9352</v>
      </c>
      <c r="E219" s="0" t="s">
        <v>4771</v>
      </c>
      <c r="H219" s="5" t="s">
        <v>158</v>
      </c>
      <c r="I219" s="5" t="s">
        <v>159</v>
      </c>
      <c r="J219" s="0" t="n">
        <f aca="false">IF(AU219="pass",CM219+CN219+CO219+CP219+CQ219+CR219+CS219+CT219,0)</f>
        <v>27</v>
      </c>
      <c r="K219" s="0" t="s">
        <v>9353</v>
      </c>
      <c r="M219" s="0" t="s">
        <v>4580</v>
      </c>
      <c r="N219" s="0" t="s">
        <v>4581</v>
      </c>
      <c r="O219" s="0" t="s">
        <v>9354</v>
      </c>
      <c r="P219" s="0" t="s">
        <v>9355</v>
      </c>
      <c r="Q219" s="0" t="s">
        <v>9356</v>
      </c>
      <c r="R219" s="5" t="s">
        <v>162</v>
      </c>
      <c r="S219" s="0" t="s">
        <v>163</v>
      </c>
      <c r="T219" s="5" t="s">
        <v>162</v>
      </c>
      <c r="U219" s="5" t="s">
        <v>561</v>
      </c>
      <c r="V219" s="0" t="s">
        <v>9357</v>
      </c>
      <c r="W219" s="0" t="s">
        <v>166</v>
      </c>
      <c r="X219" s="0" t="s">
        <v>4585</v>
      </c>
      <c r="Y219" s="0" t="n">
        <f aca="false">IF(EB219&lt;&gt;"Y","",COUNTIFS($EB$2:$EB$1000,"Y",$J$2:$J$1000,"&gt;"&amp;J219)+COUNTIFS($EB$2:$EB$1000,"Y",$J$2:$J$1000,J219,$ED$2:$ED$1000,"&lt;"&amp;ED219)+1)</f>
        <v>172</v>
      </c>
      <c r="Z219" s="0" t="n">
        <v>218</v>
      </c>
      <c r="AA219" s="0" t="s">
        <v>162</v>
      </c>
      <c r="AB219" s="0" t="s">
        <v>9358</v>
      </c>
      <c r="AC219" s="0" t="s">
        <v>4587</v>
      </c>
      <c r="AD219" s="0" t="s">
        <v>171</v>
      </c>
      <c r="AE219" s="0" t="s">
        <v>1189</v>
      </c>
      <c r="AF219" s="0" t="s">
        <v>9355</v>
      </c>
      <c r="AG219" s="0" t="s">
        <v>166</v>
      </c>
      <c r="AH219" s="0" t="s">
        <v>9359</v>
      </c>
      <c r="AI219" s="0" t="s">
        <v>4826</v>
      </c>
      <c r="AJ219" s="0" t="s">
        <v>9360</v>
      </c>
      <c r="AL219" s="0" t="s">
        <v>168</v>
      </c>
      <c r="AM219" s="0" t="s">
        <v>9361</v>
      </c>
      <c r="AN219" s="0" t="s">
        <v>9350</v>
      </c>
      <c r="AO219" s="5" t="s">
        <v>162</v>
      </c>
      <c r="AR219" s="0" t="str">
        <f aca="false">IF(AND(AU219="pass",AO219&lt;&gt;"Y",C219&lt;&gt;""),"Y","N")</f>
        <v>Y</v>
      </c>
      <c r="AS219" s="0" t="str">
        <f aca="false">_xlfn.TEXTJOIN("; ",TRUE(),IF(AU219&lt;&gt;"pass","gated out",""),IF(AO219="Y","on hold: "&amp;AP219,""),IF(C219="","no contact named on an opened page",""))</f>
        <v/>
      </c>
      <c r="AU219" s="0" t="s">
        <v>181</v>
      </c>
      <c r="AW219" s="0" t="s">
        <v>182</v>
      </c>
      <c r="AX219" s="0" t="s">
        <v>7614</v>
      </c>
      <c r="AY219" s="0" t="s">
        <v>9362</v>
      </c>
      <c r="AZ219" s="0" t="s">
        <v>6386</v>
      </c>
      <c r="BA219" s="0" t="s">
        <v>5058</v>
      </c>
      <c r="BB219" s="0" t="s">
        <v>9363</v>
      </c>
      <c r="BD219" s="0" t="s">
        <v>168</v>
      </c>
      <c r="BE219" s="0" t="s">
        <v>9364</v>
      </c>
      <c r="BF219" s="0" t="s">
        <v>162</v>
      </c>
      <c r="BG219" s="0" t="s">
        <v>163</v>
      </c>
      <c r="BH219" s="0" t="s">
        <v>163</v>
      </c>
      <c r="BJ219" s="0" t="s">
        <v>163</v>
      </c>
      <c r="BK219" s="0" t="s">
        <v>162</v>
      </c>
      <c r="BL219" s="0" t="s">
        <v>162</v>
      </c>
      <c r="BN219" s="0" t="n">
        <v>0</v>
      </c>
      <c r="BO219" s="0" t="s">
        <v>168</v>
      </c>
      <c r="BP219" s="0" t="n">
        <v>3</v>
      </c>
      <c r="BQ219" s="0" t="s">
        <v>4669</v>
      </c>
      <c r="BS219" s="0" t="s">
        <v>4981</v>
      </c>
      <c r="BT219" s="0" t="s">
        <v>9365</v>
      </c>
      <c r="BU219" s="0" t="s">
        <v>4604</v>
      </c>
      <c r="BV219" s="0" t="n">
        <v>281</v>
      </c>
      <c r="BX219" s="0" t="s">
        <v>9366</v>
      </c>
      <c r="CF219" s="0" t="s">
        <v>158</v>
      </c>
      <c r="CK219" s="0" t="s">
        <v>158</v>
      </c>
      <c r="CL219" s="0" t="n">
        <v>27</v>
      </c>
      <c r="CM219" s="0" t="n">
        <v>25</v>
      </c>
      <c r="CN219" s="0" t="n">
        <v>3</v>
      </c>
      <c r="CO219" s="0" t="n">
        <v>8</v>
      </c>
      <c r="CP219" s="0" t="n">
        <v>5</v>
      </c>
      <c r="CQ219" s="0" t="n">
        <v>5</v>
      </c>
      <c r="CR219" s="0" t="n">
        <v>6</v>
      </c>
      <c r="CS219" s="0" t="n">
        <f aca="false">IF(R219="Y",10,0)</f>
        <v>0</v>
      </c>
      <c r="CT219" s="0" t="n">
        <v>-25</v>
      </c>
      <c r="CU219" s="0" t="s">
        <v>163</v>
      </c>
      <c r="CV219" s="0" t="s">
        <v>4841</v>
      </c>
      <c r="CW219" s="0" t="s">
        <v>9367</v>
      </c>
      <c r="CX219" s="0" t="s">
        <v>9368</v>
      </c>
      <c r="CY219" s="0" t="s">
        <v>9369</v>
      </c>
      <c r="DA219" s="0" t="s">
        <v>6234</v>
      </c>
      <c r="DY219" s="0" t="str">
        <f aca="false">IF(ISNUMBER(MATCH(U219,{"queued","contacted","replied","call_booked","call_done","yes_in_principle","materials_sent"},0)),"Y","N")</f>
        <v>N</v>
      </c>
      <c r="DZ219" s="0" t="str">
        <f aca="false">IF(COUNTIFS($AN$2:$AN$1000,AN219,$DY$2:$DY$1000,"Y")+COUNTIFS($AN$2:$AN$1000,AN219,$T$2:$T$1000,"Y")&gt;0,"Y","N")</f>
        <v>N</v>
      </c>
      <c r="EA219" s="0" t="str">
        <f aca="false">IF(AND(U219="new",T219="N",AR219="Y",AQ219="",DZ219="N"),"Y","N")</f>
        <v>Y</v>
      </c>
      <c r="EB219" s="0" t="str">
        <f aca="false">IF(EA219&lt;&gt;"Y","N",IF(COUNTIFS($AN$2:$AN$1000,AN219,$EA$2:$EA$1000,"Y",$J$2:$J$1000,"&gt;"&amp;J219)+COUNTIFS($AN$2:$AN$1000,AN219,$EA$2:$EA$1000,"Y",$J$2:$J$1000,J219,$ED$2:$ED$1000,"&lt;"&amp;ED219)=0,"Y","N"))</f>
        <v>Y</v>
      </c>
      <c r="EC219" s="0" t="str">
        <f aca="false">IF(Y219="","N",IF(Y219&lt;=10,"Y","N"))</f>
        <v>N</v>
      </c>
      <c r="ED219" s="0" t="n">
        <f aca="false">ROW()-1</f>
        <v>218</v>
      </c>
    </row>
    <row r="220" customFormat="false" ht="15" hidden="false" customHeight="false" outlineLevel="0" collapsed="false">
      <c r="A220" s="0" t="s">
        <v>9370</v>
      </c>
      <c r="B220" s="0" t="s">
        <v>9371</v>
      </c>
      <c r="H220" s="5" t="s">
        <v>158</v>
      </c>
      <c r="I220" s="5"/>
      <c r="J220" s="0" t="n">
        <f aca="false">IF(AU220="pass",CM220+CN220+CO220+CP220+CQ220+CR220+CS220+CT220,0)</f>
        <v>27</v>
      </c>
      <c r="K220" s="0" t="s">
        <v>9372</v>
      </c>
      <c r="M220" s="0" t="s">
        <v>5291</v>
      </c>
      <c r="N220" s="0" t="s">
        <v>598</v>
      </c>
      <c r="O220" s="0" t="s">
        <v>9373</v>
      </c>
      <c r="P220" s="0" t="s">
        <v>5598</v>
      </c>
      <c r="Q220" s="0" t="s">
        <v>2613</v>
      </c>
      <c r="R220" s="5" t="s">
        <v>162</v>
      </c>
      <c r="S220" s="0" t="s">
        <v>163</v>
      </c>
      <c r="T220" s="5" t="s">
        <v>162</v>
      </c>
      <c r="U220" s="5" t="s">
        <v>561</v>
      </c>
      <c r="V220" s="0" t="s">
        <v>5598</v>
      </c>
      <c r="W220" s="0" t="s">
        <v>174</v>
      </c>
      <c r="X220" s="0" t="s">
        <v>4585</v>
      </c>
      <c r="Y220" s="0" t="str">
        <f aca="false">IF(EB220&lt;&gt;"Y","",COUNTIFS($EB$2:$EB$1000,"Y",$J$2:$J$1000,"&gt;"&amp;J220)+COUNTIFS($EB$2:$EB$1000,"Y",$J$2:$J$1000,J220,$ED$2:$ED$1000,"&lt;"&amp;ED220)+1)</f>
        <v/>
      </c>
      <c r="Z220" s="0" t="n">
        <v>219</v>
      </c>
      <c r="AA220" s="0" t="s">
        <v>162</v>
      </c>
      <c r="AB220" s="0" t="s">
        <v>9374</v>
      </c>
      <c r="AD220" s="0" t="s">
        <v>158</v>
      </c>
      <c r="AH220" s="0" t="s">
        <v>9375</v>
      </c>
      <c r="AI220" s="0" t="s">
        <v>5028</v>
      </c>
      <c r="AJ220" s="0" t="s">
        <v>9376</v>
      </c>
      <c r="AK220" s="0" t="s">
        <v>9377</v>
      </c>
      <c r="AL220" s="0" t="s">
        <v>168</v>
      </c>
      <c r="AM220" s="0" t="s">
        <v>9378</v>
      </c>
      <c r="AN220" s="0" t="s">
        <v>9370</v>
      </c>
      <c r="AO220" s="5" t="s">
        <v>162</v>
      </c>
      <c r="AR220" s="0" t="str">
        <f aca="false">IF(AND(AU220="pass",AO220&lt;&gt;"Y",C220&lt;&gt;""),"Y","N")</f>
        <v>N</v>
      </c>
      <c r="AS220" s="0" t="str">
        <f aca="false">_xlfn.TEXTJOIN("; ",TRUE(),IF(AU220&lt;&gt;"pass","gated out",""),IF(AO220="Y","on hold: "&amp;AP220,""),IF(C220="","no contact named on an opened page",""))</f>
        <v>no contact named on an opened page</v>
      </c>
      <c r="AU220" s="0" t="s">
        <v>181</v>
      </c>
      <c r="AW220" s="0" t="s">
        <v>182</v>
      </c>
      <c r="AX220" s="0" t="s">
        <v>5605</v>
      </c>
      <c r="AY220" s="0" t="s">
        <v>9377</v>
      </c>
      <c r="AZ220" s="0" t="s">
        <v>5657</v>
      </c>
      <c r="BA220" s="0" t="s">
        <v>5329</v>
      </c>
      <c r="BB220" s="0" t="s">
        <v>163</v>
      </c>
      <c r="BD220" s="0" t="s">
        <v>168</v>
      </c>
      <c r="BE220" s="0" t="s">
        <v>9379</v>
      </c>
      <c r="BF220" s="0" t="s">
        <v>168</v>
      </c>
      <c r="BG220" s="0" t="s">
        <v>168</v>
      </c>
      <c r="BH220" s="0" t="s">
        <v>163</v>
      </c>
      <c r="BJ220" s="0" t="s">
        <v>5143</v>
      </c>
      <c r="BK220" s="0" t="s">
        <v>162</v>
      </c>
      <c r="BL220" s="0" t="s">
        <v>162</v>
      </c>
      <c r="BO220" s="0" t="s">
        <v>162</v>
      </c>
      <c r="BP220" s="0" t="n">
        <v>0</v>
      </c>
      <c r="BS220" s="0" t="s">
        <v>9380</v>
      </c>
      <c r="BU220" s="0" t="s">
        <v>4604</v>
      </c>
      <c r="BV220" s="0" t="n">
        <v>5</v>
      </c>
      <c r="CF220" s="0" t="s">
        <v>158</v>
      </c>
      <c r="CK220" s="0" t="s">
        <v>158</v>
      </c>
      <c r="CL220" s="0" t="n">
        <v>27</v>
      </c>
      <c r="CM220" s="0" t="n">
        <v>6</v>
      </c>
      <c r="CN220" s="0" t="n">
        <v>3</v>
      </c>
      <c r="CO220" s="0" t="n">
        <v>15</v>
      </c>
      <c r="CP220" s="0" t="n">
        <v>5</v>
      </c>
      <c r="CQ220" s="0" t="n">
        <v>10</v>
      </c>
      <c r="CR220" s="0" t="n">
        <v>0</v>
      </c>
      <c r="CS220" s="0" t="n">
        <f aca="false">IF(R220="Y",10,0)</f>
        <v>0</v>
      </c>
      <c r="CT220" s="0" t="n">
        <v>-12</v>
      </c>
      <c r="CU220" s="0" t="s">
        <v>9381</v>
      </c>
      <c r="CV220" s="0" t="s">
        <v>5150</v>
      </c>
      <c r="CW220" s="0" t="s">
        <v>9382</v>
      </c>
      <c r="CX220" s="0" t="s">
        <v>9383</v>
      </c>
      <c r="DA220" s="0" t="s">
        <v>6234</v>
      </c>
      <c r="DY220" s="0" t="str">
        <f aca="false">IF(ISNUMBER(MATCH(U220,{"queued","contacted","replied","call_booked","call_done","yes_in_principle","materials_sent"},0)),"Y","N")</f>
        <v>N</v>
      </c>
      <c r="DZ220" s="0" t="str">
        <f aca="false">IF(COUNTIFS($AN$2:$AN$1000,AN220,$DY$2:$DY$1000,"Y")+COUNTIFS($AN$2:$AN$1000,AN220,$T$2:$T$1000,"Y")&gt;0,"Y","N")</f>
        <v>N</v>
      </c>
      <c r="EA220" s="0" t="str">
        <f aca="false">IF(AND(U220="new",T220="N",AR220="Y",AQ220="",DZ220="N"),"Y","N")</f>
        <v>N</v>
      </c>
      <c r="EB220" s="0" t="str">
        <f aca="false">IF(EA220&lt;&gt;"Y","N",IF(COUNTIFS($AN$2:$AN$1000,AN220,$EA$2:$EA$1000,"Y",$J$2:$J$1000,"&gt;"&amp;J220)+COUNTIFS($AN$2:$AN$1000,AN220,$EA$2:$EA$1000,"Y",$J$2:$J$1000,J220,$ED$2:$ED$1000,"&lt;"&amp;ED220)=0,"Y","N"))</f>
        <v>N</v>
      </c>
      <c r="EC220" s="0" t="str">
        <f aca="false">IF(Y220="","N",IF(Y220&lt;=10,"Y","N"))</f>
        <v>N</v>
      </c>
      <c r="ED220" s="0" t="n">
        <f aca="false">ROW()-1</f>
        <v>219</v>
      </c>
    </row>
    <row r="221" customFormat="false" ht="15" hidden="false" customHeight="false" outlineLevel="0" collapsed="false">
      <c r="A221" s="0" t="s">
        <v>9384</v>
      </c>
      <c r="B221" s="0" t="s">
        <v>9385</v>
      </c>
      <c r="C221" s="0" t="s">
        <v>1357</v>
      </c>
      <c r="D221" s="0" t="s">
        <v>9386</v>
      </c>
      <c r="E221" s="0" t="s">
        <v>6305</v>
      </c>
      <c r="H221" s="5" t="s">
        <v>158</v>
      </c>
      <c r="I221" s="5" t="s">
        <v>159</v>
      </c>
      <c r="J221" s="0" t="n">
        <f aca="false">IF(AU221="pass",CM221+CN221+CO221+CP221+CQ221+CR221+CS221+CT221,0)</f>
        <v>27</v>
      </c>
      <c r="K221" s="0" t="s">
        <v>9387</v>
      </c>
      <c r="M221" s="0" t="s">
        <v>5291</v>
      </c>
      <c r="N221" s="0" t="s">
        <v>598</v>
      </c>
      <c r="O221" s="0" t="s">
        <v>9388</v>
      </c>
      <c r="P221" s="0" t="s">
        <v>9389</v>
      </c>
      <c r="Q221" s="0" t="s">
        <v>9390</v>
      </c>
      <c r="R221" s="5" t="s">
        <v>162</v>
      </c>
      <c r="S221" s="0" t="s">
        <v>168</v>
      </c>
      <c r="T221" s="5" t="s">
        <v>162</v>
      </c>
      <c r="U221" s="5" t="s">
        <v>561</v>
      </c>
      <c r="V221" s="0" t="s">
        <v>9391</v>
      </c>
      <c r="W221" s="0" t="s">
        <v>166</v>
      </c>
      <c r="X221" s="0" t="s">
        <v>4585</v>
      </c>
      <c r="Y221" s="0" t="n">
        <f aca="false">IF(EB221&lt;&gt;"Y","",COUNTIFS($EB$2:$EB$1000,"Y",$J$2:$J$1000,"&gt;"&amp;J221)+COUNTIFS($EB$2:$EB$1000,"Y",$J$2:$J$1000,J221,$ED$2:$ED$1000,"&lt;"&amp;ED221)+1)</f>
        <v>173</v>
      </c>
      <c r="Z221" s="0" t="n">
        <v>220</v>
      </c>
      <c r="AA221" s="0" t="s">
        <v>162</v>
      </c>
      <c r="AB221" s="0" t="s">
        <v>9392</v>
      </c>
      <c r="AC221" s="0" t="s">
        <v>6260</v>
      </c>
      <c r="AD221" s="0" t="s">
        <v>171</v>
      </c>
      <c r="AE221" s="0" t="s">
        <v>1189</v>
      </c>
      <c r="AF221" s="0" t="s">
        <v>9391</v>
      </c>
      <c r="AG221" s="0" t="s">
        <v>166</v>
      </c>
      <c r="AH221" s="0" t="s">
        <v>9393</v>
      </c>
      <c r="AI221" s="0" t="s">
        <v>4826</v>
      </c>
      <c r="AJ221" s="0" t="s">
        <v>9394</v>
      </c>
      <c r="AK221" s="0" t="s">
        <v>9395</v>
      </c>
      <c r="AL221" s="0" t="s">
        <v>168</v>
      </c>
      <c r="AM221" s="0" t="s">
        <v>9396</v>
      </c>
      <c r="AN221" s="0" t="s">
        <v>9384</v>
      </c>
      <c r="AO221" s="5" t="s">
        <v>162</v>
      </c>
      <c r="AR221" s="0" t="str">
        <f aca="false">IF(AND(AU221="pass",AO221&lt;&gt;"Y",C221&lt;&gt;""),"Y","N")</f>
        <v>Y</v>
      </c>
      <c r="AS221" s="0" t="str">
        <f aca="false">_xlfn.TEXTJOIN("; ",TRUE(),IF(AU221&lt;&gt;"pass","gated out",""),IF(AO221="Y","on hold: "&amp;AP221,""),IF(C221="","no contact named on an opened page",""))</f>
        <v/>
      </c>
      <c r="AU221" s="0" t="s">
        <v>181</v>
      </c>
      <c r="AW221" s="0" t="s">
        <v>182</v>
      </c>
      <c r="AX221" s="0" t="s">
        <v>5605</v>
      </c>
      <c r="AY221" s="0" t="s">
        <v>9395</v>
      </c>
      <c r="AZ221" s="0" t="s">
        <v>5057</v>
      </c>
      <c r="BA221" s="0" t="s">
        <v>5329</v>
      </c>
      <c r="BB221" s="0" t="s">
        <v>9397</v>
      </c>
      <c r="BD221" s="0" t="s">
        <v>168</v>
      </c>
      <c r="BE221" s="0" t="s">
        <v>9398</v>
      </c>
      <c r="BF221" s="0" t="s">
        <v>162</v>
      </c>
      <c r="BG221" s="0" t="s">
        <v>168</v>
      </c>
      <c r="BH221" s="0" t="s">
        <v>163</v>
      </c>
      <c r="BJ221" s="0" t="s">
        <v>163</v>
      </c>
      <c r="BK221" s="0" t="s">
        <v>162</v>
      </c>
      <c r="BL221" s="0" t="s">
        <v>162</v>
      </c>
      <c r="BO221" s="0" t="s">
        <v>162</v>
      </c>
      <c r="BP221" s="0" t="n">
        <v>0</v>
      </c>
      <c r="BS221" s="0" t="s">
        <v>9399</v>
      </c>
      <c r="BT221" s="0" t="s">
        <v>9400</v>
      </c>
      <c r="BU221" s="0" t="s">
        <v>4694</v>
      </c>
      <c r="BV221" s="0" t="n">
        <v>3</v>
      </c>
      <c r="BW221" s="0" t="s">
        <v>9391</v>
      </c>
      <c r="BX221" s="0" t="s">
        <v>9401</v>
      </c>
      <c r="CF221" s="0" t="s">
        <v>158</v>
      </c>
      <c r="CK221" s="0" t="s">
        <v>158</v>
      </c>
      <c r="CL221" s="0" t="n">
        <v>27</v>
      </c>
      <c r="CM221" s="0" t="n">
        <v>6</v>
      </c>
      <c r="CN221" s="0" t="n">
        <v>3</v>
      </c>
      <c r="CO221" s="0" t="n">
        <v>8</v>
      </c>
      <c r="CP221" s="0" t="n">
        <v>5</v>
      </c>
      <c r="CQ221" s="0" t="n">
        <v>7</v>
      </c>
      <c r="CR221" s="0" t="n">
        <v>10</v>
      </c>
      <c r="CS221" s="0" t="n">
        <f aca="false">IF(R221="Y",10,0)</f>
        <v>0</v>
      </c>
      <c r="CT221" s="0" t="n">
        <v>-12</v>
      </c>
      <c r="CU221" s="0" t="s">
        <v>163</v>
      </c>
      <c r="CV221" s="0" t="s">
        <v>4841</v>
      </c>
      <c r="CW221" s="0" t="s">
        <v>9402</v>
      </c>
      <c r="CX221" s="0" t="s">
        <v>9403</v>
      </c>
      <c r="DA221" s="0" t="s">
        <v>6234</v>
      </c>
      <c r="DY221" s="0" t="str">
        <f aca="false">IF(ISNUMBER(MATCH(U221,{"queued","contacted","replied","call_booked","call_done","yes_in_principle","materials_sent"},0)),"Y","N")</f>
        <v>N</v>
      </c>
      <c r="DZ221" s="0" t="str">
        <f aca="false">IF(COUNTIFS($AN$2:$AN$1000,AN221,$DY$2:$DY$1000,"Y")+COUNTIFS($AN$2:$AN$1000,AN221,$T$2:$T$1000,"Y")&gt;0,"Y","N")</f>
        <v>N</v>
      </c>
      <c r="EA221" s="0" t="str">
        <f aca="false">IF(AND(U221="new",T221="N",AR221="Y",AQ221="",DZ221="N"),"Y","N")</f>
        <v>Y</v>
      </c>
      <c r="EB221" s="0" t="str">
        <f aca="false">IF(EA221&lt;&gt;"Y","N",IF(COUNTIFS($AN$2:$AN$1000,AN221,$EA$2:$EA$1000,"Y",$J$2:$J$1000,"&gt;"&amp;J221)+COUNTIFS($AN$2:$AN$1000,AN221,$EA$2:$EA$1000,"Y",$J$2:$J$1000,J221,$ED$2:$ED$1000,"&lt;"&amp;ED221)=0,"Y","N"))</f>
        <v>Y</v>
      </c>
      <c r="EC221" s="0" t="str">
        <f aca="false">IF(Y221="","N",IF(Y221&lt;=10,"Y","N"))</f>
        <v>N</v>
      </c>
      <c r="ED221" s="0" t="n">
        <f aca="false">ROW()-1</f>
        <v>220</v>
      </c>
    </row>
    <row r="222" customFormat="false" ht="15" hidden="false" customHeight="false" outlineLevel="0" collapsed="false">
      <c r="A222" s="0" t="s">
        <v>9404</v>
      </c>
      <c r="B222" s="0" t="s">
        <v>9405</v>
      </c>
      <c r="C222" s="0" t="s">
        <v>7705</v>
      </c>
      <c r="D222" s="0" t="s">
        <v>9406</v>
      </c>
      <c r="E222" s="0" t="s">
        <v>4771</v>
      </c>
      <c r="H222" s="5" t="s">
        <v>158</v>
      </c>
      <c r="I222" s="5" t="s">
        <v>159</v>
      </c>
      <c r="J222" s="0" t="n">
        <f aca="false">IF(AU222="pass",CM222+CN222+CO222+CP222+CQ222+CR222+CS222+CT222,0)</f>
        <v>27</v>
      </c>
      <c r="K222" s="0" t="s">
        <v>9407</v>
      </c>
      <c r="M222" s="0" t="s">
        <v>5291</v>
      </c>
      <c r="N222" s="0" t="s">
        <v>598</v>
      </c>
      <c r="O222" s="0" t="s">
        <v>9408</v>
      </c>
      <c r="P222" s="0" t="s">
        <v>9409</v>
      </c>
      <c r="Q222" s="0" t="s">
        <v>1491</v>
      </c>
      <c r="R222" s="5" t="s">
        <v>162</v>
      </c>
      <c r="S222" s="0" t="s">
        <v>163</v>
      </c>
      <c r="T222" s="5" t="s">
        <v>162</v>
      </c>
      <c r="U222" s="5" t="s">
        <v>561</v>
      </c>
      <c r="V222" s="0" t="s">
        <v>9410</v>
      </c>
      <c r="W222" s="0" t="s">
        <v>166</v>
      </c>
      <c r="X222" s="0" t="s">
        <v>4585</v>
      </c>
      <c r="Y222" s="0" t="n">
        <f aca="false">IF(EB222&lt;&gt;"Y","",COUNTIFS($EB$2:$EB$1000,"Y",$J$2:$J$1000,"&gt;"&amp;J222)+COUNTIFS($EB$2:$EB$1000,"Y",$J$2:$J$1000,J222,$ED$2:$ED$1000,"&lt;"&amp;ED222)+1)</f>
        <v>174</v>
      </c>
      <c r="Z222" s="0" t="n">
        <v>221</v>
      </c>
      <c r="AA222" s="0" t="s">
        <v>162</v>
      </c>
      <c r="AB222" s="0" t="s">
        <v>9411</v>
      </c>
      <c r="AC222" s="0" t="s">
        <v>4587</v>
      </c>
      <c r="AD222" s="0" t="s">
        <v>171</v>
      </c>
      <c r="AE222" s="0" t="s">
        <v>172</v>
      </c>
      <c r="AF222" s="0" t="s">
        <v>9410</v>
      </c>
      <c r="AG222" s="0" t="s">
        <v>166</v>
      </c>
      <c r="AH222" s="0" t="s">
        <v>9412</v>
      </c>
      <c r="AI222" s="0" t="s">
        <v>5763</v>
      </c>
      <c r="AJ222" s="0" t="s">
        <v>9413</v>
      </c>
      <c r="AK222" s="0" t="s">
        <v>9414</v>
      </c>
      <c r="AL222" s="0" t="s">
        <v>168</v>
      </c>
      <c r="AM222" s="0" t="s">
        <v>9415</v>
      </c>
      <c r="AN222" s="0" t="s">
        <v>9404</v>
      </c>
      <c r="AO222" s="5" t="s">
        <v>162</v>
      </c>
      <c r="AR222" s="0" t="str">
        <f aca="false">IF(AND(AU222="pass",AO222&lt;&gt;"Y",C222&lt;&gt;""),"Y","N")</f>
        <v>Y</v>
      </c>
      <c r="AS222" s="0" t="str">
        <f aca="false">_xlfn.TEXTJOIN("; ",TRUE(),IF(AU222&lt;&gt;"pass","gated out",""),IF(AO222="Y","on hold: "&amp;AP222,""),IF(C222="","no contact named on an opened page",""))</f>
        <v/>
      </c>
      <c r="AU222" s="0" t="s">
        <v>181</v>
      </c>
      <c r="AW222" s="0" t="s">
        <v>182</v>
      </c>
      <c r="AX222" s="0" t="s">
        <v>5221</v>
      </c>
      <c r="AY222" s="0" t="s">
        <v>9414</v>
      </c>
      <c r="AZ222" s="0" t="s">
        <v>5057</v>
      </c>
      <c r="BA222" s="0" t="s">
        <v>5329</v>
      </c>
      <c r="BB222" s="0" t="s">
        <v>9416</v>
      </c>
      <c r="BC222" s="0" t="s">
        <v>9417</v>
      </c>
      <c r="BD222" s="0" t="s">
        <v>163</v>
      </c>
      <c r="BE222" s="0" t="s">
        <v>9418</v>
      </c>
      <c r="BF222" s="0" t="s">
        <v>168</v>
      </c>
      <c r="BG222" s="0" t="s">
        <v>168</v>
      </c>
      <c r="BH222" s="0" t="s">
        <v>163</v>
      </c>
      <c r="BJ222" s="0" t="s">
        <v>5549</v>
      </c>
      <c r="BK222" s="0" t="s">
        <v>162</v>
      </c>
      <c r="BL222" s="0" t="s">
        <v>162</v>
      </c>
      <c r="BO222" s="0" t="s">
        <v>162</v>
      </c>
      <c r="BP222" s="0" t="n">
        <v>0</v>
      </c>
      <c r="BR222" s="0" t="s">
        <v>8089</v>
      </c>
      <c r="BS222" s="0" t="s">
        <v>9419</v>
      </c>
      <c r="BT222" s="0" t="s">
        <v>9417</v>
      </c>
      <c r="BU222" s="0" t="s">
        <v>4694</v>
      </c>
      <c r="BV222" s="0" t="n">
        <v>59</v>
      </c>
      <c r="BX222" s="0" t="s">
        <v>9420</v>
      </c>
      <c r="CA222" s="0" t="s">
        <v>9421</v>
      </c>
      <c r="CB222" s="0" t="s">
        <v>9422</v>
      </c>
      <c r="CC222" s="0" t="s">
        <v>9423</v>
      </c>
      <c r="CD222" s="0" t="s">
        <v>9424</v>
      </c>
      <c r="CE222" s="0" t="s">
        <v>6260</v>
      </c>
      <c r="CF222" s="0" t="s">
        <v>171</v>
      </c>
      <c r="CK222" s="0" t="s">
        <v>158</v>
      </c>
      <c r="CL222" s="0" t="n">
        <v>27</v>
      </c>
      <c r="CM222" s="0" t="n">
        <v>6</v>
      </c>
      <c r="CN222" s="0" t="n">
        <v>3</v>
      </c>
      <c r="CO222" s="0" t="n">
        <v>8</v>
      </c>
      <c r="CP222" s="0" t="n">
        <v>5</v>
      </c>
      <c r="CQ222" s="0" t="n">
        <v>7</v>
      </c>
      <c r="CR222" s="0" t="n">
        <v>10</v>
      </c>
      <c r="CS222" s="0" t="n">
        <f aca="false">IF(R222="Y",10,0)</f>
        <v>0</v>
      </c>
      <c r="CT222" s="0" t="n">
        <v>-12</v>
      </c>
      <c r="CU222" s="0" t="s">
        <v>163</v>
      </c>
      <c r="CV222" s="0" t="s">
        <v>5562</v>
      </c>
      <c r="CW222" s="0" t="s">
        <v>9425</v>
      </c>
      <c r="CX222" s="0" t="s">
        <v>9426</v>
      </c>
      <c r="CY222" s="0" t="s">
        <v>9427</v>
      </c>
      <c r="CZ222" s="0" t="s">
        <v>9428</v>
      </c>
      <c r="DA222" s="0" t="s">
        <v>6234</v>
      </c>
      <c r="DC222" s="0" t="s">
        <v>1189</v>
      </c>
      <c r="DY222" s="0" t="str">
        <f aca="false">IF(ISNUMBER(MATCH(U222,{"queued","contacted","replied","call_booked","call_done","yes_in_principle","materials_sent"},0)),"Y","N")</f>
        <v>N</v>
      </c>
      <c r="DZ222" s="0" t="str">
        <f aca="false">IF(COUNTIFS($AN$2:$AN$1000,AN222,$DY$2:$DY$1000,"Y")+COUNTIFS($AN$2:$AN$1000,AN222,$T$2:$T$1000,"Y")&gt;0,"Y","N")</f>
        <v>N</v>
      </c>
      <c r="EA222" s="0" t="str">
        <f aca="false">IF(AND(U222="new",T222="N",AR222="Y",AQ222="",DZ222="N"),"Y","N")</f>
        <v>Y</v>
      </c>
      <c r="EB222" s="0" t="str">
        <f aca="false">IF(EA222&lt;&gt;"Y","N",IF(COUNTIFS($AN$2:$AN$1000,AN222,$EA$2:$EA$1000,"Y",$J$2:$J$1000,"&gt;"&amp;J222)+COUNTIFS($AN$2:$AN$1000,AN222,$EA$2:$EA$1000,"Y",$J$2:$J$1000,J222,$ED$2:$ED$1000,"&lt;"&amp;ED222)=0,"Y","N"))</f>
        <v>Y</v>
      </c>
      <c r="EC222" s="0" t="str">
        <f aca="false">IF(Y222="","N",IF(Y222&lt;=10,"Y","N"))</f>
        <v>N</v>
      </c>
      <c r="ED222" s="0" t="n">
        <f aca="false">ROW()-1</f>
        <v>221</v>
      </c>
    </row>
    <row r="223" customFormat="false" ht="15" hidden="false" customHeight="false" outlineLevel="0" collapsed="false">
      <c r="A223" s="0" t="s">
        <v>9429</v>
      </c>
      <c r="B223" s="0" t="s">
        <v>9430</v>
      </c>
      <c r="H223" s="5" t="s">
        <v>158</v>
      </c>
      <c r="I223" s="5"/>
      <c r="J223" s="0" t="n">
        <f aca="false">IF(AU223="pass",CM223+CN223+CO223+CP223+CQ223+CR223+CS223+CT223,0)</f>
        <v>26</v>
      </c>
      <c r="K223" s="0" t="s">
        <v>9431</v>
      </c>
      <c r="M223" s="0" t="s">
        <v>5291</v>
      </c>
      <c r="N223" s="0" t="s">
        <v>598</v>
      </c>
      <c r="O223" s="0" t="s">
        <v>9432</v>
      </c>
      <c r="P223" s="0" t="s">
        <v>9433</v>
      </c>
      <c r="Q223" s="0" t="s">
        <v>9434</v>
      </c>
      <c r="R223" s="5" t="s">
        <v>162</v>
      </c>
      <c r="S223" s="0" t="s">
        <v>163</v>
      </c>
      <c r="T223" s="5" t="s">
        <v>162</v>
      </c>
      <c r="U223" s="5" t="s">
        <v>561</v>
      </c>
      <c r="V223" s="0" t="s">
        <v>9435</v>
      </c>
      <c r="W223" s="0" t="s">
        <v>166</v>
      </c>
      <c r="X223" s="0" t="s">
        <v>4585</v>
      </c>
      <c r="Y223" s="0" t="str">
        <f aca="false">IF(EB223&lt;&gt;"Y","",COUNTIFS($EB$2:$EB$1000,"Y",$J$2:$J$1000,"&gt;"&amp;J223)+COUNTIFS($EB$2:$EB$1000,"Y",$J$2:$J$1000,J223,$ED$2:$ED$1000,"&lt;"&amp;ED223)+1)</f>
        <v/>
      </c>
      <c r="Z223" s="0" t="n">
        <v>222</v>
      </c>
      <c r="AA223" s="0" t="s">
        <v>162</v>
      </c>
      <c r="AB223" s="0" t="s">
        <v>6915</v>
      </c>
      <c r="AD223" s="0" t="s">
        <v>158</v>
      </c>
      <c r="AH223" s="0" t="s">
        <v>9436</v>
      </c>
      <c r="AI223" s="0" t="s">
        <v>5079</v>
      </c>
      <c r="AJ223" s="0" t="s">
        <v>9437</v>
      </c>
      <c r="AK223" s="0" t="s">
        <v>9438</v>
      </c>
      <c r="AL223" s="0" t="s">
        <v>168</v>
      </c>
      <c r="AM223" s="0" t="s">
        <v>9439</v>
      </c>
      <c r="AN223" s="0" t="s">
        <v>9429</v>
      </c>
      <c r="AO223" s="5" t="s">
        <v>162</v>
      </c>
      <c r="AR223" s="0" t="str">
        <f aca="false">IF(AND(AU223="pass",AO223&lt;&gt;"Y",C223&lt;&gt;""),"Y","N")</f>
        <v>N</v>
      </c>
      <c r="AS223" s="0" t="str">
        <f aca="false">_xlfn.TEXTJOIN("; ",TRUE(),IF(AU223&lt;&gt;"pass","gated out",""),IF(AO223="Y","on hold: "&amp;AP223,""),IF(C223="","no contact named on an opened page",""))</f>
        <v>no contact named on an opened page</v>
      </c>
      <c r="AU223" s="0" t="s">
        <v>181</v>
      </c>
      <c r="AW223" s="0" t="s">
        <v>182</v>
      </c>
      <c r="AX223" s="0" t="s">
        <v>4594</v>
      </c>
      <c r="AY223" s="0" t="s">
        <v>9438</v>
      </c>
      <c r="AZ223" s="0" t="s">
        <v>9440</v>
      </c>
      <c r="BA223" s="0" t="s">
        <v>5329</v>
      </c>
      <c r="BB223" s="0" t="s">
        <v>163</v>
      </c>
      <c r="BD223" s="0" t="s">
        <v>263</v>
      </c>
      <c r="BE223" s="0" t="s">
        <v>9441</v>
      </c>
      <c r="BF223" s="0" t="s">
        <v>168</v>
      </c>
      <c r="BG223" s="0" t="s">
        <v>168</v>
      </c>
      <c r="BH223" s="0" t="s">
        <v>163</v>
      </c>
      <c r="BJ223" s="0" t="s">
        <v>163</v>
      </c>
      <c r="BK223" s="0" t="s">
        <v>162</v>
      </c>
      <c r="BL223" s="0" t="s">
        <v>162</v>
      </c>
      <c r="BO223" s="0" t="s">
        <v>162</v>
      </c>
      <c r="BP223" s="0" t="n">
        <v>0</v>
      </c>
      <c r="BS223" s="0" t="s">
        <v>9442</v>
      </c>
      <c r="BT223" s="0" t="s">
        <v>9443</v>
      </c>
      <c r="BU223" s="0" t="s">
        <v>4694</v>
      </c>
      <c r="BV223" s="0" t="n">
        <v>68</v>
      </c>
      <c r="CF223" s="0" t="s">
        <v>158</v>
      </c>
      <c r="CK223" s="0" t="s">
        <v>158</v>
      </c>
      <c r="CL223" s="0" t="n">
        <v>26</v>
      </c>
      <c r="CM223" s="0" t="n">
        <v>6</v>
      </c>
      <c r="CN223" s="0" t="n">
        <v>3</v>
      </c>
      <c r="CO223" s="0" t="n">
        <v>8</v>
      </c>
      <c r="CP223" s="0" t="n">
        <v>5</v>
      </c>
      <c r="CQ223" s="0" t="n">
        <v>8</v>
      </c>
      <c r="CR223" s="0" t="n">
        <v>0</v>
      </c>
      <c r="CS223" s="0" t="n">
        <f aca="false">IF(R223="Y",10,0)</f>
        <v>0</v>
      </c>
      <c r="CT223" s="0" t="n">
        <v>-4</v>
      </c>
      <c r="CU223" s="0" t="s">
        <v>9444</v>
      </c>
      <c r="CV223" s="0" t="s">
        <v>4703</v>
      </c>
      <c r="CW223" s="0" t="s">
        <v>9445</v>
      </c>
      <c r="CX223" s="0" t="s">
        <v>9446</v>
      </c>
      <c r="CY223" s="0" t="s">
        <v>9447</v>
      </c>
      <c r="DA223" s="0" t="s">
        <v>6234</v>
      </c>
      <c r="DY223" s="0" t="str">
        <f aca="false">IF(ISNUMBER(MATCH(U223,{"queued","contacted","replied","call_booked","call_done","yes_in_principle","materials_sent"},0)),"Y","N")</f>
        <v>N</v>
      </c>
      <c r="DZ223" s="0" t="str">
        <f aca="false">IF(COUNTIFS($AN$2:$AN$1000,AN223,$DY$2:$DY$1000,"Y")+COUNTIFS($AN$2:$AN$1000,AN223,$T$2:$T$1000,"Y")&gt;0,"Y","N")</f>
        <v>N</v>
      </c>
      <c r="EA223" s="0" t="str">
        <f aca="false">IF(AND(U223="new",T223="N",AR223="Y",AQ223="",DZ223="N"),"Y","N")</f>
        <v>N</v>
      </c>
      <c r="EB223" s="0" t="str">
        <f aca="false">IF(EA223&lt;&gt;"Y","N",IF(COUNTIFS($AN$2:$AN$1000,AN223,$EA$2:$EA$1000,"Y",$J$2:$J$1000,"&gt;"&amp;J223)+COUNTIFS($AN$2:$AN$1000,AN223,$EA$2:$EA$1000,"Y",$J$2:$J$1000,J223,$ED$2:$ED$1000,"&lt;"&amp;ED223)=0,"Y","N"))</f>
        <v>N</v>
      </c>
      <c r="EC223" s="0" t="str">
        <f aca="false">IF(Y223="","N",IF(Y223&lt;=10,"Y","N"))</f>
        <v>N</v>
      </c>
      <c r="ED223" s="0" t="n">
        <f aca="false">ROW()-1</f>
        <v>222</v>
      </c>
    </row>
    <row r="224" customFormat="false" ht="15" hidden="false" customHeight="false" outlineLevel="0" collapsed="false">
      <c r="A224" s="0" t="s">
        <v>9448</v>
      </c>
      <c r="B224" s="0" t="s">
        <v>9449</v>
      </c>
      <c r="H224" s="5" t="s">
        <v>158</v>
      </c>
      <c r="I224" s="5"/>
      <c r="J224" s="0" t="n">
        <f aca="false">IF(AU224="pass",CM224+CN224+CO224+CP224+CQ224+CR224+CS224+CT224,0)</f>
        <v>26</v>
      </c>
      <c r="K224" s="0" t="s">
        <v>9450</v>
      </c>
      <c r="M224" s="0" t="s">
        <v>5291</v>
      </c>
      <c r="N224" s="0" t="s">
        <v>598</v>
      </c>
      <c r="O224" s="0" t="s">
        <v>9451</v>
      </c>
      <c r="P224" s="0" t="s">
        <v>9452</v>
      </c>
      <c r="Q224" s="0" t="s">
        <v>7153</v>
      </c>
      <c r="R224" s="5" t="s">
        <v>162</v>
      </c>
      <c r="S224" s="0" t="s">
        <v>163</v>
      </c>
      <c r="T224" s="5" t="s">
        <v>162</v>
      </c>
      <c r="U224" s="5" t="s">
        <v>561</v>
      </c>
      <c r="V224" s="0" t="s">
        <v>9453</v>
      </c>
      <c r="W224" s="0" t="s">
        <v>166</v>
      </c>
      <c r="X224" s="0" t="s">
        <v>4585</v>
      </c>
      <c r="Y224" s="0" t="str">
        <f aca="false">IF(EB224&lt;&gt;"Y","",COUNTIFS($EB$2:$EB$1000,"Y",$J$2:$J$1000,"&gt;"&amp;J224)+COUNTIFS($EB$2:$EB$1000,"Y",$J$2:$J$1000,J224,$ED$2:$ED$1000,"&lt;"&amp;ED224)+1)</f>
        <v/>
      </c>
      <c r="Z224" s="0" t="n">
        <v>223</v>
      </c>
      <c r="AA224" s="0" t="s">
        <v>162</v>
      </c>
      <c r="AB224" s="0" t="s">
        <v>6915</v>
      </c>
      <c r="AD224" s="0" t="s">
        <v>158</v>
      </c>
      <c r="AH224" s="0" t="s">
        <v>9454</v>
      </c>
      <c r="AI224" s="0" t="s">
        <v>4590</v>
      </c>
      <c r="AJ224" s="0" t="s">
        <v>163</v>
      </c>
      <c r="AK224" s="0" t="s">
        <v>9453</v>
      </c>
      <c r="AL224" s="0" t="s">
        <v>168</v>
      </c>
      <c r="AM224" s="0" t="s">
        <v>9455</v>
      </c>
      <c r="AN224" s="0" t="s">
        <v>9448</v>
      </c>
      <c r="AO224" s="5" t="s">
        <v>162</v>
      </c>
      <c r="AR224" s="0" t="str">
        <f aca="false">IF(AND(AU224="pass",AO224&lt;&gt;"Y",C224&lt;&gt;""),"Y","N")</f>
        <v>N</v>
      </c>
      <c r="AS224" s="0" t="str">
        <f aca="false">_xlfn.TEXTJOIN("; ",TRUE(),IF(AU224&lt;&gt;"pass","gated out",""),IF(AO224="Y","on hold: "&amp;AP224,""),IF(C224="","no contact named on an opened page",""))</f>
        <v>no contact named on an opened page</v>
      </c>
      <c r="AU224" s="0" t="s">
        <v>181</v>
      </c>
      <c r="AW224" s="0" t="s">
        <v>182</v>
      </c>
      <c r="AX224" s="0" t="s">
        <v>4594</v>
      </c>
      <c r="AY224" s="0" t="s">
        <v>9453</v>
      </c>
      <c r="AZ224" s="0" t="s">
        <v>163</v>
      </c>
      <c r="BA224" s="0" t="s">
        <v>163</v>
      </c>
      <c r="BB224" s="0" t="s">
        <v>163</v>
      </c>
      <c r="BD224" s="0" t="s">
        <v>163</v>
      </c>
      <c r="BE224" s="0" t="s">
        <v>5927</v>
      </c>
      <c r="BF224" s="0" t="s">
        <v>168</v>
      </c>
      <c r="BG224" s="0" t="s">
        <v>168</v>
      </c>
      <c r="BH224" s="0" t="s">
        <v>163</v>
      </c>
      <c r="BJ224" s="0" t="s">
        <v>5549</v>
      </c>
      <c r="BK224" s="0" t="s">
        <v>162</v>
      </c>
      <c r="BL224" s="0" t="s">
        <v>162</v>
      </c>
      <c r="BO224" s="0" t="s">
        <v>162</v>
      </c>
      <c r="BP224" s="0" t="n">
        <v>0</v>
      </c>
      <c r="BR224" s="0" t="s">
        <v>8089</v>
      </c>
      <c r="BS224" s="0" t="s">
        <v>8349</v>
      </c>
      <c r="BT224" s="0" t="s">
        <v>9452</v>
      </c>
      <c r="BU224" s="0" t="s">
        <v>4694</v>
      </c>
      <c r="BV224" s="0" t="n">
        <v>115</v>
      </c>
      <c r="CF224" s="0" t="s">
        <v>158</v>
      </c>
      <c r="CK224" s="0" t="s">
        <v>158</v>
      </c>
      <c r="CL224" s="0" t="n">
        <v>26</v>
      </c>
      <c r="CM224" s="0" t="n">
        <v>6</v>
      </c>
      <c r="CN224" s="0" t="n">
        <v>4</v>
      </c>
      <c r="CO224" s="0" t="n">
        <v>8</v>
      </c>
      <c r="CP224" s="0" t="n">
        <v>5</v>
      </c>
      <c r="CQ224" s="0" t="n">
        <v>7</v>
      </c>
      <c r="CR224" s="0" t="n">
        <v>0</v>
      </c>
      <c r="CS224" s="0" t="n">
        <f aca="false">IF(R224="Y",10,0)</f>
        <v>0</v>
      </c>
      <c r="CT224" s="0" t="n">
        <v>-4</v>
      </c>
      <c r="CU224" s="0" t="s">
        <v>163</v>
      </c>
      <c r="CV224" s="0" t="s">
        <v>5562</v>
      </c>
      <c r="CW224" s="0" t="s">
        <v>9456</v>
      </c>
      <c r="CX224" s="0" t="s">
        <v>9457</v>
      </c>
      <c r="CY224" s="0" t="s">
        <v>9458</v>
      </c>
      <c r="DA224" s="0" t="s">
        <v>6234</v>
      </c>
      <c r="DY224" s="0" t="str">
        <f aca="false">IF(ISNUMBER(MATCH(U224,{"queued","contacted","replied","call_booked","call_done","yes_in_principle","materials_sent"},0)),"Y","N")</f>
        <v>N</v>
      </c>
      <c r="DZ224" s="0" t="str">
        <f aca="false">IF(COUNTIFS($AN$2:$AN$1000,AN224,$DY$2:$DY$1000,"Y")+COUNTIFS($AN$2:$AN$1000,AN224,$T$2:$T$1000,"Y")&gt;0,"Y","N")</f>
        <v>N</v>
      </c>
      <c r="EA224" s="0" t="str">
        <f aca="false">IF(AND(U224="new",T224="N",AR224="Y",AQ224="",DZ224="N"),"Y","N")</f>
        <v>N</v>
      </c>
      <c r="EB224" s="0" t="str">
        <f aca="false">IF(EA224&lt;&gt;"Y","N",IF(COUNTIFS($AN$2:$AN$1000,AN224,$EA$2:$EA$1000,"Y",$J$2:$J$1000,"&gt;"&amp;J224)+COUNTIFS($AN$2:$AN$1000,AN224,$EA$2:$EA$1000,"Y",$J$2:$J$1000,J224,$ED$2:$ED$1000,"&lt;"&amp;ED224)=0,"Y","N"))</f>
        <v>N</v>
      </c>
      <c r="EC224" s="0" t="str">
        <f aca="false">IF(Y224="","N",IF(Y224&lt;=10,"Y","N"))</f>
        <v>N</v>
      </c>
      <c r="ED224" s="0" t="n">
        <f aca="false">ROW()-1</f>
        <v>223</v>
      </c>
    </row>
    <row r="225" customFormat="false" ht="15" hidden="false" customHeight="false" outlineLevel="0" collapsed="false">
      <c r="A225" s="0" t="s">
        <v>9459</v>
      </c>
      <c r="B225" s="0" t="s">
        <v>9460</v>
      </c>
      <c r="H225" s="5" t="s">
        <v>158</v>
      </c>
      <c r="I225" s="5"/>
      <c r="J225" s="0" t="n">
        <f aca="false">IF(AU225="pass",CM225+CN225+CO225+CP225+CQ225+CR225+CS225+CT225,0)</f>
        <v>25</v>
      </c>
      <c r="K225" s="0" t="s">
        <v>9461</v>
      </c>
      <c r="M225" s="0" t="s">
        <v>5291</v>
      </c>
      <c r="N225" s="0" t="s">
        <v>598</v>
      </c>
      <c r="O225" s="0" t="s">
        <v>9462</v>
      </c>
      <c r="P225" s="0" t="s">
        <v>9463</v>
      </c>
      <c r="Q225" s="0" t="s">
        <v>9030</v>
      </c>
      <c r="R225" s="5" t="s">
        <v>162</v>
      </c>
      <c r="S225" s="0" t="s">
        <v>163</v>
      </c>
      <c r="T225" s="5" t="s">
        <v>162</v>
      </c>
      <c r="U225" s="5" t="s">
        <v>561</v>
      </c>
      <c r="V225" s="0" t="s">
        <v>9464</v>
      </c>
      <c r="W225" s="0" t="s">
        <v>166</v>
      </c>
      <c r="X225" s="0" t="s">
        <v>4585</v>
      </c>
      <c r="Y225" s="0" t="str">
        <f aca="false">IF(EB225&lt;&gt;"Y","",COUNTIFS($EB$2:$EB$1000,"Y",$J$2:$J$1000,"&gt;"&amp;J225)+COUNTIFS($EB$2:$EB$1000,"Y",$J$2:$J$1000,J225,$ED$2:$ED$1000,"&lt;"&amp;ED225)+1)</f>
        <v/>
      </c>
      <c r="Z225" s="0" t="n">
        <v>224</v>
      </c>
      <c r="AA225" s="0" t="s">
        <v>162</v>
      </c>
      <c r="AB225" s="0" t="s">
        <v>9106</v>
      </c>
      <c r="AD225" s="0" t="s">
        <v>158</v>
      </c>
      <c r="AH225" s="0" t="s">
        <v>9465</v>
      </c>
      <c r="AI225" s="0" t="s">
        <v>5924</v>
      </c>
      <c r="AJ225" s="0" t="s">
        <v>9466</v>
      </c>
      <c r="AK225" s="0" t="s">
        <v>9467</v>
      </c>
      <c r="AL225" s="0" t="s">
        <v>168</v>
      </c>
      <c r="AM225" s="0" t="s">
        <v>9468</v>
      </c>
      <c r="AN225" s="0" t="s">
        <v>9459</v>
      </c>
      <c r="AO225" s="5" t="s">
        <v>162</v>
      </c>
      <c r="AR225" s="0" t="str">
        <f aca="false">IF(AND(AU225="pass",AO225&lt;&gt;"Y",C225&lt;&gt;""),"Y","N")</f>
        <v>N</v>
      </c>
      <c r="AS225" s="0" t="str">
        <f aca="false">_xlfn.TEXTJOIN("; ",TRUE(),IF(AU225&lt;&gt;"pass","gated out",""),IF(AO225="Y","on hold: "&amp;AP225,""),IF(C225="","no contact named on an opened page",""))</f>
        <v>no contact named on an opened page</v>
      </c>
      <c r="AU225" s="0" t="s">
        <v>181</v>
      </c>
      <c r="AW225" s="0" t="s">
        <v>182</v>
      </c>
      <c r="AX225" s="0" t="s">
        <v>4828</v>
      </c>
      <c r="AY225" s="0" t="s">
        <v>9467</v>
      </c>
      <c r="AZ225" s="0" t="s">
        <v>9469</v>
      </c>
      <c r="BA225" s="0" t="s">
        <v>5329</v>
      </c>
      <c r="BB225" s="0" t="s">
        <v>163</v>
      </c>
      <c r="BD225" s="0" t="s">
        <v>168</v>
      </c>
      <c r="BE225" s="0" t="s">
        <v>9470</v>
      </c>
      <c r="BF225" s="0" t="s">
        <v>162</v>
      </c>
      <c r="BG225" s="0" t="s">
        <v>168</v>
      </c>
      <c r="BH225" s="0" t="s">
        <v>163</v>
      </c>
      <c r="BJ225" s="0" t="s">
        <v>5549</v>
      </c>
      <c r="BK225" s="0" t="s">
        <v>162</v>
      </c>
      <c r="BL225" s="0" t="s">
        <v>162</v>
      </c>
      <c r="BO225" s="0" t="s">
        <v>162</v>
      </c>
      <c r="BP225" s="0" t="n">
        <v>0</v>
      </c>
      <c r="BR225" s="0" t="s">
        <v>8089</v>
      </c>
      <c r="BS225" s="0" t="s">
        <v>8349</v>
      </c>
      <c r="BT225" s="0" t="s">
        <v>9463</v>
      </c>
      <c r="BU225" s="0" t="s">
        <v>4694</v>
      </c>
      <c r="BV225" s="0" t="n">
        <v>25</v>
      </c>
      <c r="CF225" s="0" t="s">
        <v>158</v>
      </c>
      <c r="CK225" s="0" t="s">
        <v>158</v>
      </c>
      <c r="CL225" s="0" t="n">
        <v>25</v>
      </c>
      <c r="CM225" s="0" t="n">
        <v>6</v>
      </c>
      <c r="CN225" s="0" t="n">
        <v>3</v>
      </c>
      <c r="CO225" s="0" t="n">
        <v>8</v>
      </c>
      <c r="CP225" s="0" t="n">
        <v>5</v>
      </c>
      <c r="CQ225" s="0" t="n">
        <v>7</v>
      </c>
      <c r="CR225" s="0" t="n">
        <v>0</v>
      </c>
      <c r="CS225" s="0" t="n">
        <f aca="false">IF(R225="Y",10,0)</f>
        <v>0</v>
      </c>
      <c r="CT225" s="0" t="n">
        <v>-4</v>
      </c>
      <c r="CU225" s="0" t="s">
        <v>163</v>
      </c>
      <c r="CV225" s="0" t="s">
        <v>5562</v>
      </c>
      <c r="CW225" s="0" t="s">
        <v>9471</v>
      </c>
      <c r="CX225" s="0" t="s">
        <v>9472</v>
      </c>
      <c r="CY225" s="0" t="s">
        <v>9473</v>
      </c>
      <c r="DA225" s="0" t="s">
        <v>6234</v>
      </c>
      <c r="DY225" s="0" t="str">
        <f aca="false">IF(ISNUMBER(MATCH(U225,{"queued","contacted","replied","call_booked","call_done","yes_in_principle","materials_sent"},0)),"Y","N")</f>
        <v>N</v>
      </c>
      <c r="DZ225" s="0" t="str">
        <f aca="false">IF(COUNTIFS($AN$2:$AN$1000,AN225,$DY$2:$DY$1000,"Y")+COUNTIFS($AN$2:$AN$1000,AN225,$T$2:$T$1000,"Y")&gt;0,"Y","N")</f>
        <v>N</v>
      </c>
      <c r="EA225" s="0" t="str">
        <f aca="false">IF(AND(U225="new",T225="N",AR225="Y",AQ225="",DZ225="N"),"Y","N")</f>
        <v>N</v>
      </c>
      <c r="EB225" s="0" t="str">
        <f aca="false">IF(EA225&lt;&gt;"Y","N",IF(COUNTIFS($AN$2:$AN$1000,AN225,$EA$2:$EA$1000,"Y",$J$2:$J$1000,"&gt;"&amp;J225)+COUNTIFS($AN$2:$AN$1000,AN225,$EA$2:$EA$1000,"Y",$J$2:$J$1000,J225,$ED$2:$ED$1000,"&lt;"&amp;ED225)=0,"Y","N"))</f>
        <v>N</v>
      </c>
      <c r="EC225" s="0" t="str">
        <f aca="false">IF(Y225="","N",IF(Y225&lt;=10,"Y","N"))</f>
        <v>N</v>
      </c>
      <c r="ED225" s="0" t="n">
        <f aca="false">ROW()-1</f>
        <v>224</v>
      </c>
    </row>
    <row r="226" customFormat="false" ht="15" hidden="false" customHeight="false" outlineLevel="0" collapsed="false">
      <c r="A226" s="0" t="s">
        <v>9474</v>
      </c>
      <c r="B226" s="0" t="s">
        <v>9475</v>
      </c>
      <c r="H226" s="5" t="s">
        <v>158</v>
      </c>
      <c r="I226" s="5"/>
      <c r="J226" s="0" t="n">
        <f aca="false">IF(AU226="pass",CM226+CN226+CO226+CP226+CQ226+CR226+CS226+CT226,0)</f>
        <v>25</v>
      </c>
      <c r="K226" s="0" t="s">
        <v>9476</v>
      </c>
      <c r="M226" s="0" t="s">
        <v>5291</v>
      </c>
      <c r="N226" s="0" t="s">
        <v>598</v>
      </c>
      <c r="O226" s="0" t="s">
        <v>9477</v>
      </c>
      <c r="P226" s="0" t="s">
        <v>9478</v>
      </c>
      <c r="Q226" s="0" t="s">
        <v>4685</v>
      </c>
      <c r="R226" s="5" t="s">
        <v>162</v>
      </c>
      <c r="S226" s="0" t="s">
        <v>163</v>
      </c>
      <c r="T226" s="5" t="s">
        <v>162</v>
      </c>
      <c r="U226" s="5" t="s">
        <v>561</v>
      </c>
      <c r="V226" s="0" t="s">
        <v>9479</v>
      </c>
      <c r="W226" s="0" t="s">
        <v>166</v>
      </c>
      <c r="X226" s="0" t="s">
        <v>4585</v>
      </c>
      <c r="Y226" s="0" t="str">
        <f aca="false">IF(EB226&lt;&gt;"Y","",COUNTIFS($EB$2:$EB$1000,"Y",$J$2:$J$1000,"&gt;"&amp;J226)+COUNTIFS($EB$2:$EB$1000,"Y",$J$2:$J$1000,J226,$ED$2:$ED$1000,"&lt;"&amp;ED226)+1)</f>
        <v/>
      </c>
      <c r="Z226" s="0" t="n">
        <v>225</v>
      </c>
      <c r="AA226" s="0" t="s">
        <v>162</v>
      </c>
      <c r="AB226" s="0" t="s">
        <v>9106</v>
      </c>
      <c r="AD226" s="0" t="s">
        <v>158</v>
      </c>
      <c r="AH226" s="0" t="s">
        <v>9480</v>
      </c>
      <c r="AI226" s="0" t="s">
        <v>5383</v>
      </c>
      <c r="AJ226" s="0" t="s">
        <v>9481</v>
      </c>
      <c r="AK226" s="0" t="s">
        <v>9482</v>
      </c>
      <c r="AL226" s="0" t="s">
        <v>168</v>
      </c>
      <c r="AM226" s="0" t="s">
        <v>9483</v>
      </c>
      <c r="AN226" s="0" t="s">
        <v>9474</v>
      </c>
      <c r="AO226" s="5" t="s">
        <v>162</v>
      </c>
      <c r="AR226" s="0" t="str">
        <f aca="false">IF(AND(AU226="pass",AO226&lt;&gt;"Y",C226&lt;&gt;""),"Y","N")</f>
        <v>N</v>
      </c>
      <c r="AS226" s="0" t="str">
        <f aca="false">_xlfn.TEXTJOIN("; ",TRUE(),IF(AU226&lt;&gt;"pass","gated out",""),IF(AO226="Y","on hold: "&amp;AP226,""),IF(C226="","no contact named on an opened page",""))</f>
        <v>no contact named on an opened page</v>
      </c>
      <c r="AU226" s="0" t="s">
        <v>181</v>
      </c>
      <c r="AW226" s="0" t="s">
        <v>182</v>
      </c>
      <c r="AX226" s="0" t="s">
        <v>4828</v>
      </c>
      <c r="AY226" s="0" t="s">
        <v>9482</v>
      </c>
      <c r="AZ226" s="0" t="s">
        <v>5057</v>
      </c>
      <c r="BA226" s="0" t="s">
        <v>5329</v>
      </c>
      <c r="BB226" s="0" t="s">
        <v>163</v>
      </c>
      <c r="BD226" s="0" t="s">
        <v>168</v>
      </c>
      <c r="BE226" s="0" t="s">
        <v>9484</v>
      </c>
      <c r="BF226" s="0" t="s">
        <v>162</v>
      </c>
      <c r="BG226" s="0" t="s">
        <v>168</v>
      </c>
      <c r="BH226" s="0" t="s">
        <v>163</v>
      </c>
      <c r="BJ226" s="0" t="s">
        <v>163</v>
      </c>
      <c r="BK226" s="0" t="s">
        <v>162</v>
      </c>
      <c r="BL226" s="0" t="s">
        <v>162</v>
      </c>
      <c r="BO226" s="0" t="s">
        <v>162</v>
      </c>
      <c r="BP226" s="0" t="n">
        <v>0</v>
      </c>
      <c r="BR226" s="0" t="s">
        <v>6762</v>
      </c>
      <c r="BS226" s="0" t="s">
        <v>9485</v>
      </c>
      <c r="BT226" s="0" t="s">
        <v>9486</v>
      </c>
      <c r="BU226" s="0" t="s">
        <v>4694</v>
      </c>
      <c r="BV226" s="0" t="n">
        <v>22</v>
      </c>
      <c r="CF226" s="0" t="s">
        <v>158</v>
      </c>
      <c r="CK226" s="0" t="s">
        <v>158</v>
      </c>
      <c r="CL226" s="0" t="n">
        <v>25</v>
      </c>
      <c r="CM226" s="0" t="n">
        <v>6</v>
      </c>
      <c r="CN226" s="0" t="n">
        <v>3</v>
      </c>
      <c r="CO226" s="0" t="n">
        <v>8</v>
      </c>
      <c r="CP226" s="0" t="n">
        <v>5</v>
      </c>
      <c r="CQ226" s="0" t="n">
        <v>7</v>
      </c>
      <c r="CR226" s="0" t="n">
        <v>0</v>
      </c>
      <c r="CS226" s="0" t="n">
        <f aca="false">IF(R226="Y",10,0)</f>
        <v>0</v>
      </c>
      <c r="CT226" s="0" t="n">
        <v>-4</v>
      </c>
      <c r="CU226" s="0" t="s">
        <v>9487</v>
      </c>
      <c r="CV226" s="0" t="s">
        <v>4841</v>
      </c>
      <c r="CW226" s="0" t="s">
        <v>9488</v>
      </c>
      <c r="CX226" s="0" t="s">
        <v>9489</v>
      </c>
      <c r="DA226" s="0" t="s">
        <v>6234</v>
      </c>
      <c r="DY226" s="0" t="str">
        <f aca="false">IF(ISNUMBER(MATCH(U226,{"queued","contacted","replied","call_booked","call_done","yes_in_principle","materials_sent"},0)),"Y","N")</f>
        <v>N</v>
      </c>
      <c r="DZ226" s="0" t="str">
        <f aca="false">IF(COUNTIFS($AN$2:$AN$1000,AN226,$DY$2:$DY$1000,"Y")+COUNTIFS($AN$2:$AN$1000,AN226,$T$2:$T$1000,"Y")&gt;0,"Y","N")</f>
        <v>N</v>
      </c>
      <c r="EA226" s="0" t="str">
        <f aca="false">IF(AND(U226="new",T226="N",AR226="Y",AQ226="",DZ226="N"),"Y","N")</f>
        <v>N</v>
      </c>
      <c r="EB226" s="0" t="str">
        <f aca="false">IF(EA226&lt;&gt;"Y","N",IF(COUNTIFS($AN$2:$AN$1000,AN226,$EA$2:$EA$1000,"Y",$J$2:$J$1000,"&gt;"&amp;J226)+COUNTIFS($AN$2:$AN$1000,AN226,$EA$2:$EA$1000,"Y",$J$2:$J$1000,J226,$ED$2:$ED$1000,"&lt;"&amp;ED226)=0,"Y","N"))</f>
        <v>N</v>
      </c>
      <c r="EC226" s="0" t="str">
        <f aca="false">IF(Y226="","N",IF(Y226&lt;=10,"Y","N"))</f>
        <v>N</v>
      </c>
      <c r="ED226" s="0" t="n">
        <f aca="false">ROW()-1</f>
        <v>225</v>
      </c>
    </row>
    <row r="227" customFormat="false" ht="15" hidden="false" customHeight="false" outlineLevel="0" collapsed="false">
      <c r="A227" s="0" t="s">
        <v>9490</v>
      </c>
      <c r="B227" s="0" t="s">
        <v>9491</v>
      </c>
      <c r="C227" s="0" t="s">
        <v>302</v>
      </c>
      <c r="D227" s="0" t="s">
        <v>6395</v>
      </c>
      <c r="E227" s="0" t="s">
        <v>4656</v>
      </c>
      <c r="H227" s="5" t="s">
        <v>158</v>
      </c>
      <c r="I227" s="5" t="s">
        <v>159</v>
      </c>
      <c r="J227" s="0" t="n">
        <f aca="false">IF(AU227="pass",CM227+CN227+CO227+CP227+CQ227+CR227+CS227+CT227,0)</f>
        <v>24</v>
      </c>
      <c r="K227" s="0" t="s">
        <v>9492</v>
      </c>
      <c r="M227" s="0" t="s">
        <v>4580</v>
      </c>
      <c r="N227" s="0" t="s">
        <v>4581</v>
      </c>
      <c r="O227" s="0" t="s">
        <v>9493</v>
      </c>
      <c r="P227" s="0" t="s">
        <v>9494</v>
      </c>
      <c r="Q227" s="0" t="s">
        <v>4159</v>
      </c>
      <c r="R227" s="5" t="s">
        <v>162</v>
      </c>
      <c r="S227" s="0" t="s">
        <v>163</v>
      </c>
      <c r="T227" s="5" t="s">
        <v>162</v>
      </c>
      <c r="U227" s="5" t="s">
        <v>561</v>
      </c>
      <c r="V227" s="0" t="s">
        <v>9495</v>
      </c>
      <c r="W227" s="0" t="s">
        <v>166</v>
      </c>
      <c r="X227" s="0" t="s">
        <v>4585</v>
      </c>
      <c r="Y227" s="0" t="n">
        <f aca="false">IF(EB227&lt;&gt;"Y","",COUNTIFS($EB$2:$EB$1000,"Y",$J$2:$J$1000,"&gt;"&amp;J227)+COUNTIFS($EB$2:$EB$1000,"Y",$J$2:$J$1000,J227,$ED$2:$ED$1000,"&lt;"&amp;ED227)+1)</f>
        <v>175</v>
      </c>
      <c r="Z227" s="0" t="n">
        <v>226</v>
      </c>
      <c r="AA227" s="0" t="s">
        <v>162</v>
      </c>
      <c r="AB227" s="0" t="s">
        <v>9496</v>
      </c>
      <c r="AC227" s="0" t="s">
        <v>4587</v>
      </c>
      <c r="AD227" s="0" t="s">
        <v>171</v>
      </c>
      <c r="AE227" s="0" t="s">
        <v>1189</v>
      </c>
      <c r="AF227" s="0" t="s">
        <v>9494</v>
      </c>
      <c r="AG227" s="0" t="s">
        <v>166</v>
      </c>
      <c r="AH227" s="0" t="s">
        <v>9497</v>
      </c>
      <c r="AI227" s="0" t="s">
        <v>4826</v>
      </c>
      <c r="AJ227" s="0" t="s">
        <v>6382</v>
      </c>
      <c r="AK227" s="0" t="s">
        <v>9498</v>
      </c>
      <c r="AL227" s="0" t="s">
        <v>168</v>
      </c>
      <c r="AM227" s="0" t="s">
        <v>9499</v>
      </c>
      <c r="AN227" s="0" t="s">
        <v>9490</v>
      </c>
      <c r="AO227" s="5" t="s">
        <v>162</v>
      </c>
      <c r="AR227" s="0" t="str">
        <f aca="false">IF(AND(AU227="pass",AO227&lt;&gt;"Y",C227&lt;&gt;""),"Y","N")</f>
        <v>Y</v>
      </c>
      <c r="AS227" s="0" t="str">
        <f aca="false">_xlfn.TEXTJOIN("; ",TRUE(),IF(AU227&lt;&gt;"pass","gated out",""),IF(AO227="Y","on hold: "&amp;AP227,""),IF(C227="","no contact named on an opened page",""))</f>
        <v/>
      </c>
      <c r="AU227" s="0" t="s">
        <v>181</v>
      </c>
      <c r="AW227" s="0" t="s">
        <v>182</v>
      </c>
      <c r="AX227" s="0" t="s">
        <v>7175</v>
      </c>
      <c r="AY227" s="0" t="s">
        <v>9498</v>
      </c>
      <c r="AZ227" s="0" t="s">
        <v>6386</v>
      </c>
      <c r="BA227" s="0" t="s">
        <v>5329</v>
      </c>
      <c r="BB227" s="0" t="s">
        <v>9500</v>
      </c>
      <c r="BC227" s="0" t="s">
        <v>9494</v>
      </c>
      <c r="BD227" s="0" t="s">
        <v>168</v>
      </c>
      <c r="BE227" s="0" t="s">
        <v>9501</v>
      </c>
      <c r="BF227" s="0" t="s">
        <v>168</v>
      </c>
      <c r="BG227" s="0" t="s">
        <v>168</v>
      </c>
      <c r="BH227" s="0" t="s">
        <v>7179</v>
      </c>
      <c r="BI227" s="0" t="s">
        <v>6457</v>
      </c>
      <c r="BJ227" s="0" t="s">
        <v>9502</v>
      </c>
      <c r="BK227" s="0" t="s">
        <v>162</v>
      </c>
      <c r="BL227" s="0" t="s">
        <v>162</v>
      </c>
      <c r="BN227" s="0" t="n">
        <v>0</v>
      </c>
      <c r="BO227" s="0" t="s">
        <v>168</v>
      </c>
      <c r="BP227" s="0" t="n">
        <v>3</v>
      </c>
      <c r="BQ227" s="0" t="s">
        <v>4669</v>
      </c>
      <c r="BS227" s="0" t="s">
        <v>9503</v>
      </c>
      <c r="BT227" s="0" t="s">
        <v>9504</v>
      </c>
      <c r="BU227" s="0" t="s">
        <v>4604</v>
      </c>
      <c r="BV227" s="0" t="n">
        <v>2</v>
      </c>
      <c r="BX227" s="0" t="s">
        <v>9505</v>
      </c>
      <c r="CF227" s="0" t="s">
        <v>158</v>
      </c>
      <c r="CK227" s="0" t="s">
        <v>158</v>
      </c>
      <c r="CL227" s="0" t="n">
        <v>24</v>
      </c>
      <c r="CM227" s="0" t="n">
        <v>25</v>
      </c>
      <c r="CN227" s="0" t="n">
        <v>3</v>
      </c>
      <c r="CO227" s="0" t="n">
        <v>15</v>
      </c>
      <c r="CP227" s="0" t="n">
        <v>0</v>
      </c>
      <c r="CQ227" s="0" t="n">
        <v>10</v>
      </c>
      <c r="CR227" s="0" t="n">
        <v>6</v>
      </c>
      <c r="CS227" s="0" t="n">
        <f aca="false">IF(R227="Y",10,0)</f>
        <v>0</v>
      </c>
      <c r="CT227" s="0" t="n">
        <v>-35</v>
      </c>
      <c r="CU227" s="0" t="s">
        <v>163</v>
      </c>
      <c r="CV227" s="0" t="s">
        <v>4841</v>
      </c>
      <c r="CW227" s="0" t="s">
        <v>9506</v>
      </c>
      <c r="CX227" s="0" t="s">
        <v>9507</v>
      </c>
      <c r="CY227" s="0" t="s">
        <v>9508</v>
      </c>
      <c r="DA227" s="0" t="s">
        <v>6234</v>
      </c>
      <c r="DY227" s="0" t="str">
        <f aca="false">IF(ISNUMBER(MATCH(U227,{"queued","contacted","replied","call_booked","call_done","yes_in_principle","materials_sent"},0)),"Y","N")</f>
        <v>N</v>
      </c>
      <c r="DZ227" s="0" t="str">
        <f aca="false">IF(COUNTIFS($AN$2:$AN$1000,AN227,$DY$2:$DY$1000,"Y")+COUNTIFS($AN$2:$AN$1000,AN227,$T$2:$T$1000,"Y")&gt;0,"Y","N")</f>
        <v>N</v>
      </c>
      <c r="EA227" s="0" t="str">
        <f aca="false">IF(AND(U227="new",T227="N",AR227="Y",AQ227="",DZ227="N"),"Y","N")</f>
        <v>Y</v>
      </c>
      <c r="EB227" s="0" t="str">
        <f aca="false">IF(EA227&lt;&gt;"Y","N",IF(COUNTIFS($AN$2:$AN$1000,AN227,$EA$2:$EA$1000,"Y",$J$2:$J$1000,"&gt;"&amp;J227)+COUNTIFS($AN$2:$AN$1000,AN227,$EA$2:$EA$1000,"Y",$J$2:$J$1000,J227,$ED$2:$ED$1000,"&lt;"&amp;ED227)=0,"Y","N"))</f>
        <v>Y</v>
      </c>
      <c r="EC227" s="0" t="str">
        <f aca="false">IF(Y227="","N",IF(Y227&lt;=10,"Y","N"))</f>
        <v>N</v>
      </c>
      <c r="ED227" s="0" t="n">
        <f aca="false">ROW()-1</f>
        <v>226</v>
      </c>
    </row>
    <row r="228" customFormat="false" ht="15" hidden="false" customHeight="false" outlineLevel="0" collapsed="false">
      <c r="A228" s="0" t="s">
        <v>9509</v>
      </c>
      <c r="B228" s="0" t="s">
        <v>9510</v>
      </c>
      <c r="H228" s="5" t="s">
        <v>158</v>
      </c>
      <c r="I228" s="5"/>
      <c r="J228" s="0" t="n">
        <f aca="false">IF(AU228="pass",CM228+CN228+CO228+CP228+CQ228+CR228+CS228+CT228,0)</f>
        <v>24</v>
      </c>
      <c r="K228" s="0" t="s">
        <v>9511</v>
      </c>
      <c r="M228" s="0" t="s">
        <v>5291</v>
      </c>
      <c r="N228" s="0" t="s">
        <v>598</v>
      </c>
      <c r="R228" s="5" t="s">
        <v>162</v>
      </c>
      <c r="S228" s="0" t="s">
        <v>163</v>
      </c>
      <c r="T228" s="5" t="s">
        <v>162</v>
      </c>
      <c r="U228" s="5" t="s">
        <v>561</v>
      </c>
      <c r="V228" s="0" t="s">
        <v>9512</v>
      </c>
      <c r="W228" s="0" t="s">
        <v>166</v>
      </c>
      <c r="X228" s="0" t="s">
        <v>4585</v>
      </c>
      <c r="Y228" s="0" t="str">
        <f aca="false">IF(EB228&lt;&gt;"Y","",COUNTIFS($EB$2:$EB$1000,"Y",$J$2:$J$1000,"&gt;"&amp;J228)+COUNTIFS($EB$2:$EB$1000,"Y",$J$2:$J$1000,J228,$ED$2:$ED$1000,"&lt;"&amp;ED228)+1)</f>
        <v/>
      </c>
      <c r="Z228" s="0" t="n">
        <v>227</v>
      </c>
      <c r="AA228" s="0" t="s">
        <v>162</v>
      </c>
      <c r="AB228" s="0" t="s">
        <v>6315</v>
      </c>
      <c r="AD228" s="0" t="s">
        <v>158</v>
      </c>
      <c r="AH228" s="0" t="s">
        <v>9513</v>
      </c>
      <c r="AI228" s="0" t="s">
        <v>4590</v>
      </c>
      <c r="AJ228" s="0" t="s">
        <v>9514</v>
      </c>
      <c r="AK228" s="0" t="s">
        <v>9515</v>
      </c>
      <c r="AL228" s="0" t="s">
        <v>168</v>
      </c>
      <c r="AM228" s="0" t="s">
        <v>9516</v>
      </c>
      <c r="AN228" s="0" t="s">
        <v>9509</v>
      </c>
      <c r="AO228" s="5" t="s">
        <v>162</v>
      </c>
      <c r="AR228" s="0" t="str">
        <f aca="false">IF(AND(AU228="pass",AO228&lt;&gt;"Y",C228&lt;&gt;""),"Y","N")</f>
        <v>N</v>
      </c>
      <c r="AS228" s="0" t="str">
        <f aca="false">_xlfn.TEXTJOIN("; ",TRUE(),IF(AU228&lt;&gt;"pass","gated out",""),IF(AO228="Y","on hold: "&amp;AP228,""),IF(C228="","no contact named on an opened page",""))</f>
        <v>no contact named on an opened page</v>
      </c>
      <c r="AU228" s="0" t="s">
        <v>181</v>
      </c>
      <c r="AW228" s="0" t="s">
        <v>182</v>
      </c>
      <c r="AX228" s="0" t="s">
        <v>282</v>
      </c>
      <c r="AY228" s="0" t="s">
        <v>9517</v>
      </c>
      <c r="AZ228" s="0" t="s">
        <v>6689</v>
      </c>
      <c r="BA228" s="0" t="s">
        <v>5191</v>
      </c>
      <c r="BB228" s="0" t="s">
        <v>8882</v>
      </c>
      <c r="BC228" s="0" t="s">
        <v>9512</v>
      </c>
      <c r="BD228" s="0" t="s">
        <v>163</v>
      </c>
      <c r="BE228" s="0" t="s">
        <v>5927</v>
      </c>
      <c r="BF228" s="0" t="s">
        <v>168</v>
      </c>
      <c r="BG228" s="0" t="s">
        <v>168</v>
      </c>
      <c r="BH228" s="0" t="s">
        <v>163</v>
      </c>
      <c r="BJ228" s="0" t="s">
        <v>5549</v>
      </c>
      <c r="BK228" s="0" t="s">
        <v>162</v>
      </c>
      <c r="BL228" s="0" t="s">
        <v>162</v>
      </c>
      <c r="BO228" s="0" t="s">
        <v>162</v>
      </c>
      <c r="BP228" s="0" t="n">
        <v>0</v>
      </c>
      <c r="BS228" s="0" t="s">
        <v>9518</v>
      </c>
      <c r="BU228" s="0" t="s">
        <v>158</v>
      </c>
      <c r="CF228" s="0" t="s">
        <v>158</v>
      </c>
      <c r="CK228" s="0" t="s">
        <v>158</v>
      </c>
      <c r="CL228" s="0" t="n">
        <v>24</v>
      </c>
      <c r="CM228" s="0" t="n">
        <v>6</v>
      </c>
      <c r="CN228" s="0" t="n">
        <v>8</v>
      </c>
      <c r="CO228" s="0" t="n">
        <v>0</v>
      </c>
      <c r="CP228" s="0" t="n">
        <v>5</v>
      </c>
      <c r="CQ228" s="0" t="n">
        <v>7</v>
      </c>
      <c r="CR228" s="0" t="n">
        <v>0</v>
      </c>
      <c r="CS228" s="0" t="n">
        <f aca="false">IF(R228="Y",10,0)</f>
        <v>0</v>
      </c>
      <c r="CT228" s="0" t="n">
        <v>-2</v>
      </c>
      <c r="CU228" s="0" t="s">
        <v>9519</v>
      </c>
      <c r="CV228" s="0" t="s">
        <v>5562</v>
      </c>
      <c r="CW228" s="0" t="s">
        <v>9520</v>
      </c>
      <c r="CX228" s="0" t="s">
        <v>9521</v>
      </c>
      <c r="CY228" s="0" t="s">
        <v>9522</v>
      </c>
      <c r="DA228" s="0" t="s">
        <v>6234</v>
      </c>
      <c r="DY228" s="0" t="str">
        <f aca="false">IF(ISNUMBER(MATCH(U228,{"queued","contacted","replied","call_booked","call_done","yes_in_principle","materials_sent"},0)),"Y","N")</f>
        <v>N</v>
      </c>
      <c r="DZ228" s="0" t="str">
        <f aca="false">IF(COUNTIFS($AN$2:$AN$1000,AN228,$DY$2:$DY$1000,"Y")+COUNTIFS($AN$2:$AN$1000,AN228,$T$2:$T$1000,"Y")&gt;0,"Y","N")</f>
        <v>N</v>
      </c>
      <c r="EA228" s="0" t="str">
        <f aca="false">IF(AND(U228="new",T228="N",AR228="Y",AQ228="",DZ228="N"),"Y","N")</f>
        <v>N</v>
      </c>
      <c r="EB228" s="0" t="str">
        <f aca="false">IF(EA228&lt;&gt;"Y","N",IF(COUNTIFS($AN$2:$AN$1000,AN228,$EA$2:$EA$1000,"Y",$J$2:$J$1000,"&gt;"&amp;J228)+COUNTIFS($AN$2:$AN$1000,AN228,$EA$2:$EA$1000,"Y",$J$2:$J$1000,J228,$ED$2:$ED$1000,"&lt;"&amp;ED228)=0,"Y","N"))</f>
        <v>N</v>
      </c>
      <c r="EC228" s="0" t="str">
        <f aca="false">IF(Y228="","N",IF(Y228&lt;=10,"Y","N"))</f>
        <v>N</v>
      </c>
      <c r="ED228" s="0" t="n">
        <f aca="false">ROW()-1</f>
        <v>227</v>
      </c>
    </row>
    <row r="229" customFormat="false" ht="15" hidden="false" customHeight="false" outlineLevel="0" collapsed="false">
      <c r="A229" s="0" t="s">
        <v>9523</v>
      </c>
      <c r="B229" s="0" t="s">
        <v>9524</v>
      </c>
      <c r="C229" s="0" t="s">
        <v>9525</v>
      </c>
      <c r="D229" s="0" t="s">
        <v>9526</v>
      </c>
      <c r="E229" s="0" t="s">
        <v>4771</v>
      </c>
      <c r="H229" s="5" t="s">
        <v>158</v>
      </c>
      <c r="I229" s="5" t="s">
        <v>159</v>
      </c>
      <c r="J229" s="0" t="n">
        <f aca="false">IF(AU229="pass",CM229+CN229+CO229+CP229+CQ229+CR229+CS229+CT229,0)</f>
        <v>23</v>
      </c>
      <c r="K229" s="0" t="s">
        <v>9527</v>
      </c>
      <c r="M229" s="0" t="s">
        <v>5291</v>
      </c>
      <c r="N229" s="0" t="s">
        <v>598</v>
      </c>
      <c r="O229" s="0" t="s">
        <v>9528</v>
      </c>
      <c r="P229" s="0" t="s">
        <v>9529</v>
      </c>
      <c r="Q229" s="0" t="s">
        <v>6734</v>
      </c>
      <c r="R229" s="5" t="s">
        <v>162</v>
      </c>
      <c r="S229" s="0" t="s">
        <v>168</v>
      </c>
      <c r="T229" s="5" t="s">
        <v>162</v>
      </c>
      <c r="U229" s="5" t="s">
        <v>561</v>
      </c>
      <c r="V229" s="0" t="s">
        <v>9530</v>
      </c>
      <c r="W229" s="0" t="s">
        <v>166</v>
      </c>
      <c r="X229" s="0" t="s">
        <v>4585</v>
      </c>
      <c r="Y229" s="0" t="n">
        <f aca="false">IF(EB229&lt;&gt;"Y","",COUNTIFS($EB$2:$EB$1000,"Y",$J$2:$J$1000,"&gt;"&amp;J229)+COUNTIFS($EB$2:$EB$1000,"Y",$J$2:$J$1000,J229,$ED$2:$ED$1000,"&lt;"&amp;ED229)+1)</f>
        <v>176</v>
      </c>
      <c r="Z229" s="0" t="n">
        <v>228</v>
      </c>
      <c r="AA229" s="0" t="s">
        <v>162</v>
      </c>
      <c r="AB229" s="0" t="s">
        <v>9531</v>
      </c>
      <c r="AC229" s="0" t="s">
        <v>4587</v>
      </c>
      <c r="AD229" s="0" t="s">
        <v>171</v>
      </c>
      <c r="AE229" s="0" t="s">
        <v>1189</v>
      </c>
      <c r="AF229" s="0" t="s">
        <v>9532</v>
      </c>
      <c r="AG229" s="0" t="s">
        <v>166</v>
      </c>
      <c r="AH229" s="0" t="s">
        <v>9533</v>
      </c>
      <c r="AI229" s="0" t="s">
        <v>4590</v>
      </c>
      <c r="AJ229" s="0" t="s">
        <v>9534</v>
      </c>
      <c r="AK229" s="0" t="s">
        <v>9530</v>
      </c>
      <c r="AL229" s="0" t="s">
        <v>168</v>
      </c>
      <c r="AM229" s="0" t="s">
        <v>9535</v>
      </c>
      <c r="AN229" s="0" t="s">
        <v>9523</v>
      </c>
      <c r="AO229" s="5" t="s">
        <v>162</v>
      </c>
      <c r="AR229" s="0" t="str">
        <f aca="false">IF(AND(AU229="pass",AO229&lt;&gt;"Y",C229&lt;&gt;""),"Y","N")</f>
        <v>Y</v>
      </c>
      <c r="AS229" s="0" t="str">
        <f aca="false">_xlfn.TEXTJOIN("; ",TRUE(),IF(AU229&lt;&gt;"pass","gated out",""),IF(AO229="Y","on hold: "&amp;AP229,""),IF(C229="","no contact named on an opened page",""))</f>
        <v/>
      </c>
      <c r="AU229" s="0" t="s">
        <v>181</v>
      </c>
      <c r="AW229" s="0" t="s">
        <v>182</v>
      </c>
      <c r="AX229" s="0" t="s">
        <v>4594</v>
      </c>
      <c r="AY229" s="0" t="s">
        <v>9530</v>
      </c>
      <c r="AZ229" s="0" t="s">
        <v>9536</v>
      </c>
      <c r="BA229" s="0" t="s">
        <v>5329</v>
      </c>
      <c r="BB229" s="0" t="s">
        <v>163</v>
      </c>
      <c r="BD229" s="0" t="s">
        <v>163</v>
      </c>
      <c r="BE229" s="0" t="s">
        <v>5927</v>
      </c>
      <c r="BF229" s="0" t="s">
        <v>168</v>
      </c>
      <c r="BG229" s="0" t="s">
        <v>168</v>
      </c>
      <c r="BH229" s="0" t="s">
        <v>163</v>
      </c>
      <c r="BJ229" s="0" t="s">
        <v>5549</v>
      </c>
      <c r="BK229" s="0" t="s">
        <v>162</v>
      </c>
      <c r="BL229" s="0" t="s">
        <v>162</v>
      </c>
      <c r="BO229" s="0" t="s">
        <v>162</v>
      </c>
      <c r="BP229" s="0" t="n">
        <v>0</v>
      </c>
      <c r="BR229" s="0" t="s">
        <v>9537</v>
      </c>
      <c r="BS229" s="0" t="s">
        <v>9538</v>
      </c>
      <c r="BT229" s="0" t="s">
        <v>9539</v>
      </c>
      <c r="BU229" s="0" t="s">
        <v>598</v>
      </c>
      <c r="BV229" s="0" t="n">
        <v>60</v>
      </c>
      <c r="BW229" s="0" t="s">
        <v>5815</v>
      </c>
      <c r="BX229" s="0" t="s">
        <v>9540</v>
      </c>
      <c r="CF229" s="0" t="s">
        <v>158</v>
      </c>
      <c r="CK229" s="0" t="s">
        <v>158</v>
      </c>
      <c r="CL229" s="0" t="n">
        <v>23</v>
      </c>
      <c r="CM229" s="0" t="n">
        <v>6</v>
      </c>
      <c r="CN229" s="0" t="n">
        <v>3</v>
      </c>
      <c r="CO229" s="0" t="n">
        <v>0</v>
      </c>
      <c r="CP229" s="0" t="n">
        <v>5</v>
      </c>
      <c r="CQ229" s="0" t="n">
        <v>7</v>
      </c>
      <c r="CR229" s="0" t="n">
        <v>6</v>
      </c>
      <c r="CS229" s="0" t="n">
        <f aca="false">IF(R229="Y",10,0)</f>
        <v>0</v>
      </c>
      <c r="CT229" s="0" t="n">
        <v>-4</v>
      </c>
      <c r="CU229" s="0" t="s">
        <v>9541</v>
      </c>
      <c r="CV229" s="0" t="s">
        <v>5562</v>
      </c>
      <c r="CW229" s="0" t="s">
        <v>9542</v>
      </c>
      <c r="CX229" s="0" t="s">
        <v>9543</v>
      </c>
      <c r="CY229" s="0" t="s">
        <v>9544</v>
      </c>
      <c r="DA229" s="0" t="s">
        <v>6234</v>
      </c>
      <c r="DY229" s="0" t="str">
        <f aca="false">IF(ISNUMBER(MATCH(U229,{"queued","contacted","replied","call_booked","call_done","yes_in_principle","materials_sent"},0)),"Y","N")</f>
        <v>N</v>
      </c>
      <c r="DZ229" s="0" t="str">
        <f aca="false">IF(COUNTIFS($AN$2:$AN$1000,AN229,$DY$2:$DY$1000,"Y")+COUNTIFS($AN$2:$AN$1000,AN229,$T$2:$T$1000,"Y")&gt;0,"Y","N")</f>
        <v>N</v>
      </c>
      <c r="EA229" s="0" t="str">
        <f aca="false">IF(AND(U229="new",T229="N",AR229="Y",AQ229="",DZ229="N"),"Y","N")</f>
        <v>Y</v>
      </c>
      <c r="EB229" s="0" t="str">
        <f aca="false">IF(EA229&lt;&gt;"Y","N",IF(COUNTIFS($AN$2:$AN$1000,AN229,$EA$2:$EA$1000,"Y",$J$2:$J$1000,"&gt;"&amp;J229)+COUNTIFS($AN$2:$AN$1000,AN229,$EA$2:$EA$1000,"Y",$J$2:$J$1000,J229,$ED$2:$ED$1000,"&lt;"&amp;ED229)=0,"Y","N"))</f>
        <v>Y</v>
      </c>
      <c r="EC229" s="0" t="str">
        <f aca="false">IF(Y229="","N",IF(Y229&lt;=10,"Y","N"))</f>
        <v>N</v>
      </c>
      <c r="ED229" s="0" t="n">
        <f aca="false">ROW()-1</f>
        <v>228</v>
      </c>
    </row>
    <row r="230" customFormat="false" ht="15" hidden="false" customHeight="false" outlineLevel="0" collapsed="false">
      <c r="A230" s="0" t="s">
        <v>9545</v>
      </c>
      <c r="B230" s="0" t="s">
        <v>9546</v>
      </c>
      <c r="C230" s="0" t="s">
        <v>9547</v>
      </c>
      <c r="D230" s="0" t="s">
        <v>9548</v>
      </c>
      <c r="E230" s="0" t="s">
        <v>4910</v>
      </c>
      <c r="H230" s="5" t="s">
        <v>158</v>
      </c>
      <c r="I230" s="5" t="s">
        <v>159</v>
      </c>
      <c r="J230" s="0" t="n">
        <f aca="false">IF(AU230="pass",CM230+CN230+CO230+CP230+CQ230+CR230+CS230+CT230,0)</f>
        <v>23</v>
      </c>
      <c r="K230" s="0" t="s">
        <v>9527</v>
      </c>
      <c r="M230" s="0" t="s">
        <v>5291</v>
      </c>
      <c r="N230" s="0" t="s">
        <v>598</v>
      </c>
      <c r="R230" s="5" t="s">
        <v>162</v>
      </c>
      <c r="S230" s="0" t="s">
        <v>163</v>
      </c>
      <c r="T230" s="5" t="s">
        <v>162</v>
      </c>
      <c r="U230" s="5" t="s">
        <v>561</v>
      </c>
      <c r="V230" s="0" t="s">
        <v>9549</v>
      </c>
      <c r="W230" s="0" t="s">
        <v>166</v>
      </c>
      <c r="X230" s="0" t="s">
        <v>4585</v>
      </c>
      <c r="Y230" s="0" t="n">
        <f aca="false">IF(EB230&lt;&gt;"Y","",COUNTIFS($EB$2:$EB$1000,"Y",$J$2:$J$1000,"&gt;"&amp;J230)+COUNTIFS($EB$2:$EB$1000,"Y",$J$2:$J$1000,J230,$ED$2:$ED$1000,"&lt;"&amp;ED230)+1)</f>
        <v>177</v>
      </c>
      <c r="Z230" s="0" t="n">
        <v>229</v>
      </c>
      <c r="AA230" s="0" t="s">
        <v>162</v>
      </c>
      <c r="AB230" s="0" t="s">
        <v>9550</v>
      </c>
      <c r="AC230" s="0" t="s">
        <v>4587</v>
      </c>
      <c r="AD230" s="0" t="s">
        <v>171</v>
      </c>
      <c r="AE230" s="0" t="s">
        <v>1189</v>
      </c>
      <c r="AF230" s="0" t="s">
        <v>9551</v>
      </c>
      <c r="AG230" s="0" t="s">
        <v>166</v>
      </c>
      <c r="AH230" s="0" t="s">
        <v>9552</v>
      </c>
      <c r="AI230" s="0" t="s">
        <v>5763</v>
      </c>
      <c r="AJ230" s="0" t="s">
        <v>656</v>
      </c>
      <c r="AK230" s="0" t="s">
        <v>9553</v>
      </c>
      <c r="AL230" s="0" t="s">
        <v>168</v>
      </c>
      <c r="AM230" s="0" t="s">
        <v>9554</v>
      </c>
      <c r="AN230" s="0" t="s">
        <v>9545</v>
      </c>
      <c r="AO230" s="5" t="s">
        <v>162</v>
      </c>
      <c r="AR230" s="0" t="str">
        <f aca="false">IF(AND(AU230="pass",AO230&lt;&gt;"Y",C230&lt;&gt;""),"Y","N")</f>
        <v>Y</v>
      </c>
      <c r="AS230" s="0" t="str">
        <f aca="false">_xlfn.TEXTJOIN("; ",TRUE(),IF(AU230&lt;&gt;"pass","gated out",""),IF(AO230="Y","on hold: "&amp;AP230,""),IF(C230="","no contact named on an opened page",""))</f>
        <v/>
      </c>
      <c r="AU230" s="0" t="s">
        <v>181</v>
      </c>
      <c r="AW230" s="0" t="s">
        <v>182</v>
      </c>
      <c r="AX230" s="0" t="s">
        <v>4594</v>
      </c>
      <c r="AY230" s="0" t="s">
        <v>9553</v>
      </c>
      <c r="AZ230" s="0" t="s">
        <v>5657</v>
      </c>
      <c r="BA230" s="0" t="s">
        <v>5329</v>
      </c>
      <c r="BB230" s="0" t="s">
        <v>163</v>
      </c>
      <c r="BD230" s="0" t="s">
        <v>163</v>
      </c>
      <c r="BE230" s="0" t="s">
        <v>5927</v>
      </c>
      <c r="BF230" s="0" t="s">
        <v>168</v>
      </c>
      <c r="BG230" s="0" t="s">
        <v>168</v>
      </c>
      <c r="BH230" s="0" t="s">
        <v>163</v>
      </c>
      <c r="BJ230" s="0" t="s">
        <v>5549</v>
      </c>
      <c r="BK230" s="0" t="s">
        <v>162</v>
      </c>
      <c r="BL230" s="0" t="s">
        <v>162</v>
      </c>
      <c r="BO230" s="0" t="s">
        <v>162</v>
      </c>
      <c r="BP230" s="0" t="n">
        <v>0</v>
      </c>
      <c r="BS230" s="0" t="s">
        <v>7160</v>
      </c>
      <c r="BT230" s="0" t="s">
        <v>9555</v>
      </c>
      <c r="BU230" s="0" t="s">
        <v>158</v>
      </c>
      <c r="BX230" s="0" t="s">
        <v>9556</v>
      </c>
      <c r="CA230" s="0" t="s">
        <v>9557</v>
      </c>
      <c r="CB230" s="0" t="s">
        <v>4609</v>
      </c>
      <c r="CC230" s="0" t="s">
        <v>9558</v>
      </c>
      <c r="CD230" s="0" t="s">
        <v>6723</v>
      </c>
      <c r="CE230" s="0" t="s">
        <v>6723</v>
      </c>
      <c r="CF230" s="0" t="s">
        <v>171</v>
      </c>
      <c r="CK230" s="0" t="s">
        <v>158</v>
      </c>
      <c r="CL230" s="0" t="n">
        <v>23</v>
      </c>
      <c r="CM230" s="0" t="n">
        <v>6</v>
      </c>
      <c r="CN230" s="0" t="n">
        <v>3</v>
      </c>
      <c r="CO230" s="0" t="n">
        <v>0</v>
      </c>
      <c r="CP230" s="0" t="n">
        <v>5</v>
      </c>
      <c r="CQ230" s="0" t="n">
        <v>7</v>
      </c>
      <c r="CR230" s="0" t="n">
        <v>6</v>
      </c>
      <c r="CS230" s="0" t="n">
        <f aca="false">IF(R230="Y",10,0)</f>
        <v>0</v>
      </c>
      <c r="CT230" s="0" t="n">
        <v>-4</v>
      </c>
      <c r="CU230" s="0" t="s">
        <v>9559</v>
      </c>
      <c r="CV230" s="0" t="s">
        <v>5562</v>
      </c>
      <c r="CW230" s="0" t="s">
        <v>9560</v>
      </c>
      <c r="CX230" s="0" t="s">
        <v>9561</v>
      </c>
      <c r="CY230" s="0" t="s">
        <v>9562</v>
      </c>
      <c r="CZ230" s="0" t="s">
        <v>9551</v>
      </c>
      <c r="DA230" s="0" t="s">
        <v>6234</v>
      </c>
      <c r="DC230" s="0" t="s">
        <v>1189</v>
      </c>
      <c r="DY230" s="0" t="str">
        <f aca="false">IF(ISNUMBER(MATCH(U230,{"queued","contacted","replied","call_booked","call_done","yes_in_principle","materials_sent"},0)),"Y","N")</f>
        <v>N</v>
      </c>
      <c r="DZ230" s="0" t="str">
        <f aca="false">IF(COUNTIFS($AN$2:$AN$1000,AN230,$DY$2:$DY$1000,"Y")+COUNTIFS($AN$2:$AN$1000,AN230,$T$2:$T$1000,"Y")&gt;0,"Y","N")</f>
        <v>N</v>
      </c>
      <c r="EA230" s="0" t="str">
        <f aca="false">IF(AND(U230="new",T230="N",AR230="Y",AQ230="",DZ230="N"),"Y","N")</f>
        <v>Y</v>
      </c>
      <c r="EB230" s="0" t="str">
        <f aca="false">IF(EA230&lt;&gt;"Y","N",IF(COUNTIFS($AN$2:$AN$1000,AN230,$EA$2:$EA$1000,"Y",$J$2:$J$1000,"&gt;"&amp;J230)+COUNTIFS($AN$2:$AN$1000,AN230,$EA$2:$EA$1000,"Y",$J$2:$J$1000,J230,$ED$2:$ED$1000,"&lt;"&amp;ED230)=0,"Y","N"))</f>
        <v>Y</v>
      </c>
      <c r="EC230" s="0" t="str">
        <f aca="false">IF(Y230="","N",IF(Y230&lt;=10,"Y","N"))</f>
        <v>N</v>
      </c>
      <c r="ED230" s="0" t="n">
        <f aca="false">ROW()-1</f>
        <v>229</v>
      </c>
    </row>
    <row r="231" customFormat="false" ht="15" hidden="false" customHeight="false" outlineLevel="0" collapsed="false">
      <c r="A231" s="0" t="s">
        <v>9563</v>
      </c>
      <c r="B231" s="0" t="s">
        <v>9564</v>
      </c>
      <c r="H231" s="5" t="s">
        <v>158</v>
      </c>
      <c r="I231" s="5"/>
      <c r="J231" s="0" t="n">
        <f aca="false">IF(AU231="pass",CM231+CN231+CO231+CP231+CQ231+CR231+CS231+CT231,0)</f>
        <v>23</v>
      </c>
      <c r="K231" s="0" t="s">
        <v>9565</v>
      </c>
      <c r="M231" s="0" t="s">
        <v>4580</v>
      </c>
      <c r="N231" s="0" t="s">
        <v>598</v>
      </c>
      <c r="O231" s="0" t="s">
        <v>9566</v>
      </c>
      <c r="P231" s="0" t="s">
        <v>6197</v>
      </c>
      <c r="Q231" s="0" t="s">
        <v>9567</v>
      </c>
      <c r="R231" s="5" t="s">
        <v>162</v>
      </c>
      <c r="S231" s="0" t="s">
        <v>168</v>
      </c>
      <c r="T231" s="5" t="s">
        <v>162</v>
      </c>
      <c r="U231" s="5" t="s">
        <v>561</v>
      </c>
      <c r="V231" s="0" t="s">
        <v>9568</v>
      </c>
      <c r="W231" s="0" t="s">
        <v>166</v>
      </c>
      <c r="X231" s="0" t="s">
        <v>4585</v>
      </c>
      <c r="Y231" s="0" t="str">
        <f aca="false">IF(EB231&lt;&gt;"Y","",COUNTIFS($EB$2:$EB$1000,"Y",$J$2:$J$1000,"&gt;"&amp;J231)+COUNTIFS($EB$2:$EB$1000,"Y",$J$2:$J$1000,J231,$ED$2:$ED$1000,"&lt;"&amp;ED231)+1)</f>
        <v/>
      </c>
      <c r="Z231" s="0" t="n">
        <v>230</v>
      </c>
      <c r="AA231" s="0" t="s">
        <v>162</v>
      </c>
      <c r="AB231" s="0" t="s">
        <v>6915</v>
      </c>
      <c r="AC231" s="0" t="s">
        <v>4587</v>
      </c>
      <c r="AD231" s="0" t="s">
        <v>598</v>
      </c>
      <c r="AE231" s="0" t="s">
        <v>172</v>
      </c>
      <c r="AF231" s="0" t="s">
        <v>9568</v>
      </c>
      <c r="AG231" s="0" t="s">
        <v>166</v>
      </c>
      <c r="AH231" s="0" t="s">
        <v>9569</v>
      </c>
      <c r="AI231" s="0" t="s">
        <v>4826</v>
      </c>
      <c r="AJ231" s="0" t="s">
        <v>9570</v>
      </c>
      <c r="AK231" s="0" t="s">
        <v>9571</v>
      </c>
      <c r="AL231" s="0" t="s">
        <v>168</v>
      </c>
      <c r="AM231" s="0" t="s">
        <v>9572</v>
      </c>
      <c r="AN231" s="0" t="s">
        <v>9563</v>
      </c>
      <c r="AO231" s="5" t="s">
        <v>162</v>
      </c>
      <c r="AR231" s="0" t="str">
        <f aca="false">IF(AND(AU231="pass",AO231&lt;&gt;"Y",C231&lt;&gt;""),"Y","N")</f>
        <v>N</v>
      </c>
      <c r="AS231" s="0" t="str">
        <f aca="false">_xlfn.TEXTJOIN("; ",TRUE(),IF(AU231&lt;&gt;"pass","gated out",""),IF(AO231="Y","on hold: "&amp;AP231,""),IF(C231="","no contact named on an opened page",""))</f>
        <v>no contact named on an opened page</v>
      </c>
      <c r="AU231" s="0" t="s">
        <v>181</v>
      </c>
      <c r="AW231" s="0" t="s">
        <v>182</v>
      </c>
      <c r="AX231" s="0" t="s">
        <v>4594</v>
      </c>
      <c r="AY231" s="0" t="s">
        <v>9571</v>
      </c>
      <c r="AZ231" s="0" t="s">
        <v>9573</v>
      </c>
      <c r="BA231" s="0" t="s">
        <v>5058</v>
      </c>
      <c r="BB231" s="0" t="s">
        <v>163</v>
      </c>
      <c r="BD231" s="0" t="s">
        <v>168</v>
      </c>
      <c r="BE231" s="0" t="s">
        <v>9574</v>
      </c>
      <c r="BF231" s="0" t="s">
        <v>168</v>
      </c>
      <c r="BG231" s="0" t="s">
        <v>168</v>
      </c>
      <c r="BH231" s="0" t="s">
        <v>163</v>
      </c>
      <c r="BJ231" s="0" t="s">
        <v>163</v>
      </c>
      <c r="BK231" s="0" t="s">
        <v>162</v>
      </c>
      <c r="BL231" s="0" t="s">
        <v>162</v>
      </c>
      <c r="BN231" s="0" t="n">
        <v>0</v>
      </c>
      <c r="BO231" s="0" t="s">
        <v>168</v>
      </c>
      <c r="BP231" s="0" t="n">
        <v>0</v>
      </c>
      <c r="BQ231" s="0" t="s">
        <v>9575</v>
      </c>
      <c r="BS231" s="0" t="s">
        <v>9576</v>
      </c>
      <c r="BT231" s="0" t="s">
        <v>9577</v>
      </c>
      <c r="BU231" s="0" t="s">
        <v>598</v>
      </c>
      <c r="BV231" s="0" t="n">
        <v>233</v>
      </c>
      <c r="BW231" s="0" t="s">
        <v>6197</v>
      </c>
      <c r="BX231" s="0" t="s">
        <v>9578</v>
      </c>
      <c r="BY231" s="0" t="s">
        <v>9579</v>
      </c>
      <c r="CF231" s="0" t="s">
        <v>158</v>
      </c>
      <c r="CK231" s="0" t="s">
        <v>158</v>
      </c>
      <c r="CL231" s="0" t="n">
        <v>23</v>
      </c>
      <c r="CM231" s="0" t="n">
        <v>6</v>
      </c>
      <c r="CN231" s="0" t="n">
        <v>3</v>
      </c>
      <c r="CO231" s="0" t="n">
        <v>0</v>
      </c>
      <c r="CP231" s="0" t="n">
        <v>5</v>
      </c>
      <c r="CQ231" s="0" t="n">
        <v>10</v>
      </c>
      <c r="CR231" s="0" t="n">
        <v>3</v>
      </c>
      <c r="CS231" s="0" t="n">
        <f aca="false">IF(R231="Y",10,0)</f>
        <v>0</v>
      </c>
      <c r="CT231" s="0" t="n">
        <v>-4</v>
      </c>
      <c r="CU231" s="0" t="s">
        <v>9580</v>
      </c>
      <c r="CV231" s="0" t="s">
        <v>4841</v>
      </c>
      <c r="CW231" s="0" t="s">
        <v>9581</v>
      </c>
      <c r="CX231" s="0" t="s">
        <v>9582</v>
      </c>
      <c r="CY231" s="0" t="s">
        <v>9583</v>
      </c>
      <c r="DA231" s="0" t="s">
        <v>6234</v>
      </c>
      <c r="DY231" s="0" t="str">
        <f aca="false">IF(ISNUMBER(MATCH(U231,{"queued","contacted","replied","call_booked","call_done","yes_in_principle","materials_sent"},0)),"Y","N")</f>
        <v>N</v>
      </c>
      <c r="DZ231" s="0" t="str">
        <f aca="false">IF(COUNTIFS($AN$2:$AN$1000,AN231,$DY$2:$DY$1000,"Y")+COUNTIFS($AN$2:$AN$1000,AN231,$T$2:$T$1000,"Y")&gt;0,"Y","N")</f>
        <v>N</v>
      </c>
      <c r="EA231" s="0" t="str">
        <f aca="false">IF(AND(U231="new",T231="N",AR231="Y",AQ231="",DZ231="N"),"Y","N")</f>
        <v>N</v>
      </c>
      <c r="EB231" s="0" t="str">
        <f aca="false">IF(EA231&lt;&gt;"Y","N",IF(COUNTIFS($AN$2:$AN$1000,AN231,$EA$2:$EA$1000,"Y",$J$2:$J$1000,"&gt;"&amp;J231)+COUNTIFS($AN$2:$AN$1000,AN231,$EA$2:$EA$1000,"Y",$J$2:$J$1000,J231,$ED$2:$ED$1000,"&lt;"&amp;ED231)=0,"Y","N"))</f>
        <v>N</v>
      </c>
      <c r="EC231" s="0" t="str">
        <f aca="false">IF(Y231="","N",IF(Y231&lt;=10,"Y","N"))</f>
        <v>N</v>
      </c>
      <c r="ED231" s="0" t="n">
        <f aca="false">ROW()-1</f>
        <v>230</v>
      </c>
    </row>
    <row r="232" customFormat="false" ht="15" hidden="false" customHeight="false" outlineLevel="0" collapsed="false">
      <c r="A232" s="0" t="s">
        <v>9584</v>
      </c>
      <c r="B232" s="0" t="s">
        <v>9585</v>
      </c>
      <c r="C232" s="0" t="s">
        <v>9586</v>
      </c>
      <c r="D232" s="0" t="s">
        <v>9587</v>
      </c>
      <c r="E232" s="0" t="s">
        <v>4771</v>
      </c>
      <c r="H232" s="5" t="s">
        <v>158</v>
      </c>
      <c r="I232" s="5" t="s">
        <v>159</v>
      </c>
      <c r="J232" s="0" t="n">
        <f aca="false">IF(AU232="pass",CM232+CN232+CO232+CP232+CQ232+CR232+CS232+CT232,0)</f>
        <v>23</v>
      </c>
      <c r="K232" s="0" t="s">
        <v>9588</v>
      </c>
      <c r="M232" s="0" t="s">
        <v>5291</v>
      </c>
      <c r="N232" s="0" t="s">
        <v>598</v>
      </c>
      <c r="R232" s="5" t="s">
        <v>162</v>
      </c>
      <c r="S232" s="0" t="s">
        <v>163</v>
      </c>
      <c r="T232" s="5" t="s">
        <v>162</v>
      </c>
      <c r="U232" s="5" t="s">
        <v>561</v>
      </c>
      <c r="V232" s="0" t="s">
        <v>9589</v>
      </c>
      <c r="W232" s="0" t="s">
        <v>166</v>
      </c>
      <c r="X232" s="0" t="s">
        <v>4585</v>
      </c>
      <c r="Y232" s="0" t="n">
        <f aca="false">IF(EB232&lt;&gt;"Y","",COUNTIFS($EB$2:$EB$1000,"Y",$J$2:$J$1000,"&gt;"&amp;J232)+COUNTIFS($EB$2:$EB$1000,"Y",$J$2:$J$1000,J232,$ED$2:$ED$1000,"&lt;"&amp;ED232)+1)</f>
        <v>178</v>
      </c>
      <c r="Z232" s="0" t="n">
        <v>231</v>
      </c>
      <c r="AA232" s="0" t="s">
        <v>162</v>
      </c>
      <c r="AB232" s="0" t="s">
        <v>9590</v>
      </c>
      <c r="AC232" s="0" t="s">
        <v>4587</v>
      </c>
      <c r="AD232" s="0" t="s">
        <v>171</v>
      </c>
      <c r="AE232" s="0" t="s">
        <v>172</v>
      </c>
      <c r="AF232" s="0" t="s">
        <v>9589</v>
      </c>
      <c r="AG232" s="0" t="s">
        <v>166</v>
      </c>
      <c r="AH232" s="0" t="s">
        <v>9591</v>
      </c>
      <c r="AI232" s="0" t="s">
        <v>5924</v>
      </c>
      <c r="AJ232" s="0" t="s">
        <v>9592</v>
      </c>
      <c r="AK232" s="0" t="s">
        <v>9593</v>
      </c>
      <c r="AL232" s="0" t="s">
        <v>168</v>
      </c>
      <c r="AM232" s="0" t="s">
        <v>9594</v>
      </c>
      <c r="AN232" s="0" t="s">
        <v>9584</v>
      </c>
      <c r="AO232" s="5" t="s">
        <v>162</v>
      </c>
      <c r="AR232" s="0" t="str">
        <f aca="false">IF(AND(AU232="pass",AO232&lt;&gt;"Y",C232&lt;&gt;""),"Y","N")</f>
        <v>Y</v>
      </c>
      <c r="AS232" s="0" t="str">
        <f aca="false">_xlfn.TEXTJOIN("; ",TRUE(),IF(AU232&lt;&gt;"pass","gated out",""),IF(AO232="Y","on hold: "&amp;AP232,""),IF(C232="","no contact named on an opened page",""))</f>
        <v/>
      </c>
      <c r="AU232" s="0" t="s">
        <v>181</v>
      </c>
      <c r="AW232" s="0" t="s">
        <v>182</v>
      </c>
      <c r="AX232" s="0" t="s">
        <v>4828</v>
      </c>
      <c r="AY232" s="0" t="s">
        <v>9593</v>
      </c>
      <c r="AZ232" s="0" t="s">
        <v>5657</v>
      </c>
      <c r="BA232" s="0" t="s">
        <v>5329</v>
      </c>
      <c r="BB232" s="0" t="s">
        <v>163</v>
      </c>
      <c r="BD232" s="0" t="s">
        <v>168</v>
      </c>
      <c r="BE232" s="0" t="s">
        <v>9595</v>
      </c>
      <c r="BF232" s="0" t="s">
        <v>162</v>
      </c>
      <c r="BG232" s="0" t="s">
        <v>168</v>
      </c>
      <c r="BH232" s="0" t="s">
        <v>163</v>
      </c>
      <c r="BJ232" s="0" t="s">
        <v>5549</v>
      </c>
      <c r="BK232" s="0" t="s">
        <v>162</v>
      </c>
      <c r="BL232" s="0" t="s">
        <v>162</v>
      </c>
      <c r="BO232" s="0" t="s">
        <v>162</v>
      </c>
      <c r="BP232" s="0" t="n">
        <v>0</v>
      </c>
      <c r="BS232" s="0" t="s">
        <v>9596</v>
      </c>
      <c r="BT232" s="0" t="s">
        <v>9597</v>
      </c>
      <c r="BU232" s="0" t="s">
        <v>158</v>
      </c>
      <c r="BX232" s="0" t="s">
        <v>9598</v>
      </c>
      <c r="CF232" s="0" t="s">
        <v>158</v>
      </c>
      <c r="CK232" s="0" t="s">
        <v>158</v>
      </c>
      <c r="CL232" s="0" t="n">
        <v>23</v>
      </c>
      <c r="CM232" s="0" t="n">
        <v>6</v>
      </c>
      <c r="CN232" s="0" t="n">
        <v>3</v>
      </c>
      <c r="CO232" s="0" t="n">
        <v>0</v>
      </c>
      <c r="CP232" s="0" t="n">
        <v>5</v>
      </c>
      <c r="CQ232" s="0" t="n">
        <v>7</v>
      </c>
      <c r="CR232" s="0" t="n">
        <v>6</v>
      </c>
      <c r="CS232" s="0" t="n">
        <f aca="false">IF(R232="Y",10,0)</f>
        <v>0</v>
      </c>
      <c r="CT232" s="0" t="n">
        <v>-4</v>
      </c>
      <c r="CU232" s="0" t="s">
        <v>9599</v>
      </c>
      <c r="CV232" s="0" t="s">
        <v>5562</v>
      </c>
      <c r="CW232" s="0" t="s">
        <v>9600</v>
      </c>
      <c r="CX232" s="0" t="s">
        <v>9601</v>
      </c>
      <c r="CY232" s="0" t="s">
        <v>9602</v>
      </c>
      <c r="DA232" s="0" t="s">
        <v>6234</v>
      </c>
      <c r="DY232" s="0" t="str">
        <f aca="false">IF(ISNUMBER(MATCH(U232,{"queued","contacted","replied","call_booked","call_done","yes_in_principle","materials_sent"},0)),"Y","N")</f>
        <v>N</v>
      </c>
      <c r="DZ232" s="0" t="str">
        <f aca="false">IF(COUNTIFS($AN$2:$AN$1000,AN232,$DY$2:$DY$1000,"Y")+COUNTIFS($AN$2:$AN$1000,AN232,$T$2:$T$1000,"Y")&gt;0,"Y","N")</f>
        <v>N</v>
      </c>
      <c r="EA232" s="0" t="str">
        <f aca="false">IF(AND(U232="new",T232="N",AR232="Y",AQ232="",DZ232="N"),"Y","N")</f>
        <v>Y</v>
      </c>
      <c r="EB232" s="0" t="str">
        <f aca="false">IF(EA232&lt;&gt;"Y","N",IF(COUNTIFS($AN$2:$AN$1000,AN232,$EA$2:$EA$1000,"Y",$J$2:$J$1000,"&gt;"&amp;J232)+COUNTIFS($AN$2:$AN$1000,AN232,$EA$2:$EA$1000,"Y",$J$2:$J$1000,J232,$ED$2:$ED$1000,"&lt;"&amp;ED232)=0,"Y","N"))</f>
        <v>Y</v>
      </c>
      <c r="EC232" s="0" t="str">
        <f aca="false">IF(Y232="","N",IF(Y232&lt;=10,"Y","N"))</f>
        <v>N</v>
      </c>
      <c r="ED232" s="0" t="n">
        <f aca="false">ROW()-1</f>
        <v>231</v>
      </c>
    </row>
    <row r="233" customFormat="false" ht="15" hidden="false" customHeight="false" outlineLevel="0" collapsed="false">
      <c r="A233" s="0" t="s">
        <v>9603</v>
      </c>
      <c r="B233" s="0" t="s">
        <v>9604</v>
      </c>
      <c r="C233" s="0" t="s">
        <v>9605</v>
      </c>
      <c r="D233" s="0" t="s">
        <v>8427</v>
      </c>
      <c r="E233" s="0" t="s">
        <v>4625</v>
      </c>
      <c r="H233" s="5" t="s">
        <v>158</v>
      </c>
      <c r="I233" s="5" t="s">
        <v>159</v>
      </c>
      <c r="J233" s="0" t="n">
        <f aca="false">IF(AU233="pass",CM233+CN233+CO233+CP233+CQ233+CR233+CS233+CT233,0)</f>
        <v>22</v>
      </c>
      <c r="K233" s="0" t="s">
        <v>9606</v>
      </c>
      <c r="M233" s="0" t="s">
        <v>4580</v>
      </c>
      <c r="N233" s="0" t="s">
        <v>598</v>
      </c>
      <c r="O233" s="0" t="s">
        <v>9607</v>
      </c>
      <c r="P233" s="0" t="s">
        <v>9608</v>
      </c>
      <c r="Q233" s="0" t="s">
        <v>7153</v>
      </c>
      <c r="R233" s="5" t="s">
        <v>162</v>
      </c>
      <c r="S233" s="0" t="s">
        <v>163</v>
      </c>
      <c r="T233" s="5" t="s">
        <v>162</v>
      </c>
      <c r="U233" s="5" t="s">
        <v>561</v>
      </c>
      <c r="V233" s="0" t="s">
        <v>9609</v>
      </c>
      <c r="W233" s="0" t="s">
        <v>166</v>
      </c>
      <c r="X233" s="0" t="s">
        <v>4585</v>
      </c>
      <c r="Y233" s="0" t="n">
        <f aca="false">IF(EB233&lt;&gt;"Y","",COUNTIFS($EB$2:$EB$1000,"Y",$J$2:$J$1000,"&gt;"&amp;J233)+COUNTIFS($EB$2:$EB$1000,"Y",$J$2:$J$1000,J233,$ED$2:$ED$1000,"&lt;"&amp;ED233)+1)</f>
        <v>179</v>
      </c>
      <c r="Z233" s="0" t="n">
        <v>232</v>
      </c>
      <c r="AA233" s="0" t="s">
        <v>162</v>
      </c>
      <c r="AB233" s="0" t="s">
        <v>9610</v>
      </c>
      <c r="AC233" s="0" t="s">
        <v>4587</v>
      </c>
      <c r="AD233" s="0" t="s">
        <v>171</v>
      </c>
      <c r="AE233" s="0" t="s">
        <v>172</v>
      </c>
      <c r="AF233" s="0" t="s">
        <v>9611</v>
      </c>
      <c r="AG233" s="0" t="s">
        <v>166</v>
      </c>
      <c r="AH233" s="0" t="s">
        <v>9612</v>
      </c>
      <c r="AI233" s="0" t="s">
        <v>5028</v>
      </c>
      <c r="AJ233" s="0" t="s">
        <v>9613</v>
      </c>
      <c r="AK233" s="0" t="s">
        <v>9614</v>
      </c>
      <c r="AL233" s="0" t="s">
        <v>168</v>
      </c>
      <c r="AM233" s="0" t="s">
        <v>9615</v>
      </c>
      <c r="AN233" s="0" t="s">
        <v>9603</v>
      </c>
      <c r="AO233" s="5" t="s">
        <v>162</v>
      </c>
      <c r="AR233" s="0" t="str">
        <f aca="false">IF(AND(AU233="pass",AO233&lt;&gt;"Y",C233&lt;&gt;""),"Y","N")</f>
        <v>Y</v>
      </c>
      <c r="AS233" s="0" t="str">
        <f aca="false">_xlfn.TEXTJOIN("; ",TRUE(),IF(AU233&lt;&gt;"pass","gated out",""),IF(AO233="Y","on hold: "&amp;AP233,""),IF(C233="","no contact named on an opened page",""))</f>
        <v/>
      </c>
      <c r="AU233" s="0" t="s">
        <v>181</v>
      </c>
      <c r="AW233" s="0" t="s">
        <v>182</v>
      </c>
      <c r="AX233" s="0" t="s">
        <v>7614</v>
      </c>
      <c r="AY233" s="0" t="s">
        <v>9614</v>
      </c>
      <c r="AZ233" s="0" t="s">
        <v>6689</v>
      </c>
      <c r="BA233" s="0" t="s">
        <v>5191</v>
      </c>
      <c r="BB233" s="0" t="s">
        <v>9616</v>
      </c>
      <c r="BC233" s="0" t="s">
        <v>9617</v>
      </c>
      <c r="BD233" s="0" t="s">
        <v>168</v>
      </c>
      <c r="BE233" s="0" t="s">
        <v>9618</v>
      </c>
      <c r="BF233" s="0" t="s">
        <v>168</v>
      </c>
      <c r="BG233" s="0" t="s">
        <v>168</v>
      </c>
      <c r="BH233" s="0" t="s">
        <v>163</v>
      </c>
      <c r="BJ233" s="0" t="s">
        <v>9619</v>
      </c>
      <c r="BK233" s="0" t="s">
        <v>162</v>
      </c>
      <c r="BL233" s="0" t="s">
        <v>162</v>
      </c>
      <c r="BN233" s="0" t="n">
        <v>0</v>
      </c>
      <c r="BO233" s="0" t="s">
        <v>168</v>
      </c>
      <c r="BP233" s="0" t="n">
        <v>0</v>
      </c>
      <c r="BQ233" s="0" t="s">
        <v>9620</v>
      </c>
      <c r="BR233" s="0" t="s">
        <v>9621</v>
      </c>
      <c r="BS233" s="0" t="s">
        <v>9622</v>
      </c>
      <c r="BT233" s="0" t="s">
        <v>9623</v>
      </c>
      <c r="BU233" s="0" t="s">
        <v>4694</v>
      </c>
      <c r="BV233" s="0" t="n">
        <v>115</v>
      </c>
      <c r="BX233" s="0" t="s">
        <v>9624</v>
      </c>
      <c r="BY233" s="0" t="s">
        <v>9625</v>
      </c>
      <c r="CA233" s="0" t="s">
        <v>9626</v>
      </c>
      <c r="CB233" s="0" t="s">
        <v>9627</v>
      </c>
      <c r="CC233" s="0" t="s">
        <v>9628</v>
      </c>
      <c r="CD233" s="0" t="s">
        <v>9629</v>
      </c>
      <c r="CE233" s="0" t="s">
        <v>6260</v>
      </c>
      <c r="CF233" s="0" t="s">
        <v>171</v>
      </c>
      <c r="CK233" s="0" t="s">
        <v>158</v>
      </c>
      <c r="CL233" s="0" t="n">
        <v>22</v>
      </c>
      <c r="CM233" s="0" t="n">
        <v>6</v>
      </c>
      <c r="CN233" s="0" t="n">
        <v>8</v>
      </c>
      <c r="CO233" s="0" t="n">
        <v>8</v>
      </c>
      <c r="CP233" s="0" t="n">
        <v>5</v>
      </c>
      <c r="CQ233" s="0" t="n">
        <v>10</v>
      </c>
      <c r="CR233" s="0" t="n">
        <v>10</v>
      </c>
      <c r="CS233" s="0" t="n">
        <f aca="false">IF(R233="Y",10,0)</f>
        <v>0</v>
      </c>
      <c r="CT233" s="0" t="n">
        <v>-25</v>
      </c>
      <c r="CV233" s="0" t="s">
        <v>4615</v>
      </c>
      <c r="CW233" s="0" t="s">
        <v>9630</v>
      </c>
      <c r="CX233" s="0" t="s">
        <v>9631</v>
      </c>
      <c r="CY233" s="0" t="s">
        <v>9632</v>
      </c>
      <c r="CZ233" s="0" t="s">
        <v>9617</v>
      </c>
      <c r="DA233" s="0" t="s">
        <v>6234</v>
      </c>
      <c r="DC233" s="0" t="s">
        <v>1189</v>
      </c>
      <c r="DY233" s="0" t="str">
        <f aca="false">IF(ISNUMBER(MATCH(U233,{"queued","contacted","replied","call_booked","call_done","yes_in_principle","materials_sent"},0)),"Y","N")</f>
        <v>N</v>
      </c>
      <c r="DZ233" s="0" t="str">
        <f aca="false">IF(COUNTIFS($AN$2:$AN$1000,AN233,$DY$2:$DY$1000,"Y")+COUNTIFS($AN$2:$AN$1000,AN233,$T$2:$T$1000,"Y")&gt;0,"Y","N")</f>
        <v>N</v>
      </c>
      <c r="EA233" s="0" t="str">
        <f aca="false">IF(AND(U233="new",T233="N",AR233="Y",AQ233="",DZ233="N"),"Y","N")</f>
        <v>Y</v>
      </c>
      <c r="EB233" s="0" t="str">
        <f aca="false">IF(EA233&lt;&gt;"Y","N",IF(COUNTIFS($AN$2:$AN$1000,AN233,$EA$2:$EA$1000,"Y",$J$2:$J$1000,"&gt;"&amp;J233)+COUNTIFS($AN$2:$AN$1000,AN233,$EA$2:$EA$1000,"Y",$J$2:$J$1000,J233,$ED$2:$ED$1000,"&lt;"&amp;ED233)=0,"Y","N"))</f>
        <v>Y</v>
      </c>
      <c r="EC233" s="0" t="str">
        <f aca="false">IF(Y233="","N",IF(Y233&lt;=10,"Y","N"))</f>
        <v>N</v>
      </c>
      <c r="ED233" s="0" t="n">
        <f aca="false">ROW()-1</f>
        <v>232</v>
      </c>
    </row>
    <row r="234" customFormat="false" ht="15" hidden="false" customHeight="false" outlineLevel="0" collapsed="false">
      <c r="A234" s="0" t="s">
        <v>9633</v>
      </c>
      <c r="B234" s="0" t="s">
        <v>9634</v>
      </c>
      <c r="H234" s="5" t="s">
        <v>158</v>
      </c>
      <c r="I234" s="5"/>
      <c r="J234" s="0" t="n">
        <f aca="false">IF(AU234="pass",CM234+CN234+CO234+CP234+CQ234+CR234+CS234+CT234,0)</f>
        <v>20</v>
      </c>
      <c r="K234" s="0" t="s">
        <v>9635</v>
      </c>
      <c r="M234" s="0" t="s">
        <v>5291</v>
      </c>
      <c r="N234" s="0" t="s">
        <v>598</v>
      </c>
      <c r="O234" s="0" t="s">
        <v>9636</v>
      </c>
      <c r="P234" s="0" t="s">
        <v>9637</v>
      </c>
      <c r="Q234" s="0" t="s">
        <v>1535</v>
      </c>
      <c r="R234" s="5" t="s">
        <v>162</v>
      </c>
      <c r="S234" s="0" t="s">
        <v>163</v>
      </c>
      <c r="T234" s="5" t="s">
        <v>162</v>
      </c>
      <c r="U234" s="5" t="s">
        <v>561</v>
      </c>
      <c r="V234" s="0" t="s">
        <v>9638</v>
      </c>
      <c r="W234" s="0" t="s">
        <v>166</v>
      </c>
      <c r="X234" s="0" t="s">
        <v>4585</v>
      </c>
      <c r="Y234" s="0" t="str">
        <f aca="false">IF(EB234&lt;&gt;"Y","",COUNTIFS($EB$2:$EB$1000,"Y",$J$2:$J$1000,"&gt;"&amp;J234)+COUNTIFS($EB$2:$EB$1000,"Y",$J$2:$J$1000,J234,$ED$2:$ED$1000,"&lt;"&amp;ED234)+1)</f>
        <v/>
      </c>
      <c r="Z234" s="0" t="n">
        <v>233</v>
      </c>
      <c r="AA234" s="0" t="s">
        <v>162</v>
      </c>
      <c r="AB234" s="0" t="s">
        <v>9639</v>
      </c>
      <c r="AD234" s="0" t="s">
        <v>158</v>
      </c>
      <c r="AH234" s="0" t="s">
        <v>9640</v>
      </c>
      <c r="AI234" s="0" t="s">
        <v>4590</v>
      </c>
      <c r="AJ234" s="0" t="s">
        <v>9641</v>
      </c>
      <c r="AK234" s="0" t="s">
        <v>9638</v>
      </c>
      <c r="AL234" s="0" t="s">
        <v>168</v>
      </c>
      <c r="AM234" s="0" t="s">
        <v>9642</v>
      </c>
      <c r="AN234" s="0" t="s">
        <v>9633</v>
      </c>
      <c r="AO234" s="5" t="s">
        <v>162</v>
      </c>
      <c r="AR234" s="0" t="str">
        <f aca="false">IF(AND(AU234="pass",AO234&lt;&gt;"Y",C234&lt;&gt;""),"Y","N")</f>
        <v>N</v>
      </c>
      <c r="AS234" s="0" t="str">
        <f aca="false">_xlfn.TEXTJOIN("; ",TRUE(),IF(AU234&lt;&gt;"pass","gated out",""),IF(AO234="Y","on hold: "&amp;AP234,""),IF(C234="","no contact named on an opened page",""))</f>
        <v>no contact named on an opened page</v>
      </c>
      <c r="AU234" s="0" t="s">
        <v>181</v>
      </c>
      <c r="AW234" s="0" t="s">
        <v>182</v>
      </c>
      <c r="AX234" s="0" t="s">
        <v>6031</v>
      </c>
      <c r="AY234" s="0" t="s">
        <v>9638</v>
      </c>
      <c r="AZ234" s="0" t="s">
        <v>6476</v>
      </c>
      <c r="BA234" s="0" t="s">
        <v>5191</v>
      </c>
      <c r="BB234" s="0" t="s">
        <v>9643</v>
      </c>
      <c r="BD234" s="0" t="s">
        <v>163</v>
      </c>
      <c r="BE234" s="0" t="s">
        <v>5927</v>
      </c>
      <c r="BF234" s="0" t="s">
        <v>168</v>
      </c>
      <c r="BG234" s="0" t="s">
        <v>168</v>
      </c>
      <c r="BH234" s="0" t="s">
        <v>163</v>
      </c>
      <c r="BJ234" s="0" t="s">
        <v>5549</v>
      </c>
      <c r="BK234" s="0" t="s">
        <v>162</v>
      </c>
      <c r="BL234" s="0" t="s">
        <v>162</v>
      </c>
      <c r="BO234" s="0" t="s">
        <v>162</v>
      </c>
      <c r="BP234" s="0" t="n">
        <v>0</v>
      </c>
      <c r="BS234" s="0" t="s">
        <v>163</v>
      </c>
      <c r="BU234" s="0" t="s">
        <v>4694</v>
      </c>
      <c r="BV234" s="0" t="n">
        <v>193</v>
      </c>
      <c r="CF234" s="0" t="s">
        <v>158</v>
      </c>
      <c r="CK234" s="0" t="s">
        <v>158</v>
      </c>
      <c r="CL234" s="0" t="n">
        <v>20</v>
      </c>
      <c r="CM234" s="0" t="n">
        <v>6</v>
      </c>
      <c r="CN234" s="0" t="n">
        <v>8</v>
      </c>
      <c r="CO234" s="0" t="n">
        <v>4</v>
      </c>
      <c r="CP234" s="0" t="n">
        <v>5</v>
      </c>
      <c r="CQ234" s="0" t="n">
        <v>7</v>
      </c>
      <c r="CR234" s="0" t="n">
        <v>0</v>
      </c>
      <c r="CS234" s="0" t="n">
        <f aca="false">IF(R234="Y",10,0)</f>
        <v>0</v>
      </c>
      <c r="CT234" s="0" t="n">
        <v>-10</v>
      </c>
      <c r="CU234" s="0" t="s">
        <v>9644</v>
      </c>
      <c r="CV234" s="0" t="s">
        <v>5562</v>
      </c>
      <c r="CW234" s="0" t="s">
        <v>9645</v>
      </c>
      <c r="CX234" s="0" t="s">
        <v>9646</v>
      </c>
      <c r="CY234" s="0" t="s">
        <v>9647</v>
      </c>
      <c r="DA234" s="0" t="s">
        <v>6234</v>
      </c>
      <c r="DY234" s="0" t="str">
        <f aca="false">IF(ISNUMBER(MATCH(U234,{"queued","contacted","replied","call_booked","call_done","yes_in_principle","materials_sent"},0)),"Y","N")</f>
        <v>N</v>
      </c>
      <c r="DZ234" s="0" t="str">
        <f aca="false">IF(COUNTIFS($AN$2:$AN$1000,AN234,$DY$2:$DY$1000,"Y")+COUNTIFS($AN$2:$AN$1000,AN234,$T$2:$T$1000,"Y")&gt;0,"Y","N")</f>
        <v>N</v>
      </c>
      <c r="EA234" s="0" t="str">
        <f aca="false">IF(AND(U234="new",T234="N",AR234="Y",AQ234="",DZ234="N"),"Y","N")</f>
        <v>N</v>
      </c>
      <c r="EB234" s="0" t="str">
        <f aca="false">IF(EA234&lt;&gt;"Y","N",IF(COUNTIFS($AN$2:$AN$1000,AN234,$EA$2:$EA$1000,"Y",$J$2:$J$1000,"&gt;"&amp;J234)+COUNTIFS($AN$2:$AN$1000,AN234,$EA$2:$EA$1000,"Y",$J$2:$J$1000,J234,$ED$2:$ED$1000,"&lt;"&amp;ED234)=0,"Y","N"))</f>
        <v>N</v>
      </c>
      <c r="EC234" s="0" t="str">
        <f aca="false">IF(Y234="","N",IF(Y234&lt;=10,"Y","N"))</f>
        <v>N</v>
      </c>
      <c r="ED234" s="0" t="n">
        <f aca="false">ROW()-1</f>
        <v>233</v>
      </c>
    </row>
    <row r="235" customFormat="false" ht="15" hidden="false" customHeight="false" outlineLevel="0" collapsed="false">
      <c r="A235" s="0" t="s">
        <v>9648</v>
      </c>
      <c r="B235" s="0" t="s">
        <v>9649</v>
      </c>
      <c r="C235" s="0" t="s">
        <v>9236</v>
      </c>
      <c r="D235" s="0" t="s">
        <v>9650</v>
      </c>
      <c r="E235" s="0" t="s">
        <v>9651</v>
      </c>
      <c r="H235" s="5" t="s">
        <v>158</v>
      </c>
      <c r="I235" s="5" t="s">
        <v>159</v>
      </c>
      <c r="J235" s="0" t="n">
        <f aca="false">IF(AU235="pass",CM235+CN235+CO235+CP235+CQ235+CR235+CS235+CT235,0)</f>
        <v>20</v>
      </c>
      <c r="K235" s="0" t="s">
        <v>9652</v>
      </c>
      <c r="M235" s="0" t="s">
        <v>5291</v>
      </c>
      <c r="N235" s="0" t="s">
        <v>598</v>
      </c>
      <c r="O235" s="0" t="s">
        <v>9653</v>
      </c>
      <c r="P235" s="0" t="s">
        <v>9654</v>
      </c>
      <c r="R235" s="5" t="s">
        <v>162</v>
      </c>
      <c r="S235" s="0" t="s">
        <v>163</v>
      </c>
      <c r="T235" s="5" t="s">
        <v>162</v>
      </c>
      <c r="U235" s="5" t="s">
        <v>561</v>
      </c>
      <c r="V235" s="0" t="s">
        <v>9655</v>
      </c>
      <c r="W235" s="0" t="s">
        <v>166</v>
      </c>
      <c r="X235" s="0" t="s">
        <v>4585</v>
      </c>
      <c r="Y235" s="0" t="n">
        <f aca="false">IF(EB235&lt;&gt;"Y","",COUNTIFS($EB$2:$EB$1000,"Y",$J$2:$J$1000,"&gt;"&amp;J235)+COUNTIFS($EB$2:$EB$1000,"Y",$J$2:$J$1000,J235,$ED$2:$ED$1000,"&lt;"&amp;ED235)+1)</f>
        <v>180</v>
      </c>
      <c r="Z235" s="0" t="n">
        <v>234</v>
      </c>
      <c r="AA235" s="0" t="s">
        <v>162</v>
      </c>
      <c r="AB235" s="0" t="s">
        <v>9656</v>
      </c>
      <c r="AC235" s="0" t="s">
        <v>6260</v>
      </c>
      <c r="AD235" s="0" t="s">
        <v>171</v>
      </c>
      <c r="AE235" s="0" t="s">
        <v>1189</v>
      </c>
      <c r="AF235" s="0" t="s">
        <v>9657</v>
      </c>
      <c r="AG235" s="0" t="s">
        <v>166</v>
      </c>
      <c r="AH235" s="0" t="s">
        <v>9658</v>
      </c>
      <c r="AI235" s="0" t="s">
        <v>5763</v>
      </c>
      <c r="AJ235" s="0" t="s">
        <v>163</v>
      </c>
      <c r="AK235" s="0" t="s">
        <v>9659</v>
      </c>
      <c r="AL235" s="0" t="s">
        <v>168</v>
      </c>
      <c r="AM235" s="0" t="s">
        <v>9660</v>
      </c>
      <c r="AN235" s="0" t="s">
        <v>9648</v>
      </c>
      <c r="AO235" s="5" t="s">
        <v>162</v>
      </c>
      <c r="AR235" s="0" t="str">
        <f aca="false">IF(AND(AU235="pass",AO235&lt;&gt;"Y",C235&lt;&gt;""),"Y","N")</f>
        <v>Y</v>
      </c>
      <c r="AS235" s="0" t="str">
        <f aca="false">_xlfn.TEXTJOIN("; ",TRUE(),IF(AU235&lt;&gt;"pass","gated out",""),IF(AO235="Y","on hold: "&amp;AP235,""),IF(C235="","no contact named on an opened page",""))</f>
        <v/>
      </c>
      <c r="AU235" s="0" t="s">
        <v>181</v>
      </c>
      <c r="AW235" s="0" t="s">
        <v>182</v>
      </c>
      <c r="AX235" s="0" t="s">
        <v>5221</v>
      </c>
      <c r="AY235" s="0" t="s">
        <v>9659</v>
      </c>
      <c r="AZ235" s="0" t="s">
        <v>163</v>
      </c>
      <c r="BA235" s="0" t="s">
        <v>163</v>
      </c>
      <c r="BB235" s="0" t="s">
        <v>163</v>
      </c>
      <c r="BD235" s="0" t="s">
        <v>163</v>
      </c>
      <c r="BE235" s="0" t="s">
        <v>8632</v>
      </c>
      <c r="BF235" s="0" t="s">
        <v>168</v>
      </c>
      <c r="BG235" s="0" t="s">
        <v>168</v>
      </c>
      <c r="BH235" s="0" t="s">
        <v>163</v>
      </c>
      <c r="BJ235" s="0" t="s">
        <v>5549</v>
      </c>
      <c r="BK235" s="0" t="s">
        <v>168</v>
      </c>
      <c r="BL235" s="0" t="s">
        <v>162</v>
      </c>
      <c r="BO235" s="0" t="s">
        <v>162</v>
      </c>
      <c r="BP235" s="0" t="n">
        <v>0</v>
      </c>
      <c r="BS235" s="0" t="s">
        <v>8243</v>
      </c>
      <c r="BU235" s="0" t="s">
        <v>158</v>
      </c>
      <c r="BX235" s="0" t="s">
        <v>9661</v>
      </c>
      <c r="CF235" s="0" t="s">
        <v>158</v>
      </c>
      <c r="CK235" s="0" t="s">
        <v>158</v>
      </c>
      <c r="CL235" s="0" t="n">
        <v>20</v>
      </c>
      <c r="CM235" s="0" t="n">
        <v>6</v>
      </c>
      <c r="CN235" s="0" t="n">
        <v>4</v>
      </c>
      <c r="CO235" s="0" t="n">
        <v>0</v>
      </c>
      <c r="CP235" s="0" t="n">
        <v>5</v>
      </c>
      <c r="CQ235" s="0" t="n">
        <v>7</v>
      </c>
      <c r="CR235" s="0" t="n">
        <v>10</v>
      </c>
      <c r="CS235" s="0" t="n">
        <f aca="false">IF(R235="Y",10,0)</f>
        <v>0</v>
      </c>
      <c r="CT235" s="0" t="n">
        <v>-12</v>
      </c>
      <c r="CU235" s="0" t="s">
        <v>9662</v>
      </c>
      <c r="CV235" s="0" t="s">
        <v>5562</v>
      </c>
      <c r="CW235" s="0" t="s">
        <v>9663</v>
      </c>
      <c r="CX235" s="0" t="s">
        <v>9664</v>
      </c>
      <c r="CY235" s="0" t="s">
        <v>9665</v>
      </c>
      <c r="DA235" s="0" t="s">
        <v>6234</v>
      </c>
      <c r="DY235" s="0" t="str">
        <f aca="false">IF(ISNUMBER(MATCH(U235,{"queued","contacted","replied","call_booked","call_done","yes_in_principle","materials_sent"},0)),"Y","N")</f>
        <v>N</v>
      </c>
      <c r="DZ235" s="0" t="str">
        <f aca="false">IF(COUNTIFS($AN$2:$AN$1000,AN235,$DY$2:$DY$1000,"Y")+COUNTIFS($AN$2:$AN$1000,AN235,$T$2:$T$1000,"Y")&gt;0,"Y","N")</f>
        <v>N</v>
      </c>
      <c r="EA235" s="0" t="str">
        <f aca="false">IF(AND(U235="new",T235="N",AR235="Y",AQ235="",DZ235="N"),"Y","N")</f>
        <v>Y</v>
      </c>
      <c r="EB235" s="0" t="str">
        <f aca="false">IF(EA235&lt;&gt;"Y","N",IF(COUNTIFS($AN$2:$AN$1000,AN235,$EA$2:$EA$1000,"Y",$J$2:$J$1000,"&gt;"&amp;J235)+COUNTIFS($AN$2:$AN$1000,AN235,$EA$2:$EA$1000,"Y",$J$2:$J$1000,J235,$ED$2:$ED$1000,"&lt;"&amp;ED235)=0,"Y","N"))</f>
        <v>Y</v>
      </c>
      <c r="EC235" s="0" t="str">
        <f aca="false">IF(Y235="","N",IF(Y235&lt;=10,"Y","N"))</f>
        <v>N</v>
      </c>
      <c r="ED235" s="0" t="n">
        <f aca="false">ROW()-1</f>
        <v>234</v>
      </c>
    </row>
    <row r="236" customFormat="false" ht="15" hidden="false" customHeight="false" outlineLevel="0" collapsed="false">
      <c r="A236" s="0" t="s">
        <v>9666</v>
      </c>
      <c r="B236" s="0" t="s">
        <v>9667</v>
      </c>
      <c r="H236" s="5" t="s">
        <v>158</v>
      </c>
      <c r="I236" s="5"/>
      <c r="J236" s="0" t="n">
        <f aca="false">IF(AU236="pass",CM236+CN236+CO236+CP236+CQ236+CR236+CS236+CT236,0)</f>
        <v>20</v>
      </c>
      <c r="K236" s="0" t="s">
        <v>9668</v>
      </c>
      <c r="M236" s="0" t="s">
        <v>5291</v>
      </c>
      <c r="N236" s="0" t="s">
        <v>598</v>
      </c>
      <c r="R236" s="5" t="s">
        <v>162</v>
      </c>
      <c r="S236" s="0" t="s">
        <v>163</v>
      </c>
      <c r="T236" s="5" t="s">
        <v>162</v>
      </c>
      <c r="U236" s="5" t="s">
        <v>561</v>
      </c>
      <c r="V236" s="0" t="s">
        <v>9669</v>
      </c>
      <c r="W236" s="0" t="s">
        <v>166</v>
      </c>
      <c r="X236" s="0" t="s">
        <v>4585</v>
      </c>
      <c r="Y236" s="0" t="str">
        <f aca="false">IF(EB236&lt;&gt;"Y","",COUNTIFS($EB$2:$EB$1000,"Y",$J$2:$J$1000,"&gt;"&amp;J236)+COUNTIFS($EB$2:$EB$1000,"Y",$J$2:$J$1000,J236,$ED$2:$ED$1000,"&lt;"&amp;ED236)+1)</f>
        <v/>
      </c>
      <c r="Z236" s="0" t="n">
        <v>235</v>
      </c>
      <c r="AA236" s="0" t="s">
        <v>162</v>
      </c>
      <c r="AB236" s="0" t="s">
        <v>6315</v>
      </c>
      <c r="AD236" s="0" t="s">
        <v>158</v>
      </c>
      <c r="AH236" s="0" t="s">
        <v>9670</v>
      </c>
      <c r="AI236" s="0" t="s">
        <v>5079</v>
      </c>
      <c r="AJ236" s="0" t="s">
        <v>5354</v>
      </c>
      <c r="AK236" s="0" t="s">
        <v>9671</v>
      </c>
      <c r="AL236" s="0" t="s">
        <v>168</v>
      </c>
      <c r="AM236" s="0" t="s">
        <v>9672</v>
      </c>
      <c r="AN236" s="0" t="s">
        <v>9666</v>
      </c>
      <c r="AO236" s="5" t="s">
        <v>162</v>
      </c>
      <c r="AR236" s="0" t="str">
        <f aca="false">IF(AND(AU236="pass",AO236&lt;&gt;"Y",C236&lt;&gt;""),"Y","N")</f>
        <v>N</v>
      </c>
      <c r="AS236" s="0" t="str">
        <f aca="false">_xlfn.TEXTJOIN("; ",TRUE(),IF(AU236&lt;&gt;"pass","gated out",""),IF(AO236="Y","on hold: "&amp;AP236,""),IF(C236="","no contact named on an opened page",""))</f>
        <v>no contact named on an opened page</v>
      </c>
      <c r="AU236" s="0" t="s">
        <v>181</v>
      </c>
      <c r="AW236" s="0" t="s">
        <v>182</v>
      </c>
      <c r="AX236" s="0" t="s">
        <v>282</v>
      </c>
      <c r="AY236" s="0" t="s">
        <v>9673</v>
      </c>
      <c r="AZ236" s="0" t="s">
        <v>5356</v>
      </c>
      <c r="BA236" s="0" t="s">
        <v>5329</v>
      </c>
      <c r="BB236" s="0" t="s">
        <v>163</v>
      </c>
      <c r="BD236" s="0" t="s">
        <v>263</v>
      </c>
      <c r="BE236" s="0" t="s">
        <v>9674</v>
      </c>
      <c r="BF236" s="0" t="s">
        <v>168</v>
      </c>
      <c r="BG236" s="0" t="s">
        <v>168</v>
      </c>
      <c r="BH236" s="0" t="s">
        <v>163</v>
      </c>
      <c r="BJ236" s="0" t="s">
        <v>163</v>
      </c>
      <c r="BK236" s="0" t="s">
        <v>162</v>
      </c>
      <c r="BL236" s="0" t="s">
        <v>162</v>
      </c>
      <c r="BO236" s="0" t="s">
        <v>162</v>
      </c>
      <c r="BP236" s="0" t="n">
        <v>0</v>
      </c>
      <c r="BS236" s="0" t="s">
        <v>9675</v>
      </c>
      <c r="BT236" s="0" t="s">
        <v>9676</v>
      </c>
      <c r="BU236" s="0" t="s">
        <v>158</v>
      </c>
      <c r="CF236" s="0" t="s">
        <v>158</v>
      </c>
      <c r="CK236" s="0" t="s">
        <v>158</v>
      </c>
      <c r="CL236" s="0" t="n">
        <v>20</v>
      </c>
      <c r="CM236" s="0" t="n">
        <v>6</v>
      </c>
      <c r="CN236" s="0" t="n">
        <v>3</v>
      </c>
      <c r="CO236" s="0" t="n">
        <v>0</v>
      </c>
      <c r="CP236" s="0" t="n">
        <v>5</v>
      </c>
      <c r="CQ236" s="0" t="n">
        <v>8</v>
      </c>
      <c r="CR236" s="0" t="n">
        <v>0</v>
      </c>
      <c r="CS236" s="0" t="n">
        <f aca="false">IF(R236="Y",10,0)</f>
        <v>0</v>
      </c>
      <c r="CT236" s="0" t="n">
        <v>-2</v>
      </c>
      <c r="CU236" s="0" t="s">
        <v>9677</v>
      </c>
      <c r="CV236" s="0" t="s">
        <v>4703</v>
      </c>
      <c r="CW236" s="0" t="s">
        <v>9678</v>
      </c>
      <c r="CX236" s="0" t="s">
        <v>9679</v>
      </c>
      <c r="CY236" s="0" t="s">
        <v>9680</v>
      </c>
      <c r="DA236" s="0" t="s">
        <v>6234</v>
      </c>
      <c r="DY236" s="0" t="str">
        <f aca="false">IF(ISNUMBER(MATCH(U236,{"queued","contacted","replied","call_booked","call_done","yes_in_principle","materials_sent"},0)),"Y","N")</f>
        <v>N</v>
      </c>
      <c r="DZ236" s="0" t="str">
        <f aca="false">IF(COUNTIFS($AN$2:$AN$1000,AN236,$DY$2:$DY$1000,"Y")+COUNTIFS($AN$2:$AN$1000,AN236,$T$2:$T$1000,"Y")&gt;0,"Y","N")</f>
        <v>N</v>
      </c>
      <c r="EA236" s="0" t="str">
        <f aca="false">IF(AND(U236="new",T236="N",AR236="Y",AQ236="",DZ236="N"),"Y","N")</f>
        <v>N</v>
      </c>
      <c r="EB236" s="0" t="str">
        <f aca="false">IF(EA236&lt;&gt;"Y","N",IF(COUNTIFS($AN$2:$AN$1000,AN236,$EA$2:$EA$1000,"Y",$J$2:$J$1000,"&gt;"&amp;J236)+COUNTIFS($AN$2:$AN$1000,AN236,$EA$2:$EA$1000,"Y",$J$2:$J$1000,J236,$ED$2:$ED$1000,"&lt;"&amp;ED236)=0,"Y","N"))</f>
        <v>N</v>
      </c>
      <c r="EC236" s="0" t="str">
        <f aca="false">IF(Y236="","N",IF(Y236&lt;=10,"Y","N"))</f>
        <v>N</v>
      </c>
      <c r="ED236" s="0" t="n">
        <f aca="false">ROW()-1</f>
        <v>235</v>
      </c>
    </row>
    <row r="237" customFormat="false" ht="15" hidden="false" customHeight="false" outlineLevel="0" collapsed="false">
      <c r="A237" s="0" t="s">
        <v>9681</v>
      </c>
      <c r="B237" s="0" t="s">
        <v>9682</v>
      </c>
      <c r="H237" s="5" t="s">
        <v>158</v>
      </c>
      <c r="I237" s="5"/>
      <c r="J237" s="0" t="n">
        <f aca="false">IF(AU237="pass",CM237+CN237+CO237+CP237+CQ237+CR237+CS237+CT237,0)</f>
        <v>17</v>
      </c>
      <c r="K237" s="0" t="s">
        <v>9683</v>
      </c>
      <c r="M237" s="0" t="s">
        <v>4627</v>
      </c>
      <c r="N237" s="0" t="s">
        <v>4581</v>
      </c>
      <c r="R237" s="5" t="s">
        <v>162</v>
      </c>
      <c r="S237" s="0" t="s">
        <v>163</v>
      </c>
      <c r="T237" s="5" t="s">
        <v>162</v>
      </c>
      <c r="U237" s="5" t="s">
        <v>561</v>
      </c>
      <c r="V237" s="0" t="s">
        <v>9684</v>
      </c>
      <c r="W237" s="0" t="s">
        <v>166</v>
      </c>
      <c r="X237" s="0" t="s">
        <v>4585</v>
      </c>
      <c r="Y237" s="0" t="str">
        <f aca="false">IF(EB237&lt;&gt;"Y","",COUNTIFS($EB$2:$EB$1000,"Y",$J$2:$J$1000,"&gt;"&amp;J237)+COUNTIFS($EB$2:$EB$1000,"Y",$J$2:$J$1000,J237,$ED$2:$ED$1000,"&lt;"&amp;ED237)+1)</f>
        <v/>
      </c>
      <c r="Z237" s="0" t="n">
        <v>236</v>
      </c>
      <c r="AA237" s="0" t="s">
        <v>162</v>
      </c>
      <c r="AB237" s="0" t="s">
        <v>9685</v>
      </c>
      <c r="AD237" s="0" t="s">
        <v>158</v>
      </c>
      <c r="AH237" s="0" t="s">
        <v>9686</v>
      </c>
      <c r="AI237" s="0" t="s">
        <v>5079</v>
      </c>
      <c r="AJ237" s="0" t="s">
        <v>163</v>
      </c>
      <c r="AK237" s="0" t="s">
        <v>9687</v>
      </c>
      <c r="AL237" s="0" t="s">
        <v>168</v>
      </c>
      <c r="AM237" s="0" t="s">
        <v>9688</v>
      </c>
      <c r="AN237" s="0" t="s">
        <v>9681</v>
      </c>
      <c r="AO237" s="5" t="s">
        <v>162</v>
      </c>
      <c r="AR237" s="0" t="str">
        <f aca="false">IF(AND(AU237="pass",AO237&lt;&gt;"Y",C237&lt;&gt;""),"Y","N")</f>
        <v>N</v>
      </c>
      <c r="AS237" s="0" t="str">
        <f aca="false">_xlfn.TEXTJOIN("; ",TRUE(),IF(AU237&lt;&gt;"pass","gated out",""),IF(AO237="Y","on hold: "&amp;AP237,""),IF(C237="","no contact named on an opened page",""))</f>
        <v>no contact named on an opened page</v>
      </c>
      <c r="AU237" s="0" t="s">
        <v>181</v>
      </c>
      <c r="AW237" s="0" t="s">
        <v>182</v>
      </c>
      <c r="AX237" s="0" t="s">
        <v>8541</v>
      </c>
      <c r="AY237" s="0" t="s">
        <v>9687</v>
      </c>
      <c r="AZ237" s="0" t="s">
        <v>163</v>
      </c>
      <c r="BA237" s="0" t="s">
        <v>163</v>
      </c>
      <c r="BB237" s="0" t="s">
        <v>9689</v>
      </c>
      <c r="BC237" s="0" t="s">
        <v>9684</v>
      </c>
      <c r="BD237" s="0" t="s">
        <v>263</v>
      </c>
      <c r="BE237" s="0" t="s">
        <v>9690</v>
      </c>
      <c r="BF237" s="0" t="s">
        <v>168</v>
      </c>
      <c r="BG237" s="0" t="s">
        <v>168</v>
      </c>
      <c r="BH237" s="0" t="s">
        <v>163</v>
      </c>
      <c r="BJ237" s="0" t="s">
        <v>163</v>
      </c>
      <c r="BK237" s="0" t="s">
        <v>162</v>
      </c>
      <c r="BL237" s="0" t="s">
        <v>162</v>
      </c>
      <c r="BN237" s="0" t="n">
        <v>0</v>
      </c>
      <c r="BO237" s="0" t="s">
        <v>168</v>
      </c>
      <c r="BP237" s="0" t="n">
        <v>1</v>
      </c>
      <c r="BQ237" s="0" t="s">
        <v>4637</v>
      </c>
      <c r="BS237" s="0" t="s">
        <v>4692</v>
      </c>
      <c r="BT237" s="0" t="s">
        <v>9691</v>
      </c>
      <c r="BU237" s="0" t="s">
        <v>158</v>
      </c>
      <c r="CF237" s="0" t="s">
        <v>158</v>
      </c>
      <c r="CK237" s="0" t="s">
        <v>158</v>
      </c>
      <c r="CL237" s="0" t="n">
        <v>17</v>
      </c>
      <c r="CM237" s="0" t="n">
        <v>25</v>
      </c>
      <c r="CN237" s="0" t="n">
        <v>4</v>
      </c>
      <c r="CO237" s="0" t="n">
        <v>0</v>
      </c>
      <c r="CP237" s="0" t="n">
        <v>5</v>
      </c>
      <c r="CQ237" s="0" t="n">
        <v>8</v>
      </c>
      <c r="CR237" s="0" t="n">
        <v>0</v>
      </c>
      <c r="CS237" s="0" t="n">
        <f aca="false">IF(R237="Y",10,0)</f>
        <v>0</v>
      </c>
      <c r="CT237" s="0" t="n">
        <v>-25</v>
      </c>
      <c r="CU237" s="0" t="s">
        <v>9692</v>
      </c>
      <c r="CV237" s="0" t="s">
        <v>4703</v>
      </c>
      <c r="CW237" s="0" t="s">
        <v>9693</v>
      </c>
      <c r="CX237" s="0" t="s">
        <v>9694</v>
      </c>
      <c r="DA237" s="0" t="s">
        <v>6234</v>
      </c>
      <c r="DY237" s="0" t="str">
        <f aca="false">IF(ISNUMBER(MATCH(U237,{"queued","contacted","replied","call_booked","call_done","yes_in_principle","materials_sent"},0)),"Y","N")</f>
        <v>N</v>
      </c>
      <c r="DZ237" s="0" t="str">
        <f aca="false">IF(COUNTIFS($AN$2:$AN$1000,AN237,$DY$2:$DY$1000,"Y")+COUNTIFS($AN$2:$AN$1000,AN237,$T$2:$T$1000,"Y")&gt;0,"Y","N")</f>
        <v>N</v>
      </c>
      <c r="EA237" s="0" t="str">
        <f aca="false">IF(AND(U237="new",T237="N",AR237="Y",AQ237="",DZ237="N"),"Y","N")</f>
        <v>N</v>
      </c>
      <c r="EB237" s="0" t="str">
        <f aca="false">IF(EA237&lt;&gt;"Y","N",IF(COUNTIFS($AN$2:$AN$1000,AN237,$EA$2:$EA$1000,"Y",$J$2:$J$1000,"&gt;"&amp;J237)+COUNTIFS($AN$2:$AN$1000,AN237,$EA$2:$EA$1000,"Y",$J$2:$J$1000,J237,$ED$2:$ED$1000,"&lt;"&amp;ED237)=0,"Y","N"))</f>
        <v>N</v>
      </c>
      <c r="EC237" s="0" t="str">
        <f aca="false">IF(Y237="","N",IF(Y237&lt;=10,"Y","N"))</f>
        <v>N</v>
      </c>
      <c r="ED237" s="0" t="n">
        <f aca="false">ROW()-1</f>
        <v>236</v>
      </c>
    </row>
    <row r="238" customFormat="false" ht="15" hidden="false" customHeight="false" outlineLevel="0" collapsed="false">
      <c r="A238" s="0" t="s">
        <v>9695</v>
      </c>
      <c r="B238" s="0" t="s">
        <v>9696</v>
      </c>
      <c r="C238" s="0" t="s">
        <v>6019</v>
      </c>
      <c r="D238" s="0" t="s">
        <v>9697</v>
      </c>
      <c r="E238" s="0" t="s">
        <v>9698</v>
      </c>
      <c r="H238" s="5" t="s">
        <v>158</v>
      </c>
      <c r="I238" s="5" t="s">
        <v>159</v>
      </c>
      <c r="J238" s="0" t="n">
        <f aca="false">IF(AU238="pass",CM238+CN238+CO238+CP238+CQ238+CR238+CS238+CT238,0)</f>
        <v>17</v>
      </c>
      <c r="K238" s="0" t="s">
        <v>9699</v>
      </c>
      <c r="M238" s="0" t="s">
        <v>5291</v>
      </c>
      <c r="N238" s="0" t="s">
        <v>598</v>
      </c>
      <c r="O238" s="0" t="s">
        <v>9700</v>
      </c>
      <c r="P238" s="0" t="s">
        <v>9701</v>
      </c>
      <c r="Q238" s="0" t="s">
        <v>9122</v>
      </c>
      <c r="R238" s="5" t="s">
        <v>162</v>
      </c>
      <c r="S238" s="0" t="s">
        <v>163</v>
      </c>
      <c r="T238" s="5" t="s">
        <v>162</v>
      </c>
      <c r="U238" s="5" t="s">
        <v>561</v>
      </c>
      <c r="V238" s="0" t="s">
        <v>9702</v>
      </c>
      <c r="W238" s="0" t="s">
        <v>166</v>
      </c>
      <c r="X238" s="0" t="s">
        <v>4585</v>
      </c>
      <c r="Y238" s="0" t="n">
        <f aca="false">IF(EB238&lt;&gt;"Y","",COUNTIFS($EB$2:$EB$1000,"Y",$J$2:$J$1000,"&gt;"&amp;J238)+COUNTIFS($EB$2:$EB$1000,"Y",$J$2:$J$1000,J238,$ED$2:$ED$1000,"&lt;"&amp;ED238)+1)</f>
        <v>181</v>
      </c>
      <c r="Z238" s="0" t="n">
        <v>237</v>
      </c>
      <c r="AA238" s="0" t="s">
        <v>162</v>
      </c>
      <c r="AB238" s="0" t="s">
        <v>9703</v>
      </c>
      <c r="AC238" s="0" t="s">
        <v>4587</v>
      </c>
      <c r="AD238" s="0" t="s">
        <v>171</v>
      </c>
      <c r="AE238" s="0" t="s">
        <v>1189</v>
      </c>
      <c r="AF238" s="0" t="s">
        <v>9701</v>
      </c>
      <c r="AG238" s="0" t="s">
        <v>166</v>
      </c>
      <c r="AH238" s="0" t="s">
        <v>9704</v>
      </c>
      <c r="AI238" s="0" t="s">
        <v>5924</v>
      </c>
      <c r="AJ238" s="0" t="s">
        <v>9705</v>
      </c>
      <c r="AK238" s="0" t="s">
        <v>9706</v>
      </c>
      <c r="AL238" s="0" t="s">
        <v>168</v>
      </c>
      <c r="AM238" s="0" t="s">
        <v>9707</v>
      </c>
      <c r="AN238" s="0" t="s">
        <v>9695</v>
      </c>
      <c r="AO238" s="5" t="s">
        <v>162</v>
      </c>
      <c r="AR238" s="0" t="str">
        <f aca="false">IF(AND(AU238="pass",AO238&lt;&gt;"Y",C238&lt;&gt;""),"Y","N")</f>
        <v>Y</v>
      </c>
      <c r="AS238" s="0" t="str">
        <f aca="false">_xlfn.TEXTJOIN("; ",TRUE(),IF(AU238&lt;&gt;"pass","gated out",""),IF(AO238="Y","on hold: "&amp;AP238,""),IF(C238="","no contact named on an opened page",""))</f>
        <v/>
      </c>
      <c r="AU238" s="0" t="s">
        <v>181</v>
      </c>
      <c r="AW238" s="0" t="s">
        <v>182</v>
      </c>
      <c r="AX238" s="0" t="s">
        <v>7614</v>
      </c>
      <c r="AY238" s="0" t="s">
        <v>9706</v>
      </c>
      <c r="AZ238" s="0" t="s">
        <v>5657</v>
      </c>
      <c r="BA238" s="0" t="s">
        <v>5329</v>
      </c>
      <c r="BB238" s="0" t="s">
        <v>163</v>
      </c>
      <c r="BD238" s="0" t="s">
        <v>163</v>
      </c>
      <c r="BE238" s="0" t="s">
        <v>8632</v>
      </c>
      <c r="BF238" s="0" t="s">
        <v>168</v>
      </c>
      <c r="BG238" s="0" t="s">
        <v>168</v>
      </c>
      <c r="BH238" s="0" t="s">
        <v>163</v>
      </c>
      <c r="BJ238" s="0" t="s">
        <v>9708</v>
      </c>
      <c r="BK238" s="0" t="s">
        <v>162</v>
      </c>
      <c r="BL238" s="0" t="s">
        <v>162</v>
      </c>
      <c r="BO238" s="0" t="s">
        <v>162</v>
      </c>
      <c r="BP238" s="0" t="n">
        <v>0</v>
      </c>
      <c r="BS238" s="0" t="s">
        <v>9709</v>
      </c>
      <c r="BT238" s="0" t="s">
        <v>9710</v>
      </c>
      <c r="BU238" s="0" t="s">
        <v>4604</v>
      </c>
      <c r="BV238" s="0" t="n">
        <v>39</v>
      </c>
      <c r="BX238" s="0" t="s">
        <v>9711</v>
      </c>
      <c r="CF238" s="0" t="s">
        <v>158</v>
      </c>
      <c r="CK238" s="0" t="s">
        <v>158</v>
      </c>
      <c r="CL238" s="0" t="n">
        <v>17</v>
      </c>
      <c r="CM238" s="0" t="n">
        <v>6</v>
      </c>
      <c r="CN238" s="0" t="n">
        <v>3</v>
      </c>
      <c r="CO238" s="0" t="n">
        <v>15</v>
      </c>
      <c r="CP238" s="0" t="n">
        <v>5</v>
      </c>
      <c r="CQ238" s="0" t="n">
        <v>7</v>
      </c>
      <c r="CR238" s="0" t="n">
        <v>6</v>
      </c>
      <c r="CS238" s="0" t="n">
        <f aca="false">IF(R238="Y",10,0)</f>
        <v>0</v>
      </c>
      <c r="CT238" s="0" t="n">
        <v>-25</v>
      </c>
      <c r="CU238" s="0" t="s">
        <v>163</v>
      </c>
      <c r="CV238" s="0" t="s">
        <v>5562</v>
      </c>
      <c r="CW238" s="0" t="s">
        <v>9712</v>
      </c>
      <c r="CX238" s="0" t="s">
        <v>9713</v>
      </c>
      <c r="CY238" s="0" t="s">
        <v>9714</v>
      </c>
      <c r="DA238" s="0" t="s">
        <v>6234</v>
      </c>
      <c r="DY238" s="0" t="str">
        <f aca="false">IF(ISNUMBER(MATCH(U238,{"queued","contacted","replied","call_booked","call_done","yes_in_principle","materials_sent"},0)),"Y","N")</f>
        <v>N</v>
      </c>
      <c r="DZ238" s="0" t="str">
        <f aca="false">IF(COUNTIFS($AN$2:$AN$1000,AN238,$DY$2:$DY$1000,"Y")+COUNTIFS($AN$2:$AN$1000,AN238,$T$2:$T$1000,"Y")&gt;0,"Y","N")</f>
        <v>N</v>
      </c>
      <c r="EA238" s="0" t="str">
        <f aca="false">IF(AND(U238="new",T238="N",AR238="Y",AQ238="",DZ238="N"),"Y","N")</f>
        <v>Y</v>
      </c>
      <c r="EB238" s="0" t="str">
        <f aca="false">IF(EA238&lt;&gt;"Y","N",IF(COUNTIFS($AN$2:$AN$1000,AN238,$EA$2:$EA$1000,"Y",$J$2:$J$1000,"&gt;"&amp;J238)+COUNTIFS($AN$2:$AN$1000,AN238,$EA$2:$EA$1000,"Y",$J$2:$J$1000,J238,$ED$2:$ED$1000,"&lt;"&amp;ED238)=0,"Y","N"))</f>
        <v>Y</v>
      </c>
      <c r="EC238" s="0" t="str">
        <f aca="false">IF(Y238="","N",IF(Y238&lt;=10,"Y","N"))</f>
        <v>N</v>
      </c>
      <c r="ED238" s="0" t="n">
        <f aca="false">ROW()-1</f>
        <v>237</v>
      </c>
    </row>
    <row r="239" customFormat="false" ht="15" hidden="false" customHeight="false" outlineLevel="0" collapsed="false">
      <c r="A239" s="0" t="s">
        <v>9715</v>
      </c>
      <c r="B239" s="0" t="s">
        <v>9716</v>
      </c>
      <c r="H239" s="5" t="s">
        <v>158</v>
      </c>
      <c r="I239" s="5"/>
      <c r="J239" s="0" t="n">
        <f aca="false">IF(AU239="pass",CM239+CN239+CO239+CP239+CQ239+CR239+CS239+CT239,0)</f>
        <v>16</v>
      </c>
      <c r="K239" s="0" t="s">
        <v>9717</v>
      </c>
      <c r="M239" s="0" t="s">
        <v>5291</v>
      </c>
      <c r="N239" s="0" t="s">
        <v>598</v>
      </c>
      <c r="R239" s="5" t="s">
        <v>162</v>
      </c>
      <c r="S239" s="0" t="s">
        <v>163</v>
      </c>
      <c r="T239" s="5" t="s">
        <v>162</v>
      </c>
      <c r="U239" s="5" t="s">
        <v>561</v>
      </c>
      <c r="V239" s="0" t="s">
        <v>9718</v>
      </c>
      <c r="W239" s="0" t="s">
        <v>166</v>
      </c>
      <c r="X239" s="0" t="s">
        <v>4585</v>
      </c>
      <c r="Y239" s="0" t="str">
        <f aca="false">IF(EB239&lt;&gt;"Y","",COUNTIFS($EB$2:$EB$1000,"Y",$J$2:$J$1000,"&gt;"&amp;J239)+COUNTIFS($EB$2:$EB$1000,"Y",$J$2:$J$1000,J239,$ED$2:$ED$1000,"&lt;"&amp;ED239)+1)</f>
        <v/>
      </c>
      <c r="Z239" s="0" t="n">
        <v>238</v>
      </c>
      <c r="AA239" s="0" t="s">
        <v>162</v>
      </c>
      <c r="AB239" s="0" t="s">
        <v>9639</v>
      </c>
      <c r="AD239" s="0" t="s">
        <v>158</v>
      </c>
      <c r="AH239" s="0" t="s">
        <v>9719</v>
      </c>
      <c r="AI239" s="0" t="s">
        <v>4590</v>
      </c>
      <c r="AJ239" s="0" t="s">
        <v>9720</v>
      </c>
      <c r="AK239" s="0" t="s">
        <v>9718</v>
      </c>
      <c r="AL239" s="0" t="s">
        <v>168</v>
      </c>
      <c r="AM239" s="0" t="s">
        <v>9721</v>
      </c>
      <c r="AN239" s="0" t="s">
        <v>9715</v>
      </c>
      <c r="AO239" s="5" t="s">
        <v>162</v>
      </c>
      <c r="AR239" s="0" t="str">
        <f aca="false">IF(AND(AU239="pass",AO239&lt;&gt;"Y",C239&lt;&gt;""),"Y","N")</f>
        <v>N</v>
      </c>
      <c r="AS239" s="0" t="str">
        <f aca="false">_xlfn.TEXTJOIN("; ",TRUE(),IF(AU239&lt;&gt;"pass","gated out",""),IF(AO239="Y","on hold: "&amp;AP239,""),IF(C239="","no contact named on an opened page",""))</f>
        <v>no contact named on an opened page</v>
      </c>
      <c r="AU239" s="0" t="s">
        <v>181</v>
      </c>
      <c r="AW239" s="0" t="s">
        <v>182</v>
      </c>
      <c r="AX239" s="0" t="s">
        <v>6031</v>
      </c>
      <c r="AY239" s="0" t="s">
        <v>9718</v>
      </c>
      <c r="AZ239" s="0" t="s">
        <v>6476</v>
      </c>
      <c r="BA239" s="0" t="s">
        <v>5191</v>
      </c>
      <c r="BB239" s="0" t="s">
        <v>9722</v>
      </c>
      <c r="BC239" s="0" t="s">
        <v>9718</v>
      </c>
      <c r="BD239" s="0" t="s">
        <v>163</v>
      </c>
      <c r="BE239" s="0" t="s">
        <v>5927</v>
      </c>
      <c r="BF239" s="0" t="s">
        <v>168</v>
      </c>
      <c r="BG239" s="0" t="s">
        <v>168</v>
      </c>
      <c r="BH239" s="0" t="s">
        <v>163</v>
      </c>
      <c r="BJ239" s="0" t="s">
        <v>5549</v>
      </c>
      <c r="BK239" s="0" t="s">
        <v>162</v>
      </c>
      <c r="BL239" s="0" t="s">
        <v>162</v>
      </c>
      <c r="BO239" s="0" t="s">
        <v>162</v>
      </c>
      <c r="BP239" s="0" t="n">
        <v>0</v>
      </c>
      <c r="BS239" s="0" t="s">
        <v>163</v>
      </c>
      <c r="BU239" s="0" t="s">
        <v>158</v>
      </c>
      <c r="CF239" s="0" t="s">
        <v>158</v>
      </c>
      <c r="CK239" s="0" t="s">
        <v>158</v>
      </c>
      <c r="CL239" s="0" t="n">
        <v>16</v>
      </c>
      <c r="CM239" s="0" t="n">
        <v>6</v>
      </c>
      <c r="CN239" s="0" t="n">
        <v>8</v>
      </c>
      <c r="CO239" s="0" t="n">
        <v>0</v>
      </c>
      <c r="CP239" s="0" t="n">
        <v>5</v>
      </c>
      <c r="CQ239" s="0" t="n">
        <v>7</v>
      </c>
      <c r="CR239" s="0" t="n">
        <v>0</v>
      </c>
      <c r="CS239" s="0" t="n">
        <f aca="false">IF(R239="Y",10,0)</f>
        <v>0</v>
      </c>
      <c r="CT239" s="0" t="n">
        <v>-10</v>
      </c>
      <c r="CU239" s="0" t="s">
        <v>163</v>
      </c>
      <c r="CV239" s="0" t="s">
        <v>5562</v>
      </c>
      <c r="CW239" s="0" t="s">
        <v>9723</v>
      </c>
      <c r="CX239" s="0" t="s">
        <v>9724</v>
      </c>
      <c r="DA239" s="0" t="s">
        <v>6234</v>
      </c>
      <c r="DY239" s="0" t="str">
        <f aca="false">IF(ISNUMBER(MATCH(U239,{"queued","contacted","replied","call_booked","call_done","yes_in_principle","materials_sent"},0)),"Y","N")</f>
        <v>N</v>
      </c>
      <c r="DZ239" s="0" t="str">
        <f aca="false">IF(COUNTIFS($AN$2:$AN$1000,AN239,$DY$2:$DY$1000,"Y")+COUNTIFS($AN$2:$AN$1000,AN239,$T$2:$T$1000,"Y")&gt;0,"Y","N")</f>
        <v>N</v>
      </c>
      <c r="EA239" s="0" t="str">
        <f aca="false">IF(AND(U239="new",T239="N",AR239="Y",AQ239="",DZ239="N"),"Y","N")</f>
        <v>N</v>
      </c>
      <c r="EB239" s="0" t="str">
        <f aca="false">IF(EA239&lt;&gt;"Y","N",IF(COUNTIFS($AN$2:$AN$1000,AN239,$EA$2:$EA$1000,"Y",$J$2:$J$1000,"&gt;"&amp;J239)+COUNTIFS($AN$2:$AN$1000,AN239,$EA$2:$EA$1000,"Y",$J$2:$J$1000,J239,$ED$2:$ED$1000,"&lt;"&amp;ED239)=0,"Y","N"))</f>
        <v>N</v>
      </c>
      <c r="EC239" s="0" t="str">
        <f aca="false">IF(Y239="","N",IF(Y239&lt;=10,"Y","N"))</f>
        <v>N</v>
      </c>
      <c r="ED239" s="0" t="n">
        <f aca="false">ROW()-1</f>
        <v>238</v>
      </c>
    </row>
    <row r="240" customFormat="false" ht="15" hidden="false" customHeight="false" outlineLevel="0" collapsed="false">
      <c r="A240" s="0" t="s">
        <v>9725</v>
      </c>
      <c r="B240" s="0" t="s">
        <v>9726</v>
      </c>
      <c r="C240" s="0" t="s">
        <v>9727</v>
      </c>
      <c r="D240" s="0" t="s">
        <v>9728</v>
      </c>
      <c r="E240" s="0" t="s">
        <v>4771</v>
      </c>
      <c r="H240" s="5" t="s">
        <v>158</v>
      </c>
      <c r="I240" s="5" t="s">
        <v>159</v>
      </c>
      <c r="J240" s="0" t="n">
        <f aca="false">IF(AU240="pass",CM240+CN240+CO240+CP240+CQ240+CR240+CS240+CT240,0)</f>
        <v>6</v>
      </c>
      <c r="K240" s="0" t="s">
        <v>9729</v>
      </c>
      <c r="M240" s="0" t="s">
        <v>5291</v>
      </c>
      <c r="N240" s="0" t="s">
        <v>598</v>
      </c>
      <c r="O240" s="0" t="s">
        <v>9730</v>
      </c>
      <c r="P240" s="0" t="s">
        <v>9731</v>
      </c>
      <c r="Q240" s="0" t="s">
        <v>9732</v>
      </c>
      <c r="R240" s="5" t="s">
        <v>162</v>
      </c>
      <c r="S240" s="0" t="s">
        <v>163</v>
      </c>
      <c r="T240" s="5" t="s">
        <v>162</v>
      </c>
      <c r="U240" s="5" t="s">
        <v>561</v>
      </c>
      <c r="V240" s="0" t="s">
        <v>9733</v>
      </c>
      <c r="W240" s="0" t="s">
        <v>166</v>
      </c>
      <c r="X240" s="0" t="s">
        <v>4585</v>
      </c>
      <c r="Y240" s="0" t="n">
        <f aca="false">IF(EB240&lt;&gt;"Y","",COUNTIFS($EB$2:$EB$1000,"Y",$J$2:$J$1000,"&gt;"&amp;J240)+COUNTIFS($EB$2:$EB$1000,"Y",$J$2:$J$1000,J240,$ED$2:$ED$1000,"&lt;"&amp;ED240)+1)</f>
        <v>182</v>
      </c>
      <c r="Z240" s="0" t="n">
        <v>239</v>
      </c>
      <c r="AA240" s="0" t="s">
        <v>162</v>
      </c>
      <c r="AB240" s="0" t="s">
        <v>9734</v>
      </c>
      <c r="AC240" s="0" t="s">
        <v>4587</v>
      </c>
      <c r="AD240" s="0" t="s">
        <v>171</v>
      </c>
      <c r="AE240" s="0" t="s">
        <v>1189</v>
      </c>
      <c r="AF240" s="0" t="s">
        <v>9735</v>
      </c>
      <c r="AG240" s="0" t="s">
        <v>166</v>
      </c>
      <c r="AH240" s="0" t="s">
        <v>9736</v>
      </c>
      <c r="AI240" s="0" t="s">
        <v>5383</v>
      </c>
      <c r="AJ240" s="0" t="s">
        <v>9737</v>
      </c>
      <c r="AK240" s="0" t="s">
        <v>9738</v>
      </c>
      <c r="AL240" s="0" t="s">
        <v>168</v>
      </c>
      <c r="AM240" s="0" t="s">
        <v>9739</v>
      </c>
      <c r="AN240" s="0" t="s">
        <v>9725</v>
      </c>
      <c r="AO240" s="5" t="s">
        <v>162</v>
      </c>
      <c r="AR240" s="0" t="str">
        <f aca="false">IF(AND(AU240="pass",AO240&lt;&gt;"Y",C240&lt;&gt;""),"Y","N")</f>
        <v>Y</v>
      </c>
      <c r="AS240" s="0" t="str">
        <f aca="false">_xlfn.TEXTJOIN("; ",TRUE(),IF(AU240&lt;&gt;"pass","gated out",""),IF(AO240="Y","on hold: "&amp;AP240,""),IF(C240="","no contact named on an opened page",""))</f>
        <v/>
      </c>
      <c r="AU240" s="0" t="s">
        <v>181</v>
      </c>
      <c r="AW240" s="0" t="s">
        <v>182</v>
      </c>
      <c r="AX240" s="0" t="s">
        <v>9740</v>
      </c>
      <c r="AY240" s="0" t="s">
        <v>9738</v>
      </c>
      <c r="AZ240" s="0" t="s">
        <v>4595</v>
      </c>
      <c r="BA240" s="0" t="s">
        <v>4951</v>
      </c>
      <c r="BB240" s="0" t="s">
        <v>9741</v>
      </c>
      <c r="BD240" s="0" t="s">
        <v>168</v>
      </c>
      <c r="BE240" s="0" t="s">
        <v>9742</v>
      </c>
      <c r="BF240" s="0" t="s">
        <v>163</v>
      </c>
      <c r="BG240" s="0" t="s">
        <v>168</v>
      </c>
      <c r="BH240" s="0" t="s">
        <v>7179</v>
      </c>
      <c r="BI240" s="0" t="s">
        <v>9743</v>
      </c>
      <c r="BJ240" s="0" t="s">
        <v>9744</v>
      </c>
      <c r="BK240" s="0" t="s">
        <v>162</v>
      </c>
      <c r="BL240" s="0" t="s">
        <v>162</v>
      </c>
      <c r="BO240" s="0" t="s">
        <v>162</v>
      </c>
      <c r="BP240" s="0" t="n">
        <v>0</v>
      </c>
      <c r="BS240" s="0" t="s">
        <v>9745</v>
      </c>
      <c r="BT240" s="0" t="s">
        <v>9746</v>
      </c>
      <c r="BU240" s="0" t="s">
        <v>4694</v>
      </c>
      <c r="BV240" s="0" t="n">
        <v>40</v>
      </c>
      <c r="BX240" s="0" t="s">
        <v>9747</v>
      </c>
      <c r="CF240" s="0" t="s">
        <v>158</v>
      </c>
      <c r="CK240" s="0" t="s">
        <v>158</v>
      </c>
      <c r="CL240" s="0" t="n">
        <v>6</v>
      </c>
      <c r="CM240" s="0" t="n">
        <v>6</v>
      </c>
      <c r="CN240" s="0" t="n">
        <v>13</v>
      </c>
      <c r="CO240" s="0" t="n">
        <v>8</v>
      </c>
      <c r="CP240" s="0" t="n">
        <v>0</v>
      </c>
      <c r="CQ240" s="0" t="n">
        <v>8</v>
      </c>
      <c r="CR240" s="0" t="n">
        <v>6</v>
      </c>
      <c r="CS240" s="0" t="n">
        <f aca="false">IF(R240="Y",10,0)</f>
        <v>0</v>
      </c>
      <c r="CT240" s="0" t="n">
        <v>-35</v>
      </c>
      <c r="CU240" s="0" t="s">
        <v>163</v>
      </c>
      <c r="CV240" s="0" t="s">
        <v>4841</v>
      </c>
      <c r="CW240" s="0" t="s">
        <v>9748</v>
      </c>
      <c r="CX240" s="0" t="s">
        <v>9749</v>
      </c>
      <c r="CY240" s="0" t="s">
        <v>9750</v>
      </c>
      <c r="DA240" s="0" t="s">
        <v>6234</v>
      </c>
      <c r="DY240" s="0" t="str">
        <f aca="false">IF(ISNUMBER(MATCH(U240,{"queued","contacted","replied","call_booked","call_done","yes_in_principle","materials_sent"},0)),"Y","N")</f>
        <v>N</v>
      </c>
      <c r="DZ240" s="0" t="str">
        <f aca="false">IF(COUNTIFS($AN$2:$AN$1000,AN240,$DY$2:$DY$1000,"Y")+COUNTIFS($AN$2:$AN$1000,AN240,$T$2:$T$1000,"Y")&gt;0,"Y","N")</f>
        <v>N</v>
      </c>
      <c r="EA240" s="0" t="str">
        <f aca="false">IF(AND(U240="new",T240="N",AR240="Y",AQ240="",DZ240="N"),"Y","N")</f>
        <v>Y</v>
      </c>
      <c r="EB240" s="0" t="str">
        <f aca="false">IF(EA240&lt;&gt;"Y","N",IF(COUNTIFS($AN$2:$AN$1000,AN240,$EA$2:$EA$1000,"Y",$J$2:$J$1000,"&gt;"&amp;J240)+COUNTIFS($AN$2:$AN$1000,AN240,$EA$2:$EA$1000,"Y",$J$2:$J$1000,J240,$ED$2:$ED$1000,"&lt;"&amp;ED240)=0,"Y","N"))</f>
        <v>Y</v>
      </c>
      <c r="EC240" s="0" t="str">
        <f aca="false">IF(Y240="","N",IF(Y240&lt;=10,"Y","N"))</f>
        <v>N</v>
      </c>
      <c r="ED240" s="0" t="n">
        <f aca="false">ROW()-1</f>
        <v>239</v>
      </c>
    </row>
    <row r="241" customFormat="false" ht="15" hidden="false" customHeight="false" outlineLevel="0" collapsed="false">
      <c r="A241" s="0" t="s">
        <v>9751</v>
      </c>
      <c r="B241" s="0" t="s">
        <v>9752</v>
      </c>
      <c r="C241" s="0" t="s">
        <v>5961</v>
      </c>
      <c r="D241" s="0" t="s">
        <v>9753</v>
      </c>
      <c r="E241" s="0" t="s">
        <v>4771</v>
      </c>
      <c r="H241" s="5" t="s">
        <v>158</v>
      </c>
      <c r="I241" s="5" t="s">
        <v>159</v>
      </c>
      <c r="J241" s="0" t="n">
        <f aca="false">IF(AU241="pass",CM241+CN241+CO241+CP241+CQ241+CR241+CS241+CT241,0)</f>
        <v>0</v>
      </c>
      <c r="K241" s="0" t="s">
        <v>9754</v>
      </c>
      <c r="M241" s="0" t="s">
        <v>4580</v>
      </c>
      <c r="N241" s="0" t="s">
        <v>4581</v>
      </c>
      <c r="O241" s="0" t="s">
        <v>9755</v>
      </c>
      <c r="P241" s="0" t="s">
        <v>9756</v>
      </c>
      <c r="Q241" s="0" t="s">
        <v>5574</v>
      </c>
      <c r="R241" s="5" t="s">
        <v>162</v>
      </c>
      <c r="S241" s="0" t="s">
        <v>168</v>
      </c>
      <c r="T241" s="5" t="s">
        <v>162</v>
      </c>
      <c r="U241" s="5" t="s">
        <v>561</v>
      </c>
      <c r="V241" s="0" t="s">
        <v>9757</v>
      </c>
      <c r="W241" s="0" t="s">
        <v>166</v>
      </c>
      <c r="X241" s="0" t="s">
        <v>4585</v>
      </c>
      <c r="Y241" s="0" t="str">
        <f aca="false">IF(EB241&lt;&gt;"Y","",COUNTIFS($EB$2:$EB$1000,"Y",$J$2:$J$1000,"&gt;"&amp;J241)+COUNTIFS($EB$2:$EB$1000,"Y",$J$2:$J$1000,J241,$ED$2:$ED$1000,"&lt;"&amp;ED241)+1)</f>
        <v/>
      </c>
      <c r="AA241" s="0" t="s">
        <v>162</v>
      </c>
      <c r="AC241" s="0" t="s">
        <v>4587</v>
      </c>
      <c r="AD241" s="0" t="s">
        <v>171</v>
      </c>
      <c r="AE241" s="0" t="s">
        <v>1189</v>
      </c>
      <c r="AF241" s="0" t="s">
        <v>9756</v>
      </c>
      <c r="AG241" s="0" t="s">
        <v>166</v>
      </c>
      <c r="AH241" s="0" t="s">
        <v>9758</v>
      </c>
      <c r="AI241" s="0" t="s">
        <v>5924</v>
      </c>
      <c r="AJ241" s="0" t="s">
        <v>9759</v>
      </c>
      <c r="AK241" s="0" t="s">
        <v>9760</v>
      </c>
      <c r="AL241" s="0" t="s">
        <v>168</v>
      </c>
      <c r="AM241" s="0" t="s">
        <v>9761</v>
      </c>
      <c r="AN241" s="0" t="s">
        <v>9751</v>
      </c>
      <c r="AO241" s="5" t="s">
        <v>162</v>
      </c>
      <c r="AR241" s="0" t="str">
        <f aca="false">IF(AND(AU241="pass",AO241&lt;&gt;"Y",C241&lt;&gt;""),"Y","N")</f>
        <v>N</v>
      </c>
      <c r="AS241" s="0" t="str">
        <f aca="false">_xlfn.TEXTJOIN("; ",TRUE(),IF(AU241&lt;&gt;"pass","gated out",""),IF(AO241="Y","on hold: "&amp;AP241,""),IF(C241="","no contact named on an opened page",""))</f>
        <v>gated out</v>
      </c>
      <c r="AU241" s="0" t="s">
        <v>3703</v>
      </c>
      <c r="AV241" s="0" t="s">
        <v>9762</v>
      </c>
      <c r="AW241" s="0" t="s">
        <v>9763</v>
      </c>
      <c r="AX241" s="0" t="s">
        <v>4594</v>
      </c>
      <c r="AY241" s="0" t="s">
        <v>9760</v>
      </c>
      <c r="AZ241" s="0" t="s">
        <v>4595</v>
      </c>
      <c r="BA241" s="0" t="s">
        <v>4596</v>
      </c>
      <c r="BB241" s="0" t="s">
        <v>9764</v>
      </c>
      <c r="BD241" s="0" t="s">
        <v>168</v>
      </c>
      <c r="BE241" s="0" t="s">
        <v>9765</v>
      </c>
      <c r="BF241" s="0" t="s">
        <v>168</v>
      </c>
      <c r="BG241" s="0" t="s">
        <v>168</v>
      </c>
      <c r="BH241" s="0" t="s">
        <v>163</v>
      </c>
      <c r="BJ241" s="0" t="s">
        <v>163</v>
      </c>
      <c r="BK241" s="0" t="s">
        <v>168</v>
      </c>
      <c r="BL241" s="0" t="s">
        <v>168</v>
      </c>
      <c r="BM241" s="0" t="s">
        <v>9766</v>
      </c>
      <c r="BN241" s="0" t="n">
        <v>0</v>
      </c>
      <c r="BO241" s="0" t="s">
        <v>168</v>
      </c>
      <c r="BP241" s="0" t="n">
        <v>3</v>
      </c>
      <c r="BQ241" s="0" t="s">
        <v>4669</v>
      </c>
      <c r="BR241" s="0" t="s">
        <v>4670</v>
      </c>
      <c r="BS241" s="0" t="s">
        <v>9767</v>
      </c>
      <c r="BT241" s="0" t="s">
        <v>9768</v>
      </c>
      <c r="BU241" s="0" t="s">
        <v>4604</v>
      </c>
      <c r="BV241" s="0" t="n">
        <v>15</v>
      </c>
      <c r="BW241" s="0" t="s">
        <v>5732</v>
      </c>
      <c r="BX241" s="0" t="s">
        <v>9769</v>
      </c>
      <c r="CF241" s="0" t="s">
        <v>158</v>
      </c>
      <c r="CK241" s="0" t="s">
        <v>158</v>
      </c>
      <c r="CL241" s="0" t="n">
        <v>77</v>
      </c>
      <c r="CM241" s="0" t="n">
        <v>25</v>
      </c>
      <c r="CN241" s="0" t="n">
        <v>20</v>
      </c>
      <c r="CO241" s="0" t="n">
        <v>15</v>
      </c>
      <c r="CP241" s="0" t="n">
        <v>5</v>
      </c>
      <c r="CQ241" s="0" t="n">
        <v>10</v>
      </c>
      <c r="CR241" s="0" t="n">
        <v>6</v>
      </c>
      <c r="CS241" s="0" t="n">
        <f aca="false">IF(R241="Y",10,0)</f>
        <v>0</v>
      </c>
      <c r="CT241" s="0" t="n">
        <v>-4</v>
      </c>
      <c r="CV241" s="0" t="s">
        <v>4615</v>
      </c>
      <c r="CW241" s="0" t="s">
        <v>9770</v>
      </c>
      <c r="CX241" s="0" t="s">
        <v>9771</v>
      </c>
      <c r="DA241" s="0" t="s">
        <v>6234</v>
      </c>
      <c r="DY241" s="0" t="str">
        <f aca="false">IF(ISNUMBER(MATCH(U241,{"queued","contacted","replied","call_booked","call_done","yes_in_principle","materials_sent"},0)),"Y","N")</f>
        <v>N</v>
      </c>
      <c r="DZ241" s="0" t="str">
        <f aca="false">IF(COUNTIFS($AN$2:$AN$1000,AN241,$DY$2:$DY$1000,"Y")+COUNTIFS($AN$2:$AN$1000,AN241,$T$2:$T$1000,"Y")&gt;0,"Y","N")</f>
        <v>N</v>
      </c>
      <c r="EA241" s="0" t="str">
        <f aca="false">IF(AND(U241="new",T241="N",AR241="Y",AQ241="",DZ241="N"),"Y","N")</f>
        <v>N</v>
      </c>
      <c r="EB241" s="0" t="str">
        <f aca="false">IF(EA241&lt;&gt;"Y","N",IF(COUNTIFS($AN$2:$AN$1000,AN241,$EA$2:$EA$1000,"Y",$J$2:$J$1000,"&gt;"&amp;J241)+COUNTIFS($AN$2:$AN$1000,AN241,$EA$2:$EA$1000,"Y",$J$2:$J$1000,J241,$ED$2:$ED$1000,"&lt;"&amp;ED241)=0,"Y","N"))</f>
        <v>N</v>
      </c>
      <c r="EC241" s="0" t="str">
        <f aca="false">IF(Y241="","N",IF(Y241&lt;=10,"Y","N"))</f>
        <v>N</v>
      </c>
      <c r="ED241" s="0" t="n">
        <f aca="false">ROW()-1</f>
        <v>240</v>
      </c>
    </row>
    <row r="242" customFormat="false" ht="15" hidden="false" customHeight="false" outlineLevel="0" collapsed="false">
      <c r="A242" s="0" t="s">
        <v>9772</v>
      </c>
      <c r="B242" s="0" t="s">
        <v>9773</v>
      </c>
      <c r="H242" s="5" t="s">
        <v>158</v>
      </c>
      <c r="I242" s="5"/>
      <c r="J242" s="0" t="n">
        <f aca="false">IF(AU242="pass",CM242+CN242+CO242+CP242+CQ242+CR242+CS242+CT242,0)</f>
        <v>0</v>
      </c>
      <c r="K242" s="0" t="s">
        <v>9774</v>
      </c>
      <c r="M242" s="0" t="s">
        <v>4580</v>
      </c>
      <c r="N242" s="0" t="s">
        <v>4581</v>
      </c>
      <c r="O242" s="0" t="s">
        <v>9775</v>
      </c>
      <c r="P242" s="0" t="s">
        <v>9776</v>
      </c>
      <c r="Q242" s="0" t="s">
        <v>9777</v>
      </c>
      <c r="R242" s="5" t="s">
        <v>162</v>
      </c>
      <c r="S242" s="0" t="s">
        <v>163</v>
      </c>
      <c r="T242" s="5" t="s">
        <v>162</v>
      </c>
      <c r="U242" s="5" t="s">
        <v>561</v>
      </c>
      <c r="V242" s="0" t="s">
        <v>9778</v>
      </c>
      <c r="W242" s="0" t="s">
        <v>166</v>
      </c>
      <c r="X242" s="0" t="s">
        <v>4585</v>
      </c>
      <c r="Y242" s="0" t="str">
        <f aca="false">IF(EB242&lt;&gt;"Y","",COUNTIFS($EB$2:$EB$1000,"Y",$J$2:$J$1000,"&gt;"&amp;J242)+COUNTIFS($EB$2:$EB$1000,"Y",$J$2:$J$1000,J242,$ED$2:$ED$1000,"&lt;"&amp;ED242)+1)</f>
        <v/>
      </c>
      <c r="AA242" s="0" t="s">
        <v>162</v>
      </c>
      <c r="AD242" s="0" t="s">
        <v>158</v>
      </c>
      <c r="AH242" s="0" t="s">
        <v>9779</v>
      </c>
      <c r="AI242" s="0" t="s">
        <v>4664</v>
      </c>
      <c r="AJ242" s="0" t="s">
        <v>9780</v>
      </c>
      <c r="AK242" s="0" t="s">
        <v>9781</v>
      </c>
      <c r="AL242" s="0" t="s">
        <v>162</v>
      </c>
      <c r="AN242" s="0" t="s">
        <v>9772</v>
      </c>
      <c r="AO242" s="5" t="s">
        <v>162</v>
      </c>
      <c r="AR242" s="0" t="str">
        <f aca="false">IF(AND(AU242="pass",AO242&lt;&gt;"Y",C242&lt;&gt;""),"Y","N")</f>
        <v>N</v>
      </c>
      <c r="AS242" s="0" t="str">
        <f aca="false">_xlfn.TEXTJOIN("; ",TRUE(),IF(AU242&lt;&gt;"pass","gated out",""),IF(AO242="Y","on hold: "&amp;AP242,""),IF(C242="","no contact named on an opened page",""))</f>
        <v>gated out; no contact named on an opened page</v>
      </c>
      <c r="AU242" s="0" t="s">
        <v>3703</v>
      </c>
      <c r="AV242" s="0" t="s">
        <v>9782</v>
      </c>
      <c r="AW242" s="0" t="s">
        <v>9783</v>
      </c>
      <c r="AY242" s="0" t="s">
        <v>9781</v>
      </c>
      <c r="AZ242" s="0" t="s">
        <v>9784</v>
      </c>
      <c r="BA242" s="0" t="s">
        <v>5329</v>
      </c>
      <c r="BB242" s="0" t="s">
        <v>163</v>
      </c>
      <c r="BD242" s="0" t="s">
        <v>162</v>
      </c>
      <c r="BE242" s="0" t="s">
        <v>9785</v>
      </c>
      <c r="BF242" s="0" t="s">
        <v>168</v>
      </c>
      <c r="BG242" s="0" t="s">
        <v>168</v>
      </c>
      <c r="BH242" s="0" t="s">
        <v>163</v>
      </c>
      <c r="BJ242" s="0" t="s">
        <v>163</v>
      </c>
      <c r="BK242" s="0" t="s">
        <v>162</v>
      </c>
      <c r="BL242" s="0" t="s">
        <v>168</v>
      </c>
      <c r="BM242" s="0" t="s">
        <v>9786</v>
      </c>
      <c r="BN242" s="0" t="n">
        <v>0</v>
      </c>
      <c r="BO242" s="0" t="s">
        <v>168</v>
      </c>
      <c r="BP242" s="0" t="n">
        <v>3</v>
      </c>
      <c r="BQ242" s="0" t="s">
        <v>4669</v>
      </c>
      <c r="BS242" s="0" t="s">
        <v>9787</v>
      </c>
      <c r="BT242" s="0" t="s">
        <v>9788</v>
      </c>
      <c r="BU242" s="0" t="s">
        <v>4694</v>
      </c>
      <c r="BV242" s="0" t="n">
        <v>31</v>
      </c>
      <c r="CF242" s="0" t="s">
        <v>158</v>
      </c>
      <c r="CK242" s="0" t="s">
        <v>158</v>
      </c>
      <c r="CL242" s="0" t="n">
        <v>47</v>
      </c>
      <c r="CM242" s="0" t="n">
        <v>25</v>
      </c>
      <c r="CN242" s="0" t="n">
        <v>3</v>
      </c>
      <c r="CO242" s="0" t="n">
        <v>8</v>
      </c>
      <c r="CP242" s="0" t="n">
        <v>5</v>
      </c>
      <c r="CQ242" s="0" t="n">
        <v>6</v>
      </c>
      <c r="CR242" s="0" t="n">
        <v>0</v>
      </c>
      <c r="CS242" s="0" t="n">
        <f aca="false">IF(R242="Y",10,0)</f>
        <v>0</v>
      </c>
      <c r="CT242" s="0" t="n">
        <v>0</v>
      </c>
      <c r="CU242" s="0" t="s">
        <v>9789</v>
      </c>
      <c r="CV242" s="0" t="s">
        <v>4703</v>
      </c>
      <c r="CW242" s="0" t="s">
        <v>9790</v>
      </c>
      <c r="CX242" s="0" t="s">
        <v>9791</v>
      </c>
      <c r="DA242" s="0" t="s">
        <v>6234</v>
      </c>
      <c r="DY242" s="0" t="str">
        <f aca="false">IF(ISNUMBER(MATCH(U242,{"queued","contacted","replied","call_booked","call_done","yes_in_principle","materials_sent"},0)),"Y","N")</f>
        <v>N</v>
      </c>
      <c r="DZ242" s="0" t="str">
        <f aca="false">IF(COUNTIFS($AN$2:$AN$1000,AN242,$DY$2:$DY$1000,"Y")+COUNTIFS($AN$2:$AN$1000,AN242,$T$2:$T$1000,"Y")&gt;0,"Y","N")</f>
        <v>N</v>
      </c>
      <c r="EA242" s="0" t="str">
        <f aca="false">IF(AND(U242="new",T242="N",AR242="Y",AQ242="",DZ242="N"),"Y","N")</f>
        <v>N</v>
      </c>
      <c r="EB242" s="0" t="str">
        <f aca="false">IF(EA242&lt;&gt;"Y","N",IF(COUNTIFS($AN$2:$AN$1000,AN242,$EA$2:$EA$1000,"Y",$J$2:$J$1000,"&gt;"&amp;J242)+COUNTIFS($AN$2:$AN$1000,AN242,$EA$2:$EA$1000,"Y",$J$2:$J$1000,J242,$ED$2:$ED$1000,"&lt;"&amp;ED242)=0,"Y","N"))</f>
        <v>N</v>
      </c>
      <c r="EC242" s="0" t="str">
        <f aca="false">IF(Y242="","N",IF(Y242&lt;=10,"Y","N"))</f>
        <v>N</v>
      </c>
      <c r="ED242" s="0" t="n">
        <f aca="false">ROW()-1</f>
        <v>241</v>
      </c>
    </row>
    <row r="243" customFormat="false" ht="15" hidden="false" customHeight="false" outlineLevel="0" collapsed="false">
      <c r="A243" s="0" t="s">
        <v>9792</v>
      </c>
      <c r="B243" s="0" t="s">
        <v>9793</v>
      </c>
      <c r="H243" s="5" t="s">
        <v>158</v>
      </c>
      <c r="I243" s="5"/>
      <c r="J243" s="0" t="n">
        <f aca="false">IF(AU243="pass",CM243+CN243+CO243+CP243+CQ243+CR243+CS243+CT243,0)</f>
        <v>0</v>
      </c>
      <c r="K243" s="0" t="s">
        <v>9794</v>
      </c>
      <c r="M243" s="0" t="s">
        <v>4580</v>
      </c>
      <c r="N243" s="0" t="s">
        <v>4581</v>
      </c>
      <c r="O243" s="0" t="s">
        <v>9795</v>
      </c>
      <c r="P243" s="0" t="s">
        <v>9796</v>
      </c>
      <c r="Q243" s="0" t="s">
        <v>9797</v>
      </c>
      <c r="R243" s="5" t="s">
        <v>162</v>
      </c>
      <c r="S243" s="0" t="s">
        <v>163</v>
      </c>
      <c r="T243" s="5" t="s">
        <v>162</v>
      </c>
      <c r="U243" s="5" t="s">
        <v>561</v>
      </c>
      <c r="V243" s="0" t="s">
        <v>9798</v>
      </c>
      <c r="W243" s="0" t="s">
        <v>166</v>
      </c>
      <c r="X243" s="0" t="s">
        <v>4585</v>
      </c>
      <c r="Y243" s="0" t="str">
        <f aca="false">IF(EB243&lt;&gt;"Y","",COUNTIFS($EB$2:$EB$1000,"Y",$J$2:$J$1000,"&gt;"&amp;J243)+COUNTIFS($EB$2:$EB$1000,"Y",$J$2:$J$1000,J243,$ED$2:$ED$1000,"&lt;"&amp;ED243)+1)</f>
        <v/>
      </c>
      <c r="AA243" s="0" t="s">
        <v>162</v>
      </c>
      <c r="AD243" s="0" t="s">
        <v>158</v>
      </c>
      <c r="AH243" s="0" t="s">
        <v>9799</v>
      </c>
      <c r="AI243" s="0" t="s">
        <v>5079</v>
      </c>
      <c r="AJ243" s="0" t="s">
        <v>9800</v>
      </c>
      <c r="AK243" s="0" t="s">
        <v>9801</v>
      </c>
      <c r="AL243" s="0" t="s">
        <v>168</v>
      </c>
      <c r="AM243" s="0" t="s">
        <v>9802</v>
      </c>
      <c r="AN243" s="0" t="s">
        <v>9792</v>
      </c>
      <c r="AO243" s="5" t="s">
        <v>162</v>
      </c>
      <c r="AR243" s="0" t="str">
        <f aca="false">IF(AND(AU243="pass",AO243&lt;&gt;"Y",C243&lt;&gt;""),"Y","N")</f>
        <v>N</v>
      </c>
      <c r="AS243" s="0" t="str">
        <f aca="false">_xlfn.TEXTJOIN("; ",TRUE(),IF(AU243&lt;&gt;"pass","gated out",""),IF(AO243="Y","on hold: "&amp;AP243,""),IF(C243="","no contact named on an opened page",""))</f>
        <v>gated out; no contact named on an opened page</v>
      </c>
      <c r="AU243" s="0" t="s">
        <v>3703</v>
      </c>
      <c r="AV243" s="0" t="s">
        <v>9762</v>
      </c>
      <c r="AW243" s="0" t="s">
        <v>9803</v>
      </c>
      <c r="AX243" s="0" t="s">
        <v>5972</v>
      </c>
      <c r="AY243" s="0" t="s">
        <v>9801</v>
      </c>
      <c r="AZ243" s="0" t="s">
        <v>6689</v>
      </c>
      <c r="BA243" s="0" t="s">
        <v>5191</v>
      </c>
      <c r="BB243" s="0" t="s">
        <v>9804</v>
      </c>
      <c r="BD243" s="0" t="s">
        <v>263</v>
      </c>
      <c r="BE243" s="0" t="s">
        <v>9805</v>
      </c>
      <c r="BF243" s="0" t="s">
        <v>168</v>
      </c>
      <c r="BG243" s="0" t="s">
        <v>168</v>
      </c>
      <c r="BH243" s="0" t="s">
        <v>163</v>
      </c>
      <c r="BJ243" s="0" t="s">
        <v>163</v>
      </c>
      <c r="BK243" s="0" t="s">
        <v>162</v>
      </c>
      <c r="BL243" s="0" t="s">
        <v>168</v>
      </c>
      <c r="BM243" s="0" t="s">
        <v>9806</v>
      </c>
      <c r="BN243" s="0" t="n">
        <v>0</v>
      </c>
      <c r="BO243" s="0" t="s">
        <v>168</v>
      </c>
      <c r="BP243" s="0" t="n">
        <v>3</v>
      </c>
      <c r="BQ243" s="0" t="s">
        <v>4669</v>
      </c>
      <c r="BS243" s="0" t="s">
        <v>4692</v>
      </c>
      <c r="BT243" s="0" t="s">
        <v>9807</v>
      </c>
      <c r="BU243" s="0" t="s">
        <v>4694</v>
      </c>
      <c r="BV243" s="0" t="n">
        <v>100</v>
      </c>
      <c r="CF243" s="0" t="s">
        <v>158</v>
      </c>
      <c r="CK243" s="0" t="s">
        <v>158</v>
      </c>
      <c r="CL243" s="0" t="n">
        <v>42</v>
      </c>
      <c r="CM243" s="0" t="n">
        <v>25</v>
      </c>
      <c r="CN243" s="0" t="n">
        <v>8</v>
      </c>
      <c r="CO243" s="0" t="n">
        <v>8</v>
      </c>
      <c r="CP243" s="0" t="n">
        <v>5</v>
      </c>
      <c r="CQ243" s="0" t="n">
        <v>8</v>
      </c>
      <c r="CR243" s="0" t="n">
        <v>0</v>
      </c>
      <c r="CS243" s="0" t="n">
        <f aca="false">IF(R243="Y",10,0)</f>
        <v>0</v>
      </c>
      <c r="CT243" s="0" t="n">
        <v>-12</v>
      </c>
      <c r="CU243" s="0" t="s">
        <v>9808</v>
      </c>
      <c r="CV243" s="0" t="s">
        <v>4703</v>
      </c>
      <c r="CW243" s="0" t="s">
        <v>9809</v>
      </c>
      <c r="CX243" s="0" t="s">
        <v>9810</v>
      </c>
      <c r="CY243" s="0" t="s">
        <v>9811</v>
      </c>
      <c r="DA243" s="0" t="s">
        <v>6234</v>
      </c>
      <c r="DY243" s="0" t="str">
        <f aca="false">IF(ISNUMBER(MATCH(U243,{"queued","contacted","replied","call_booked","call_done","yes_in_principle","materials_sent"},0)),"Y","N")</f>
        <v>N</v>
      </c>
      <c r="DZ243" s="0" t="str">
        <f aca="false">IF(COUNTIFS($AN$2:$AN$1000,AN243,$DY$2:$DY$1000,"Y")+COUNTIFS($AN$2:$AN$1000,AN243,$T$2:$T$1000,"Y")&gt;0,"Y","N")</f>
        <v>N</v>
      </c>
      <c r="EA243" s="0" t="str">
        <f aca="false">IF(AND(U243="new",T243="N",AR243="Y",AQ243="",DZ243="N"),"Y","N")</f>
        <v>N</v>
      </c>
      <c r="EB243" s="0" t="str">
        <f aca="false">IF(EA243&lt;&gt;"Y","N",IF(COUNTIFS($AN$2:$AN$1000,AN243,$EA$2:$EA$1000,"Y",$J$2:$J$1000,"&gt;"&amp;J243)+COUNTIFS($AN$2:$AN$1000,AN243,$EA$2:$EA$1000,"Y",$J$2:$J$1000,J243,$ED$2:$ED$1000,"&lt;"&amp;ED243)=0,"Y","N"))</f>
        <v>N</v>
      </c>
      <c r="EC243" s="0" t="str">
        <f aca="false">IF(Y243="","N",IF(Y243&lt;=10,"Y","N"))</f>
        <v>N</v>
      </c>
      <c r="ED243" s="0" t="n">
        <f aca="false">ROW()-1</f>
        <v>242</v>
      </c>
    </row>
    <row r="244" customFormat="false" ht="15" hidden="false" customHeight="false" outlineLevel="0" collapsed="false">
      <c r="A244" s="0" t="s">
        <v>9812</v>
      </c>
      <c r="B244" s="0" t="s">
        <v>9813</v>
      </c>
      <c r="C244" s="0" t="s">
        <v>9814</v>
      </c>
      <c r="D244" s="0" t="s">
        <v>163</v>
      </c>
      <c r="E244" s="0" t="s">
        <v>4625</v>
      </c>
      <c r="H244" s="5" t="s">
        <v>158</v>
      </c>
      <c r="I244" s="5" t="s">
        <v>159</v>
      </c>
      <c r="J244" s="0" t="n">
        <f aca="false">IF(AU244="pass",CM244+CN244+CO244+CP244+CQ244+CR244+CS244+CT244,0)</f>
        <v>0</v>
      </c>
      <c r="K244" s="0" t="s">
        <v>9815</v>
      </c>
      <c r="M244" s="0" t="s">
        <v>4580</v>
      </c>
      <c r="N244" s="0" t="s">
        <v>4581</v>
      </c>
      <c r="O244" s="0" t="s">
        <v>9816</v>
      </c>
      <c r="P244" s="0" t="s">
        <v>9817</v>
      </c>
      <c r="Q244" s="0" t="s">
        <v>4821</v>
      </c>
      <c r="R244" s="5" t="s">
        <v>162</v>
      </c>
      <c r="S244" s="0" t="s">
        <v>163</v>
      </c>
      <c r="T244" s="5" t="s">
        <v>162</v>
      </c>
      <c r="U244" s="5" t="s">
        <v>561</v>
      </c>
      <c r="V244" s="0" t="s">
        <v>9818</v>
      </c>
      <c r="W244" s="0" t="s">
        <v>166</v>
      </c>
      <c r="X244" s="0" t="s">
        <v>4585</v>
      </c>
      <c r="Y244" s="0" t="str">
        <f aca="false">IF(EB244&lt;&gt;"Y","",COUNTIFS($EB$2:$EB$1000,"Y",$J$2:$J$1000,"&gt;"&amp;J244)+COUNTIFS($EB$2:$EB$1000,"Y",$J$2:$J$1000,J244,$ED$2:$ED$1000,"&lt;"&amp;ED244)+1)</f>
        <v/>
      </c>
      <c r="AA244" s="0" t="s">
        <v>162</v>
      </c>
      <c r="AC244" s="0" t="s">
        <v>4587</v>
      </c>
      <c r="AD244" s="0" t="s">
        <v>5008</v>
      </c>
      <c r="AE244" s="0" t="s">
        <v>172</v>
      </c>
      <c r="AF244" s="0" t="s">
        <v>9819</v>
      </c>
      <c r="AG244" s="0" t="s">
        <v>174</v>
      </c>
      <c r="AH244" s="0" t="s">
        <v>9820</v>
      </c>
      <c r="AI244" s="0" t="s">
        <v>4664</v>
      </c>
      <c r="AJ244" s="0" t="s">
        <v>9091</v>
      </c>
      <c r="AK244" s="0" t="s">
        <v>9821</v>
      </c>
      <c r="AL244" s="0" t="s">
        <v>168</v>
      </c>
      <c r="AM244" s="0" t="s">
        <v>9822</v>
      </c>
      <c r="AN244" s="0" t="s">
        <v>9812</v>
      </c>
      <c r="AO244" s="5" t="s">
        <v>162</v>
      </c>
      <c r="AR244" s="0" t="str">
        <f aca="false">IF(AND(AU244="pass",AO244&lt;&gt;"Y",C244&lt;&gt;""),"Y","N")</f>
        <v>N</v>
      </c>
      <c r="AS244" s="0" t="str">
        <f aca="false">_xlfn.TEXTJOIN("; ",TRUE(),IF(AU244&lt;&gt;"pass","gated out",""),IF(AO244="Y","on hold: "&amp;AP244,""),IF(C244="","no contact named on an opened page",""))</f>
        <v>gated out</v>
      </c>
      <c r="AU244" s="0" t="s">
        <v>3703</v>
      </c>
      <c r="AV244" s="0" t="s">
        <v>9762</v>
      </c>
      <c r="AW244" s="0" t="s">
        <v>9823</v>
      </c>
      <c r="AX244" s="0" t="s">
        <v>4594</v>
      </c>
      <c r="AY244" s="0" t="s">
        <v>9821</v>
      </c>
      <c r="AZ244" s="0" t="s">
        <v>5873</v>
      </c>
      <c r="BA244" s="0" t="s">
        <v>5329</v>
      </c>
      <c r="BB244" s="0" t="s">
        <v>163</v>
      </c>
      <c r="BD244" s="0" t="s">
        <v>168</v>
      </c>
      <c r="BE244" s="0" t="s">
        <v>9824</v>
      </c>
      <c r="BF244" s="0" t="s">
        <v>168</v>
      </c>
      <c r="BG244" s="0" t="s">
        <v>168</v>
      </c>
      <c r="BH244" s="0" t="s">
        <v>163</v>
      </c>
      <c r="BJ244" s="0" t="s">
        <v>163</v>
      </c>
      <c r="BK244" s="0" t="s">
        <v>162</v>
      </c>
      <c r="BL244" s="0" t="s">
        <v>168</v>
      </c>
      <c r="BM244" s="0" t="s">
        <v>9825</v>
      </c>
      <c r="BN244" s="0" t="n">
        <v>0</v>
      </c>
      <c r="BO244" s="0" t="s">
        <v>168</v>
      </c>
      <c r="BP244" s="0" t="n">
        <v>3</v>
      </c>
      <c r="BQ244" s="0" t="s">
        <v>4669</v>
      </c>
      <c r="BS244" s="0" t="s">
        <v>9826</v>
      </c>
      <c r="BT244" s="0" t="s">
        <v>9827</v>
      </c>
      <c r="BU244" s="0" t="s">
        <v>4694</v>
      </c>
      <c r="BV244" s="0" t="n">
        <v>12</v>
      </c>
      <c r="BX244" s="0" t="s">
        <v>9814</v>
      </c>
      <c r="BY244" s="0" t="s">
        <v>9828</v>
      </c>
      <c r="CA244" s="0" t="s">
        <v>6561</v>
      </c>
      <c r="CB244" s="0" t="s">
        <v>6561</v>
      </c>
      <c r="CC244" s="0" t="s">
        <v>163</v>
      </c>
      <c r="CD244" s="0" t="s">
        <v>4625</v>
      </c>
      <c r="CE244" s="0" t="s">
        <v>4808</v>
      </c>
      <c r="CF244" s="0" t="s">
        <v>5008</v>
      </c>
      <c r="CG244" s="0" t="s">
        <v>9829</v>
      </c>
      <c r="CK244" s="0" t="s">
        <v>158</v>
      </c>
      <c r="CL244" s="0" t="n">
        <v>50</v>
      </c>
      <c r="CM244" s="0" t="n">
        <v>25</v>
      </c>
      <c r="CN244" s="0" t="n">
        <v>3</v>
      </c>
      <c r="CO244" s="0" t="n">
        <v>8</v>
      </c>
      <c r="CP244" s="0" t="n">
        <v>5</v>
      </c>
      <c r="CQ244" s="0" t="n">
        <v>10</v>
      </c>
      <c r="CR244" s="0" t="n">
        <v>3</v>
      </c>
      <c r="CS244" s="0" t="n">
        <f aca="false">IF(R244="Y",10,0)</f>
        <v>0</v>
      </c>
      <c r="CT244" s="0" t="n">
        <v>-4</v>
      </c>
      <c r="CU244" s="0" t="s">
        <v>9830</v>
      </c>
      <c r="CV244" s="0" t="s">
        <v>4703</v>
      </c>
      <c r="CW244" s="0" t="s">
        <v>9831</v>
      </c>
      <c r="CX244" s="0" t="s">
        <v>9832</v>
      </c>
      <c r="CY244" s="0" t="s">
        <v>9833</v>
      </c>
      <c r="CZ244" s="0" t="s">
        <v>9819</v>
      </c>
      <c r="DA244" s="0" t="s">
        <v>5912</v>
      </c>
      <c r="DC244" s="0" t="s">
        <v>172</v>
      </c>
      <c r="DY244" s="0" t="str">
        <f aca="false">IF(ISNUMBER(MATCH(U244,{"queued","contacted","replied","call_booked","call_done","yes_in_principle","materials_sent"},0)),"Y","N")</f>
        <v>N</v>
      </c>
      <c r="DZ244" s="0" t="str">
        <f aca="false">IF(COUNTIFS($AN$2:$AN$1000,AN244,$DY$2:$DY$1000,"Y")+COUNTIFS($AN$2:$AN$1000,AN244,$T$2:$T$1000,"Y")&gt;0,"Y","N")</f>
        <v>N</v>
      </c>
      <c r="EA244" s="0" t="str">
        <f aca="false">IF(AND(U244="new",T244="N",AR244="Y",AQ244="",DZ244="N"),"Y","N")</f>
        <v>N</v>
      </c>
      <c r="EB244" s="0" t="str">
        <f aca="false">IF(EA244&lt;&gt;"Y","N",IF(COUNTIFS($AN$2:$AN$1000,AN244,$EA$2:$EA$1000,"Y",$J$2:$J$1000,"&gt;"&amp;J244)+COUNTIFS($AN$2:$AN$1000,AN244,$EA$2:$EA$1000,"Y",$J$2:$J$1000,J244,$ED$2:$ED$1000,"&lt;"&amp;ED244)=0,"Y","N"))</f>
        <v>N</v>
      </c>
      <c r="EC244" s="0" t="str">
        <f aca="false">IF(Y244="","N",IF(Y244&lt;=10,"Y","N"))</f>
        <v>N</v>
      </c>
      <c r="ED244" s="0" t="n">
        <f aca="false">ROW()-1</f>
        <v>243</v>
      </c>
    </row>
    <row r="245" customFormat="false" ht="15" hidden="false" customHeight="false" outlineLevel="0" collapsed="false">
      <c r="A245" s="0" t="s">
        <v>9834</v>
      </c>
      <c r="B245" s="0" t="s">
        <v>9835</v>
      </c>
      <c r="H245" s="5" t="s">
        <v>158</v>
      </c>
      <c r="I245" s="5"/>
      <c r="J245" s="0" t="n">
        <f aca="false">IF(AU245="pass",CM245+CN245+CO245+CP245+CQ245+CR245+CS245+CT245,0)</f>
        <v>0</v>
      </c>
      <c r="K245" s="0" t="s">
        <v>9836</v>
      </c>
      <c r="M245" s="0" t="s">
        <v>4580</v>
      </c>
      <c r="N245" s="0" t="s">
        <v>4581</v>
      </c>
      <c r="R245" s="5" t="s">
        <v>162</v>
      </c>
      <c r="S245" s="0" t="s">
        <v>163</v>
      </c>
      <c r="T245" s="5" t="s">
        <v>162</v>
      </c>
      <c r="U245" s="5" t="s">
        <v>561</v>
      </c>
      <c r="V245" s="0" t="s">
        <v>9837</v>
      </c>
      <c r="W245" s="0" t="s">
        <v>166</v>
      </c>
      <c r="X245" s="0" t="s">
        <v>4585</v>
      </c>
      <c r="Y245" s="0" t="str">
        <f aca="false">IF(EB245&lt;&gt;"Y","",COUNTIFS($EB$2:$EB$1000,"Y",$J$2:$J$1000,"&gt;"&amp;J245)+COUNTIFS($EB$2:$EB$1000,"Y",$J$2:$J$1000,J245,$ED$2:$ED$1000,"&lt;"&amp;ED245)+1)</f>
        <v/>
      </c>
      <c r="AA245" s="0" t="s">
        <v>162</v>
      </c>
      <c r="AC245" s="0" t="s">
        <v>4587</v>
      </c>
      <c r="AD245" s="0" t="s">
        <v>598</v>
      </c>
      <c r="AE245" s="0" t="s">
        <v>172</v>
      </c>
      <c r="AF245" s="0" t="s">
        <v>9837</v>
      </c>
      <c r="AG245" s="0" t="s">
        <v>166</v>
      </c>
      <c r="AH245" s="0" t="s">
        <v>9838</v>
      </c>
      <c r="AI245" s="0" t="s">
        <v>4590</v>
      </c>
      <c r="AJ245" s="0" t="s">
        <v>9839</v>
      </c>
      <c r="AK245" s="0" t="s">
        <v>9840</v>
      </c>
      <c r="AL245" s="0" t="s">
        <v>168</v>
      </c>
      <c r="AM245" s="0" t="s">
        <v>9841</v>
      </c>
      <c r="AN245" s="0" t="s">
        <v>9834</v>
      </c>
      <c r="AO245" s="5" t="s">
        <v>162</v>
      </c>
      <c r="AR245" s="0" t="str">
        <f aca="false">IF(AND(AU245="pass",AO245&lt;&gt;"Y",C245&lt;&gt;""),"Y","N")</f>
        <v>N</v>
      </c>
      <c r="AS245" s="0" t="str">
        <f aca="false">_xlfn.TEXTJOIN("; ",TRUE(),IF(AU245&lt;&gt;"pass","gated out",""),IF(AO245="Y","on hold: "&amp;AP245,""),IF(C245="","no contact named on an opened page",""))</f>
        <v>gated out; no contact named on an opened page</v>
      </c>
      <c r="AU245" s="0" t="s">
        <v>3703</v>
      </c>
      <c r="AV245" s="0" t="s">
        <v>9762</v>
      </c>
      <c r="AW245" s="0" t="s">
        <v>9842</v>
      </c>
      <c r="AX245" s="0" t="s">
        <v>4594</v>
      </c>
      <c r="AY245" s="0" t="s">
        <v>9840</v>
      </c>
      <c r="AZ245" s="0" t="s">
        <v>9843</v>
      </c>
      <c r="BA245" s="0" t="s">
        <v>4596</v>
      </c>
      <c r="BB245" s="0" t="s">
        <v>163</v>
      </c>
      <c r="BD245" s="0" t="s">
        <v>163</v>
      </c>
      <c r="BE245" s="0" t="s">
        <v>9844</v>
      </c>
      <c r="BF245" s="0" t="s">
        <v>168</v>
      </c>
      <c r="BG245" s="0" t="s">
        <v>168</v>
      </c>
      <c r="BH245" s="0" t="s">
        <v>163</v>
      </c>
      <c r="BJ245" s="0" t="s">
        <v>163</v>
      </c>
      <c r="BK245" s="0" t="s">
        <v>168</v>
      </c>
      <c r="BL245" s="0" t="s">
        <v>168</v>
      </c>
      <c r="BM245" s="0" t="s">
        <v>9845</v>
      </c>
      <c r="BN245" s="0" t="n">
        <v>0</v>
      </c>
      <c r="BO245" s="0" t="s">
        <v>168</v>
      </c>
      <c r="BP245" s="0" t="n">
        <v>3</v>
      </c>
      <c r="BQ245" s="0" t="s">
        <v>4669</v>
      </c>
      <c r="BR245" s="0" t="s">
        <v>4670</v>
      </c>
      <c r="BS245" s="0" t="s">
        <v>7413</v>
      </c>
      <c r="BT245" s="0" t="s">
        <v>9846</v>
      </c>
      <c r="BU245" s="0" t="s">
        <v>158</v>
      </c>
      <c r="BX245" s="0" t="s">
        <v>5101</v>
      </c>
      <c r="BY245" s="0" t="s">
        <v>9847</v>
      </c>
      <c r="CA245" s="0" t="s">
        <v>6777</v>
      </c>
      <c r="CE245" s="0" t="s">
        <v>6723</v>
      </c>
      <c r="CF245" s="0" t="s">
        <v>598</v>
      </c>
      <c r="CG245" s="0" t="s">
        <v>9847</v>
      </c>
      <c r="CK245" s="0" t="s">
        <v>158</v>
      </c>
      <c r="CL245" s="0" t="n">
        <v>56</v>
      </c>
      <c r="CM245" s="0" t="n">
        <v>25</v>
      </c>
      <c r="CN245" s="0" t="n">
        <v>20</v>
      </c>
      <c r="CO245" s="0" t="n">
        <v>0</v>
      </c>
      <c r="CP245" s="0" t="n">
        <v>5</v>
      </c>
      <c r="CQ245" s="0" t="n">
        <v>7</v>
      </c>
      <c r="CR245" s="0" t="n">
        <v>3</v>
      </c>
      <c r="CS245" s="0" t="n">
        <f aca="false">IF(R245="Y",10,0)</f>
        <v>0</v>
      </c>
      <c r="CT245" s="0" t="n">
        <v>-4</v>
      </c>
      <c r="CV245" s="0" t="s">
        <v>4615</v>
      </c>
      <c r="CW245" s="0" t="s">
        <v>9848</v>
      </c>
      <c r="CX245" s="0" t="s">
        <v>9849</v>
      </c>
      <c r="CZ245" s="0" t="s">
        <v>9837</v>
      </c>
      <c r="DA245" s="0" t="s">
        <v>6234</v>
      </c>
      <c r="DC245" s="0" t="s">
        <v>172</v>
      </c>
      <c r="DY245" s="0" t="str">
        <f aca="false">IF(ISNUMBER(MATCH(U245,{"queued","contacted","replied","call_booked","call_done","yes_in_principle","materials_sent"},0)),"Y","N")</f>
        <v>N</v>
      </c>
      <c r="DZ245" s="0" t="str">
        <f aca="false">IF(COUNTIFS($AN$2:$AN$1000,AN245,$DY$2:$DY$1000,"Y")+COUNTIFS($AN$2:$AN$1000,AN245,$T$2:$T$1000,"Y")&gt;0,"Y","N")</f>
        <v>N</v>
      </c>
      <c r="EA245" s="0" t="str">
        <f aca="false">IF(AND(U245="new",T245="N",AR245="Y",AQ245="",DZ245="N"),"Y","N")</f>
        <v>N</v>
      </c>
      <c r="EB245" s="0" t="str">
        <f aca="false">IF(EA245&lt;&gt;"Y","N",IF(COUNTIFS($AN$2:$AN$1000,AN245,$EA$2:$EA$1000,"Y",$J$2:$J$1000,"&gt;"&amp;J245)+COUNTIFS($AN$2:$AN$1000,AN245,$EA$2:$EA$1000,"Y",$J$2:$J$1000,J245,$ED$2:$ED$1000,"&lt;"&amp;ED245)=0,"Y","N"))</f>
        <v>N</v>
      </c>
      <c r="EC245" s="0" t="str">
        <f aca="false">IF(Y245="","N",IF(Y245&lt;=10,"Y","N"))</f>
        <v>N</v>
      </c>
      <c r="ED245" s="0" t="n">
        <f aca="false">ROW()-1</f>
        <v>244</v>
      </c>
    </row>
    <row r="246" customFormat="false" ht="15" hidden="false" customHeight="false" outlineLevel="0" collapsed="false">
      <c r="A246" s="0" t="s">
        <v>9850</v>
      </c>
      <c r="B246" s="0" t="s">
        <v>9851</v>
      </c>
      <c r="C246" s="0" t="s">
        <v>6843</v>
      </c>
      <c r="D246" s="0" t="s">
        <v>9852</v>
      </c>
      <c r="E246" s="0" t="s">
        <v>4771</v>
      </c>
      <c r="H246" s="5" t="s">
        <v>158</v>
      </c>
      <c r="I246" s="5" t="s">
        <v>159</v>
      </c>
      <c r="J246" s="0" t="n">
        <f aca="false">IF(AU246="pass",CM246+CN246+CO246+CP246+CQ246+CR246+CS246+CT246,0)</f>
        <v>0</v>
      </c>
      <c r="K246" s="0" t="s">
        <v>9853</v>
      </c>
      <c r="M246" s="0" t="s">
        <v>4580</v>
      </c>
      <c r="N246" s="0" t="s">
        <v>4581</v>
      </c>
      <c r="O246" s="0" t="s">
        <v>9854</v>
      </c>
      <c r="Q246" s="0" t="s">
        <v>5024</v>
      </c>
      <c r="R246" s="5" t="s">
        <v>162</v>
      </c>
      <c r="S246" s="0" t="s">
        <v>168</v>
      </c>
      <c r="T246" s="5" t="s">
        <v>162</v>
      </c>
      <c r="U246" s="5" t="s">
        <v>561</v>
      </c>
      <c r="V246" s="0" t="s">
        <v>9855</v>
      </c>
      <c r="W246" s="0" t="s">
        <v>166</v>
      </c>
      <c r="X246" s="0" t="s">
        <v>4585</v>
      </c>
      <c r="Y246" s="0" t="str">
        <f aca="false">IF(EB246&lt;&gt;"Y","",COUNTIFS($EB$2:$EB$1000,"Y",$J$2:$J$1000,"&gt;"&amp;J246)+COUNTIFS($EB$2:$EB$1000,"Y",$J$2:$J$1000,J246,$ED$2:$ED$1000,"&lt;"&amp;ED246)+1)</f>
        <v/>
      </c>
      <c r="AA246" s="0" t="s">
        <v>162</v>
      </c>
      <c r="AC246" s="0" t="s">
        <v>4587</v>
      </c>
      <c r="AD246" s="0" t="s">
        <v>171</v>
      </c>
      <c r="AE246" s="0" t="s">
        <v>172</v>
      </c>
      <c r="AF246" s="0" t="s">
        <v>9856</v>
      </c>
      <c r="AG246" s="0" t="s">
        <v>166</v>
      </c>
      <c r="AH246" s="0" t="s">
        <v>9857</v>
      </c>
      <c r="AI246" s="0" t="s">
        <v>4975</v>
      </c>
      <c r="AJ246" s="0" t="s">
        <v>9858</v>
      </c>
      <c r="AK246" s="0" t="s">
        <v>9859</v>
      </c>
      <c r="AL246" s="0" t="s">
        <v>168</v>
      </c>
      <c r="AM246" s="0" t="s">
        <v>9860</v>
      </c>
      <c r="AN246" s="0" t="s">
        <v>9850</v>
      </c>
      <c r="AO246" s="5" t="s">
        <v>162</v>
      </c>
      <c r="AR246" s="0" t="str">
        <f aca="false">IF(AND(AU246="pass",AO246&lt;&gt;"Y",C246&lt;&gt;""),"Y","N")</f>
        <v>N</v>
      </c>
      <c r="AS246" s="0" t="str">
        <f aca="false">_xlfn.TEXTJOIN("; ",TRUE(),IF(AU246&lt;&gt;"pass","gated out",""),IF(AO246="Y","on hold: "&amp;AP246,""),IF(C246="","no contact named on an opened page",""))</f>
        <v>gated out</v>
      </c>
      <c r="AU246" s="0" t="s">
        <v>3703</v>
      </c>
      <c r="AV246" s="0" t="s">
        <v>9762</v>
      </c>
      <c r="AW246" s="0" t="s">
        <v>9861</v>
      </c>
      <c r="AX246" s="0" t="s">
        <v>4891</v>
      </c>
      <c r="AY246" s="0" t="s">
        <v>9862</v>
      </c>
      <c r="AZ246" s="0" t="s">
        <v>9863</v>
      </c>
      <c r="BA246" s="0" t="s">
        <v>5271</v>
      </c>
      <c r="BB246" s="0" t="s">
        <v>9864</v>
      </c>
      <c r="BD246" s="0" t="s">
        <v>168</v>
      </c>
      <c r="BE246" s="0" t="s">
        <v>9865</v>
      </c>
      <c r="BF246" s="0" t="s">
        <v>168</v>
      </c>
      <c r="BG246" s="0" t="s">
        <v>168</v>
      </c>
      <c r="BH246" s="0" t="s">
        <v>163</v>
      </c>
      <c r="BJ246" s="0" t="s">
        <v>163</v>
      </c>
      <c r="BK246" s="0" t="s">
        <v>168</v>
      </c>
      <c r="BL246" s="0" t="s">
        <v>168</v>
      </c>
      <c r="BM246" s="0" t="s">
        <v>9866</v>
      </c>
      <c r="BN246" s="0" t="n">
        <v>0</v>
      </c>
      <c r="BO246" s="0" t="s">
        <v>168</v>
      </c>
      <c r="BP246" s="0" t="n">
        <v>3</v>
      </c>
      <c r="BQ246" s="0" t="s">
        <v>4669</v>
      </c>
      <c r="BR246" s="0" t="s">
        <v>4670</v>
      </c>
      <c r="BS246" s="0" t="s">
        <v>4981</v>
      </c>
      <c r="BT246" s="0" t="s">
        <v>9867</v>
      </c>
      <c r="BU246" s="0" t="s">
        <v>598</v>
      </c>
      <c r="BV246" s="0" t="n">
        <v>158</v>
      </c>
      <c r="BW246" s="0" t="s">
        <v>9868</v>
      </c>
      <c r="BX246" s="0" t="s">
        <v>9869</v>
      </c>
      <c r="CF246" s="0" t="s">
        <v>158</v>
      </c>
      <c r="CK246" s="0" t="s">
        <v>158</v>
      </c>
      <c r="CL246" s="0" t="n">
        <v>51</v>
      </c>
      <c r="CM246" s="0" t="n">
        <v>25</v>
      </c>
      <c r="CN246" s="0" t="n">
        <v>17</v>
      </c>
      <c r="CO246" s="0" t="n">
        <v>0</v>
      </c>
      <c r="CP246" s="0" t="n">
        <v>5</v>
      </c>
      <c r="CQ246" s="0" t="n">
        <v>10</v>
      </c>
      <c r="CR246" s="0" t="n">
        <v>6</v>
      </c>
      <c r="CS246" s="0" t="n">
        <f aca="false">IF(R246="Y",10,0)</f>
        <v>0</v>
      </c>
      <c r="CT246" s="0" t="n">
        <v>-12</v>
      </c>
      <c r="CV246" s="0" t="s">
        <v>4615</v>
      </c>
      <c r="CW246" s="0" t="s">
        <v>9870</v>
      </c>
      <c r="CX246" s="0" t="s">
        <v>9871</v>
      </c>
      <c r="DA246" s="0" t="s">
        <v>6234</v>
      </c>
      <c r="DY246" s="0" t="str">
        <f aca="false">IF(ISNUMBER(MATCH(U246,{"queued","contacted","replied","call_booked","call_done","yes_in_principle","materials_sent"},0)),"Y","N")</f>
        <v>N</v>
      </c>
      <c r="DZ246" s="0" t="str">
        <f aca="false">IF(COUNTIFS($AN$2:$AN$1000,AN246,$DY$2:$DY$1000,"Y")+COUNTIFS($AN$2:$AN$1000,AN246,$T$2:$T$1000,"Y")&gt;0,"Y","N")</f>
        <v>N</v>
      </c>
      <c r="EA246" s="0" t="str">
        <f aca="false">IF(AND(U246="new",T246="N",AR246="Y",AQ246="",DZ246="N"),"Y","N")</f>
        <v>N</v>
      </c>
      <c r="EB246" s="0" t="str">
        <f aca="false">IF(EA246&lt;&gt;"Y","N",IF(COUNTIFS($AN$2:$AN$1000,AN246,$EA$2:$EA$1000,"Y",$J$2:$J$1000,"&gt;"&amp;J246)+COUNTIFS($AN$2:$AN$1000,AN246,$EA$2:$EA$1000,"Y",$J$2:$J$1000,J246,$ED$2:$ED$1000,"&lt;"&amp;ED246)=0,"Y","N"))</f>
        <v>N</v>
      </c>
      <c r="EC246" s="0" t="str">
        <f aca="false">IF(Y246="","N",IF(Y246&lt;=10,"Y","N"))</f>
        <v>N</v>
      </c>
      <c r="ED246" s="0" t="n">
        <f aca="false">ROW()-1</f>
        <v>245</v>
      </c>
    </row>
    <row r="247" customFormat="false" ht="15" hidden="false" customHeight="false" outlineLevel="0" collapsed="false">
      <c r="A247" s="0" t="s">
        <v>9872</v>
      </c>
      <c r="B247" s="0" t="s">
        <v>9873</v>
      </c>
      <c r="C247" s="0" t="s">
        <v>9874</v>
      </c>
      <c r="D247" s="0" t="s">
        <v>9875</v>
      </c>
      <c r="E247" s="0" t="s">
        <v>4771</v>
      </c>
      <c r="H247" s="5" t="s">
        <v>158</v>
      </c>
      <c r="I247" s="5" t="s">
        <v>159</v>
      </c>
      <c r="J247" s="0" t="n">
        <f aca="false">IF(AU247="pass",CM247+CN247+CO247+CP247+CQ247+CR247+CS247+CT247,0)</f>
        <v>0</v>
      </c>
      <c r="K247" s="0" t="s">
        <v>9876</v>
      </c>
      <c r="M247" s="0" t="s">
        <v>4580</v>
      </c>
      <c r="N247" s="0" t="s">
        <v>4581</v>
      </c>
      <c r="R247" s="5" t="s">
        <v>162</v>
      </c>
      <c r="S247" s="0" t="s">
        <v>163</v>
      </c>
      <c r="T247" s="5" t="s">
        <v>162</v>
      </c>
      <c r="U247" s="5" t="s">
        <v>561</v>
      </c>
      <c r="V247" s="0" t="s">
        <v>9877</v>
      </c>
      <c r="W247" s="0" t="s">
        <v>166</v>
      </c>
      <c r="X247" s="0" t="s">
        <v>4585</v>
      </c>
      <c r="Y247" s="0" t="str">
        <f aca="false">IF(EB247&lt;&gt;"Y","",COUNTIFS($EB$2:$EB$1000,"Y",$J$2:$J$1000,"&gt;"&amp;J247)+COUNTIFS($EB$2:$EB$1000,"Y",$J$2:$J$1000,J247,$ED$2:$ED$1000,"&lt;"&amp;ED247)+1)</f>
        <v/>
      </c>
      <c r="AA247" s="0" t="s">
        <v>162</v>
      </c>
      <c r="AC247" s="0" t="s">
        <v>4587</v>
      </c>
      <c r="AD247" s="0" t="s">
        <v>171</v>
      </c>
      <c r="AE247" s="0" t="s">
        <v>172</v>
      </c>
      <c r="AF247" s="0" t="s">
        <v>9878</v>
      </c>
      <c r="AG247" s="0" t="s">
        <v>166</v>
      </c>
      <c r="AH247" s="0" t="s">
        <v>9879</v>
      </c>
      <c r="AI247" s="0" t="s">
        <v>4722</v>
      </c>
      <c r="AJ247" s="0" t="s">
        <v>9880</v>
      </c>
      <c r="AK247" s="0" t="s">
        <v>9881</v>
      </c>
      <c r="AL247" s="0" t="s">
        <v>168</v>
      </c>
      <c r="AM247" s="0" t="s">
        <v>9882</v>
      </c>
      <c r="AN247" s="0" t="s">
        <v>9872</v>
      </c>
      <c r="AO247" s="5" t="s">
        <v>162</v>
      </c>
      <c r="AR247" s="0" t="str">
        <f aca="false">IF(AND(AU247="pass",AO247&lt;&gt;"Y",C247&lt;&gt;""),"Y","N")</f>
        <v>N</v>
      </c>
      <c r="AS247" s="0" t="str">
        <f aca="false">_xlfn.TEXTJOIN("; ",TRUE(),IF(AU247&lt;&gt;"pass","gated out",""),IF(AO247="Y","on hold: "&amp;AP247,""),IF(C247="","no contact named on an opened page",""))</f>
        <v>gated out</v>
      </c>
      <c r="AU247" s="0" t="s">
        <v>3703</v>
      </c>
      <c r="AV247" s="0" t="s">
        <v>9883</v>
      </c>
      <c r="AW247" s="0" t="s">
        <v>9884</v>
      </c>
      <c r="AX247" s="0" t="s">
        <v>282</v>
      </c>
      <c r="AY247" s="0" t="s">
        <v>9881</v>
      </c>
      <c r="AZ247" s="0" t="s">
        <v>4595</v>
      </c>
      <c r="BA247" s="0" t="s">
        <v>4951</v>
      </c>
      <c r="BB247" s="0" t="s">
        <v>9885</v>
      </c>
      <c r="BD247" s="0" t="s">
        <v>162</v>
      </c>
      <c r="BE247" s="0" t="s">
        <v>9886</v>
      </c>
      <c r="BF247" s="0" t="s">
        <v>168</v>
      </c>
      <c r="BG247" s="0" t="s">
        <v>168</v>
      </c>
      <c r="BH247" s="0" t="s">
        <v>163</v>
      </c>
      <c r="BJ247" s="0" t="s">
        <v>163</v>
      </c>
      <c r="BK247" s="0" t="s">
        <v>162</v>
      </c>
      <c r="BL247" s="0" t="s">
        <v>168</v>
      </c>
      <c r="BM247" s="0" t="s">
        <v>9887</v>
      </c>
      <c r="BN247" s="0" t="n">
        <v>0</v>
      </c>
      <c r="BO247" s="0" t="s">
        <v>168</v>
      </c>
      <c r="BP247" s="0" t="n">
        <v>3</v>
      </c>
      <c r="BQ247" s="0" t="s">
        <v>4669</v>
      </c>
      <c r="BS247" s="0" t="s">
        <v>4692</v>
      </c>
      <c r="BT247" s="0" t="s">
        <v>9888</v>
      </c>
      <c r="BU247" s="0" t="s">
        <v>158</v>
      </c>
      <c r="BX247" s="0" t="s">
        <v>9889</v>
      </c>
      <c r="CF247" s="0" t="s">
        <v>158</v>
      </c>
      <c r="CK247" s="0" t="s">
        <v>158</v>
      </c>
      <c r="CL247" s="0" t="n">
        <v>53</v>
      </c>
      <c r="CM247" s="0" t="n">
        <v>25</v>
      </c>
      <c r="CN247" s="0" t="n">
        <v>13</v>
      </c>
      <c r="CO247" s="0" t="n">
        <v>0</v>
      </c>
      <c r="CP247" s="0" t="n">
        <v>5</v>
      </c>
      <c r="CQ247" s="0" t="n">
        <v>6</v>
      </c>
      <c r="CR247" s="0" t="n">
        <v>6</v>
      </c>
      <c r="CS247" s="0" t="n">
        <f aca="false">IF(R247="Y",10,0)</f>
        <v>0</v>
      </c>
      <c r="CT247" s="0" t="n">
        <v>-2</v>
      </c>
      <c r="CU247" s="0" t="s">
        <v>9890</v>
      </c>
      <c r="CV247" s="0" t="s">
        <v>4703</v>
      </c>
      <c r="CW247" s="0" t="s">
        <v>9891</v>
      </c>
      <c r="CX247" s="0" t="s">
        <v>9892</v>
      </c>
      <c r="DA247" s="0" t="s">
        <v>6234</v>
      </c>
      <c r="DY247" s="0" t="str">
        <f aca="false">IF(ISNUMBER(MATCH(U247,{"queued","contacted","replied","call_booked","call_done","yes_in_principle","materials_sent"},0)),"Y","N")</f>
        <v>N</v>
      </c>
      <c r="DZ247" s="0" t="str">
        <f aca="false">IF(COUNTIFS($AN$2:$AN$1000,AN247,$DY$2:$DY$1000,"Y")+COUNTIFS($AN$2:$AN$1000,AN247,$T$2:$T$1000,"Y")&gt;0,"Y","N")</f>
        <v>N</v>
      </c>
      <c r="EA247" s="0" t="str">
        <f aca="false">IF(AND(U247="new",T247="N",AR247="Y",AQ247="",DZ247="N"),"Y","N")</f>
        <v>N</v>
      </c>
      <c r="EB247" s="0" t="str">
        <f aca="false">IF(EA247&lt;&gt;"Y","N",IF(COUNTIFS($AN$2:$AN$1000,AN247,$EA$2:$EA$1000,"Y",$J$2:$J$1000,"&gt;"&amp;J247)+COUNTIFS($AN$2:$AN$1000,AN247,$EA$2:$EA$1000,"Y",$J$2:$J$1000,J247,$ED$2:$ED$1000,"&lt;"&amp;ED247)=0,"Y","N"))</f>
        <v>N</v>
      </c>
      <c r="EC247" s="0" t="str">
        <f aca="false">IF(Y247="","N",IF(Y247&lt;=10,"Y","N"))</f>
        <v>N</v>
      </c>
      <c r="ED247" s="0" t="n">
        <f aca="false">ROW()-1</f>
        <v>246</v>
      </c>
    </row>
    <row r="248" customFormat="false" ht="15" hidden="false" customHeight="false" outlineLevel="0" collapsed="false">
      <c r="A248" s="0" t="s">
        <v>9893</v>
      </c>
      <c r="B248" s="0" t="s">
        <v>9894</v>
      </c>
      <c r="C248" s="0" t="s">
        <v>6979</v>
      </c>
      <c r="D248" s="0" t="s">
        <v>9895</v>
      </c>
      <c r="E248" s="0" t="s">
        <v>4625</v>
      </c>
      <c r="H248" s="5" t="s">
        <v>158</v>
      </c>
      <c r="I248" s="5" t="s">
        <v>159</v>
      </c>
      <c r="J248" s="0" t="n">
        <f aca="false">IF(AU248="pass",CM248+CN248+CO248+CP248+CQ248+CR248+CS248+CT248,0)</f>
        <v>0</v>
      </c>
      <c r="K248" s="0" t="s">
        <v>9896</v>
      </c>
      <c r="M248" s="0" t="s">
        <v>4580</v>
      </c>
      <c r="N248" s="0" t="s">
        <v>4581</v>
      </c>
      <c r="R248" s="5" t="s">
        <v>162</v>
      </c>
      <c r="S248" s="0" t="s">
        <v>163</v>
      </c>
      <c r="T248" s="5" t="s">
        <v>162</v>
      </c>
      <c r="U248" s="5" t="s">
        <v>561</v>
      </c>
      <c r="V248" s="0" t="s">
        <v>9897</v>
      </c>
      <c r="W248" s="0" t="s">
        <v>166</v>
      </c>
      <c r="X248" s="0" t="s">
        <v>4585</v>
      </c>
      <c r="Y248" s="0" t="str">
        <f aca="false">IF(EB248&lt;&gt;"Y","",COUNTIFS($EB$2:$EB$1000,"Y",$J$2:$J$1000,"&gt;"&amp;J248)+COUNTIFS($EB$2:$EB$1000,"Y",$J$2:$J$1000,J248,$ED$2:$ED$1000,"&lt;"&amp;ED248)+1)</f>
        <v/>
      </c>
      <c r="AA248" s="0" t="s">
        <v>162</v>
      </c>
      <c r="AC248" s="0" t="s">
        <v>4587</v>
      </c>
      <c r="AD248" s="0" t="s">
        <v>171</v>
      </c>
      <c r="AE248" s="0" t="s">
        <v>172</v>
      </c>
      <c r="AF248" s="0" t="s">
        <v>9897</v>
      </c>
      <c r="AG248" s="0" t="s">
        <v>166</v>
      </c>
      <c r="AH248" s="0" t="s">
        <v>9898</v>
      </c>
      <c r="AI248" s="0" t="s">
        <v>5653</v>
      </c>
      <c r="AJ248" s="0" t="s">
        <v>2954</v>
      </c>
      <c r="AK248" s="0" t="s">
        <v>9899</v>
      </c>
      <c r="AL248" s="0" t="s">
        <v>168</v>
      </c>
      <c r="AM248" s="0" t="s">
        <v>9900</v>
      </c>
      <c r="AN248" s="0" t="s">
        <v>9893</v>
      </c>
      <c r="AO248" s="5" t="s">
        <v>162</v>
      </c>
      <c r="AR248" s="0" t="str">
        <f aca="false">IF(AND(AU248="pass",AO248&lt;&gt;"Y",C248&lt;&gt;""),"Y","N")</f>
        <v>N</v>
      </c>
      <c r="AS248" s="0" t="str">
        <f aca="false">_xlfn.TEXTJOIN("; ",TRUE(),IF(AU248&lt;&gt;"pass","gated out",""),IF(AO248="Y","on hold: "&amp;AP248,""),IF(C248="","no contact named on an opened page",""))</f>
        <v>gated out</v>
      </c>
      <c r="AU248" s="0" t="s">
        <v>3703</v>
      </c>
      <c r="AV248" s="0" t="s">
        <v>9762</v>
      </c>
      <c r="AW248" s="0" t="s">
        <v>9901</v>
      </c>
      <c r="AX248" s="0" t="s">
        <v>5605</v>
      </c>
      <c r="AY248" s="0" t="s">
        <v>9899</v>
      </c>
      <c r="AZ248" s="0" t="s">
        <v>5657</v>
      </c>
      <c r="BA248" s="0" t="s">
        <v>5329</v>
      </c>
      <c r="BB248" s="0" t="s">
        <v>163</v>
      </c>
      <c r="BD248" s="0" t="s">
        <v>263</v>
      </c>
      <c r="BE248" s="0" t="s">
        <v>9902</v>
      </c>
      <c r="BF248" s="0" t="s">
        <v>163</v>
      </c>
      <c r="BG248" s="0" t="s">
        <v>168</v>
      </c>
      <c r="BH248" s="0" t="s">
        <v>163</v>
      </c>
      <c r="BJ248" s="0" t="s">
        <v>163</v>
      </c>
      <c r="BK248" s="0" t="s">
        <v>162</v>
      </c>
      <c r="BL248" s="0" t="s">
        <v>168</v>
      </c>
      <c r="BM248" s="0" t="s">
        <v>9903</v>
      </c>
      <c r="BN248" s="0" t="n">
        <v>0</v>
      </c>
      <c r="BO248" s="0" t="s">
        <v>168</v>
      </c>
      <c r="BP248" s="0" t="n">
        <v>3</v>
      </c>
      <c r="BQ248" s="0" t="s">
        <v>4669</v>
      </c>
      <c r="BS248" s="0" t="s">
        <v>9904</v>
      </c>
      <c r="BT248" s="0" t="s">
        <v>9905</v>
      </c>
      <c r="BU248" s="0" t="s">
        <v>158</v>
      </c>
      <c r="BX248" s="0" t="s">
        <v>9906</v>
      </c>
      <c r="CA248" s="0" t="s">
        <v>9907</v>
      </c>
      <c r="CB248" s="0" t="s">
        <v>9908</v>
      </c>
      <c r="CC248" s="0" t="s">
        <v>9909</v>
      </c>
      <c r="CD248" s="0" t="s">
        <v>4625</v>
      </c>
      <c r="CE248" s="0" t="s">
        <v>6723</v>
      </c>
      <c r="CF248" s="0" t="s">
        <v>171</v>
      </c>
      <c r="CK248" s="0" t="s">
        <v>158</v>
      </c>
      <c r="CL248" s="0" t="n">
        <v>33</v>
      </c>
      <c r="CM248" s="0" t="n">
        <v>25</v>
      </c>
      <c r="CN248" s="0" t="n">
        <v>3</v>
      </c>
      <c r="CO248" s="0" t="n">
        <v>0</v>
      </c>
      <c r="CP248" s="0" t="n">
        <v>5</v>
      </c>
      <c r="CQ248" s="0" t="n">
        <v>6</v>
      </c>
      <c r="CR248" s="0" t="n">
        <v>6</v>
      </c>
      <c r="CS248" s="0" t="n">
        <f aca="false">IF(R248="Y",10,0)</f>
        <v>0</v>
      </c>
      <c r="CT248" s="0" t="n">
        <v>-12</v>
      </c>
      <c r="CU248" s="0" t="s">
        <v>9910</v>
      </c>
      <c r="CV248" s="0" t="s">
        <v>4703</v>
      </c>
      <c r="CW248" s="0" t="s">
        <v>9911</v>
      </c>
      <c r="CX248" s="0" t="s">
        <v>9912</v>
      </c>
      <c r="CY248" s="0" t="s">
        <v>9913</v>
      </c>
      <c r="CZ248" s="0" t="s">
        <v>9897</v>
      </c>
      <c r="DA248" s="0" t="s">
        <v>6234</v>
      </c>
      <c r="DC248" s="0" t="s">
        <v>172</v>
      </c>
      <c r="DY248" s="0" t="str">
        <f aca="false">IF(ISNUMBER(MATCH(U248,{"queued","contacted","replied","call_booked","call_done","yes_in_principle","materials_sent"},0)),"Y","N")</f>
        <v>N</v>
      </c>
      <c r="DZ248" s="0" t="str">
        <f aca="false">IF(COUNTIFS($AN$2:$AN$1000,AN248,$DY$2:$DY$1000,"Y")+COUNTIFS($AN$2:$AN$1000,AN248,$T$2:$T$1000,"Y")&gt;0,"Y","N")</f>
        <v>N</v>
      </c>
      <c r="EA248" s="0" t="str">
        <f aca="false">IF(AND(U248="new",T248="N",AR248="Y",AQ248="",DZ248="N"),"Y","N")</f>
        <v>N</v>
      </c>
      <c r="EB248" s="0" t="str">
        <f aca="false">IF(EA248&lt;&gt;"Y","N",IF(COUNTIFS($AN$2:$AN$1000,AN248,$EA$2:$EA$1000,"Y",$J$2:$J$1000,"&gt;"&amp;J248)+COUNTIFS($AN$2:$AN$1000,AN248,$EA$2:$EA$1000,"Y",$J$2:$J$1000,J248,$ED$2:$ED$1000,"&lt;"&amp;ED248)=0,"Y","N"))</f>
        <v>N</v>
      </c>
      <c r="EC248" s="0" t="str">
        <f aca="false">IF(Y248="","N",IF(Y248&lt;=10,"Y","N"))</f>
        <v>N</v>
      </c>
      <c r="ED248" s="0" t="n">
        <f aca="false">ROW()-1</f>
        <v>247</v>
      </c>
    </row>
    <row r="249" customFormat="false" ht="15" hidden="false" customHeight="false" outlineLevel="0" collapsed="false">
      <c r="A249" s="0" t="s">
        <v>9914</v>
      </c>
      <c r="B249" s="0" t="s">
        <v>9915</v>
      </c>
      <c r="H249" s="5" t="s">
        <v>158</v>
      </c>
      <c r="I249" s="5"/>
      <c r="J249" s="0" t="n">
        <f aca="false">IF(AU249="pass",CM249+CN249+CO249+CP249+CQ249+CR249+CS249+CT249,0)</f>
        <v>0</v>
      </c>
      <c r="K249" s="0" t="s">
        <v>9916</v>
      </c>
      <c r="M249" s="0" t="s">
        <v>4580</v>
      </c>
      <c r="N249" s="0" t="s">
        <v>4581</v>
      </c>
      <c r="R249" s="5" t="s">
        <v>162</v>
      </c>
      <c r="S249" s="0" t="s">
        <v>163</v>
      </c>
      <c r="T249" s="5" t="s">
        <v>162</v>
      </c>
      <c r="U249" s="5" t="s">
        <v>561</v>
      </c>
      <c r="V249" s="0" t="s">
        <v>9917</v>
      </c>
      <c r="W249" s="0" t="s">
        <v>166</v>
      </c>
      <c r="X249" s="0" t="s">
        <v>4585</v>
      </c>
      <c r="Y249" s="0" t="str">
        <f aca="false">IF(EB249&lt;&gt;"Y","",COUNTIFS($EB$2:$EB$1000,"Y",$J$2:$J$1000,"&gt;"&amp;J249)+COUNTIFS($EB$2:$EB$1000,"Y",$J$2:$J$1000,J249,$ED$2:$ED$1000,"&lt;"&amp;ED249)+1)</f>
        <v/>
      </c>
      <c r="AA249" s="0" t="s">
        <v>162</v>
      </c>
      <c r="AD249" s="0" t="s">
        <v>158</v>
      </c>
      <c r="AH249" s="0" t="s">
        <v>9918</v>
      </c>
      <c r="AI249" s="0" t="s">
        <v>5924</v>
      </c>
      <c r="AJ249" s="0" t="s">
        <v>9919</v>
      </c>
      <c r="AL249" s="0" t="s">
        <v>168</v>
      </c>
      <c r="AM249" s="0" t="s">
        <v>4920</v>
      </c>
      <c r="AN249" s="0" t="s">
        <v>9914</v>
      </c>
      <c r="AO249" s="5" t="s">
        <v>162</v>
      </c>
      <c r="AR249" s="0" t="str">
        <f aca="false">IF(AND(AU249="pass",AO249&lt;&gt;"Y",C249&lt;&gt;""),"Y","N")</f>
        <v>N</v>
      </c>
      <c r="AS249" s="0" t="str">
        <f aca="false">_xlfn.TEXTJOIN("; ",TRUE(),IF(AU249&lt;&gt;"pass","gated out",""),IF(AO249="Y","on hold: "&amp;AP249,""),IF(C249="","no contact named on an opened page",""))</f>
        <v>gated out; no contact named on an opened page</v>
      </c>
      <c r="AU249" s="0" t="s">
        <v>3703</v>
      </c>
      <c r="AV249" s="0" t="s">
        <v>9920</v>
      </c>
      <c r="AW249" s="0" t="s">
        <v>9921</v>
      </c>
      <c r="AY249" s="0" t="s">
        <v>9922</v>
      </c>
      <c r="AZ249" s="0" t="s">
        <v>4595</v>
      </c>
      <c r="BA249" s="0" t="s">
        <v>4596</v>
      </c>
      <c r="BB249" s="0" t="s">
        <v>163</v>
      </c>
      <c r="BD249" s="0" t="s">
        <v>168</v>
      </c>
      <c r="BE249" s="0" t="s">
        <v>9923</v>
      </c>
      <c r="BF249" s="0" t="s">
        <v>168</v>
      </c>
      <c r="BG249" s="0" t="s">
        <v>163</v>
      </c>
      <c r="BH249" s="0" t="s">
        <v>163</v>
      </c>
      <c r="BJ249" s="0" t="s">
        <v>163</v>
      </c>
      <c r="BK249" s="0" t="s">
        <v>162</v>
      </c>
      <c r="BL249" s="0" t="s">
        <v>168</v>
      </c>
      <c r="BM249" s="0" t="s">
        <v>9924</v>
      </c>
      <c r="BN249" s="0" t="n">
        <v>0</v>
      </c>
      <c r="BO249" s="0" t="s">
        <v>168</v>
      </c>
      <c r="BP249" s="0" t="n">
        <v>2</v>
      </c>
      <c r="BQ249" s="0" t="s">
        <v>4781</v>
      </c>
      <c r="BS249" s="0" t="s">
        <v>9925</v>
      </c>
      <c r="BT249" s="0" t="s">
        <v>9926</v>
      </c>
      <c r="BU249" s="0" t="s">
        <v>158</v>
      </c>
      <c r="CF249" s="0" t="s">
        <v>158</v>
      </c>
      <c r="CK249" s="0" t="s">
        <v>158</v>
      </c>
      <c r="CL249" s="0" t="n">
        <v>58</v>
      </c>
      <c r="CM249" s="0" t="n">
        <v>25</v>
      </c>
      <c r="CN249" s="0" t="n">
        <v>20</v>
      </c>
      <c r="CO249" s="0" t="n">
        <v>0</v>
      </c>
      <c r="CP249" s="0" t="n">
        <v>5</v>
      </c>
      <c r="CQ249" s="0" t="n">
        <v>8</v>
      </c>
      <c r="CR249" s="0" t="n">
        <v>0</v>
      </c>
      <c r="CS249" s="0" t="n">
        <f aca="false">IF(R249="Y",10,0)</f>
        <v>0</v>
      </c>
      <c r="CT249" s="0" t="n">
        <v>0</v>
      </c>
      <c r="CV249" s="0" t="s">
        <v>4615</v>
      </c>
      <c r="CW249" s="0" t="s">
        <v>9927</v>
      </c>
      <c r="CX249" s="0" t="s">
        <v>9928</v>
      </c>
      <c r="DA249" s="0" t="s">
        <v>6234</v>
      </c>
      <c r="DY249" s="0" t="str">
        <f aca="false">IF(ISNUMBER(MATCH(U249,{"queued","contacted","replied","call_booked","call_done","yes_in_principle","materials_sent"},0)),"Y","N")</f>
        <v>N</v>
      </c>
      <c r="DZ249" s="0" t="str">
        <f aca="false">IF(COUNTIFS($AN$2:$AN$1000,AN249,$DY$2:$DY$1000,"Y")+COUNTIFS($AN$2:$AN$1000,AN249,$T$2:$T$1000,"Y")&gt;0,"Y","N")</f>
        <v>N</v>
      </c>
      <c r="EA249" s="0" t="str">
        <f aca="false">IF(AND(U249="new",T249="N",AR249="Y",AQ249="",DZ249="N"),"Y","N")</f>
        <v>N</v>
      </c>
      <c r="EB249" s="0" t="str">
        <f aca="false">IF(EA249&lt;&gt;"Y","N",IF(COUNTIFS($AN$2:$AN$1000,AN249,$EA$2:$EA$1000,"Y",$J$2:$J$1000,"&gt;"&amp;J249)+COUNTIFS($AN$2:$AN$1000,AN249,$EA$2:$EA$1000,"Y",$J$2:$J$1000,J249,$ED$2:$ED$1000,"&lt;"&amp;ED249)=0,"Y","N"))</f>
        <v>N</v>
      </c>
      <c r="EC249" s="0" t="str">
        <f aca="false">IF(Y249="","N",IF(Y249&lt;=10,"Y","N"))</f>
        <v>N</v>
      </c>
      <c r="ED249" s="0" t="n">
        <f aca="false">ROW()-1</f>
        <v>248</v>
      </c>
    </row>
    <row r="250" customFormat="false" ht="15" hidden="false" customHeight="false" outlineLevel="0" collapsed="false">
      <c r="A250" s="0" t="s">
        <v>9929</v>
      </c>
      <c r="B250" s="0" t="s">
        <v>9930</v>
      </c>
      <c r="H250" s="5" t="s">
        <v>158</v>
      </c>
      <c r="I250" s="5"/>
      <c r="J250" s="0" t="n">
        <f aca="false">IF(AU250="pass",CM250+CN250+CO250+CP250+CQ250+CR250+CS250+CT250,0)</f>
        <v>0</v>
      </c>
      <c r="K250" s="0" t="s">
        <v>9931</v>
      </c>
      <c r="M250" s="0" t="s">
        <v>9932</v>
      </c>
      <c r="N250" s="0" t="s">
        <v>5021</v>
      </c>
      <c r="O250" s="0" t="s">
        <v>9933</v>
      </c>
      <c r="P250" s="0" t="s">
        <v>9934</v>
      </c>
      <c r="Q250" s="0" t="s">
        <v>3102</v>
      </c>
      <c r="R250" s="5" t="s">
        <v>162</v>
      </c>
      <c r="S250" s="0" t="s">
        <v>163</v>
      </c>
      <c r="T250" s="5" t="s">
        <v>162</v>
      </c>
      <c r="U250" s="5" t="s">
        <v>561</v>
      </c>
      <c r="V250" s="0" t="s">
        <v>9935</v>
      </c>
      <c r="W250" s="0" t="s">
        <v>166</v>
      </c>
      <c r="X250" s="0" t="s">
        <v>4585</v>
      </c>
      <c r="Y250" s="0" t="str">
        <f aca="false">IF(EB250&lt;&gt;"Y","",COUNTIFS($EB$2:$EB$1000,"Y",$J$2:$J$1000,"&gt;"&amp;J250)+COUNTIFS($EB$2:$EB$1000,"Y",$J$2:$J$1000,J250,$ED$2:$ED$1000,"&lt;"&amp;ED250)+1)</f>
        <v/>
      </c>
      <c r="AA250" s="0" t="s">
        <v>162</v>
      </c>
      <c r="AD250" s="0" t="s">
        <v>158</v>
      </c>
      <c r="AH250" s="0" t="s">
        <v>9936</v>
      </c>
      <c r="AI250" s="0" t="s">
        <v>4590</v>
      </c>
      <c r="AJ250" s="0" t="s">
        <v>4634</v>
      </c>
      <c r="AK250" s="0" t="s">
        <v>9937</v>
      </c>
      <c r="AL250" s="0" t="s">
        <v>168</v>
      </c>
      <c r="AM250" s="0" t="s">
        <v>9938</v>
      </c>
      <c r="AN250" s="0" t="s">
        <v>9929</v>
      </c>
      <c r="AO250" s="5" t="s">
        <v>162</v>
      </c>
      <c r="AR250" s="0" t="str">
        <f aca="false">IF(AND(AU250="pass",AO250&lt;&gt;"Y",C250&lt;&gt;""),"Y","N")</f>
        <v>N</v>
      </c>
      <c r="AS250" s="0" t="str">
        <f aca="false">_xlfn.TEXTJOIN("; ",TRUE(),IF(AU250&lt;&gt;"pass","gated out",""),IF(AO250="Y","on hold: "&amp;AP250,""),IF(C250="","no contact named on an opened page",""))</f>
        <v>gated out; no contact named on an opened page</v>
      </c>
      <c r="AU250" s="0" t="s">
        <v>3703</v>
      </c>
      <c r="AV250" s="0" t="s">
        <v>9762</v>
      </c>
      <c r="AW250" s="0" t="s">
        <v>9939</v>
      </c>
      <c r="AX250" s="0" t="s">
        <v>4594</v>
      </c>
      <c r="AY250" s="0" t="s">
        <v>9937</v>
      </c>
      <c r="AZ250" s="0" t="s">
        <v>4595</v>
      </c>
      <c r="BA250" s="0" t="s">
        <v>4596</v>
      </c>
      <c r="BB250" s="0" t="s">
        <v>163</v>
      </c>
      <c r="BD250" s="0" t="s">
        <v>163</v>
      </c>
      <c r="BE250" s="0" t="s">
        <v>5927</v>
      </c>
      <c r="BF250" s="0" t="s">
        <v>168</v>
      </c>
      <c r="BG250" s="0" t="s">
        <v>168</v>
      </c>
      <c r="BH250" s="0" t="s">
        <v>163</v>
      </c>
      <c r="BJ250" s="0" t="s">
        <v>5549</v>
      </c>
      <c r="BK250" s="0" t="s">
        <v>168</v>
      </c>
      <c r="BL250" s="0" t="s">
        <v>168</v>
      </c>
      <c r="BM250" s="0" t="s">
        <v>9940</v>
      </c>
      <c r="BN250" s="0" t="n">
        <v>0</v>
      </c>
      <c r="BO250" s="0" t="s">
        <v>168</v>
      </c>
      <c r="BP250" s="0" t="n">
        <v>8</v>
      </c>
      <c r="BQ250" s="0" t="s">
        <v>9941</v>
      </c>
      <c r="BS250" s="0" t="s">
        <v>9942</v>
      </c>
      <c r="BT250" s="0" t="s">
        <v>9943</v>
      </c>
      <c r="BU250" s="0" t="s">
        <v>4694</v>
      </c>
      <c r="BV250" s="0" t="n">
        <v>79</v>
      </c>
      <c r="CF250" s="0" t="s">
        <v>158</v>
      </c>
      <c r="CK250" s="0" t="s">
        <v>158</v>
      </c>
      <c r="CL250" s="0" t="n">
        <v>53</v>
      </c>
      <c r="CM250" s="0" t="n">
        <v>17</v>
      </c>
      <c r="CN250" s="0" t="n">
        <v>20</v>
      </c>
      <c r="CO250" s="0" t="n">
        <v>8</v>
      </c>
      <c r="CP250" s="0" t="n">
        <v>5</v>
      </c>
      <c r="CQ250" s="0" t="n">
        <v>7</v>
      </c>
      <c r="CR250" s="0" t="n">
        <v>0</v>
      </c>
      <c r="CS250" s="0" t="n">
        <f aca="false">IF(R250="Y",10,0)</f>
        <v>0</v>
      </c>
      <c r="CT250" s="0" t="n">
        <v>-4</v>
      </c>
      <c r="CU250" s="0" t="s">
        <v>163</v>
      </c>
      <c r="CV250" s="0" t="s">
        <v>5562</v>
      </c>
      <c r="CW250" s="0" t="s">
        <v>9944</v>
      </c>
      <c r="CX250" s="0" t="s">
        <v>9945</v>
      </c>
      <c r="DA250" s="0" t="s">
        <v>6234</v>
      </c>
      <c r="DY250" s="0" t="str">
        <f aca="false">IF(ISNUMBER(MATCH(U250,{"queued","contacted","replied","call_booked","call_done","yes_in_principle","materials_sent"},0)),"Y","N")</f>
        <v>N</v>
      </c>
      <c r="DZ250" s="0" t="str">
        <f aca="false">IF(COUNTIFS($AN$2:$AN$1000,AN250,$DY$2:$DY$1000,"Y")+COUNTIFS($AN$2:$AN$1000,AN250,$T$2:$T$1000,"Y")&gt;0,"Y","N")</f>
        <v>N</v>
      </c>
      <c r="EA250" s="0" t="str">
        <f aca="false">IF(AND(U250="new",T250="N",AR250="Y",AQ250="",DZ250="N"),"Y","N")</f>
        <v>N</v>
      </c>
      <c r="EB250" s="0" t="str">
        <f aca="false">IF(EA250&lt;&gt;"Y","N",IF(COUNTIFS($AN$2:$AN$1000,AN250,$EA$2:$EA$1000,"Y",$J$2:$J$1000,"&gt;"&amp;J250)+COUNTIFS($AN$2:$AN$1000,AN250,$EA$2:$EA$1000,"Y",$J$2:$J$1000,J250,$ED$2:$ED$1000,"&lt;"&amp;ED250)=0,"Y","N"))</f>
        <v>N</v>
      </c>
      <c r="EC250" s="0" t="str">
        <f aca="false">IF(Y250="","N",IF(Y250&lt;=10,"Y","N"))</f>
        <v>N</v>
      </c>
      <c r="ED250" s="0" t="n">
        <f aca="false">ROW()-1</f>
        <v>249</v>
      </c>
    </row>
    <row r="251" customFormat="false" ht="15" hidden="false" customHeight="false" outlineLevel="0" collapsed="false">
      <c r="A251" s="0" t="s">
        <v>9946</v>
      </c>
      <c r="B251" s="0" t="s">
        <v>9947</v>
      </c>
      <c r="C251" s="0" t="s">
        <v>9948</v>
      </c>
      <c r="D251" s="0" t="s">
        <v>163</v>
      </c>
      <c r="E251" s="0" t="s">
        <v>4656</v>
      </c>
      <c r="H251" s="5" t="s">
        <v>158</v>
      </c>
      <c r="I251" s="5" t="s">
        <v>159</v>
      </c>
      <c r="J251" s="0" t="n">
        <f aca="false">IF(AU251="pass",CM251+CN251+CO251+CP251+CQ251+CR251+CS251+CT251,0)</f>
        <v>0</v>
      </c>
      <c r="K251" s="0" t="s">
        <v>9949</v>
      </c>
      <c r="M251" s="0" t="s">
        <v>9950</v>
      </c>
      <c r="N251" s="0" t="s">
        <v>5021</v>
      </c>
      <c r="O251" s="0" t="s">
        <v>9951</v>
      </c>
      <c r="P251" s="0" t="s">
        <v>9952</v>
      </c>
      <c r="Q251" s="0" t="s">
        <v>9953</v>
      </c>
      <c r="R251" s="5" t="s">
        <v>162</v>
      </c>
      <c r="S251" s="0" t="s">
        <v>163</v>
      </c>
      <c r="T251" s="5" t="s">
        <v>162</v>
      </c>
      <c r="U251" s="5" t="s">
        <v>561</v>
      </c>
      <c r="V251" s="0" t="s">
        <v>9954</v>
      </c>
      <c r="W251" s="0" t="s">
        <v>166</v>
      </c>
      <c r="X251" s="0" t="s">
        <v>4585</v>
      </c>
      <c r="Y251" s="0" t="str">
        <f aca="false">IF(EB251&lt;&gt;"Y","",COUNTIFS($EB$2:$EB$1000,"Y",$J$2:$J$1000,"&gt;"&amp;J251)+COUNTIFS($EB$2:$EB$1000,"Y",$J$2:$J$1000,J251,$ED$2:$ED$1000,"&lt;"&amp;ED251)+1)</f>
        <v/>
      </c>
      <c r="AA251" s="0" t="s">
        <v>162</v>
      </c>
      <c r="AC251" s="0" t="s">
        <v>4587</v>
      </c>
      <c r="AD251" s="0" t="s">
        <v>5008</v>
      </c>
      <c r="AE251" s="0" t="s">
        <v>172</v>
      </c>
      <c r="AF251" s="0" t="s">
        <v>9954</v>
      </c>
      <c r="AG251" s="0" t="s">
        <v>166</v>
      </c>
      <c r="AH251" s="0" t="s">
        <v>9955</v>
      </c>
      <c r="AI251" s="0" t="s">
        <v>5924</v>
      </c>
      <c r="AJ251" s="0" t="s">
        <v>163</v>
      </c>
      <c r="AK251" s="0" t="s">
        <v>9956</v>
      </c>
      <c r="AL251" s="0" t="s">
        <v>168</v>
      </c>
      <c r="AM251" s="0" t="s">
        <v>9957</v>
      </c>
      <c r="AN251" s="0" t="s">
        <v>9946</v>
      </c>
      <c r="AO251" s="5" t="s">
        <v>162</v>
      </c>
      <c r="AR251" s="0" t="str">
        <f aca="false">IF(AND(AU251="pass",AO251&lt;&gt;"Y",C251&lt;&gt;""),"Y","N")</f>
        <v>N</v>
      </c>
      <c r="AS251" s="0" t="str">
        <f aca="false">_xlfn.TEXTJOIN("; ",TRUE(),IF(AU251&lt;&gt;"pass","gated out",""),IF(AO251="Y","on hold: "&amp;AP251,""),IF(C251="","no contact named on an opened page",""))</f>
        <v>gated out</v>
      </c>
      <c r="AU251" s="0" t="s">
        <v>3703</v>
      </c>
      <c r="AV251" s="0" t="s">
        <v>9762</v>
      </c>
      <c r="AW251" s="0" t="s">
        <v>9958</v>
      </c>
      <c r="AX251" s="0" t="s">
        <v>4594</v>
      </c>
      <c r="AY251" s="0" t="s">
        <v>9956</v>
      </c>
      <c r="AZ251" s="0" t="s">
        <v>163</v>
      </c>
      <c r="BA251" s="0" t="s">
        <v>163</v>
      </c>
      <c r="BB251" s="0" t="s">
        <v>163</v>
      </c>
      <c r="BD251" s="0" t="s">
        <v>168</v>
      </c>
      <c r="BE251" s="0" t="s">
        <v>9959</v>
      </c>
      <c r="BF251" s="0" t="s">
        <v>168</v>
      </c>
      <c r="BG251" s="0" t="s">
        <v>168</v>
      </c>
      <c r="BH251" s="0" t="s">
        <v>163</v>
      </c>
      <c r="BJ251" s="0" t="s">
        <v>5549</v>
      </c>
      <c r="BK251" s="0" t="s">
        <v>168</v>
      </c>
      <c r="BL251" s="0" t="s">
        <v>168</v>
      </c>
      <c r="BM251" s="0" t="s">
        <v>9960</v>
      </c>
      <c r="BN251" s="0" t="n">
        <v>0</v>
      </c>
      <c r="BO251" s="0" t="s">
        <v>168</v>
      </c>
      <c r="BP251" s="0" t="n">
        <v>7</v>
      </c>
      <c r="BQ251" s="0" t="s">
        <v>9961</v>
      </c>
      <c r="BS251" s="0" t="s">
        <v>9962</v>
      </c>
      <c r="BT251" s="0" t="s">
        <v>9963</v>
      </c>
      <c r="BU251" s="0" t="s">
        <v>4694</v>
      </c>
      <c r="BV251" s="0" t="n">
        <v>267</v>
      </c>
      <c r="BX251" s="0" t="s">
        <v>9948</v>
      </c>
      <c r="CF251" s="0" t="s">
        <v>158</v>
      </c>
      <c r="CK251" s="0" t="s">
        <v>158</v>
      </c>
      <c r="CL251" s="0" t="n">
        <v>39</v>
      </c>
      <c r="CM251" s="0" t="n">
        <v>17</v>
      </c>
      <c r="CN251" s="0" t="n">
        <v>4</v>
      </c>
      <c r="CO251" s="0" t="n">
        <v>4</v>
      </c>
      <c r="CP251" s="0" t="n">
        <v>5</v>
      </c>
      <c r="CQ251" s="0" t="n">
        <v>10</v>
      </c>
      <c r="CR251" s="0" t="n">
        <v>3</v>
      </c>
      <c r="CS251" s="0" t="n">
        <f aca="false">IF(R251="Y",10,0)</f>
        <v>0</v>
      </c>
      <c r="CT251" s="0" t="n">
        <v>-4</v>
      </c>
      <c r="CU251" s="0" t="s">
        <v>9964</v>
      </c>
      <c r="CV251" s="0" t="s">
        <v>5562</v>
      </c>
      <c r="CW251" s="0" t="s">
        <v>9965</v>
      </c>
      <c r="CX251" s="0" t="s">
        <v>9966</v>
      </c>
      <c r="DA251" s="0" t="s">
        <v>6234</v>
      </c>
      <c r="DY251" s="0" t="str">
        <f aca="false">IF(ISNUMBER(MATCH(U251,{"queued","contacted","replied","call_booked","call_done","yes_in_principle","materials_sent"},0)),"Y","N")</f>
        <v>N</v>
      </c>
      <c r="DZ251" s="0" t="str">
        <f aca="false">IF(COUNTIFS($AN$2:$AN$1000,AN251,$DY$2:$DY$1000,"Y")+COUNTIFS($AN$2:$AN$1000,AN251,$T$2:$T$1000,"Y")&gt;0,"Y","N")</f>
        <v>N</v>
      </c>
      <c r="EA251" s="0" t="str">
        <f aca="false">IF(AND(U251="new",T251="N",AR251="Y",AQ251="",DZ251="N"),"Y","N")</f>
        <v>N</v>
      </c>
      <c r="EB251" s="0" t="str">
        <f aca="false">IF(EA251&lt;&gt;"Y","N",IF(COUNTIFS($AN$2:$AN$1000,AN251,$EA$2:$EA$1000,"Y",$J$2:$J$1000,"&gt;"&amp;J251)+COUNTIFS($AN$2:$AN$1000,AN251,$EA$2:$EA$1000,"Y",$J$2:$J$1000,J251,$ED$2:$ED$1000,"&lt;"&amp;ED251)=0,"Y","N"))</f>
        <v>N</v>
      </c>
      <c r="EC251" s="0" t="str">
        <f aca="false">IF(Y251="","N",IF(Y251&lt;=10,"Y","N"))</f>
        <v>N</v>
      </c>
      <c r="ED251" s="0" t="n">
        <f aca="false">ROW()-1</f>
        <v>250</v>
      </c>
    </row>
    <row r="252" customFormat="false" ht="15" hidden="false" customHeight="false" outlineLevel="0" collapsed="false">
      <c r="A252" s="0" t="s">
        <v>9967</v>
      </c>
      <c r="B252" s="0" t="s">
        <v>9968</v>
      </c>
      <c r="C252" s="0" t="s">
        <v>9969</v>
      </c>
      <c r="D252" s="0" t="s">
        <v>9970</v>
      </c>
      <c r="E252" s="0" t="s">
        <v>4771</v>
      </c>
      <c r="H252" s="5" t="s">
        <v>158</v>
      </c>
      <c r="I252" s="5" t="s">
        <v>159</v>
      </c>
      <c r="J252" s="0" t="n">
        <f aca="false">IF(AU252="pass",CM252+CN252+CO252+CP252+CQ252+CR252+CS252+CT252,0)</f>
        <v>0</v>
      </c>
      <c r="K252" s="0" t="s">
        <v>9971</v>
      </c>
      <c r="M252" s="0" t="s">
        <v>9972</v>
      </c>
      <c r="N252" s="0" t="s">
        <v>5021</v>
      </c>
      <c r="R252" s="5" t="s">
        <v>162</v>
      </c>
      <c r="S252" s="0" t="s">
        <v>163</v>
      </c>
      <c r="T252" s="5" t="s">
        <v>162</v>
      </c>
      <c r="U252" s="5" t="s">
        <v>561</v>
      </c>
      <c r="V252" s="0" t="s">
        <v>9973</v>
      </c>
      <c r="W252" s="0" t="s">
        <v>166</v>
      </c>
      <c r="X252" s="0" t="s">
        <v>4585</v>
      </c>
      <c r="Y252" s="0" t="str">
        <f aca="false">IF(EB252&lt;&gt;"Y","",COUNTIFS($EB$2:$EB$1000,"Y",$J$2:$J$1000,"&gt;"&amp;J252)+COUNTIFS($EB$2:$EB$1000,"Y",$J$2:$J$1000,J252,$ED$2:$ED$1000,"&lt;"&amp;ED252)+1)</f>
        <v/>
      </c>
      <c r="AA252" s="0" t="s">
        <v>162</v>
      </c>
      <c r="AC252" s="0" t="s">
        <v>4587</v>
      </c>
      <c r="AD252" s="0" t="s">
        <v>171</v>
      </c>
      <c r="AE252" s="0" t="s">
        <v>172</v>
      </c>
      <c r="AF252" s="0" t="s">
        <v>9973</v>
      </c>
      <c r="AG252" s="0" t="s">
        <v>166</v>
      </c>
      <c r="AH252" s="0" t="s">
        <v>9974</v>
      </c>
      <c r="AI252" s="0" t="s">
        <v>5763</v>
      </c>
      <c r="AJ252" s="0" t="s">
        <v>163</v>
      </c>
      <c r="AK252" s="0" t="s">
        <v>9975</v>
      </c>
      <c r="AL252" s="0" t="s">
        <v>168</v>
      </c>
      <c r="AM252" s="0" t="s">
        <v>4690</v>
      </c>
      <c r="AN252" s="0" t="s">
        <v>9967</v>
      </c>
      <c r="AO252" s="5" t="s">
        <v>162</v>
      </c>
      <c r="AR252" s="0" t="str">
        <f aca="false">IF(AND(AU252="pass",AO252&lt;&gt;"Y",C252&lt;&gt;""),"Y","N")</f>
        <v>N</v>
      </c>
      <c r="AS252" s="0" t="str">
        <f aca="false">_xlfn.TEXTJOIN("; ",TRUE(),IF(AU252&lt;&gt;"pass","gated out",""),IF(AO252="Y","on hold: "&amp;AP252,""),IF(C252="","no contact named on an opened page",""))</f>
        <v>gated out</v>
      </c>
      <c r="AU252" s="0" t="s">
        <v>3703</v>
      </c>
      <c r="AV252" s="0" t="s">
        <v>9762</v>
      </c>
      <c r="AW252" s="0" t="s">
        <v>9976</v>
      </c>
      <c r="AY252" s="0" t="s">
        <v>9975</v>
      </c>
      <c r="AZ252" s="0" t="s">
        <v>163</v>
      </c>
      <c r="BA252" s="0" t="s">
        <v>163</v>
      </c>
      <c r="BB252" s="0" t="s">
        <v>163</v>
      </c>
      <c r="BD252" s="0" t="s">
        <v>163</v>
      </c>
      <c r="BE252" s="0" t="s">
        <v>8632</v>
      </c>
      <c r="BF252" s="0" t="s">
        <v>168</v>
      </c>
      <c r="BG252" s="0" t="s">
        <v>168</v>
      </c>
      <c r="BH252" s="0" t="s">
        <v>163</v>
      </c>
      <c r="BJ252" s="0" t="s">
        <v>5549</v>
      </c>
      <c r="BK252" s="0" t="s">
        <v>168</v>
      </c>
      <c r="BL252" s="0" t="s">
        <v>168</v>
      </c>
      <c r="BM252" s="0" t="s">
        <v>9977</v>
      </c>
      <c r="BN252" s="0" t="n">
        <v>0</v>
      </c>
      <c r="BO252" s="0" t="s">
        <v>168</v>
      </c>
      <c r="BP252" s="0" t="n">
        <v>5</v>
      </c>
      <c r="BQ252" s="0" t="s">
        <v>9978</v>
      </c>
      <c r="BS252" s="0" t="s">
        <v>9979</v>
      </c>
      <c r="BT252" s="0" t="s">
        <v>9980</v>
      </c>
      <c r="BU252" s="0" t="s">
        <v>158</v>
      </c>
      <c r="BX252" s="0" t="s">
        <v>9981</v>
      </c>
      <c r="CF252" s="0" t="s">
        <v>158</v>
      </c>
      <c r="CK252" s="0" t="s">
        <v>158</v>
      </c>
      <c r="CL252" s="0" t="n">
        <v>39</v>
      </c>
      <c r="CM252" s="0" t="n">
        <v>17</v>
      </c>
      <c r="CN252" s="0" t="n">
        <v>4</v>
      </c>
      <c r="CO252" s="0" t="n">
        <v>0</v>
      </c>
      <c r="CP252" s="0" t="n">
        <v>5</v>
      </c>
      <c r="CQ252" s="0" t="n">
        <v>7</v>
      </c>
      <c r="CR252" s="0" t="n">
        <v>6</v>
      </c>
      <c r="CS252" s="0" t="n">
        <f aca="false">IF(R252="Y",10,0)</f>
        <v>0</v>
      </c>
      <c r="CT252" s="0" t="n">
        <v>0</v>
      </c>
      <c r="CU252" s="0" t="s">
        <v>163</v>
      </c>
      <c r="CV252" s="0" t="s">
        <v>5562</v>
      </c>
      <c r="CW252" s="0" t="s">
        <v>9982</v>
      </c>
      <c r="CX252" s="0" t="s">
        <v>9983</v>
      </c>
      <c r="DA252" s="0" t="s">
        <v>6234</v>
      </c>
      <c r="DY252" s="0" t="str">
        <f aca="false">IF(ISNUMBER(MATCH(U252,{"queued","contacted","replied","call_booked","call_done","yes_in_principle","materials_sent"},0)),"Y","N")</f>
        <v>N</v>
      </c>
      <c r="DZ252" s="0" t="str">
        <f aca="false">IF(COUNTIFS($AN$2:$AN$1000,AN252,$DY$2:$DY$1000,"Y")+COUNTIFS($AN$2:$AN$1000,AN252,$T$2:$T$1000,"Y")&gt;0,"Y","N")</f>
        <v>N</v>
      </c>
      <c r="EA252" s="0" t="str">
        <f aca="false">IF(AND(U252="new",T252="N",AR252="Y",AQ252="",DZ252="N"),"Y","N")</f>
        <v>N</v>
      </c>
      <c r="EB252" s="0" t="str">
        <f aca="false">IF(EA252&lt;&gt;"Y","N",IF(COUNTIFS($AN$2:$AN$1000,AN252,$EA$2:$EA$1000,"Y",$J$2:$J$1000,"&gt;"&amp;J252)+COUNTIFS($AN$2:$AN$1000,AN252,$EA$2:$EA$1000,"Y",$J$2:$J$1000,J252,$ED$2:$ED$1000,"&lt;"&amp;ED252)=0,"Y","N"))</f>
        <v>N</v>
      </c>
      <c r="EC252" s="0" t="str">
        <f aca="false">IF(Y252="","N",IF(Y252&lt;=10,"Y","N"))</f>
        <v>N</v>
      </c>
      <c r="ED252" s="0" t="n">
        <f aca="false">ROW()-1</f>
        <v>251</v>
      </c>
    </row>
    <row r="253" customFormat="false" ht="15" hidden="false" customHeight="false" outlineLevel="0" collapsed="false">
      <c r="A253" s="0" t="s">
        <v>9984</v>
      </c>
      <c r="B253" s="0" t="s">
        <v>9985</v>
      </c>
      <c r="C253" s="0" t="s">
        <v>4940</v>
      </c>
      <c r="D253" s="0" t="s">
        <v>9986</v>
      </c>
      <c r="E253" s="0" t="s">
        <v>4625</v>
      </c>
      <c r="H253" s="5" t="s">
        <v>158</v>
      </c>
      <c r="I253" s="5" t="s">
        <v>159</v>
      </c>
      <c r="J253" s="0" t="n">
        <f aca="false">IF(AU253="pass",CM253+CN253+CO253+CP253+CQ253+CR253+CS253+CT253,0)</f>
        <v>0</v>
      </c>
      <c r="K253" s="0" t="s">
        <v>9987</v>
      </c>
      <c r="M253" s="0" t="s">
        <v>5291</v>
      </c>
      <c r="N253" s="0" t="s">
        <v>598</v>
      </c>
      <c r="O253" s="0" t="s">
        <v>9988</v>
      </c>
      <c r="P253" s="0" t="s">
        <v>9989</v>
      </c>
      <c r="Q253" s="0" t="s">
        <v>6294</v>
      </c>
      <c r="R253" s="5" t="s">
        <v>162</v>
      </c>
      <c r="S253" s="0" t="s">
        <v>168</v>
      </c>
      <c r="T253" s="5" t="s">
        <v>162</v>
      </c>
      <c r="U253" s="5" t="s">
        <v>561</v>
      </c>
      <c r="V253" s="0" t="s">
        <v>9990</v>
      </c>
      <c r="W253" s="0" t="s">
        <v>166</v>
      </c>
      <c r="X253" s="0" t="s">
        <v>4585</v>
      </c>
      <c r="Y253" s="0" t="str">
        <f aca="false">IF(EB253&lt;&gt;"Y","",COUNTIFS($EB$2:$EB$1000,"Y",$J$2:$J$1000,"&gt;"&amp;J253)+COUNTIFS($EB$2:$EB$1000,"Y",$J$2:$J$1000,J253,$ED$2:$ED$1000,"&lt;"&amp;ED253)+1)</f>
        <v/>
      </c>
      <c r="AA253" s="0" t="s">
        <v>162</v>
      </c>
      <c r="AC253" s="0" t="s">
        <v>4587</v>
      </c>
      <c r="AD253" s="0" t="s">
        <v>171</v>
      </c>
      <c r="AE253" s="0" t="s">
        <v>1189</v>
      </c>
      <c r="AF253" s="0" t="s">
        <v>9991</v>
      </c>
      <c r="AG253" s="0" t="s">
        <v>166</v>
      </c>
      <c r="AH253" s="0" t="s">
        <v>9992</v>
      </c>
      <c r="AI253" s="0" t="s">
        <v>5763</v>
      </c>
      <c r="AJ253" s="0" t="s">
        <v>9993</v>
      </c>
      <c r="AK253" s="0" t="s">
        <v>9994</v>
      </c>
      <c r="AL253" s="0" t="s">
        <v>168</v>
      </c>
      <c r="AM253" s="0" t="s">
        <v>9995</v>
      </c>
      <c r="AN253" s="0" t="s">
        <v>9984</v>
      </c>
      <c r="AO253" s="5" t="s">
        <v>162</v>
      </c>
      <c r="AR253" s="0" t="str">
        <f aca="false">IF(AND(AU253="pass",AO253&lt;&gt;"Y",C253&lt;&gt;""),"Y","N")</f>
        <v>N</v>
      </c>
      <c r="AS253" s="0" t="str">
        <f aca="false">_xlfn.TEXTJOIN("; ",TRUE(),IF(AU253&lt;&gt;"pass","gated out",""),IF(AO253="Y","on hold: "&amp;AP253,""),IF(C253="","no contact named on an opened page",""))</f>
        <v>gated out</v>
      </c>
      <c r="AU253" s="0" t="s">
        <v>3703</v>
      </c>
      <c r="AV253" s="0" t="s">
        <v>9762</v>
      </c>
      <c r="AW253" s="0" t="s">
        <v>9996</v>
      </c>
      <c r="AX253" s="0" t="s">
        <v>4594</v>
      </c>
      <c r="AY253" s="0" t="s">
        <v>9994</v>
      </c>
      <c r="AZ253" s="0" t="s">
        <v>7692</v>
      </c>
      <c r="BA253" s="0" t="s">
        <v>5191</v>
      </c>
      <c r="BB253" s="0" t="s">
        <v>163</v>
      </c>
      <c r="BD253" s="0" t="s">
        <v>163</v>
      </c>
      <c r="BE253" s="0" t="s">
        <v>9997</v>
      </c>
      <c r="BF253" s="0" t="s">
        <v>168</v>
      </c>
      <c r="BG253" s="0" t="s">
        <v>168</v>
      </c>
      <c r="BH253" s="0" t="s">
        <v>163</v>
      </c>
      <c r="BJ253" s="0" t="s">
        <v>5549</v>
      </c>
      <c r="BK253" s="0" t="s">
        <v>162</v>
      </c>
      <c r="BL253" s="0" t="s">
        <v>168</v>
      </c>
      <c r="BM253" s="0" t="s">
        <v>9998</v>
      </c>
      <c r="BO253" s="0" t="s">
        <v>162</v>
      </c>
      <c r="BP253" s="0" t="n">
        <v>0</v>
      </c>
      <c r="BS253" s="0" t="s">
        <v>9999</v>
      </c>
      <c r="BT253" s="0" t="s">
        <v>10000</v>
      </c>
      <c r="BU253" s="0" t="s">
        <v>4604</v>
      </c>
      <c r="BV253" s="0" t="n">
        <v>122</v>
      </c>
      <c r="BW253" s="0" t="s">
        <v>9989</v>
      </c>
      <c r="BX253" s="0" t="s">
        <v>10001</v>
      </c>
      <c r="CF253" s="0" t="s">
        <v>158</v>
      </c>
      <c r="CK253" s="0" t="s">
        <v>158</v>
      </c>
      <c r="CL253" s="0" t="n">
        <v>43</v>
      </c>
      <c r="CM253" s="0" t="n">
        <v>6</v>
      </c>
      <c r="CN253" s="0" t="n">
        <v>8</v>
      </c>
      <c r="CO253" s="0" t="n">
        <v>15</v>
      </c>
      <c r="CP253" s="0" t="n">
        <v>5</v>
      </c>
      <c r="CQ253" s="0" t="n">
        <v>7</v>
      </c>
      <c r="CR253" s="0" t="n">
        <v>6</v>
      </c>
      <c r="CS253" s="0" t="n">
        <f aca="false">IF(R253="Y",10,0)</f>
        <v>0</v>
      </c>
      <c r="CT253" s="0" t="n">
        <v>-4</v>
      </c>
      <c r="CU253" s="0" t="s">
        <v>10002</v>
      </c>
      <c r="CV253" s="0" t="s">
        <v>5562</v>
      </c>
      <c r="CW253" s="0" t="s">
        <v>10003</v>
      </c>
      <c r="CX253" s="0" t="s">
        <v>10004</v>
      </c>
      <c r="CY253" s="0" t="s">
        <v>10005</v>
      </c>
      <c r="DA253" s="0" t="s">
        <v>6234</v>
      </c>
      <c r="DY253" s="0" t="str">
        <f aca="false">IF(ISNUMBER(MATCH(U253,{"queued","contacted","replied","call_booked","call_done","yes_in_principle","materials_sent"},0)),"Y","N")</f>
        <v>N</v>
      </c>
      <c r="DZ253" s="0" t="str">
        <f aca="false">IF(COUNTIFS($AN$2:$AN$1000,AN253,$DY$2:$DY$1000,"Y")+COUNTIFS($AN$2:$AN$1000,AN253,$T$2:$T$1000,"Y")&gt;0,"Y","N")</f>
        <v>N</v>
      </c>
      <c r="EA253" s="0" t="str">
        <f aca="false">IF(AND(U253="new",T253="N",AR253="Y",AQ253="",DZ253="N"),"Y","N")</f>
        <v>N</v>
      </c>
      <c r="EB253" s="0" t="str">
        <f aca="false">IF(EA253&lt;&gt;"Y","N",IF(COUNTIFS($AN$2:$AN$1000,AN253,$EA$2:$EA$1000,"Y",$J$2:$J$1000,"&gt;"&amp;J253)+COUNTIFS($AN$2:$AN$1000,AN253,$EA$2:$EA$1000,"Y",$J$2:$J$1000,J253,$ED$2:$ED$1000,"&lt;"&amp;ED253)=0,"Y","N"))</f>
        <v>N</v>
      </c>
      <c r="EC253" s="0" t="str">
        <f aca="false">IF(Y253="","N",IF(Y253&lt;=10,"Y","N"))</f>
        <v>N</v>
      </c>
      <c r="ED253" s="0" t="n">
        <f aca="false">ROW()-1</f>
        <v>252</v>
      </c>
    </row>
    <row r="254" customFormat="false" ht="15" hidden="false" customHeight="false" outlineLevel="0" collapsed="false">
      <c r="A254" s="0" t="s">
        <v>10006</v>
      </c>
      <c r="B254" s="0" t="s">
        <v>10007</v>
      </c>
      <c r="C254" s="0" t="s">
        <v>10008</v>
      </c>
      <c r="D254" s="0" t="s">
        <v>6863</v>
      </c>
      <c r="E254" s="0" t="s">
        <v>4625</v>
      </c>
      <c r="H254" s="5" t="s">
        <v>158</v>
      </c>
      <c r="I254" s="5" t="s">
        <v>159</v>
      </c>
      <c r="J254" s="0" t="n">
        <f aca="false">IF(AU254="pass",CM254+CN254+CO254+CP254+CQ254+CR254+CS254+CT254,0)</f>
        <v>0</v>
      </c>
      <c r="K254" s="0" t="s">
        <v>10009</v>
      </c>
      <c r="M254" s="0" t="s">
        <v>5291</v>
      </c>
      <c r="N254" s="0" t="s">
        <v>598</v>
      </c>
      <c r="O254" s="0" t="s">
        <v>10010</v>
      </c>
      <c r="P254" s="0" t="s">
        <v>10011</v>
      </c>
      <c r="Q254" s="0" t="s">
        <v>6294</v>
      </c>
      <c r="R254" s="5" t="s">
        <v>162</v>
      </c>
      <c r="S254" s="0" t="s">
        <v>168</v>
      </c>
      <c r="T254" s="5" t="s">
        <v>162</v>
      </c>
      <c r="U254" s="5" t="s">
        <v>561</v>
      </c>
      <c r="V254" s="0" t="s">
        <v>10011</v>
      </c>
      <c r="W254" s="0" t="s">
        <v>166</v>
      </c>
      <c r="X254" s="0" t="s">
        <v>4585</v>
      </c>
      <c r="Y254" s="0" t="str">
        <f aca="false">IF(EB254&lt;&gt;"Y","",COUNTIFS($EB$2:$EB$1000,"Y",$J$2:$J$1000,"&gt;"&amp;J254)+COUNTIFS($EB$2:$EB$1000,"Y",$J$2:$J$1000,J254,$ED$2:$ED$1000,"&lt;"&amp;ED254)+1)</f>
        <v/>
      </c>
      <c r="AA254" s="0" t="s">
        <v>162</v>
      </c>
      <c r="AC254" s="0" t="s">
        <v>4587</v>
      </c>
      <c r="AD254" s="0" t="s">
        <v>171</v>
      </c>
      <c r="AE254" s="0" t="s">
        <v>1189</v>
      </c>
      <c r="AF254" s="0" t="s">
        <v>10011</v>
      </c>
      <c r="AG254" s="0" t="s">
        <v>166</v>
      </c>
      <c r="AH254" s="0" t="s">
        <v>10012</v>
      </c>
      <c r="AI254" s="0" t="s">
        <v>4975</v>
      </c>
      <c r="AJ254" s="0" t="s">
        <v>10013</v>
      </c>
      <c r="AL254" s="0" t="s">
        <v>162</v>
      </c>
      <c r="AN254" s="0" t="s">
        <v>10006</v>
      </c>
      <c r="AO254" s="5" t="s">
        <v>162</v>
      </c>
      <c r="AR254" s="0" t="str">
        <f aca="false">IF(AND(AU254="pass",AO254&lt;&gt;"Y",C254&lt;&gt;""),"Y","N")</f>
        <v>N</v>
      </c>
      <c r="AS254" s="0" t="str">
        <f aca="false">_xlfn.TEXTJOIN("; ",TRUE(),IF(AU254&lt;&gt;"pass","gated out",""),IF(AO254="Y","on hold: "&amp;AP254,""),IF(C254="","no contact named on an opened page",""))</f>
        <v>gated out</v>
      </c>
      <c r="AU254" s="0" t="s">
        <v>3703</v>
      </c>
      <c r="AV254" s="0" t="s">
        <v>10014</v>
      </c>
      <c r="AW254" s="0" t="s">
        <v>10015</v>
      </c>
      <c r="AY254" s="0" t="s">
        <v>10016</v>
      </c>
      <c r="AZ254" s="0" t="s">
        <v>4595</v>
      </c>
      <c r="BA254" s="0" t="s">
        <v>4596</v>
      </c>
      <c r="BB254" s="0" t="s">
        <v>163</v>
      </c>
      <c r="BD254" s="0" t="s">
        <v>162</v>
      </c>
      <c r="BE254" s="0" t="s">
        <v>10017</v>
      </c>
      <c r="BF254" s="0" t="s">
        <v>163</v>
      </c>
      <c r="BG254" s="0" t="s">
        <v>163</v>
      </c>
      <c r="BH254" s="0" t="s">
        <v>163</v>
      </c>
      <c r="BJ254" s="0" t="s">
        <v>163</v>
      </c>
      <c r="BK254" s="0" t="s">
        <v>162</v>
      </c>
      <c r="BL254" s="0" t="s">
        <v>168</v>
      </c>
      <c r="BM254" s="0" t="s">
        <v>10018</v>
      </c>
      <c r="BO254" s="0" t="s">
        <v>162</v>
      </c>
      <c r="BP254" s="0" t="n">
        <v>0</v>
      </c>
      <c r="BU254" s="0" t="s">
        <v>4604</v>
      </c>
      <c r="BV254" s="0" t="n">
        <v>122</v>
      </c>
      <c r="BW254" s="0" t="s">
        <v>5134</v>
      </c>
      <c r="BX254" s="0" t="s">
        <v>10019</v>
      </c>
      <c r="CF254" s="0" t="s">
        <v>158</v>
      </c>
      <c r="CK254" s="0" t="s">
        <v>158</v>
      </c>
      <c r="CL254" s="0" t="n">
        <v>48</v>
      </c>
      <c r="CM254" s="0" t="n">
        <v>0</v>
      </c>
      <c r="CN254" s="0" t="n">
        <v>20</v>
      </c>
      <c r="CO254" s="0" t="n">
        <v>15</v>
      </c>
      <c r="CP254" s="0" t="n">
        <v>5</v>
      </c>
      <c r="CQ254" s="0" t="n">
        <v>2</v>
      </c>
      <c r="CR254" s="0" t="n">
        <v>6</v>
      </c>
      <c r="CS254" s="0" t="n">
        <f aca="false">IF(R254="Y",10,0)</f>
        <v>0</v>
      </c>
      <c r="CT254" s="0" t="n">
        <v>0</v>
      </c>
      <c r="CV254" s="0" t="s">
        <v>4615</v>
      </c>
      <c r="CW254" s="0" t="s">
        <v>10020</v>
      </c>
      <c r="CX254" s="0" t="s">
        <v>10021</v>
      </c>
      <c r="DA254" s="0" t="s">
        <v>6234</v>
      </c>
      <c r="DY254" s="0" t="str">
        <f aca="false">IF(ISNUMBER(MATCH(U254,{"queued","contacted","replied","call_booked","call_done","yes_in_principle","materials_sent"},0)),"Y","N")</f>
        <v>N</v>
      </c>
      <c r="DZ254" s="0" t="str">
        <f aca="false">IF(COUNTIFS($AN$2:$AN$1000,AN254,$DY$2:$DY$1000,"Y")+COUNTIFS($AN$2:$AN$1000,AN254,$T$2:$T$1000,"Y")&gt;0,"Y","N")</f>
        <v>N</v>
      </c>
      <c r="EA254" s="0" t="str">
        <f aca="false">IF(AND(U254="new",T254="N",AR254="Y",AQ254="",DZ254="N"),"Y","N")</f>
        <v>N</v>
      </c>
      <c r="EB254" s="0" t="str">
        <f aca="false">IF(EA254&lt;&gt;"Y","N",IF(COUNTIFS($AN$2:$AN$1000,AN254,$EA$2:$EA$1000,"Y",$J$2:$J$1000,"&gt;"&amp;J254)+COUNTIFS($AN$2:$AN$1000,AN254,$EA$2:$EA$1000,"Y",$J$2:$J$1000,J254,$ED$2:$ED$1000,"&lt;"&amp;ED254)=0,"Y","N"))</f>
        <v>N</v>
      </c>
      <c r="EC254" s="0" t="str">
        <f aca="false">IF(Y254="","N",IF(Y254&lt;=10,"Y","N"))</f>
        <v>N</v>
      </c>
      <c r="ED254" s="0" t="n">
        <f aca="false">ROW()-1</f>
        <v>253</v>
      </c>
    </row>
    <row r="255" customFormat="false" ht="15" hidden="false" customHeight="false" outlineLevel="0" collapsed="false">
      <c r="A255" s="0" t="s">
        <v>10022</v>
      </c>
      <c r="B255" s="0" t="s">
        <v>10023</v>
      </c>
      <c r="H255" s="5" t="s">
        <v>158</v>
      </c>
      <c r="I255" s="5"/>
      <c r="J255" s="0" t="n">
        <f aca="false">IF(AU255="pass",CM255+CN255+CO255+CP255+CQ255+CR255+CS255+CT255,0)</f>
        <v>0</v>
      </c>
      <c r="K255" s="0" t="s">
        <v>10024</v>
      </c>
      <c r="M255" s="0" t="s">
        <v>5291</v>
      </c>
      <c r="N255" s="0" t="s">
        <v>598</v>
      </c>
      <c r="O255" s="0" t="s">
        <v>10025</v>
      </c>
      <c r="P255" s="0" t="s">
        <v>5598</v>
      </c>
      <c r="Q255" s="0" t="s">
        <v>2613</v>
      </c>
      <c r="R255" s="5" t="s">
        <v>162</v>
      </c>
      <c r="S255" s="0" t="s">
        <v>168</v>
      </c>
      <c r="T255" s="5" t="s">
        <v>162</v>
      </c>
      <c r="U255" s="5" t="s">
        <v>561</v>
      </c>
      <c r="V255" s="0" t="s">
        <v>5598</v>
      </c>
      <c r="W255" s="0" t="s">
        <v>174</v>
      </c>
      <c r="X255" s="0" t="s">
        <v>4585</v>
      </c>
      <c r="Y255" s="0" t="str">
        <f aca="false">IF(EB255&lt;&gt;"Y","",COUNTIFS($EB$2:$EB$1000,"Y",$J$2:$J$1000,"&gt;"&amp;J255)+COUNTIFS($EB$2:$EB$1000,"Y",$J$2:$J$1000,J255,$ED$2:$ED$1000,"&lt;"&amp;ED255)+1)</f>
        <v/>
      </c>
      <c r="AA255" s="0" t="s">
        <v>162</v>
      </c>
      <c r="AD255" s="0" t="s">
        <v>158</v>
      </c>
      <c r="AH255" s="0" t="s">
        <v>10026</v>
      </c>
      <c r="AI255" s="0" t="s">
        <v>4975</v>
      </c>
      <c r="AJ255" s="0" t="s">
        <v>6431</v>
      </c>
      <c r="AK255" s="0" t="s">
        <v>10027</v>
      </c>
      <c r="AL255" s="0" t="s">
        <v>162</v>
      </c>
      <c r="AN255" s="0" t="s">
        <v>10022</v>
      </c>
      <c r="AO255" s="5" t="s">
        <v>162</v>
      </c>
      <c r="AR255" s="0" t="str">
        <f aca="false">IF(AND(AU255="pass",AO255&lt;&gt;"Y",C255&lt;&gt;""),"Y","N")</f>
        <v>N</v>
      </c>
      <c r="AS255" s="0" t="str">
        <f aca="false">_xlfn.TEXTJOIN("; ",TRUE(),IF(AU255&lt;&gt;"pass","gated out",""),IF(AO255="Y","on hold: "&amp;AP255,""),IF(C255="","no contact named on an opened page",""))</f>
        <v>gated out; no contact named on an opened page</v>
      </c>
      <c r="AU255" s="0" t="s">
        <v>3703</v>
      </c>
      <c r="AV255" s="0" t="s">
        <v>9762</v>
      </c>
      <c r="AW255" s="0" t="s">
        <v>10028</v>
      </c>
      <c r="AY255" s="0" t="s">
        <v>10027</v>
      </c>
      <c r="AZ255" s="0" t="s">
        <v>4595</v>
      </c>
      <c r="BA255" s="0" t="s">
        <v>4951</v>
      </c>
      <c r="BB255" s="0" t="s">
        <v>163</v>
      </c>
      <c r="BD255" s="0" t="s">
        <v>168</v>
      </c>
      <c r="BE255" s="0" t="s">
        <v>10029</v>
      </c>
      <c r="BF255" s="0" t="s">
        <v>168</v>
      </c>
      <c r="BG255" s="0" t="s">
        <v>168</v>
      </c>
      <c r="BH255" s="0" t="s">
        <v>163</v>
      </c>
      <c r="BJ255" s="0" t="s">
        <v>5143</v>
      </c>
      <c r="BK255" s="0" t="s">
        <v>168</v>
      </c>
      <c r="BL255" s="0" t="s">
        <v>168</v>
      </c>
      <c r="BM255" s="0" t="s">
        <v>10030</v>
      </c>
      <c r="BO255" s="0" t="s">
        <v>162</v>
      </c>
      <c r="BP255" s="0" t="n">
        <v>0</v>
      </c>
      <c r="BS255" s="0" t="s">
        <v>163</v>
      </c>
      <c r="BU255" s="0" t="s">
        <v>4604</v>
      </c>
      <c r="BV255" s="0" t="n">
        <v>5</v>
      </c>
      <c r="BW255" s="0" t="s">
        <v>10031</v>
      </c>
      <c r="CF255" s="0" t="s">
        <v>158</v>
      </c>
      <c r="CK255" s="0" t="s">
        <v>158</v>
      </c>
      <c r="CL255" s="0" t="n">
        <v>49</v>
      </c>
      <c r="CM255" s="0" t="n">
        <v>6</v>
      </c>
      <c r="CN255" s="0" t="n">
        <v>13</v>
      </c>
      <c r="CO255" s="0" t="n">
        <v>15</v>
      </c>
      <c r="CP255" s="0" t="n">
        <v>5</v>
      </c>
      <c r="CQ255" s="0" t="n">
        <v>10</v>
      </c>
      <c r="CR255" s="0" t="n">
        <v>0</v>
      </c>
      <c r="CS255" s="0" t="n">
        <f aca="false">IF(R255="Y",10,0)</f>
        <v>0</v>
      </c>
      <c r="CT255" s="0" t="n">
        <v>0</v>
      </c>
      <c r="CU255" s="0" t="s">
        <v>10032</v>
      </c>
      <c r="CV255" s="0" t="s">
        <v>5150</v>
      </c>
      <c r="CW255" s="0" t="s">
        <v>10033</v>
      </c>
      <c r="CX255" s="0" t="s">
        <v>10034</v>
      </c>
      <c r="DA255" s="0" t="s">
        <v>6234</v>
      </c>
      <c r="DY255" s="0" t="str">
        <f aca="false">IF(ISNUMBER(MATCH(U255,{"queued","contacted","replied","call_booked","call_done","yes_in_principle","materials_sent"},0)),"Y","N")</f>
        <v>N</v>
      </c>
      <c r="DZ255" s="0" t="str">
        <f aca="false">IF(COUNTIFS($AN$2:$AN$1000,AN255,$DY$2:$DY$1000,"Y")+COUNTIFS($AN$2:$AN$1000,AN255,$T$2:$T$1000,"Y")&gt;0,"Y","N")</f>
        <v>N</v>
      </c>
      <c r="EA255" s="0" t="str">
        <f aca="false">IF(AND(U255="new",T255="N",AR255="Y",AQ255="",DZ255="N"),"Y","N")</f>
        <v>N</v>
      </c>
      <c r="EB255" s="0" t="str">
        <f aca="false">IF(EA255&lt;&gt;"Y","N",IF(COUNTIFS($AN$2:$AN$1000,AN255,$EA$2:$EA$1000,"Y",$J$2:$J$1000,"&gt;"&amp;J255)+COUNTIFS($AN$2:$AN$1000,AN255,$EA$2:$EA$1000,"Y",$J$2:$J$1000,J255,$ED$2:$ED$1000,"&lt;"&amp;ED255)=0,"Y","N"))</f>
        <v>N</v>
      </c>
      <c r="EC255" s="0" t="str">
        <f aca="false">IF(Y255="","N",IF(Y255&lt;=10,"Y","N"))</f>
        <v>N</v>
      </c>
      <c r="ED255" s="0" t="n">
        <f aca="false">ROW()-1</f>
        <v>254</v>
      </c>
    </row>
    <row r="256" customFormat="false" ht="15" hidden="false" customHeight="false" outlineLevel="0" collapsed="false">
      <c r="A256" s="0" t="s">
        <v>10035</v>
      </c>
      <c r="B256" s="0" t="s">
        <v>10036</v>
      </c>
      <c r="H256" s="5" t="s">
        <v>158</v>
      </c>
      <c r="I256" s="5"/>
      <c r="J256" s="0" t="n">
        <f aca="false">IF(AU256="pass",CM256+CN256+CO256+CP256+CQ256+CR256+CS256+CT256,0)</f>
        <v>0</v>
      </c>
      <c r="K256" s="0" t="s">
        <v>10037</v>
      </c>
      <c r="M256" s="0" t="s">
        <v>5291</v>
      </c>
      <c r="N256" s="0" t="s">
        <v>598</v>
      </c>
      <c r="O256" s="0" t="s">
        <v>10038</v>
      </c>
      <c r="P256" s="0" t="s">
        <v>5598</v>
      </c>
      <c r="Q256" s="0" t="s">
        <v>2613</v>
      </c>
      <c r="R256" s="5" t="s">
        <v>162</v>
      </c>
      <c r="S256" s="0" t="s">
        <v>168</v>
      </c>
      <c r="T256" s="5" t="s">
        <v>162</v>
      </c>
      <c r="U256" s="5" t="s">
        <v>561</v>
      </c>
      <c r="V256" s="0" t="s">
        <v>10039</v>
      </c>
      <c r="W256" s="0" t="s">
        <v>174</v>
      </c>
      <c r="X256" s="0" t="s">
        <v>4585</v>
      </c>
      <c r="Y256" s="0" t="str">
        <f aca="false">IF(EB256&lt;&gt;"Y","",COUNTIFS($EB$2:$EB$1000,"Y",$J$2:$J$1000,"&gt;"&amp;J256)+COUNTIFS($EB$2:$EB$1000,"Y",$J$2:$J$1000,J256,$ED$2:$ED$1000,"&lt;"&amp;ED256)+1)</f>
        <v/>
      </c>
      <c r="AA256" s="0" t="s">
        <v>162</v>
      </c>
      <c r="AD256" s="0" t="s">
        <v>158</v>
      </c>
      <c r="AH256" s="0" t="s">
        <v>10040</v>
      </c>
      <c r="AI256" s="0" t="s">
        <v>4722</v>
      </c>
      <c r="AJ256" s="0" t="s">
        <v>5297</v>
      </c>
      <c r="AK256" s="0" t="s">
        <v>10041</v>
      </c>
      <c r="AL256" s="0" t="s">
        <v>162</v>
      </c>
      <c r="AN256" s="0" t="s">
        <v>10035</v>
      </c>
      <c r="AO256" s="5" t="s">
        <v>162</v>
      </c>
      <c r="AR256" s="0" t="str">
        <f aca="false">IF(AND(AU256="pass",AO256&lt;&gt;"Y",C256&lt;&gt;""),"Y","N")</f>
        <v>N</v>
      </c>
      <c r="AS256" s="0" t="str">
        <f aca="false">_xlfn.TEXTJOIN("; ",TRUE(),IF(AU256&lt;&gt;"pass","gated out",""),IF(AO256="Y","on hold: "&amp;AP256,""),IF(C256="","no contact named on an opened page",""))</f>
        <v>gated out; no contact named on an opened page</v>
      </c>
      <c r="AU256" s="0" t="s">
        <v>3703</v>
      </c>
      <c r="AV256" s="0" t="s">
        <v>9920</v>
      </c>
      <c r="AW256" s="0" t="s">
        <v>10042</v>
      </c>
      <c r="AY256" s="0" t="s">
        <v>10041</v>
      </c>
      <c r="AZ256" s="0" t="s">
        <v>4595</v>
      </c>
      <c r="BA256" s="0" t="s">
        <v>4596</v>
      </c>
      <c r="BB256" s="0" t="s">
        <v>163</v>
      </c>
      <c r="BD256" s="0" t="s">
        <v>168</v>
      </c>
      <c r="BE256" s="0" t="s">
        <v>10043</v>
      </c>
      <c r="BF256" s="0" t="s">
        <v>162</v>
      </c>
      <c r="BG256" s="0" t="s">
        <v>168</v>
      </c>
      <c r="BH256" s="0" t="s">
        <v>163</v>
      </c>
      <c r="BJ256" s="0" t="s">
        <v>5143</v>
      </c>
      <c r="BK256" s="0" t="s">
        <v>162</v>
      </c>
      <c r="BL256" s="0" t="s">
        <v>168</v>
      </c>
      <c r="BM256" s="0" t="s">
        <v>10044</v>
      </c>
      <c r="BO256" s="0" t="s">
        <v>162</v>
      </c>
      <c r="BP256" s="0" t="n">
        <v>0</v>
      </c>
      <c r="BS256" s="0" t="s">
        <v>163</v>
      </c>
      <c r="BU256" s="0" t="s">
        <v>4604</v>
      </c>
      <c r="BV256" s="0" t="n">
        <v>5</v>
      </c>
      <c r="BW256" s="0" t="s">
        <v>5732</v>
      </c>
      <c r="CF256" s="0" t="s">
        <v>158</v>
      </c>
      <c r="CK256" s="0" t="s">
        <v>158</v>
      </c>
      <c r="CL256" s="0" t="n">
        <v>53</v>
      </c>
      <c r="CM256" s="0" t="n">
        <v>6</v>
      </c>
      <c r="CN256" s="0" t="n">
        <v>20</v>
      </c>
      <c r="CO256" s="0" t="n">
        <v>15</v>
      </c>
      <c r="CP256" s="0" t="n">
        <v>5</v>
      </c>
      <c r="CQ256" s="0" t="n">
        <v>7</v>
      </c>
      <c r="CR256" s="0" t="n">
        <v>0</v>
      </c>
      <c r="CS256" s="0" t="n">
        <f aca="false">IF(R256="Y",10,0)</f>
        <v>0</v>
      </c>
      <c r="CT256" s="0" t="n">
        <v>0</v>
      </c>
      <c r="CU256" s="0" t="s">
        <v>10045</v>
      </c>
      <c r="CV256" s="0" t="s">
        <v>5150</v>
      </c>
      <c r="CW256" s="0" t="s">
        <v>10046</v>
      </c>
      <c r="CX256" s="0" t="s">
        <v>10047</v>
      </c>
      <c r="DA256" s="0" t="s">
        <v>6234</v>
      </c>
      <c r="DY256" s="0" t="str">
        <f aca="false">IF(ISNUMBER(MATCH(U256,{"queued","contacted","replied","call_booked","call_done","yes_in_principle","materials_sent"},0)),"Y","N")</f>
        <v>N</v>
      </c>
      <c r="DZ256" s="0" t="str">
        <f aca="false">IF(COUNTIFS($AN$2:$AN$1000,AN256,$DY$2:$DY$1000,"Y")+COUNTIFS($AN$2:$AN$1000,AN256,$T$2:$T$1000,"Y")&gt;0,"Y","N")</f>
        <v>N</v>
      </c>
      <c r="EA256" s="0" t="str">
        <f aca="false">IF(AND(U256="new",T256="N",AR256="Y",AQ256="",DZ256="N"),"Y","N")</f>
        <v>N</v>
      </c>
      <c r="EB256" s="0" t="str">
        <f aca="false">IF(EA256&lt;&gt;"Y","N",IF(COUNTIFS($AN$2:$AN$1000,AN256,$EA$2:$EA$1000,"Y",$J$2:$J$1000,"&gt;"&amp;J256)+COUNTIFS($AN$2:$AN$1000,AN256,$EA$2:$EA$1000,"Y",$J$2:$J$1000,J256,$ED$2:$ED$1000,"&lt;"&amp;ED256)=0,"Y","N"))</f>
        <v>N</v>
      </c>
      <c r="EC256" s="0" t="str">
        <f aca="false">IF(Y256="","N",IF(Y256&lt;=10,"Y","N"))</f>
        <v>N</v>
      </c>
      <c r="ED256" s="0" t="n">
        <f aca="false">ROW()-1</f>
        <v>255</v>
      </c>
    </row>
    <row r="257" customFormat="false" ht="15" hidden="false" customHeight="false" outlineLevel="0" collapsed="false">
      <c r="A257" s="0" t="s">
        <v>10048</v>
      </c>
      <c r="B257" s="0" t="s">
        <v>10049</v>
      </c>
      <c r="C257" s="0" t="s">
        <v>10050</v>
      </c>
      <c r="D257" s="0" t="s">
        <v>10051</v>
      </c>
      <c r="E257" s="0" t="s">
        <v>4910</v>
      </c>
      <c r="H257" s="5" t="s">
        <v>158</v>
      </c>
      <c r="I257" s="5" t="s">
        <v>159</v>
      </c>
      <c r="J257" s="0" t="n">
        <f aca="false">IF(AU257="pass",CM257+CN257+CO257+CP257+CQ257+CR257+CS257+CT257,0)</f>
        <v>0</v>
      </c>
      <c r="K257" s="0" t="s">
        <v>10052</v>
      </c>
      <c r="M257" s="0" t="s">
        <v>5291</v>
      </c>
      <c r="N257" s="0" t="s">
        <v>598</v>
      </c>
      <c r="O257" s="0" t="s">
        <v>10053</v>
      </c>
      <c r="P257" s="0" t="s">
        <v>10054</v>
      </c>
      <c r="Q257" s="0" t="s">
        <v>3272</v>
      </c>
      <c r="R257" s="5" t="s">
        <v>162</v>
      </c>
      <c r="S257" s="0" t="s">
        <v>163</v>
      </c>
      <c r="T257" s="5" t="s">
        <v>162</v>
      </c>
      <c r="U257" s="5" t="s">
        <v>561</v>
      </c>
      <c r="V257" s="0" t="s">
        <v>10054</v>
      </c>
      <c r="W257" s="0" t="s">
        <v>166</v>
      </c>
      <c r="X257" s="0" t="s">
        <v>4585</v>
      </c>
      <c r="Y257" s="0" t="str">
        <f aca="false">IF(EB257&lt;&gt;"Y","",COUNTIFS($EB$2:$EB$1000,"Y",$J$2:$J$1000,"&gt;"&amp;J257)+COUNTIFS($EB$2:$EB$1000,"Y",$J$2:$J$1000,J257,$ED$2:$ED$1000,"&lt;"&amp;ED257)+1)</f>
        <v/>
      </c>
      <c r="AA257" s="0" t="s">
        <v>162</v>
      </c>
      <c r="AC257" s="0" t="s">
        <v>4587</v>
      </c>
      <c r="AD257" s="0" t="s">
        <v>171</v>
      </c>
      <c r="AE257" s="0" t="s">
        <v>1189</v>
      </c>
      <c r="AF257" s="0" t="s">
        <v>10054</v>
      </c>
      <c r="AG257" s="0" t="s">
        <v>166</v>
      </c>
      <c r="AH257" s="0" t="s">
        <v>10055</v>
      </c>
      <c r="AI257" s="0" t="s">
        <v>4975</v>
      </c>
      <c r="AJ257" s="0" t="s">
        <v>9394</v>
      </c>
      <c r="AL257" s="0" t="s">
        <v>162</v>
      </c>
      <c r="AN257" s="0" t="s">
        <v>10048</v>
      </c>
      <c r="AO257" s="5" t="s">
        <v>162</v>
      </c>
      <c r="AR257" s="0" t="str">
        <f aca="false">IF(AND(AU257="pass",AO257&lt;&gt;"Y",C257&lt;&gt;""),"Y","N")</f>
        <v>N</v>
      </c>
      <c r="AS257" s="0" t="str">
        <f aca="false">_xlfn.TEXTJOIN("; ",TRUE(),IF(AU257&lt;&gt;"pass","gated out",""),IF(AO257="Y","on hold: "&amp;AP257,""),IF(C257="","no contact named on an opened page",""))</f>
        <v>gated out</v>
      </c>
      <c r="AU257" s="0" t="s">
        <v>3703</v>
      </c>
      <c r="AV257" s="0" t="s">
        <v>10056</v>
      </c>
      <c r="AW257" s="0" t="s">
        <v>10057</v>
      </c>
      <c r="AY257" s="0" t="s">
        <v>10058</v>
      </c>
      <c r="AZ257" s="0" t="s">
        <v>5057</v>
      </c>
      <c r="BA257" s="0" t="s">
        <v>5329</v>
      </c>
      <c r="BB257" s="0" t="s">
        <v>163</v>
      </c>
      <c r="BD257" s="0" t="s">
        <v>168</v>
      </c>
      <c r="BE257" s="0" t="s">
        <v>10059</v>
      </c>
      <c r="BF257" s="0" t="s">
        <v>168</v>
      </c>
      <c r="BG257" s="0" t="s">
        <v>163</v>
      </c>
      <c r="BH257" s="0" t="s">
        <v>163</v>
      </c>
      <c r="BJ257" s="0" t="s">
        <v>163</v>
      </c>
      <c r="BK257" s="0" t="s">
        <v>162</v>
      </c>
      <c r="BL257" s="0" t="s">
        <v>162</v>
      </c>
      <c r="BO257" s="0" t="s">
        <v>162</v>
      </c>
      <c r="BP257" s="0" t="n">
        <v>0</v>
      </c>
      <c r="BS257" s="0" t="s">
        <v>10060</v>
      </c>
      <c r="BT257" s="0" t="s">
        <v>10061</v>
      </c>
      <c r="BU257" s="0" t="s">
        <v>4604</v>
      </c>
      <c r="BV257" s="0" t="n">
        <v>38</v>
      </c>
      <c r="BX257" s="0" t="s">
        <v>10062</v>
      </c>
      <c r="CA257" s="0" t="s">
        <v>10063</v>
      </c>
      <c r="CB257" s="0" t="s">
        <v>10064</v>
      </c>
      <c r="CC257" s="0" t="s">
        <v>10065</v>
      </c>
      <c r="CD257" s="0" t="s">
        <v>4625</v>
      </c>
      <c r="CE257" s="0" t="s">
        <v>6260</v>
      </c>
      <c r="CF257" s="0" t="s">
        <v>171</v>
      </c>
      <c r="CK257" s="0" t="s">
        <v>158</v>
      </c>
      <c r="CL257" s="0" t="n">
        <v>41</v>
      </c>
      <c r="CM257" s="0" t="n">
        <v>0</v>
      </c>
      <c r="CN257" s="0" t="n">
        <v>3</v>
      </c>
      <c r="CO257" s="0" t="n">
        <v>15</v>
      </c>
      <c r="CP257" s="0" t="n">
        <v>5</v>
      </c>
      <c r="CQ257" s="0" t="n">
        <v>8</v>
      </c>
      <c r="CR257" s="0" t="n">
        <v>10</v>
      </c>
      <c r="CS257" s="0" t="n">
        <f aca="false">IF(R257="Y",10,0)</f>
        <v>0</v>
      </c>
      <c r="CT257" s="0" t="n">
        <v>0</v>
      </c>
      <c r="CU257" s="0" t="s">
        <v>163</v>
      </c>
      <c r="CV257" s="0" t="s">
        <v>4841</v>
      </c>
      <c r="CW257" s="0" t="s">
        <v>10066</v>
      </c>
      <c r="CX257" s="0" t="s">
        <v>10067</v>
      </c>
      <c r="CZ257" s="0" t="s">
        <v>10054</v>
      </c>
      <c r="DA257" s="0" t="s">
        <v>6234</v>
      </c>
      <c r="DC257" s="0" t="s">
        <v>1189</v>
      </c>
      <c r="DY257" s="0" t="str">
        <f aca="false">IF(ISNUMBER(MATCH(U257,{"queued","contacted","replied","call_booked","call_done","yes_in_principle","materials_sent"},0)),"Y","N")</f>
        <v>N</v>
      </c>
      <c r="DZ257" s="0" t="str">
        <f aca="false">IF(COUNTIFS($AN$2:$AN$1000,AN257,$DY$2:$DY$1000,"Y")+COUNTIFS($AN$2:$AN$1000,AN257,$T$2:$T$1000,"Y")&gt;0,"Y","N")</f>
        <v>N</v>
      </c>
      <c r="EA257" s="0" t="str">
        <f aca="false">IF(AND(U257="new",T257="N",AR257="Y",AQ257="",DZ257="N"),"Y","N")</f>
        <v>N</v>
      </c>
      <c r="EB257" s="0" t="str">
        <f aca="false">IF(EA257&lt;&gt;"Y","N",IF(COUNTIFS($AN$2:$AN$1000,AN257,$EA$2:$EA$1000,"Y",$J$2:$J$1000,"&gt;"&amp;J257)+COUNTIFS($AN$2:$AN$1000,AN257,$EA$2:$EA$1000,"Y",$J$2:$J$1000,J257,$ED$2:$ED$1000,"&lt;"&amp;ED257)=0,"Y","N"))</f>
        <v>N</v>
      </c>
      <c r="EC257" s="0" t="str">
        <f aca="false">IF(Y257="","N",IF(Y257&lt;=10,"Y","N"))</f>
        <v>N</v>
      </c>
      <c r="ED257" s="0" t="n">
        <f aca="false">ROW()-1</f>
        <v>256</v>
      </c>
    </row>
    <row r="258" customFormat="false" ht="15" hidden="false" customHeight="false" outlineLevel="0" collapsed="false">
      <c r="A258" s="0" t="s">
        <v>10068</v>
      </c>
      <c r="B258" s="0" t="s">
        <v>10069</v>
      </c>
      <c r="H258" s="5" t="s">
        <v>158</v>
      </c>
      <c r="I258" s="5"/>
      <c r="J258" s="0" t="n">
        <f aca="false">IF(AU258="pass",CM258+CN258+CO258+CP258+CQ258+CR258+CS258+CT258,0)</f>
        <v>0</v>
      </c>
      <c r="K258" s="0" t="s">
        <v>10070</v>
      </c>
      <c r="M258" s="0" t="s">
        <v>5291</v>
      </c>
      <c r="N258" s="0" t="s">
        <v>598</v>
      </c>
      <c r="O258" s="0" t="s">
        <v>10071</v>
      </c>
      <c r="P258" s="0" t="s">
        <v>10072</v>
      </c>
      <c r="Q258" s="0" t="s">
        <v>5135</v>
      </c>
      <c r="R258" s="5" t="s">
        <v>162</v>
      </c>
      <c r="S258" s="0" t="s">
        <v>163</v>
      </c>
      <c r="T258" s="5" t="s">
        <v>162</v>
      </c>
      <c r="U258" s="5" t="s">
        <v>561</v>
      </c>
      <c r="V258" s="0" t="s">
        <v>10072</v>
      </c>
      <c r="W258" s="0" t="s">
        <v>174</v>
      </c>
      <c r="X258" s="0" t="s">
        <v>4585</v>
      </c>
      <c r="Y258" s="0" t="str">
        <f aca="false">IF(EB258&lt;&gt;"Y","",COUNTIFS($EB$2:$EB$1000,"Y",$J$2:$J$1000,"&gt;"&amp;J258)+COUNTIFS($EB$2:$EB$1000,"Y",$J$2:$J$1000,J258,$ED$2:$ED$1000,"&lt;"&amp;ED258)+1)</f>
        <v/>
      </c>
      <c r="AA258" s="0" t="s">
        <v>162</v>
      </c>
      <c r="AD258" s="0" t="s">
        <v>158</v>
      </c>
      <c r="AH258" s="0" t="s">
        <v>10073</v>
      </c>
      <c r="AI258" s="0" t="s">
        <v>5763</v>
      </c>
      <c r="AJ258" s="0" t="s">
        <v>5187</v>
      </c>
      <c r="AK258" s="0" t="s">
        <v>10074</v>
      </c>
      <c r="AL258" s="0" t="s">
        <v>168</v>
      </c>
      <c r="AM258" s="0" t="s">
        <v>10075</v>
      </c>
      <c r="AN258" s="0" t="s">
        <v>10068</v>
      </c>
      <c r="AO258" s="5" t="s">
        <v>162</v>
      </c>
      <c r="AR258" s="0" t="str">
        <f aca="false">IF(AND(AU258="pass",AO258&lt;&gt;"Y",C258&lt;&gt;""),"Y","N")</f>
        <v>N</v>
      </c>
      <c r="AS258" s="0" t="str">
        <f aca="false">_xlfn.TEXTJOIN("; ",TRUE(),IF(AU258&lt;&gt;"pass","gated out",""),IF(AO258="Y","on hold: "&amp;AP258,""),IF(C258="","no contact named on an opened page",""))</f>
        <v>gated out; no contact named on an opened page</v>
      </c>
      <c r="AU258" s="0" t="s">
        <v>3703</v>
      </c>
      <c r="AV258" s="0" t="s">
        <v>9762</v>
      </c>
      <c r="AW258" s="0" t="s">
        <v>10076</v>
      </c>
      <c r="AX258" s="0" t="s">
        <v>4594</v>
      </c>
      <c r="AY258" s="0" t="s">
        <v>10074</v>
      </c>
      <c r="AZ258" s="0" t="s">
        <v>5190</v>
      </c>
      <c r="BA258" s="0" t="s">
        <v>5191</v>
      </c>
      <c r="BB258" s="0" t="s">
        <v>163</v>
      </c>
      <c r="BD258" s="0" t="s">
        <v>163</v>
      </c>
      <c r="BE258" s="0" t="s">
        <v>10077</v>
      </c>
      <c r="BF258" s="0" t="s">
        <v>168</v>
      </c>
      <c r="BG258" s="0" t="s">
        <v>168</v>
      </c>
      <c r="BH258" s="0" t="s">
        <v>163</v>
      </c>
      <c r="BJ258" s="0" t="s">
        <v>5143</v>
      </c>
      <c r="BK258" s="0" t="s">
        <v>168</v>
      </c>
      <c r="BL258" s="0" t="s">
        <v>168</v>
      </c>
      <c r="BM258" s="0" t="s">
        <v>10078</v>
      </c>
      <c r="BO258" s="0" t="s">
        <v>162</v>
      </c>
      <c r="BP258" s="0" t="n">
        <v>0</v>
      </c>
      <c r="BS258" s="0" t="s">
        <v>163</v>
      </c>
      <c r="BU258" s="0" t="s">
        <v>4604</v>
      </c>
      <c r="BV258" s="0" t="n">
        <v>118</v>
      </c>
      <c r="CF258" s="0" t="s">
        <v>158</v>
      </c>
      <c r="CK258" s="0" t="s">
        <v>158</v>
      </c>
      <c r="CL258" s="0" t="n">
        <v>37</v>
      </c>
      <c r="CM258" s="0" t="n">
        <v>6</v>
      </c>
      <c r="CN258" s="0" t="n">
        <v>8</v>
      </c>
      <c r="CO258" s="0" t="n">
        <v>15</v>
      </c>
      <c r="CP258" s="0" t="n">
        <v>5</v>
      </c>
      <c r="CQ258" s="0" t="n">
        <v>7</v>
      </c>
      <c r="CR258" s="0" t="n">
        <v>0</v>
      </c>
      <c r="CS258" s="0" t="n">
        <f aca="false">IF(R258="Y",10,0)</f>
        <v>0</v>
      </c>
      <c r="CT258" s="0" t="n">
        <v>-4</v>
      </c>
      <c r="CU258" s="0" t="s">
        <v>10079</v>
      </c>
      <c r="CV258" s="0" t="s">
        <v>5150</v>
      </c>
      <c r="CW258" s="0" t="s">
        <v>10080</v>
      </c>
      <c r="CX258" s="0" t="s">
        <v>10081</v>
      </c>
      <c r="DA258" s="0" t="s">
        <v>6234</v>
      </c>
      <c r="DY258" s="0" t="str">
        <f aca="false">IF(ISNUMBER(MATCH(U258,{"queued","contacted","replied","call_booked","call_done","yes_in_principle","materials_sent"},0)),"Y","N")</f>
        <v>N</v>
      </c>
      <c r="DZ258" s="0" t="str">
        <f aca="false">IF(COUNTIFS($AN$2:$AN$1000,AN258,$DY$2:$DY$1000,"Y")+COUNTIFS($AN$2:$AN$1000,AN258,$T$2:$T$1000,"Y")&gt;0,"Y","N")</f>
        <v>N</v>
      </c>
      <c r="EA258" s="0" t="str">
        <f aca="false">IF(AND(U258="new",T258="N",AR258="Y",AQ258="",DZ258="N"),"Y","N")</f>
        <v>N</v>
      </c>
      <c r="EB258" s="0" t="str">
        <f aca="false">IF(EA258&lt;&gt;"Y","N",IF(COUNTIFS($AN$2:$AN$1000,AN258,$EA$2:$EA$1000,"Y",$J$2:$J$1000,"&gt;"&amp;J258)+COUNTIFS($AN$2:$AN$1000,AN258,$EA$2:$EA$1000,"Y",$J$2:$J$1000,J258,$ED$2:$ED$1000,"&lt;"&amp;ED258)=0,"Y","N"))</f>
        <v>N</v>
      </c>
      <c r="EC258" s="0" t="str">
        <f aca="false">IF(Y258="","N",IF(Y258&lt;=10,"Y","N"))</f>
        <v>N</v>
      </c>
      <c r="ED258" s="0" t="n">
        <f aca="false">ROW()-1</f>
        <v>257</v>
      </c>
    </row>
    <row r="259" customFormat="false" ht="15" hidden="false" customHeight="false" outlineLevel="0" collapsed="false">
      <c r="A259" s="0" t="s">
        <v>10082</v>
      </c>
      <c r="B259" s="0" t="s">
        <v>10083</v>
      </c>
      <c r="H259" s="5" t="s">
        <v>158</v>
      </c>
      <c r="I259" s="5"/>
      <c r="J259" s="0" t="n">
        <f aca="false">IF(AU259="pass",CM259+CN259+CO259+CP259+CQ259+CR259+CS259+CT259,0)</f>
        <v>0</v>
      </c>
      <c r="K259" s="0" t="s">
        <v>10084</v>
      </c>
      <c r="M259" s="0" t="s">
        <v>5291</v>
      </c>
      <c r="N259" s="0" t="s">
        <v>598</v>
      </c>
      <c r="O259" s="0" t="s">
        <v>10085</v>
      </c>
      <c r="P259" s="0" t="s">
        <v>10086</v>
      </c>
      <c r="Q259" s="0" t="s">
        <v>6294</v>
      </c>
      <c r="R259" s="5" t="s">
        <v>162</v>
      </c>
      <c r="S259" s="0" t="s">
        <v>168</v>
      </c>
      <c r="T259" s="5" t="s">
        <v>162</v>
      </c>
      <c r="U259" s="5" t="s">
        <v>561</v>
      </c>
      <c r="V259" s="0" t="s">
        <v>10086</v>
      </c>
      <c r="W259" s="0" t="s">
        <v>166</v>
      </c>
      <c r="X259" s="0" t="s">
        <v>4585</v>
      </c>
      <c r="Y259" s="0" t="str">
        <f aca="false">IF(EB259&lt;&gt;"Y","",COUNTIFS($EB$2:$EB$1000,"Y",$J$2:$J$1000,"&gt;"&amp;J259)+COUNTIFS($EB$2:$EB$1000,"Y",$J$2:$J$1000,J259,$ED$2:$ED$1000,"&lt;"&amp;ED259)+1)</f>
        <v/>
      </c>
      <c r="AA259" s="0" t="s">
        <v>162</v>
      </c>
      <c r="AD259" s="0" t="s">
        <v>158</v>
      </c>
      <c r="AH259" s="0" t="s">
        <v>10087</v>
      </c>
      <c r="AI259" s="0" t="s">
        <v>5924</v>
      </c>
      <c r="AJ259" s="0" t="s">
        <v>10013</v>
      </c>
      <c r="AL259" s="0" t="s">
        <v>162</v>
      </c>
      <c r="AN259" s="0" t="s">
        <v>10082</v>
      </c>
      <c r="AO259" s="5" t="s">
        <v>162</v>
      </c>
      <c r="AR259" s="0" t="str">
        <f aca="false">IF(AND(AU259="pass",AO259&lt;&gt;"Y",C259&lt;&gt;""),"Y","N")</f>
        <v>N</v>
      </c>
      <c r="AS259" s="0" t="str">
        <f aca="false">_xlfn.TEXTJOIN("; ",TRUE(),IF(AU259&lt;&gt;"pass","gated out",""),IF(AO259="Y","on hold: "&amp;AP259,""),IF(C259="","no contact named on an opened page",""))</f>
        <v>gated out; no contact named on an opened page</v>
      </c>
      <c r="AU259" s="0" t="s">
        <v>3703</v>
      </c>
      <c r="AV259" s="0" t="s">
        <v>10088</v>
      </c>
      <c r="AW259" s="0" t="s">
        <v>10089</v>
      </c>
      <c r="AY259" s="0" t="s">
        <v>10090</v>
      </c>
      <c r="AZ259" s="0" t="s">
        <v>4595</v>
      </c>
      <c r="BA259" s="0" t="s">
        <v>4596</v>
      </c>
      <c r="BB259" s="0" t="s">
        <v>163</v>
      </c>
      <c r="BD259" s="0" t="s">
        <v>168</v>
      </c>
      <c r="BE259" s="0" t="s">
        <v>10091</v>
      </c>
      <c r="BF259" s="0" t="s">
        <v>162</v>
      </c>
      <c r="BG259" s="0" t="s">
        <v>163</v>
      </c>
      <c r="BH259" s="0" t="s">
        <v>163</v>
      </c>
      <c r="BJ259" s="0" t="s">
        <v>163</v>
      </c>
      <c r="BK259" s="0" t="s">
        <v>162</v>
      </c>
      <c r="BL259" s="0" t="s">
        <v>168</v>
      </c>
      <c r="BM259" s="0" t="s">
        <v>10092</v>
      </c>
      <c r="BO259" s="0" t="s">
        <v>162</v>
      </c>
      <c r="BP259" s="0" t="n">
        <v>0</v>
      </c>
      <c r="BU259" s="0" t="s">
        <v>4604</v>
      </c>
      <c r="BV259" s="0" t="n">
        <v>122</v>
      </c>
      <c r="BW259" s="0" t="s">
        <v>10086</v>
      </c>
      <c r="CF259" s="0" t="s">
        <v>158</v>
      </c>
      <c r="CK259" s="0" t="s">
        <v>158</v>
      </c>
      <c r="CL259" s="0" t="n">
        <v>45</v>
      </c>
      <c r="CM259" s="0" t="n">
        <v>0</v>
      </c>
      <c r="CN259" s="0" t="n">
        <v>20</v>
      </c>
      <c r="CO259" s="0" t="n">
        <v>15</v>
      </c>
      <c r="CP259" s="0" t="n">
        <v>5</v>
      </c>
      <c r="CQ259" s="0" t="n">
        <v>5</v>
      </c>
      <c r="CR259" s="0" t="n">
        <v>0</v>
      </c>
      <c r="CS259" s="0" t="n">
        <f aca="false">IF(R259="Y",10,0)</f>
        <v>0</v>
      </c>
      <c r="CT259" s="0" t="n">
        <v>0</v>
      </c>
      <c r="CV259" s="0" t="s">
        <v>4615</v>
      </c>
      <c r="CW259" s="0" t="s">
        <v>10093</v>
      </c>
      <c r="CX259" s="0" t="s">
        <v>10021</v>
      </c>
      <c r="DA259" s="0" t="s">
        <v>6234</v>
      </c>
      <c r="DY259" s="0" t="str">
        <f aca="false">IF(ISNUMBER(MATCH(U259,{"queued","contacted","replied","call_booked","call_done","yes_in_principle","materials_sent"},0)),"Y","N")</f>
        <v>N</v>
      </c>
      <c r="DZ259" s="0" t="str">
        <f aca="false">IF(COUNTIFS($AN$2:$AN$1000,AN259,$DY$2:$DY$1000,"Y")+COUNTIFS($AN$2:$AN$1000,AN259,$T$2:$T$1000,"Y")&gt;0,"Y","N")</f>
        <v>N</v>
      </c>
      <c r="EA259" s="0" t="str">
        <f aca="false">IF(AND(U259="new",T259="N",AR259="Y",AQ259="",DZ259="N"),"Y","N")</f>
        <v>N</v>
      </c>
      <c r="EB259" s="0" t="str">
        <f aca="false">IF(EA259&lt;&gt;"Y","N",IF(COUNTIFS($AN$2:$AN$1000,AN259,$EA$2:$EA$1000,"Y",$J$2:$J$1000,"&gt;"&amp;J259)+COUNTIFS($AN$2:$AN$1000,AN259,$EA$2:$EA$1000,"Y",$J$2:$J$1000,J259,$ED$2:$ED$1000,"&lt;"&amp;ED259)=0,"Y","N"))</f>
        <v>N</v>
      </c>
      <c r="EC259" s="0" t="str">
        <f aca="false">IF(Y259="","N",IF(Y259&lt;=10,"Y","N"))</f>
        <v>N</v>
      </c>
      <c r="ED259" s="0" t="n">
        <f aca="false">ROW()-1</f>
        <v>258</v>
      </c>
    </row>
    <row r="260" customFormat="false" ht="15" hidden="false" customHeight="false" outlineLevel="0" collapsed="false">
      <c r="A260" s="0" t="s">
        <v>10094</v>
      </c>
      <c r="B260" s="0" t="s">
        <v>10095</v>
      </c>
      <c r="H260" s="5" t="s">
        <v>158</v>
      </c>
      <c r="I260" s="5"/>
      <c r="J260" s="0" t="n">
        <f aca="false">IF(AU260="pass",CM260+CN260+CO260+CP260+CQ260+CR260+CS260+CT260,0)</f>
        <v>0</v>
      </c>
      <c r="K260" s="0" t="s">
        <v>10096</v>
      </c>
      <c r="M260" s="0" t="s">
        <v>5291</v>
      </c>
      <c r="N260" s="0" t="s">
        <v>598</v>
      </c>
      <c r="O260" s="0" t="s">
        <v>10097</v>
      </c>
      <c r="P260" s="0" t="s">
        <v>10098</v>
      </c>
      <c r="Q260" s="0" t="s">
        <v>5135</v>
      </c>
      <c r="R260" s="5" t="s">
        <v>162</v>
      </c>
      <c r="S260" s="0" t="s">
        <v>163</v>
      </c>
      <c r="T260" s="5" t="s">
        <v>162</v>
      </c>
      <c r="U260" s="5" t="s">
        <v>561</v>
      </c>
      <c r="V260" s="0" t="s">
        <v>10098</v>
      </c>
      <c r="W260" s="0" t="s">
        <v>174</v>
      </c>
      <c r="X260" s="0" t="s">
        <v>4585</v>
      </c>
      <c r="Y260" s="0" t="str">
        <f aca="false">IF(EB260&lt;&gt;"Y","",COUNTIFS($EB$2:$EB$1000,"Y",$J$2:$J$1000,"&gt;"&amp;J260)+COUNTIFS($EB$2:$EB$1000,"Y",$J$2:$J$1000,J260,$ED$2:$ED$1000,"&lt;"&amp;ED260)+1)</f>
        <v/>
      </c>
      <c r="AA260" s="0" t="s">
        <v>162</v>
      </c>
      <c r="AD260" s="0" t="s">
        <v>158</v>
      </c>
      <c r="AH260" s="0" t="s">
        <v>10099</v>
      </c>
      <c r="AI260" s="0" t="s">
        <v>5763</v>
      </c>
      <c r="AJ260" s="0" t="s">
        <v>163</v>
      </c>
      <c r="AL260" s="0" t="s">
        <v>168</v>
      </c>
      <c r="AM260" s="0" t="s">
        <v>10100</v>
      </c>
      <c r="AN260" s="0" t="s">
        <v>10094</v>
      </c>
      <c r="AO260" s="5" t="s">
        <v>162</v>
      </c>
      <c r="AR260" s="0" t="str">
        <f aca="false">IF(AND(AU260="pass",AO260&lt;&gt;"Y",C260&lt;&gt;""),"Y","N")</f>
        <v>N</v>
      </c>
      <c r="AS260" s="0" t="str">
        <f aca="false">_xlfn.TEXTJOIN("; ",TRUE(),IF(AU260&lt;&gt;"pass","gated out",""),IF(AO260="Y","on hold: "&amp;AP260,""),IF(C260="","no contact named on an opened page",""))</f>
        <v>gated out; no contact named on an opened page</v>
      </c>
      <c r="AU260" s="0" t="s">
        <v>3703</v>
      </c>
      <c r="AV260" s="0" t="s">
        <v>10056</v>
      </c>
      <c r="AW260" s="0" t="s">
        <v>10101</v>
      </c>
      <c r="AX260" s="0" t="s">
        <v>10102</v>
      </c>
      <c r="AY260" s="0" t="s">
        <v>10103</v>
      </c>
      <c r="AZ260" s="0" t="s">
        <v>4595</v>
      </c>
      <c r="BA260" s="0" t="s">
        <v>4951</v>
      </c>
      <c r="BB260" s="0" t="s">
        <v>163</v>
      </c>
      <c r="BD260" s="0" t="s">
        <v>163</v>
      </c>
      <c r="BE260" s="0" t="s">
        <v>10104</v>
      </c>
      <c r="BF260" s="0" t="s">
        <v>163</v>
      </c>
      <c r="BG260" s="0" t="s">
        <v>162</v>
      </c>
      <c r="BH260" s="0" t="s">
        <v>163</v>
      </c>
      <c r="BJ260" s="0" t="s">
        <v>5143</v>
      </c>
      <c r="BK260" s="0" t="s">
        <v>162</v>
      </c>
      <c r="BL260" s="0" t="s">
        <v>162</v>
      </c>
      <c r="BO260" s="0" t="s">
        <v>162</v>
      </c>
      <c r="BP260" s="0" t="n">
        <v>0</v>
      </c>
      <c r="BS260" s="0" t="s">
        <v>163</v>
      </c>
      <c r="BU260" s="0" t="s">
        <v>4604</v>
      </c>
      <c r="BV260" s="0" t="n">
        <v>118</v>
      </c>
      <c r="CF260" s="0" t="s">
        <v>158</v>
      </c>
      <c r="CK260" s="0" t="s">
        <v>158</v>
      </c>
      <c r="CL260" s="0" t="n">
        <v>23</v>
      </c>
      <c r="CM260" s="0" t="n">
        <v>0</v>
      </c>
      <c r="CN260" s="0" t="n">
        <v>13</v>
      </c>
      <c r="CO260" s="0" t="n">
        <v>15</v>
      </c>
      <c r="CP260" s="0" t="n">
        <v>5</v>
      </c>
      <c r="CQ260" s="0" t="n">
        <v>2</v>
      </c>
      <c r="CR260" s="0" t="n">
        <v>0</v>
      </c>
      <c r="CS260" s="0" t="n">
        <f aca="false">IF(R260="Y",10,0)</f>
        <v>0</v>
      </c>
      <c r="CT260" s="0" t="n">
        <v>-12</v>
      </c>
      <c r="CV260" s="0" t="s">
        <v>5150</v>
      </c>
      <c r="CW260" s="0" t="s">
        <v>10105</v>
      </c>
      <c r="CX260" s="0" t="s">
        <v>10106</v>
      </c>
      <c r="DA260" s="0" t="s">
        <v>6234</v>
      </c>
      <c r="DY260" s="0" t="str">
        <f aca="false">IF(ISNUMBER(MATCH(U260,{"queued","contacted","replied","call_booked","call_done","yes_in_principle","materials_sent"},0)),"Y","N")</f>
        <v>N</v>
      </c>
      <c r="DZ260" s="0" t="str">
        <f aca="false">IF(COUNTIFS($AN$2:$AN$1000,AN260,$DY$2:$DY$1000,"Y")+COUNTIFS($AN$2:$AN$1000,AN260,$T$2:$T$1000,"Y")&gt;0,"Y","N")</f>
        <v>N</v>
      </c>
      <c r="EA260" s="0" t="str">
        <f aca="false">IF(AND(U260="new",T260="N",AR260="Y",AQ260="",DZ260="N"),"Y","N")</f>
        <v>N</v>
      </c>
      <c r="EB260" s="0" t="str">
        <f aca="false">IF(EA260&lt;&gt;"Y","N",IF(COUNTIFS($AN$2:$AN$1000,AN260,$EA$2:$EA$1000,"Y",$J$2:$J$1000,"&gt;"&amp;J260)+COUNTIFS($AN$2:$AN$1000,AN260,$EA$2:$EA$1000,"Y",$J$2:$J$1000,J260,$ED$2:$ED$1000,"&lt;"&amp;ED260)=0,"Y","N"))</f>
        <v>N</v>
      </c>
      <c r="EC260" s="0" t="str">
        <f aca="false">IF(Y260="","N",IF(Y260&lt;=10,"Y","N"))</f>
        <v>N</v>
      </c>
      <c r="ED260" s="0" t="n">
        <f aca="false">ROW()-1</f>
        <v>259</v>
      </c>
    </row>
    <row r="261" customFormat="false" ht="15" hidden="false" customHeight="false" outlineLevel="0" collapsed="false">
      <c r="A261" s="0" t="s">
        <v>10107</v>
      </c>
      <c r="B261" s="0" t="s">
        <v>10108</v>
      </c>
      <c r="H261" s="5" t="s">
        <v>158</v>
      </c>
      <c r="I261" s="5"/>
      <c r="J261" s="0" t="n">
        <f aca="false">IF(AU261="pass",CM261+CN261+CO261+CP261+CQ261+CR261+CS261+CT261,0)</f>
        <v>0</v>
      </c>
      <c r="K261" s="0" t="s">
        <v>10109</v>
      </c>
      <c r="M261" s="0" t="s">
        <v>5291</v>
      </c>
      <c r="N261" s="0" t="s">
        <v>598</v>
      </c>
      <c r="O261" s="0" t="s">
        <v>10071</v>
      </c>
      <c r="P261" s="0" t="s">
        <v>10110</v>
      </c>
      <c r="Q261" s="0" t="s">
        <v>5135</v>
      </c>
      <c r="R261" s="5" t="s">
        <v>162</v>
      </c>
      <c r="S261" s="0" t="s">
        <v>163</v>
      </c>
      <c r="T261" s="5" t="s">
        <v>162</v>
      </c>
      <c r="U261" s="5" t="s">
        <v>561</v>
      </c>
      <c r="V261" s="0" t="s">
        <v>10110</v>
      </c>
      <c r="W261" s="0" t="s">
        <v>174</v>
      </c>
      <c r="X261" s="0" t="s">
        <v>4585</v>
      </c>
      <c r="Y261" s="0" t="str">
        <f aca="false">IF(EB261&lt;&gt;"Y","",COUNTIFS($EB$2:$EB$1000,"Y",$J$2:$J$1000,"&gt;"&amp;J261)+COUNTIFS($EB$2:$EB$1000,"Y",$J$2:$J$1000,J261,$ED$2:$ED$1000,"&lt;"&amp;ED261)+1)</f>
        <v/>
      </c>
      <c r="AA261" s="0" t="s">
        <v>162</v>
      </c>
      <c r="AD261" s="0" t="s">
        <v>158</v>
      </c>
      <c r="AH261" s="0" t="s">
        <v>10111</v>
      </c>
      <c r="AI261" s="0" t="s">
        <v>5079</v>
      </c>
      <c r="AJ261" s="0" t="s">
        <v>10112</v>
      </c>
      <c r="AK261" s="0" t="s">
        <v>10113</v>
      </c>
      <c r="AL261" s="0" t="s">
        <v>162</v>
      </c>
      <c r="AN261" s="0" t="s">
        <v>10107</v>
      </c>
      <c r="AO261" s="5" t="s">
        <v>162</v>
      </c>
      <c r="AR261" s="0" t="str">
        <f aca="false">IF(AND(AU261="pass",AO261&lt;&gt;"Y",C261&lt;&gt;""),"Y","N")</f>
        <v>N</v>
      </c>
      <c r="AS261" s="0" t="str">
        <f aca="false">_xlfn.TEXTJOIN("; ",TRUE(),IF(AU261&lt;&gt;"pass","gated out",""),IF(AO261="Y","on hold: "&amp;AP261,""),IF(C261="","no contact named on an opened page",""))</f>
        <v>gated out; no contact named on an opened page</v>
      </c>
      <c r="AU261" s="0" t="s">
        <v>3703</v>
      </c>
      <c r="AV261" s="0" t="s">
        <v>9883</v>
      </c>
      <c r="AW261" s="0" t="s">
        <v>10114</v>
      </c>
      <c r="AY261" s="0" t="s">
        <v>10113</v>
      </c>
      <c r="AZ261" s="0" t="s">
        <v>4595</v>
      </c>
      <c r="BA261" s="0" t="s">
        <v>4951</v>
      </c>
      <c r="BB261" s="0" t="s">
        <v>163</v>
      </c>
      <c r="BD261" s="0" t="s">
        <v>162</v>
      </c>
      <c r="BE261" s="0" t="s">
        <v>10115</v>
      </c>
      <c r="BF261" s="0" t="s">
        <v>168</v>
      </c>
      <c r="BG261" s="0" t="s">
        <v>168</v>
      </c>
      <c r="BH261" s="0" t="s">
        <v>163</v>
      </c>
      <c r="BJ261" s="0" t="s">
        <v>5143</v>
      </c>
      <c r="BK261" s="0" t="s">
        <v>162</v>
      </c>
      <c r="BL261" s="0" t="s">
        <v>168</v>
      </c>
      <c r="BM261" s="0" t="s">
        <v>10116</v>
      </c>
      <c r="BO261" s="0" t="s">
        <v>162</v>
      </c>
      <c r="BP261" s="0" t="n">
        <v>0</v>
      </c>
      <c r="BS261" s="0" t="s">
        <v>10117</v>
      </c>
      <c r="BU261" s="0" t="s">
        <v>4604</v>
      </c>
      <c r="BV261" s="0" t="n">
        <v>118</v>
      </c>
      <c r="CF261" s="0" t="s">
        <v>158</v>
      </c>
      <c r="CK261" s="0" t="s">
        <v>158</v>
      </c>
      <c r="CL261" s="0" t="n">
        <v>45</v>
      </c>
      <c r="CM261" s="0" t="n">
        <v>6</v>
      </c>
      <c r="CN261" s="0" t="n">
        <v>13</v>
      </c>
      <c r="CO261" s="0" t="n">
        <v>15</v>
      </c>
      <c r="CP261" s="0" t="n">
        <v>5</v>
      </c>
      <c r="CQ261" s="0" t="n">
        <v>6</v>
      </c>
      <c r="CR261" s="0" t="n">
        <v>0</v>
      </c>
      <c r="CS261" s="0" t="n">
        <f aca="false">IF(R261="Y",10,0)</f>
        <v>0</v>
      </c>
      <c r="CT261" s="0" t="n">
        <v>0</v>
      </c>
      <c r="CU261" s="0" t="s">
        <v>10118</v>
      </c>
      <c r="CV261" s="0" t="s">
        <v>5150</v>
      </c>
      <c r="CW261" s="0" t="s">
        <v>10119</v>
      </c>
      <c r="CX261" s="0" t="s">
        <v>10120</v>
      </c>
      <c r="DA261" s="0" t="s">
        <v>6234</v>
      </c>
      <c r="DY261" s="0" t="str">
        <f aca="false">IF(ISNUMBER(MATCH(U261,{"queued","contacted","replied","call_booked","call_done","yes_in_principle","materials_sent"},0)),"Y","N")</f>
        <v>N</v>
      </c>
      <c r="DZ261" s="0" t="str">
        <f aca="false">IF(COUNTIFS($AN$2:$AN$1000,AN261,$DY$2:$DY$1000,"Y")+COUNTIFS($AN$2:$AN$1000,AN261,$T$2:$T$1000,"Y")&gt;0,"Y","N")</f>
        <v>N</v>
      </c>
      <c r="EA261" s="0" t="str">
        <f aca="false">IF(AND(U261="new",T261="N",AR261="Y",AQ261="",DZ261="N"),"Y","N")</f>
        <v>N</v>
      </c>
      <c r="EB261" s="0" t="str">
        <f aca="false">IF(EA261&lt;&gt;"Y","N",IF(COUNTIFS($AN$2:$AN$1000,AN261,$EA$2:$EA$1000,"Y",$J$2:$J$1000,"&gt;"&amp;J261)+COUNTIFS($AN$2:$AN$1000,AN261,$EA$2:$EA$1000,"Y",$J$2:$J$1000,J261,$ED$2:$ED$1000,"&lt;"&amp;ED261)=0,"Y","N"))</f>
        <v>N</v>
      </c>
      <c r="EC261" s="0" t="str">
        <f aca="false">IF(Y261="","N",IF(Y261&lt;=10,"Y","N"))</f>
        <v>N</v>
      </c>
      <c r="ED261" s="0" t="n">
        <f aca="false">ROW()-1</f>
        <v>260</v>
      </c>
    </row>
    <row r="262" customFormat="false" ht="15" hidden="false" customHeight="false" outlineLevel="0" collapsed="false">
      <c r="A262" s="0" t="s">
        <v>10121</v>
      </c>
      <c r="B262" s="0" t="s">
        <v>10122</v>
      </c>
      <c r="H262" s="5" t="s">
        <v>158</v>
      </c>
      <c r="I262" s="5"/>
      <c r="J262" s="0" t="n">
        <f aca="false">IF(AU262="pass",CM262+CN262+CO262+CP262+CQ262+CR262+CS262+CT262,0)</f>
        <v>0</v>
      </c>
      <c r="K262" s="0" t="s">
        <v>10096</v>
      </c>
      <c r="M262" s="0" t="s">
        <v>5291</v>
      </c>
      <c r="N262" s="0" t="s">
        <v>598</v>
      </c>
      <c r="O262" s="0" t="s">
        <v>10123</v>
      </c>
      <c r="P262" s="0" t="s">
        <v>10124</v>
      </c>
      <c r="Q262" s="0" t="s">
        <v>5135</v>
      </c>
      <c r="R262" s="5" t="s">
        <v>162</v>
      </c>
      <c r="S262" s="0" t="s">
        <v>163</v>
      </c>
      <c r="T262" s="5" t="s">
        <v>162</v>
      </c>
      <c r="U262" s="5" t="s">
        <v>561</v>
      </c>
      <c r="V262" s="0" t="s">
        <v>10124</v>
      </c>
      <c r="W262" s="0" t="s">
        <v>174</v>
      </c>
      <c r="X262" s="0" t="s">
        <v>4585</v>
      </c>
      <c r="Y262" s="0" t="str">
        <f aca="false">IF(EB262&lt;&gt;"Y","",COUNTIFS($EB$2:$EB$1000,"Y",$J$2:$J$1000,"&gt;"&amp;J262)+COUNTIFS($EB$2:$EB$1000,"Y",$J$2:$J$1000,J262,$ED$2:$ED$1000,"&lt;"&amp;ED262)+1)</f>
        <v/>
      </c>
      <c r="AA262" s="0" t="s">
        <v>162</v>
      </c>
      <c r="AD262" s="0" t="s">
        <v>158</v>
      </c>
      <c r="AH262" s="0" t="s">
        <v>10125</v>
      </c>
      <c r="AI262" s="0" t="s">
        <v>5028</v>
      </c>
      <c r="AJ262" s="0" t="s">
        <v>10126</v>
      </c>
      <c r="AL262" s="0" t="s">
        <v>168</v>
      </c>
      <c r="AM262" s="0" t="s">
        <v>10127</v>
      </c>
      <c r="AN262" s="0" t="s">
        <v>10121</v>
      </c>
      <c r="AO262" s="5" t="s">
        <v>162</v>
      </c>
      <c r="AR262" s="0" t="str">
        <f aca="false">IF(AND(AU262="pass",AO262&lt;&gt;"Y",C262&lt;&gt;""),"Y","N")</f>
        <v>N</v>
      </c>
      <c r="AS262" s="0" t="str">
        <f aca="false">_xlfn.TEXTJOIN("; ",TRUE(),IF(AU262&lt;&gt;"pass","gated out",""),IF(AO262="Y","on hold: "&amp;AP262,""),IF(C262="","no contact named on an opened page",""))</f>
        <v>gated out; no contact named on an opened page</v>
      </c>
      <c r="AU262" s="0" t="s">
        <v>3703</v>
      </c>
      <c r="AV262" s="0" t="s">
        <v>10056</v>
      </c>
      <c r="AW262" s="0" t="s">
        <v>10101</v>
      </c>
      <c r="AX262" s="0" t="s">
        <v>282</v>
      </c>
      <c r="AY262" s="0" t="s">
        <v>10128</v>
      </c>
      <c r="AZ262" s="0" t="s">
        <v>4595</v>
      </c>
      <c r="BA262" s="0" t="s">
        <v>4596</v>
      </c>
      <c r="BB262" s="0" t="s">
        <v>163</v>
      </c>
      <c r="BD262" s="0" t="s">
        <v>168</v>
      </c>
      <c r="BE262" s="0" t="s">
        <v>10129</v>
      </c>
      <c r="BF262" s="0" t="s">
        <v>163</v>
      </c>
      <c r="BG262" s="0" t="s">
        <v>162</v>
      </c>
      <c r="BH262" s="0" t="s">
        <v>163</v>
      </c>
      <c r="BJ262" s="0" t="s">
        <v>5143</v>
      </c>
      <c r="BK262" s="0" t="s">
        <v>162</v>
      </c>
      <c r="BL262" s="0" t="s">
        <v>162</v>
      </c>
      <c r="BO262" s="0" t="s">
        <v>162</v>
      </c>
      <c r="BP262" s="0" t="n">
        <v>0</v>
      </c>
      <c r="BS262" s="0" t="s">
        <v>10130</v>
      </c>
      <c r="BU262" s="0" t="s">
        <v>4604</v>
      </c>
      <c r="BV262" s="0" t="n">
        <v>118</v>
      </c>
      <c r="CF262" s="0" t="s">
        <v>158</v>
      </c>
      <c r="CK262" s="0" t="s">
        <v>158</v>
      </c>
      <c r="CL262" s="0" t="n">
        <v>43</v>
      </c>
      <c r="CM262" s="0" t="n">
        <v>0</v>
      </c>
      <c r="CN262" s="0" t="n">
        <v>20</v>
      </c>
      <c r="CO262" s="0" t="n">
        <v>15</v>
      </c>
      <c r="CP262" s="0" t="n">
        <v>5</v>
      </c>
      <c r="CQ262" s="0" t="n">
        <v>5</v>
      </c>
      <c r="CR262" s="0" t="n">
        <v>0</v>
      </c>
      <c r="CS262" s="0" t="n">
        <f aca="false">IF(R262="Y",10,0)</f>
        <v>0</v>
      </c>
      <c r="CT262" s="0" t="n">
        <v>-2</v>
      </c>
      <c r="CV262" s="0" t="s">
        <v>5150</v>
      </c>
      <c r="CW262" s="0" t="s">
        <v>10131</v>
      </c>
      <c r="CX262" s="0" t="s">
        <v>10132</v>
      </c>
      <c r="DA262" s="0" t="s">
        <v>6234</v>
      </c>
      <c r="DY262" s="0" t="str">
        <f aca="false">IF(ISNUMBER(MATCH(U262,{"queued","contacted","replied","call_booked","call_done","yes_in_principle","materials_sent"},0)),"Y","N")</f>
        <v>N</v>
      </c>
      <c r="DZ262" s="0" t="str">
        <f aca="false">IF(COUNTIFS($AN$2:$AN$1000,AN262,$DY$2:$DY$1000,"Y")+COUNTIFS($AN$2:$AN$1000,AN262,$T$2:$T$1000,"Y")&gt;0,"Y","N")</f>
        <v>N</v>
      </c>
      <c r="EA262" s="0" t="str">
        <f aca="false">IF(AND(U262="new",T262="N",AR262="Y",AQ262="",DZ262="N"),"Y","N")</f>
        <v>N</v>
      </c>
      <c r="EB262" s="0" t="str">
        <f aca="false">IF(EA262&lt;&gt;"Y","N",IF(COUNTIFS($AN$2:$AN$1000,AN262,$EA$2:$EA$1000,"Y",$J$2:$J$1000,"&gt;"&amp;J262)+COUNTIFS($AN$2:$AN$1000,AN262,$EA$2:$EA$1000,"Y",$J$2:$J$1000,J262,$ED$2:$ED$1000,"&lt;"&amp;ED262)=0,"Y","N"))</f>
        <v>N</v>
      </c>
      <c r="EC262" s="0" t="str">
        <f aca="false">IF(Y262="","N",IF(Y262&lt;=10,"Y","N"))</f>
        <v>N</v>
      </c>
      <c r="ED262" s="0" t="n">
        <f aca="false">ROW()-1</f>
        <v>261</v>
      </c>
    </row>
    <row r="263" customFormat="false" ht="15" hidden="false" customHeight="false" outlineLevel="0" collapsed="false">
      <c r="A263" s="0" t="s">
        <v>10133</v>
      </c>
      <c r="B263" s="0" t="s">
        <v>10134</v>
      </c>
      <c r="C263" s="0" t="s">
        <v>10135</v>
      </c>
      <c r="D263" s="0" t="s">
        <v>10136</v>
      </c>
      <c r="E263" s="0" t="s">
        <v>4910</v>
      </c>
      <c r="H263" s="5" t="s">
        <v>158</v>
      </c>
      <c r="I263" s="5" t="s">
        <v>159</v>
      </c>
      <c r="J263" s="0" t="n">
        <f aca="false">IF(AU263="pass",CM263+CN263+CO263+CP263+CQ263+CR263+CS263+CT263,0)</f>
        <v>0</v>
      </c>
      <c r="K263" s="0" t="s">
        <v>10137</v>
      </c>
      <c r="M263" s="0" t="s">
        <v>5291</v>
      </c>
      <c r="N263" s="0" t="s">
        <v>598</v>
      </c>
      <c r="O263" s="0" t="s">
        <v>10138</v>
      </c>
      <c r="P263" s="0" t="s">
        <v>10139</v>
      </c>
      <c r="Q263" s="0" t="s">
        <v>3387</v>
      </c>
      <c r="R263" s="5" t="s">
        <v>162</v>
      </c>
      <c r="S263" s="0" t="s">
        <v>168</v>
      </c>
      <c r="T263" s="5" t="s">
        <v>162</v>
      </c>
      <c r="U263" s="5" t="s">
        <v>561</v>
      </c>
      <c r="V263" s="0" t="s">
        <v>10139</v>
      </c>
      <c r="W263" s="0" t="s">
        <v>166</v>
      </c>
      <c r="X263" s="0" t="s">
        <v>4585</v>
      </c>
      <c r="Y263" s="0" t="str">
        <f aca="false">IF(EB263&lt;&gt;"Y","",COUNTIFS($EB$2:$EB$1000,"Y",$J$2:$J$1000,"&gt;"&amp;J263)+COUNTIFS($EB$2:$EB$1000,"Y",$J$2:$J$1000,J263,$ED$2:$ED$1000,"&lt;"&amp;ED263)+1)</f>
        <v/>
      </c>
      <c r="AA263" s="0" t="s">
        <v>162</v>
      </c>
      <c r="AC263" s="0" t="s">
        <v>4587</v>
      </c>
      <c r="AD263" s="0" t="s">
        <v>171</v>
      </c>
      <c r="AE263" s="0" t="s">
        <v>1189</v>
      </c>
      <c r="AF263" s="0" t="s">
        <v>10139</v>
      </c>
      <c r="AG263" s="0" t="s">
        <v>166</v>
      </c>
      <c r="AH263" s="0" t="s">
        <v>10140</v>
      </c>
      <c r="AI263" s="0" t="s">
        <v>5924</v>
      </c>
      <c r="AJ263" s="0" t="s">
        <v>10013</v>
      </c>
      <c r="AL263" s="0" t="s">
        <v>168</v>
      </c>
      <c r="AM263" s="0" t="s">
        <v>4690</v>
      </c>
      <c r="AN263" s="0" t="s">
        <v>10133</v>
      </c>
      <c r="AO263" s="5" t="s">
        <v>162</v>
      </c>
      <c r="AR263" s="0" t="str">
        <f aca="false">IF(AND(AU263="pass",AO263&lt;&gt;"Y",C263&lt;&gt;""),"Y","N")</f>
        <v>N</v>
      </c>
      <c r="AS263" s="0" t="str">
        <f aca="false">_xlfn.TEXTJOIN("; ",TRUE(),IF(AU263&lt;&gt;"pass","gated out",""),IF(AO263="Y","on hold: "&amp;AP263,""),IF(C263="","no contact named on an opened page",""))</f>
        <v>gated out</v>
      </c>
      <c r="AU263" s="0" t="s">
        <v>3703</v>
      </c>
      <c r="AV263" s="0" t="s">
        <v>10141</v>
      </c>
      <c r="AW263" s="0" t="s">
        <v>10142</v>
      </c>
      <c r="AY263" s="0" t="s">
        <v>10143</v>
      </c>
      <c r="AZ263" s="0" t="s">
        <v>4595</v>
      </c>
      <c r="BA263" s="0" t="s">
        <v>4596</v>
      </c>
      <c r="BB263" s="0" t="s">
        <v>163</v>
      </c>
      <c r="BD263" s="0" t="s">
        <v>163</v>
      </c>
      <c r="BF263" s="0" t="s">
        <v>163</v>
      </c>
      <c r="BG263" s="0" t="s">
        <v>163</v>
      </c>
      <c r="BH263" s="0" t="s">
        <v>163</v>
      </c>
      <c r="BJ263" s="0" t="s">
        <v>163</v>
      </c>
      <c r="BK263" s="0" t="s">
        <v>168</v>
      </c>
      <c r="BL263" s="0" t="s">
        <v>168</v>
      </c>
      <c r="BM263" s="0" t="s">
        <v>10144</v>
      </c>
      <c r="BO263" s="0" t="s">
        <v>162</v>
      </c>
      <c r="BP263" s="0" t="n">
        <v>0</v>
      </c>
      <c r="BU263" s="0" t="s">
        <v>4604</v>
      </c>
      <c r="BV263" s="0" t="n">
        <v>137</v>
      </c>
      <c r="BW263" s="0" t="s">
        <v>10139</v>
      </c>
      <c r="BX263" s="0" t="s">
        <v>10145</v>
      </c>
      <c r="CF263" s="0" t="s">
        <v>158</v>
      </c>
      <c r="CK263" s="0" t="s">
        <v>158</v>
      </c>
      <c r="CL263" s="0" t="n">
        <v>49</v>
      </c>
      <c r="CM263" s="0" t="n">
        <v>0</v>
      </c>
      <c r="CN263" s="0" t="n">
        <v>20</v>
      </c>
      <c r="CO263" s="0" t="n">
        <v>15</v>
      </c>
      <c r="CP263" s="0" t="n">
        <v>5</v>
      </c>
      <c r="CQ263" s="0" t="n">
        <v>3</v>
      </c>
      <c r="CR263" s="0" t="n">
        <v>6</v>
      </c>
      <c r="CS263" s="0" t="n">
        <f aca="false">IF(R263="Y",10,0)</f>
        <v>0</v>
      </c>
      <c r="CT263" s="0" t="n">
        <v>0</v>
      </c>
      <c r="CV263" s="0" t="s">
        <v>4615</v>
      </c>
      <c r="CW263" s="0" t="s">
        <v>10146</v>
      </c>
      <c r="CX263" s="0" t="s">
        <v>10021</v>
      </c>
      <c r="DA263" s="0" t="s">
        <v>6234</v>
      </c>
      <c r="DY263" s="0" t="str">
        <f aca="false">IF(ISNUMBER(MATCH(U263,{"queued","contacted","replied","call_booked","call_done","yes_in_principle","materials_sent"},0)),"Y","N")</f>
        <v>N</v>
      </c>
      <c r="DZ263" s="0" t="str">
        <f aca="false">IF(COUNTIFS($AN$2:$AN$1000,AN263,$DY$2:$DY$1000,"Y")+COUNTIFS($AN$2:$AN$1000,AN263,$T$2:$T$1000,"Y")&gt;0,"Y","N")</f>
        <v>N</v>
      </c>
      <c r="EA263" s="0" t="str">
        <f aca="false">IF(AND(U263="new",T263="N",AR263="Y",AQ263="",DZ263="N"),"Y","N")</f>
        <v>N</v>
      </c>
      <c r="EB263" s="0" t="str">
        <f aca="false">IF(EA263&lt;&gt;"Y","N",IF(COUNTIFS($AN$2:$AN$1000,AN263,$EA$2:$EA$1000,"Y",$J$2:$J$1000,"&gt;"&amp;J263)+COUNTIFS($AN$2:$AN$1000,AN263,$EA$2:$EA$1000,"Y",$J$2:$J$1000,J263,$ED$2:$ED$1000,"&lt;"&amp;ED263)=0,"Y","N"))</f>
        <v>N</v>
      </c>
      <c r="EC263" s="0" t="str">
        <f aca="false">IF(Y263="","N",IF(Y263&lt;=10,"Y","N"))</f>
        <v>N</v>
      </c>
      <c r="ED263" s="0" t="n">
        <f aca="false">ROW()-1</f>
        <v>262</v>
      </c>
    </row>
    <row r="264" customFormat="false" ht="15" hidden="false" customHeight="false" outlineLevel="0" collapsed="false">
      <c r="A264" s="0" t="s">
        <v>10147</v>
      </c>
      <c r="B264" s="0" t="s">
        <v>10148</v>
      </c>
      <c r="C264" s="0" t="s">
        <v>10149</v>
      </c>
      <c r="D264" s="0" t="s">
        <v>10150</v>
      </c>
      <c r="E264" s="0" t="s">
        <v>4771</v>
      </c>
      <c r="H264" s="5" t="s">
        <v>158</v>
      </c>
      <c r="I264" s="5" t="s">
        <v>159</v>
      </c>
      <c r="J264" s="0" t="n">
        <f aca="false">IF(AU264="pass",CM264+CN264+CO264+CP264+CQ264+CR264+CS264+CT264,0)</f>
        <v>0</v>
      </c>
      <c r="K264" s="0" t="s">
        <v>10052</v>
      </c>
      <c r="M264" s="0" t="s">
        <v>5291</v>
      </c>
      <c r="N264" s="0" t="s">
        <v>598</v>
      </c>
      <c r="O264" s="0" t="s">
        <v>10151</v>
      </c>
      <c r="P264" s="0" t="s">
        <v>10152</v>
      </c>
      <c r="Q264" s="0" t="s">
        <v>2613</v>
      </c>
      <c r="R264" s="5" t="s">
        <v>162</v>
      </c>
      <c r="S264" s="0" t="s">
        <v>163</v>
      </c>
      <c r="T264" s="5" t="s">
        <v>162</v>
      </c>
      <c r="U264" s="5" t="s">
        <v>561</v>
      </c>
      <c r="V264" s="0" t="s">
        <v>10152</v>
      </c>
      <c r="W264" s="0" t="s">
        <v>166</v>
      </c>
      <c r="X264" s="0" t="s">
        <v>4585</v>
      </c>
      <c r="Y264" s="0" t="str">
        <f aca="false">IF(EB264&lt;&gt;"Y","",COUNTIFS($EB$2:$EB$1000,"Y",$J$2:$J$1000,"&gt;"&amp;J264)+COUNTIFS($EB$2:$EB$1000,"Y",$J$2:$J$1000,J264,$ED$2:$ED$1000,"&lt;"&amp;ED264)+1)</f>
        <v/>
      </c>
      <c r="AA264" s="0" t="s">
        <v>162</v>
      </c>
      <c r="AC264" s="0" t="s">
        <v>4587</v>
      </c>
      <c r="AD264" s="0" t="s">
        <v>171</v>
      </c>
      <c r="AE264" s="0" t="s">
        <v>1189</v>
      </c>
      <c r="AF264" s="0" t="s">
        <v>10153</v>
      </c>
      <c r="AG264" s="0" t="s">
        <v>166</v>
      </c>
      <c r="AH264" s="0" t="s">
        <v>10154</v>
      </c>
      <c r="AI264" s="0" t="s">
        <v>5461</v>
      </c>
      <c r="AJ264" s="0" t="s">
        <v>10155</v>
      </c>
      <c r="AL264" s="0" t="s">
        <v>168</v>
      </c>
      <c r="AM264" s="0" t="s">
        <v>10156</v>
      </c>
      <c r="AN264" s="0" t="s">
        <v>10147</v>
      </c>
      <c r="AO264" s="5" t="s">
        <v>162</v>
      </c>
      <c r="AR264" s="0" t="str">
        <f aca="false">IF(AND(AU264="pass",AO264&lt;&gt;"Y",C264&lt;&gt;""),"Y","N")</f>
        <v>N</v>
      </c>
      <c r="AS264" s="0" t="str">
        <f aca="false">_xlfn.TEXTJOIN("; ",TRUE(),IF(AU264&lt;&gt;"pass","gated out",""),IF(AO264="Y","on hold: "&amp;AP264,""),IF(C264="","no contact named on an opened page",""))</f>
        <v>gated out</v>
      </c>
      <c r="AU264" s="0" t="s">
        <v>3703</v>
      </c>
      <c r="AV264" s="0" t="s">
        <v>10056</v>
      </c>
      <c r="AW264" s="0" t="s">
        <v>10057</v>
      </c>
      <c r="AX264" s="0" t="s">
        <v>4594</v>
      </c>
      <c r="AY264" s="0" t="s">
        <v>10157</v>
      </c>
      <c r="AZ264" s="0" t="s">
        <v>5712</v>
      </c>
      <c r="BA264" s="0" t="s">
        <v>5329</v>
      </c>
      <c r="BB264" s="0" t="s">
        <v>163</v>
      </c>
      <c r="BD264" s="0" t="s">
        <v>168</v>
      </c>
      <c r="BE264" s="0" t="s">
        <v>10158</v>
      </c>
      <c r="BF264" s="0" t="s">
        <v>168</v>
      </c>
      <c r="BG264" s="0" t="s">
        <v>163</v>
      </c>
      <c r="BH264" s="0" t="s">
        <v>163</v>
      </c>
      <c r="BJ264" s="0" t="s">
        <v>163</v>
      </c>
      <c r="BK264" s="0" t="s">
        <v>162</v>
      </c>
      <c r="BL264" s="0" t="s">
        <v>162</v>
      </c>
      <c r="BO264" s="0" t="s">
        <v>162</v>
      </c>
      <c r="BP264" s="0" t="n">
        <v>0</v>
      </c>
      <c r="BS264" s="0" t="s">
        <v>163</v>
      </c>
      <c r="BT264" s="0" t="s">
        <v>10159</v>
      </c>
      <c r="BU264" s="0" t="s">
        <v>4604</v>
      </c>
      <c r="BV264" s="0" t="n">
        <v>5</v>
      </c>
      <c r="BX264" s="0" t="s">
        <v>10160</v>
      </c>
      <c r="BY264" s="0" t="s">
        <v>10161</v>
      </c>
      <c r="CF264" s="0" t="s">
        <v>158</v>
      </c>
      <c r="CK264" s="0" t="s">
        <v>158</v>
      </c>
      <c r="CL264" s="0" t="n">
        <v>33</v>
      </c>
      <c r="CM264" s="0" t="n">
        <v>0</v>
      </c>
      <c r="CN264" s="0" t="n">
        <v>3</v>
      </c>
      <c r="CO264" s="0" t="n">
        <v>15</v>
      </c>
      <c r="CP264" s="0" t="n">
        <v>5</v>
      </c>
      <c r="CQ264" s="0" t="n">
        <v>8</v>
      </c>
      <c r="CR264" s="0" t="n">
        <v>6</v>
      </c>
      <c r="CS264" s="0" t="n">
        <f aca="false">IF(R264="Y",10,0)</f>
        <v>0</v>
      </c>
      <c r="CT264" s="0" t="n">
        <v>-4</v>
      </c>
      <c r="CU264" s="0" t="s">
        <v>163</v>
      </c>
      <c r="CV264" s="0" t="s">
        <v>4841</v>
      </c>
      <c r="CW264" s="0" t="s">
        <v>10162</v>
      </c>
      <c r="CX264" s="0" t="s">
        <v>10163</v>
      </c>
      <c r="CY264" s="0" t="s">
        <v>10164</v>
      </c>
      <c r="DA264" s="0" t="s">
        <v>6234</v>
      </c>
      <c r="DY264" s="0" t="str">
        <f aca="false">IF(ISNUMBER(MATCH(U264,{"queued","contacted","replied","call_booked","call_done","yes_in_principle","materials_sent"},0)),"Y","N")</f>
        <v>N</v>
      </c>
      <c r="DZ264" s="0" t="str">
        <f aca="false">IF(COUNTIFS($AN$2:$AN$1000,AN264,$DY$2:$DY$1000,"Y")+COUNTIFS($AN$2:$AN$1000,AN264,$T$2:$T$1000,"Y")&gt;0,"Y","N")</f>
        <v>N</v>
      </c>
      <c r="EA264" s="0" t="str">
        <f aca="false">IF(AND(U264="new",T264="N",AR264="Y",AQ264="",DZ264="N"),"Y","N")</f>
        <v>N</v>
      </c>
      <c r="EB264" s="0" t="str">
        <f aca="false">IF(EA264&lt;&gt;"Y","N",IF(COUNTIFS($AN$2:$AN$1000,AN264,$EA$2:$EA$1000,"Y",$J$2:$J$1000,"&gt;"&amp;J264)+COUNTIFS($AN$2:$AN$1000,AN264,$EA$2:$EA$1000,"Y",$J$2:$J$1000,J264,$ED$2:$ED$1000,"&lt;"&amp;ED264)=0,"Y","N"))</f>
        <v>N</v>
      </c>
      <c r="EC264" s="0" t="str">
        <f aca="false">IF(Y264="","N",IF(Y264&lt;=10,"Y","N"))</f>
        <v>N</v>
      </c>
      <c r="ED264" s="0" t="n">
        <f aca="false">ROW()-1</f>
        <v>263</v>
      </c>
    </row>
    <row r="265" customFormat="false" ht="15" hidden="false" customHeight="false" outlineLevel="0" collapsed="false">
      <c r="A265" s="0" t="s">
        <v>10165</v>
      </c>
      <c r="B265" s="0" t="s">
        <v>10166</v>
      </c>
      <c r="H265" s="5" t="s">
        <v>158</v>
      </c>
      <c r="I265" s="5"/>
      <c r="J265" s="0" t="n">
        <f aca="false">IF(AU265="pass",CM265+CN265+CO265+CP265+CQ265+CR265+CS265+CT265,0)</f>
        <v>0</v>
      </c>
      <c r="K265" s="0" t="s">
        <v>10096</v>
      </c>
      <c r="M265" s="0" t="s">
        <v>5291</v>
      </c>
      <c r="N265" s="0" t="s">
        <v>598</v>
      </c>
      <c r="O265" s="0" t="s">
        <v>10167</v>
      </c>
      <c r="P265" s="0" t="s">
        <v>10168</v>
      </c>
      <c r="Q265" s="0" t="s">
        <v>5135</v>
      </c>
      <c r="R265" s="5" t="s">
        <v>162</v>
      </c>
      <c r="S265" s="0" t="s">
        <v>163</v>
      </c>
      <c r="T265" s="5" t="s">
        <v>162</v>
      </c>
      <c r="U265" s="5" t="s">
        <v>561</v>
      </c>
      <c r="V265" s="0" t="s">
        <v>10168</v>
      </c>
      <c r="W265" s="0" t="s">
        <v>174</v>
      </c>
      <c r="X265" s="0" t="s">
        <v>4585</v>
      </c>
      <c r="Y265" s="0" t="str">
        <f aca="false">IF(EB265&lt;&gt;"Y","",COUNTIFS($EB$2:$EB$1000,"Y",$J$2:$J$1000,"&gt;"&amp;J265)+COUNTIFS($EB$2:$EB$1000,"Y",$J$2:$J$1000,J265,$ED$2:$ED$1000,"&lt;"&amp;ED265)+1)</f>
        <v/>
      </c>
      <c r="AA265" s="0" t="s">
        <v>162</v>
      </c>
      <c r="AD265" s="0" t="s">
        <v>158</v>
      </c>
      <c r="AH265" s="0" t="s">
        <v>10169</v>
      </c>
      <c r="AI265" s="0" t="s">
        <v>4590</v>
      </c>
      <c r="AJ265" s="0" t="s">
        <v>10170</v>
      </c>
      <c r="AL265" s="0" t="s">
        <v>168</v>
      </c>
      <c r="AM265" s="0" t="s">
        <v>10171</v>
      </c>
      <c r="AN265" s="0" t="s">
        <v>10165</v>
      </c>
      <c r="AO265" s="5" t="s">
        <v>162</v>
      </c>
      <c r="AR265" s="0" t="str">
        <f aca="false">IF(AND(AU265="pass",AO265&lt;&gt;"Y",C265&lt;&gt;""),"Y","N")</f>
        <v>N</v>
      </c>
      <c r="AS265" s="0" t="str">
        <f aca="false">_xlfn.TEXTJOIN("; ",TRUE(),IF(AU265&lt;&gt;"pass","gated out",""),IF(AO265="Y","on hold: "&amp;AP265,""),IF(C265="","no contact named on an opened page",""))</f>
        <v>gated out; no contact named on an opened page</v>
      </c>
      <c r="AU265" s="0" t="s">
        <v>3703</v>
      </c>
      <c r="AV265" s="0" t="s">
        <v>10056</v>
      </c>
      <c r="AW265" s="0" t="s">
        <v>10101</v>
      </c>
      <c r="AX265" s="0" t="s">
        <v>282</v>
      </c>
      <c r="AY265" s="0" t="s">
        <v>10172</v>
      </c>
      <c r="AZ265" s="0" t="s">
        <v>4595</v>
      </c>
      <c r="BA265" s="0" t="s">
        <v>4951</v>
      </c>
      <c r="BB265" s="0" t="s">
        <v>163</v>
      </c>
      <c r="BD265" s="0" t="s">
        <v>163</v>
      </c>
      <c r="BE265" s="0" t="s">
        <v>10173</v>
      </c>
      <c r="BF265" s="0" t="s">
        <v>163</v>
      </c>
      <c r="BG265" s="0" t="s">
        <v>162</v>
      </c>
      <c r="BH265" s="0" t="s">
        <v>163</v>
      </c>
      <c r="BJ265" s="0" t="s">
        <v>5143</v>
      </c>
      <c r="BK265" s="0" t="s">
        <v>162</v>
      </c>
      <c r="BL265" s="0" t="s">
        <v>162</v>
      </c>
      <c r="BO265" s="0" t="s">
        <v>162</v>
      </c>
      <c r="BP265" s="0" t="n">
        <v>0</v>
      </c>
      <c r="BS265" s="0" t="s">
        <v>10174</v>
      </c>
      <c r="BU265" s="0" t="s">
        <v>4604</v>
      </c>
      <c r="BV265" s="0" t="n">
        <v>118</v>
      </c>
      <c r="CF265" s="0" t="s">
        <v>158</v>
      </c>
      <c r="CK265" s="0" t="s">
        <v>158</v>
      </c>
      <c r="CL265" s="0" t="n">
        <v>33</v>
      </c>
      <c r="CM265" s="0" t="n">
        <v>0</v>
      </c>
      <c r="CN265" s="0" t="n">
        <v>13</v>
      </c>
      <c r="CO265" s="0" t="n">
        <v>15</v>
      </c>
      <c r="CP265" s="0" t="n">
        <v>5</v>
      </c>
      <c r="CQ265" s="0" t="n">
        <v>2</v>
      </c>
      <c r="CR265" s="0" t="n">
        <v>0</v>
      </c>
      <c r="CS265" s="0" t="n">
        <f aca="false">IF(R265="Y",10,0)</f>
        <v>0</v>
      </c>
      <c r="CT265" s="0" t="n">
        <v>-2</v>
      </c>
      <c r="CU265" s="0" t="s">
        <v>10175</v>
      </c>
      <c r="CV265" s="0" t="s">
        <v>5150</v>
      </c>
      <c r="CW265" s="0" t="s">
        <v>10176</v>
      </c>
      <c r="CX265" s="0" t="s">
        <v>10177</v>
      </c>
      <c r="DA265" s="0" t="s">
        <v>6234</v>
      </c>
      <c r="DY265" s="0" t="str">
        <f aca="false">IF(ISNUMBER(MATCH(U265,{"queued","contacted","replied","call_booked","call_done","yes_in_principle","materials_sent"},0)),"Y","N")</f>
        <v>N</v>
      </c>
      <c r="DZ265" s="0" t="str">
        <f aca="false">IF(COUNTIFS($AN$2:$AN$1000,AN265,$DY$2:$DY$1000,"Y")+COUNTIFS($AN$2:$AN$1000,AN265,$T$2:$T$1000,"Y")&gt;0,"Y","N")</f>
        <v>N</v>
      </c>
      <c r="EA265" s="0" t="str">
        <f aca="false">IF(AND(U265="new",T265="N",AR265="Y",AQ265="",DZ265="N"),"Y","N")</f>
        <v>N</v>
      </c>
      <c r="EB265" s="0" t="str">
        <f aca="false">IF(EA265&lt;&gt;"Y","N",IF(COUNTIFS($AN$2:$AN$1000,AN265,$EA$2:$EA$1000,"Y",$J$2:$J$1000,"&gt;"&amp;J265)+COUNTIFS($AN$2:$AN$1000,AN265,$EA$2:$EA$1000,"Y",$J$2:$J$1000,J265,$ED$2:$ED$1000,"&lt;"&amp;ED265)=0,"Y","N"))</f>
        <v>N</v>
      </c>
      <c r="EC265" s="0" t="str">
        <f aca="false">IF(Y265="","N",IF(Y265&lt;=10,"Y","N"))</f>
        <v>N</v>
      </c>
      <c r="ED265" s="0" t="n">
        <f aca="false">ROW()-1</f>
        <v>264</v>
      </c>
    </row>
    <row r="266" customFormat="false" ht="15" hidden="false" customHeight="false" outlineLevel="0" collapsed="false">
      <c r="A266" s="0" t="s">
        <v>10178</v>
      </c>
      <c r="B266" s="0" t="s">
        <v>10179</v>
      </c>
      <c r="C266" s="0" t="s">
        <v>10180</v>
      </c>
      <c r="D266" s="0" t="s">
        <v>10181</v>
      </c>
      <c r="E266" s="0" t="s">
        <v>4910</v>
      </c>
      <c r="H266" s="5" t="s">
        <v>158</v>
      </c>
      <c r="I266" s="5" t="s">
        <v>159</v>
      </c>
      <c r="J266" s="0" t="n">
        <f aca="false">IF(AU266="pass",CM266+CN266+CO266+CP266+CQ266+CR266+CS266+CT266,0)</f>
        <v>0</v>
      </c>
      <c r="K266" s="0" t="s">
        <v>10182</v>
      </c>
      <c r="M266" s="0" t="s">
        <v>5291</v>
      </c>
      <c r="N266" s="0" t="s">
        <v>598</v>
      </c>
      <c r="O266" s="0" t="s">
        <v>10183</v>
      </c>
      <c r="P266" s="0" t="s">
        <v>10184</v>
      </c>
      <c r="Q266" s="0" t="s">
        <v>7645</v>
      </c>
      <c r="R266" s="5" t="s">
        <v>162</v>
      </c>
      <c r="S266" s="0" t="s">
        <v>168</v>
      </c>
      <c r="T266" s="5" t="s">
        <v>162</v>
      </c>
      <c r="U266" s="5" t="s">
        <v>561</v>
      </c>
      <c r="V266" s="0" t="s">
        <v>10184</v>
      </c>
      <c r="W266" s="0" t="s">
        <v>166</v>
      </c>
      <c r="X266" s="0" t="s">
        <v>4585</v>
      </c>
      <c r="Y266" s="0" t="str">
        <f aca="false">IF(EB266&lt;&gt;"Y","",COUNTIFS($EB$2:$EB$1000,"Y",$J$2:$J$1000,"&gt;"&amp;J266)+COUNTIFS($EB$2:$EB$1000,"Y",$J$2:$J$1000,J266,$ED$2:$ED$1000,"&lt;"&amp;ED266)+1)</f>
        <v/>
      </c>
      <c r="AA266" s="0" t="s">
        <v>162</v>
      </c>
      <c r="AC266" s="0" t="s">
        <v>4587</v>
      </c>
      <c r="AD266" s="0" t="s">
        <v>171</v>
      </c>
      <c r="AE266" s="0" t="s">
        <v>1189</v>
      </c>
      <c r="AF266" s="0" t="s">
        <v>10184</v>
      </c>
      <c r="AG266" s="0" t="s">
        <v>166</v>
      </c>
      <c r="AH266" s="0" t="s">
        <v>10185</v>
      </c>
      <c r="AI266" s="0" t="s">
        <v>5924</v>
      </c>
      <c r="AJ266" s="0" t="s">
        <v>10013</v>
      </c>
      <c r="AL266" s="0" t="s">
        <v>168</v>
      </c>
      <c r="AM266" s="0" t="s">
        <v>4690</v>
      </c>
      <c r="AN266" s="0" t="s">
        <v>10178</v>
      </c>
      <c r="AO266" s="5" t="s">
        <v>162</v>
      </c>
      <c r="AR266" s="0" t="str">
        <f aca="false">IF(AND(AU266="pass",AO266&lt;&gt;"Y",C266&lt;&gt;""),"Y","N")</f>
        <v>N</v>
      </c>
      <c r="AS266" s="0" t="str">
        <f aca="false">_xlfn.TEXTJOIN("; ",TRUE(),IF(AU266&lt;&gt;"pass","gated out",""),IF(AO266="Y","on hold: "&amp;AP266,""),IF(C266="","no contact named on an opened page",""))</f>
        <v>gated out</v>
      </c>
      <c r="AU266" s="0" t="s">
        <v>3703</v>
      </c>
      <c r="AV266" s="0" t="s">
        <v>10088</v>
      </c>
      <c r="AW266" s="0" t="s">
        <v>10186</v>
      </c>
      <c r="AY266" s="0" t="s">
        <v>10187</v>
      </c>
      <c r="AZ266" s="0" t="s">
        <v>4595</v>
      </c>
      <c r="BA266" s="0" t="s">
        <v>4596</v>
      </c>
      <c r="BB266" s="0" t="s">
        <v>163</v>
      </c>
      <c r="BD266" s="0" t="s">
        <v>163</v>
      </c>
      <c r="BE266" s="0" t="s">
        <v>10188</v>
      </c>
      <c r="BF266" s="0" t="s">
        <v>162</v>
      </c>
      <c r="BG266" s="0" t="s">
        <v>163</v>
      </c>
      <c r="BH266" s="0" t="s">
        <v>163</v>
      </c>
      <c r="BJ266" s="0" t="s">
        <v>163</v>
      </c>
      <c r="BK266" s="0" t="s">
        <v>162</v>
      </c>
      <c r="BL266" s="0" t="s">
        <v>168</v>
      </c>
      <c r="BM266" s="0" t="s">
        <v>10189</v>
      </c>
      <c r="BO266" s="0" t="s">
        <v>162</v>
      </c>
      <c r="BP266" s="0" t="n">
        <v>0</v>
      </c>
      <c r="BS266" s="0" t="s">
        <v>10190</v>
      </c>
      <c r="BU266" s="0" t="s">
        <v>4604</v>
      </c>
      <c r="BV266" s="0" t="n">
        <v>87</v>
      </c>
      <c r="BW266" s="0" t="s">
        <v>10184</v>
      </c>
      <c r="BX266" s="0" t="s">
        <v>10191</v>
      </c>
      <c r="CF266" s="0" t="s">
        <v>158</v>
      </c>
      <c r="CK266" s="0" t="s">
        <v>158</v>
      </c>
      <c r="CL266" s="0" t="n">
        <v>48</v>
      </c>
      <c r="CM266" s="0" t="n">
        <v>0</v>
      </c>
      <c r="CN266" s="0" t="n">
        <v>20</v>
      </c>
      <c r="CO266" s="0" t="n">
        <v>15</v>
      </c>
      <c r="CP266" s="0" t="n">
        <v>5</v>
      </c>
      <c r="CQ266" s="0" t="n">
        <v>2</v>
      </c>
      <c r="CR266" s="0" t="n">
        <v>6</v>
      </c>
      <c r="CS266" s="0" t="n">
        <f aca="false">IF(R266="Y",10,0)</f>
        <v>0</v>
      </c>
      <c r="CT266" s="0" t="n">
        <v>0</v>
      </c>
      <c r="CV266" s="0" t="s">
        <v>4615</v>
      </c>
      <c r="CW266" s="0" t="s">
        <v>10192</v>
      </c>
      <c r="CX266" s="0" t="s">
        <v>10193</v>
      </c>
      <c r="DA266" s="0" t="s">
        <v>6234</v>
      </c>
      <c r="DY266" s="0" t="str">
        <f aca="false">IF(ISNUMBER(MATCH(U266,{"queued","contacted","replied","call_booked","call_done","yes_in_principle","materials_sent"},0)),"Y","N")</f>
        <v>N</v>
      </c>
      <c r="DZ266" s="0" t="str">
        <f aca="false">IF(COUNTIFS($AN$2:$AN$1000,AN266,$DY$2:$DY$1000,"Y")+COUNTIFS($AN$2:$AN$1000,AN266,$T$2:$T$1000,"Y")&gt;0,"Y","N")</f>
        <v>N</v>
      </c>
      <c r="EA266" s="0" t="str">
        <f aca="false">IF(AND(U266="new",T266="N",AR266="Y",AQ266="",DZ266="N"),"Y","N")</f>
        <v>N</v>
      </c>
      <c r="EB266" s="0" t="str">
        <f aca="false">IF(EA266&lt;&gt;"Y","N",IF(COUNTIFS($AN$2:$AN$1000,AN266,$EA$2:$EA$1000,"Y",$J$2:$J$1000,"&gt;"&amp;J266)+COUNTIFS($AN$2:$AN$1000,AN266,$EA$2:$EA$1000,"Y",$J$2:$J$1000,J266,$ED$2:$ED$1000,"&lt;"&amp;ED266)=0,"Y","N"))</f>
        <v>N</v>
      </c>
      <c r="EC266" s="0" t="str">
        <f aca="false">IF(Y266="","N",IF(Y266&lt;=10,"Y","N"))</f>
        <v>N</v>
      </c>
      <c r="ED266" s="0" t="n">
        <f aca="false">ROW()-1</f>
        <v>265</v>
      </c>
    </row>
    <row r="267" customFormat="false" ht="15" hidden="false" customHeight="false" outlineLevel="0" collapsed="false">
      <c r="A267" s="0" t="s">
        <v>10194</v>
      </c>
      <c r="B267" s="0" t="s">
        <v>10195</v>
      </c>
      <c r="C267" s="0" t="s">
        <v>10196</v>
      </c>
      <c r="D267" s="0" t="s">
        <v>9753</v>
      </c>
      <c r="E267" s="0" t="s">
        <v>5507</v>
      </c>
      <c r="H267" s="5" t="s">
        <v>158</v>
      </c>
      <c r="I267" s="5" t="s">
        <v>159</v>
      </c>
      <c r="J267" s="0" t="n">
        <f aca="false">IF(AU267="pass",CM267+CN267+CO267+CP267+CQ267+CR267+CS267+CT267,0)</f>
        <v>0</v>
      </c>
      <c r="K267" s="0" t="s">
        <v>10197</v>
      </c>
      <c r="M267" s="0" t="s">
        <v>5291</v>
      </c>
      <c r="N267" s="0" t="s">
        <v>598</v>
      </c>
      <c r="O267" s="0" t="s">
        <v>10198</v>
      </c>
      <c r="P267" s="0" t="s">
        <v>10199</v>
      </c>
      <c r="Q267" s="0" t="s">
        <v>5320</v>
      </c>
      <c r="R267" s="5" t="s">
        <v>162</v>
      </c>
      <c r="S267" s="0" t="s">
        <v>168</v>
      </c>
      <c r="T267" s="5" t="s">
        <v>162</v>
      </c>
      <c r="U267" s="5" t="s">
        <v>561</v>
      </c>
      <c r="V267" s="0" t="s">
        <v>10199</v>
      </c>
      <c r="W267" s="0" t="s">
        <v>166</v>
      </c>
      <c r="X267" s="0" t="s">
        <v>4585</v>
      </c>
      <c r="Y267" s="0" t="str">
        <f aca="false">IF(EB267&lt;&gt;"Y","",COUNTIFS($EB$2:$EB$1000,"Y",$J$2:$J$1000,"&gt;"&amp;J267)+COUNTIFS($EB$2:$EB$1000,"Y",$J$2:$J$1000,J267,$ED$2:$ED$1000,"&lt;"&amp;ED267)+1)</f>
        <v/>
      </c>
      <c r="AA267" s="0" t="s">
        <v>162</v>
      </c>
      <c r="AC267" s="0" t="s">
        <v>4587</v>
      </c>
      <c r="AD267" s="0" t="s">
        <v>171</v>
      </c>
      <c r="AE267" s="0" t="s">
        <v>1189</v>
      </c>
      <c r="AF267" s="0" t="s">
        <v>10199</v>
      </c>
      <c r="AG267" s="0" t="s">
        <v>166</v>
      </c>
      <c r="AH267" s="0" t="s">
        <v>10200</v>
      </c>
      <c r="AI267" s="0" t="s">
        <v>4975</v>
      </c>
      <c r="AJ267" s="0" t="s">
        <v>10201</v>
      </c>
      <c r="AL267" s="0" t="s">
        <v>162</v>
      </c>
      <c r="AN267" s="0" t="s">
        <v>10194</v>
      </c>
      <c r="AO267" s="5" t="s">
        <v>162</v>
      </c>
      <c r="AR267" s="0" t="str">
        <f aca="false">IF(AND(AU267="pass",AO267&lt;&gt;"Y",C267&lt;&gt;""),"Y","N")</f>
        <v>N</v>
      </c>
      <c r="AS267" s="0" t="str">
        <f aca="false">_xlfn.TEXTJOIN("; ",TRUE(),IF(AU267&lt;&gt;"pass","gated out",""),IF(AO267="Y","on hold: "&amp;AP267,""),IF(C267="","no contact named on an opened page",""))</f>
        <v>gated out</v>
      </c>
      <c r="AU267" s="0" t="s">
        <v>3703</v>
      </c>
      <c r="AV267" s="0" t="s">
        <v>10202</v>
      </c>
      <c r="AW267" s="0" t="s">
        <v>10203</v>
      </c>
      <c r="AX267" s="0" t="s">
        <v>4594</v>
      </c>
      <c r="AY267" s="0" t="s">
        <v>10204</v>
      </c>
      <c r="AZ267" s="0" t="s">
        <v>4595</v>
      </c>
      <c r="BA267" s="0" t="s">
        <v>4951</v>
      </c>
      <c r="BB267" s="0" t="s">
        <v>163</v>
      </c>
      <c r="BD267" s="0" t="s">
        <v>162</v>
      </c>
      <c r="BE267" s="0" t="s">
        <v>10205</v>
      </c>
      <c r="BF267" s="0" t="s">
        <v>163</v>
      </c>
      <c r="BG267" s="0" t="s">
        <v>163</v>
      </c>
      <c r="BH267" s="0" t="s">
        <v>163</v>
      </c>
      <c r="BJ267" s="0" t="s">
        <v>163</v>
      </c>
      <c r="BK267" s="0" t="s">
        <v>162</v>
      </c>
      <c r="BL267" s="0" t="s">
        <v>168</v>
      </c>
      <c r="BM267" s="0" t="s">
        <v>10206</v>
      </c>
      <c r="BO267" s="0" t="s">
        <v>162</v>
      </c>
      <c r="BP267" s="0" t="n">
        <v>0</v>
      </c>
      <c r="BS267" s="0" t="s">
        <v>10207</v>
      </c>
      <c r="BU267" s="0" t="s">
        <v>4604</v>
      </c>
      <c r="BV267" s="0" t="n">
        <v>106</v>
      </c>
      <c r="BW267" s="0" t="s">
        <v>10199</v>
      </c>
      <c r="BX267" s="0" t="s">
        <v>10208</v>
      </c>
      <c r="CF267" s="0" t="s">
        <v>158</v>
      </c>
      <c r="CK267" s="0" t="s">
        <v>158</v>
      </c>
      <c r="CL267" s="0" t="n">
        <v>41</v>
      </c>
      <c r="CM267" s="0" t="n">
        <v>0</v>
      </c>
      <c r="CN267" s="0" t="n">
        <v>13</v>
      </c>
      <c r="CO267" s="0" t="n">
        <v>15</v>
      </c>
      <c r="CP267" s="0" t="n">
        <v>5</v>
      </c>
      <c r="CQ267" s="0" t="n">
        <v>2</v>
      </c>
      <c r="CR267" s="0" t="n">
        <v>6</v>
      </c>
      <c r="CS267" s="0" t="n">
        <f aca="false">IF(R267="Y",10,0)</f>
        <v>0</v>
      </c>
      <c r="CT267" s="0" t="n">
        <v>0</v>
      </c>
      <c r="CV267" s="0" t="s">
        <v>4615</v>
      </c>
      <c r="CW267" s="0" t="s">
        <v>10209</v>
      </c>
      <c r="CX267" s="0" t="s">
        <v>10021</v>
      </c>
      <c r="DA267" s="0" t="s">
        <v>6234</v>
      </c>
      <c r="DY267" s="0" t="str">
        <f aca="false">IF(ISNUMBER(MATCH(U267,{"queued","contacted","replied","call_booked","call_done","yes_in_principle","materials_sent"},0)),"Y","N")</f>
        <v>N</v>
      </c>
      <c r="DZ267" s="0" t="str">
        <f aca="false">IF(COUNTIFS($AN$2:$AN$1000,AN267,$DY$2:$DY$1000,"Y")+COUNTIFS($AN$2:$AN$1000,AN267,$T$2:$T$1000,"Y")&gt;0,"Y","N")</f>
        <v>N</v>
      </c>
      <c r="EA267" s="0" t="str">
        <f aca="false">IF(AND(U267="new",T267="N",AR267="Y",AQ267="",DZ267="N"),"Y","N")</f>
        <v>N</v>
      </c>
      <c r="EB267" s="0" t="str">
        <f aca="false">IF(EA267&lt;&gt;"Y","N",IF(COUNTIFS($AN$2:$AN$1000,AN267,$EA$2:$EA$1000,"Y",$J$2:$J$1000,"&gt;"&amp;J267)+COUNTIFS($AN$2:$AN$1000,AN267,$EA$2:$EA$1000,"Y",$J$2:$J$1000,J267,$ED$2:$ED$1000,"&lt;"&amp;ED267)=0,"Y","N"))</f>
        <v>N</v>
      </c>
      <c r="EC267" s="0" t="str">
        <f aca="false">IF(Y267="","N",IF(Y267&lt;=10,"Y","N"))</f>
        <v>N</v>
      </c>
      <c r="ED267" s="0" t="n">
        <f aca="false">ROW()-1</f>
        <v>266</v>
      </c>
    </row>
    <row r="268" customFormat="false" ht="15" hidden="false" customHeight="false" outlineLevel="0" collapsed="false">
      <c r="A268" s="0" t="s">
        <v>10210</v>
      </c>
      <c r="B268" s="0" t="s">
        <v>10211</v>
      </c>
      <c r="C268" s="0" t="s">
        <v>10212</v>
      </c>
      <c r="D268" s="0" t="s">
        <v>10213</v>
      </c>
      <c r="E268" s="0" t="s">
        <v>4771</v>
      </c>
      <c r="H268" s="5" t="s">
        <v>158</v>
      </c>
      <c r="I268" s="5" t="s">
        <v>159</v>
      </c>
      <c r="J268" s="0" t="n">
        <f aca="false">IF(AU268="pass",CM268+CN268+CO268+CP268+CQ268+CR268+CS268+CT268,0)</f>
        <v>0</v>
      </c>
      <c r="K268" s="0" t="s">
        <v>10214</v>
      </c>
      <c r="M268" s="0" t="s">
        <v>5291</v>
      </c>
      <c r="N268" s="0" t="s">
        <v>598</v>
      </c>
      <c r="O268" s="0" t="s">
        <v>10215</v>
      </c>
      <c r="P268" s="0" t="s">
        <v>10216</v>
      </c>
      <c r="Q268" s="0" t="s">
        <v>6294</v>
      </c>
      <c r="R268" s="5" t="s">
        <v>162</v>
      </c>
      <c r="S268" s="0" t="s">
        <v>168</v>
      </c>
      <c r="T268" s="5" t="s">
        <v>162</v>
      </c>
      <c r="U268" s="5" t="s">
        <v>561</v>
      </c>
      <c r="V268" s="0" t="s">
        <v>10216</v>
      </c>
      <c r="W268" s="0" t="s">
        <v>166</v>
      </c>
      <c r="X268" s="0" t="s">
        <v>4585</v>
      </c>
      <c r="Y268" s="0" t="str">
        <f aca="false">IF(EB268&lt;&gt;"Y","",COUNTIFS($EB$2:$EB$1000,"Y",$J$2:$J$1000,"&gt;"&amp;J268)+COUNTIFS($EB$2:$EB$1000,"Y",$J$2:$J$1000,J268,$ED$2:$ED$1000,"&lt;"&amp;ED268)+1)</f>
        <v/>
      </c>
      <c r="AA268" s="0" t="s">
        <v>162</v>
      </c>
      <c r="AC268" s="0" t="s">
        <v>4587</v>
      </c>
      <c r="AD268" s="0" t="s">
        <v>171</v>
      </c>
      <c r="AE268" s="0" t="s">
        <v>1189</v>
      </c>
      <c r="AF268" s="0" t="s">
        <v>10216</v>
      </c>
      <c r="AG268" s="0" t="s">
        <v>166</v>
      </c>
      <c r="AH268" s="0" t="s">
        <v>10217</v>
      </c>
      <c r="AI268" s="0" t="s">
        <v>4975</v>
      </c>
      <c r="AJ268" s="0" t="s">
        <v>10218</v>
      </c>
      <c r="AL268" s="0" t="s">
        <v>162</v>
      </c>
      <c r="AN268" s="0" t="s">
        <v>10210</v>
      </c>
      <c r="AO268" s="5" t="s">
        <v>162</v>
      </c>
      <c r="AR268" s="0" t="str">
        <f aca="false">IF(AND(AU268="pass",AO268&lt;&gt;"Y",C268&lt;&gt;""),"Y","N")</f>
        <v>N</v>
      </c>
      <c r="AS268" s="0" t="str">
        <f aca="false">_xlfn.TEXTJOIN("; ",TRUE(),IF(AU268&lt;&gt;"pass","gated out",""),IF(AO268="Y","on hold: "&amp;AP268,""),IF(C268="","no contact named on an opened page",""))</f>
        <v>gated out</v>
      </c>
      <c r="AU268" s="0" t="s">
        <v>3703</v>
      </c>
      <c r="AV268" s="0" t="s">
        <v>10219</v>
      </c>
      <c r="AW268" s="0" t="s">
        <v>10220</v>
      </c>
      <c r="AY268" s="0" t="s">
        <v>10221</v>
      </c>
      <c r="AZ268" s="0" t="s">
        <v>4595</v>
      </c>
      <c r="BA268" s="0" t="s">
        <v>4951</v>
      </c>
      <c r="BB268" s="0" t="s">
        <v>163</v>
      </c>
      <c r="BD268" s="0" t="s">
        <v>162</v>
      </c>
      <c r="BE268" s="0" t="s">
        <v>10222</v>
      </c>
      <c r="BF268" s="0" t="s">
        <v>163</v>
      </c>
      <c r="BG268" s="0" t="s">
        <v>163</v>
      </c>
      <c r="BH268" s="0" t="s">
        <v>163</v>
      </c>
      <c r="BJ268" s="0" t="s">
        <v>163</v>
      </c>
      <c r="BK268" s="0" t="s">
        <v>168</v>
      </c>
      <c r="BL268" s="0" t="s">
        <v>168</v>
      </c>
      <c r="BM268" s="0" t="s">
        <v>10223</v>
      </c>
      <c r="BO268" s="0" t="s">
        <v>162</v>
      </c>
      <c r="BP268" s="0" t="n">
        <v>0</v>
      </c>
      <c r="BU268" s="0" t="s">
        <v>4604</v>
      </c>
      <c r="BV268" s="0" t="n">
        <v>122</v>
      </c>
      <c r="BW268" s="0" t="s">
        <v>10216</v>
      </c>
      <c r="BX268" s="0" t="s">
        <v>10224</v>
      </c>
      <c r="CF268" s="0" t="s">
        <v>158</v>
      </c>
      <c r="CK268" s="0" t="s">
        <v>158</v>
      </c>
      <c r="CL268" s="0" t="n">
        <v>41</v>
      </c>
      <c r="CM268" s="0" t="n">
        <v>0</v>
      </c>
      <c r="CN268" s="0" t="n">
        <v>13</v>
      </c>
      <c r="CO268" s="0" t="n">
        <v>15</v>
      </c>
      <c r="CP268" s="0" t="n">
        <v>5</v>
      </c>
      <c r="CQ268" s="0" t="n">
        <v>2</v>
      </c>
      <c r="CR268" s="0" t="n">
        <v>6</v>
      </c>
      <c r="CS268" s="0" t="n">
        <f aca="false">IF(R268="Y",10,0)</f>
        <v>0</v>
      </c>
      <c r="CT268" s="0" t="n">
        <v>0</v>
      </c>
      <c r="CV268" s="0" t="s">
        <v>4615</v>
      </c>
      <c r="CW268" s="0" t="s">
        <v>10225</v>
      </c>
      <c r="CX268" s="0" t="s">
        <v>10226</v>
      </c>
      <c r="DA268" s="0" t="s">
        <v>6234</v>
      </c>
      <c r="DY268" s="0" t="str">
        <f aca="false">IF(ISNUMBER(MATCH(U268,{"queued","contacted","replied","call_booked","call_done","yes_in_principle","materials_sent"},0)),"Y","N")</f>
        <v>N</v>
      </c>
      <c r="DZ268" s="0" t="str">
        <f aca="false">IF(COUNTIFS($AN$2:$AN$1000,AN268,$DY$2:$DY$1000,"Y")+COUNTIFS($AN$2:$AN$1000,AN268,$T$2:$T$1000,"Y")&gt;0,"Y","N")</f>
        <v>N</v>
      </c>
      <c r="EA268" s="0" t="str">
        <f aca="false">IF(AND(U268="new",T268="N",AR268="Y",AQ268="",DZ268="N"),"Y","N")</f>
        <v>N</v>
      </c>
      <c r="EB268" s="0" t="str">
        <f aca="false">IF(EA268&lt;&gt;"Y","N",IF(COUNTIFS($AN$2:$AN$1000,AN268,$EA$2:$EA$1000,"Y",$J$2:$J$1000,"&gt;"&amp;J268)+COUNTIFS($AN$2:$AN$1000,AN268,$EA$2:$EA$1000,"Y",$J$2:$J$1000,J268,$ED$2:$ED$1000,"&lt;"&amp;ED268)=0,"Y","N"))</f>
        <v>N</v>
      </c>
      <c r="EC268" s="0" t="str">
        <f aca="false">IF(Y268="","N",IF(Y268&lt;=10,"Y","N"))</f>
        <v>N</v>
      </c>
      <c r="ED268" s="0" t="n">
        <f aca="false">ROW()-1</f>
        <v>267</v>
      </c>
    </row>
    <row r="269" customFormat="false" ht="15" hidden="false" customHeight="false" outlineLevel="0" collapsed="false">
      <c r="A269" s="0" t="s">
        <v>10227</v>
      </c>
      <c r="B269" s="0" t="s">
        <v>10228</v>
      </c>
      <c r="C269" s="0" t="s">
        <v>10229</v>
      </c>
      <c r="D269" s="0" t="s">
        <v>163</v>
      </c>
      <c r="E269" s="0" t="s">
        <v>4625</v>
      </c>
      <c r="H269" s="5" t="s">
        <v>158</v>
      </c>
      <c r="I269" s="5" t="s">
        <v>159</v>
      </c>
      <c r="J269" s="0" t="n">
        <f aca="false">IF(AU269="pass",CM269+CN269+CO269+CP269+CQ269+CR269+CS269+CT269,0)</f>
        <v>0</v>
      </c>
      <c r="K269" s="0" t="s">
        <v>10230</v>
      </c>
      <c r="M269" s="0" t="s">
        <v>5291</v>
      </c>
      <c r="N269" s="0" t="s">
        <v>598</v>
      </c>
      <c r="O269" s="0" t="s">
        <v>10231</v>
      </c>
      <c r="P269" s="0" t="s">
        <v>5293</v>
      </c>
      <c r="Q269" s="0" t="s">
        <v>1775</v>
      </c>
      <c r="R269" s="5" t="s">
        <v>162</v>
      </c>
      <c r="S269" s="0" t="s">
        <v>168</v>
      </c>
      <c r="T269" s="5" t="s">
        <v>162</v>
      </c>
      <c r="U269" s="5" t="s">
        <v>561</v>
      </c>
      <c r="V269" s="0" t="s">
        <v>5293</v>
      </c>
      <c r="W269" s="0" t="s">
        <v>174</v>
      </c>
      <c r="X269" s="0" t="s">
        <v>4585</v>
      </c>
      <c r="Y269" s="0" t="str">
        <f aca="false">IF(EB269&lt;&gt;"Y","",COUNTIFS($EB$2:$EB$1000,"Y",$J$2:$J$1000,"&gt;"&amp;J269)+COUNTIFS($EB$2:$EB$1000,"Y",$J$2:$J$1000,J269,$ED$2:$ED$1000,"&lt;"&amp;ED269)+1)</f>
        <v/>
      </c>
      <c r="AA269" s="0" t="s">
        <v>162</v>
      </c>
      <c r="AC269" s="0" t="s">
        <v>4587</v>
      </c>
      <c r="AD269" s="0" t="s">
        <v>5008</v>
      </c>
      <c r="AE269" s="0" t="s">
        <v>172</v>
      </c>
      <c r="AF269" s="0" t="s">
        <v>10232</v>
      </c>
      <c r="AG269" s="0" t="s">
        <v>174</v>
      </c>
      <c r="AH269" s="0" t="s">
        <v>10233</v>
      </c>
      <c r="AI269" s="0" t="s">
        <v>4975</v>
      </c>
      <c r="AJ269" s="0" t="s">
        <v>5297</v>
      </c>
      <c r="AK269" s="0" t="s">
        <v>10232</v>
      </c>
      <c r="AL269" s="0" t="s">
        <v>162</v>
      </c>
      <c r="AN269" s="0" t="s">
        <v>10227</v>
      </c>
      <c r="AO269" s="5" t="s">
        <v>162</v>
      </c>
      <c r="AR269" s="0" t="str">
        <f aca="false">IF(AND(AU269="pass",AO269&lt;&gt;"Y",C269&lt;&gt;""),"Y","N")</f>
        <v>N</v>
      </c>
      <c r="AS269" s="0" t="str">
        <f aca="false">_xlfn.TEXTJOIN("; ",TRUE(),IF(AU269&lt;&gt;"pass","gated out",""),IF(AO269="Y","on hold: "&amp;AP269,""),IF(C269="","no contact named on an opened page",""))</f>
        <v>gated out</v>
      </c>
      <c r="AU269" s="0" t="s">
        <v>3703</v>
      </c>
      <c r="AV269" s="0" t="s">
        <v>9883</v>
      </c>
      <c r="AW269" s="0" t="s">
        <v>10234</v>
      </c>
      <c r="AY269" s="0" t="s">
        <v>10232</v>
      </c>
      <c r="AZ269" s="0" t="s">
        <v>4595</v>
      </c>
      <c r="BA269" s="0" t="s">
        <v>4596</v>
      </c>
      <c r="BB269" s="0" t="s">
        <v>163</v>
      </c>
      <c r="BD269" s="0" t="s">
        <v>162</v>
      </c>
      <c r="BE269" s="0" t="s">
        <v>10235</v>
      </c>
      <c r="BF269" s="0" t="s">
        <v>168</v>
      </c>
      <c r="BG269" s="0" t="s">
        <v>168</v>
      </c>
      <c r="BH269" s="0" t="s">
        <v>163</v>
      </c>
      <c r="BJ269" s="0" t="s">
        <v>5143</v>
      </c>
      <c r="BK269" s="0" t="s">
        <v>168</v>
      </c>
      <c r="BL269" s="0" t="s">
        <v>168</v>
      </c>
      <c r="BM269" s="0" t="s">
        <v>10236</v>
      </c>
      <c r="BO269" s="0" t="s">
        <v>162</v>
      </c>
      <c r="BP269" s="0" t="n">
        <v>0</v>
      </c>
      <c r="BS269" s="0" t="s">
        <v>163</v>
      </c>
      <c r="BU269" s="0" t="s">
        <v>4604</v>
      </c>
      <c r="BV269" s="0" t="n">
        <v>144</v>
      </c>
      <c r="BW269" s="0" t="s">
        <v>5134</v>
      </c>
      <c r="BX269" s="0" t="s">
        <v>10229</v>
      </c>
      <c r="BY269" s="0" t="s">
        <v>7143</v>
      </c>
      <c r="CA269" s="0" t="s">
        <v>10237</v>
      </c>
      <c r="CB269" s="0" t="s">
        <v>10237</v>
      </c>
      <c r="CC269" s="0" t="s">
        <v>163</v>
      </c>
      <c r="CD269" s="0" t="s">
        <v>4625</v>
      </c>
      <c r="CE269" s="0" t="s">
        <v>6723</v>
      </c>
      <c r="CF269" s="0" t="s">
        <v>5008</v>
      </c>
      <c r="CG269" s="0" t="s">
        <v>7143</v>
      </c>
      <c r="CK269" s="0" t="s">
        <v>158</v>
      </c>
      <c r="CL269" s="0" t="n">
        <v>55</v>
      </c>
      <c r="CM269" s="0" t="n">
        <v>6</v>
      </c>
      <c r="CN269" s="0" t="n">
        <v>20</v>
      </c>
      <c r="CO269" s="0" t="n">
        <v>15</v>
      </c>
      <c r="CP269" s="0" t="n">
        <v>5</v>
      </c>
      <c r="CQ269" s="0" t="n">
        <v>6</v>
      </c>
      <c r="CR269" s="0" t="n">
        <v>3</v>
      </c>
      <c r="CS269" s="0" t="n">
        <f aca="false">IF(R269="Y",10,0)</f>
        <v>0</v>
      </c>
      <c r="CT269" s="0" t="n">
        <v>0</v>
      </c>
      <c r="CU269" s="0" t="s">
        <v>10238</v>
      </c>
      <c r="CV269" s="0" t="s">
        <v>5150</v>
      </c>
      <c r="CW269" s="0" t="s">
        <v>10239</v>
      </c>
      <c r="CX269" s="0" t="s">
        <v>10240</v>
      </c>
      <c r="CZ269" s="0" t="s">
        <v>10232</v>
      </c>
      <c r="DA269" s="0" t="s">
        <v>6234</v>
      </c>
      <c r="DC269" s="0" t="s">
        <v>172</v>
      </c>
      <c r="DY269" s="0" t="str">
        <f aca="false">IF(ISNUMBER(MATCH(U269,{"queued","contacted","replied","call_booked","call_done","yes_in_principle","materials_sent"},0)),"Y","N")</f>
        <v>N</v>
      </c>
      <c r="DZ269" s="0" t="str">
        <f aca="false">IF(COUNTIFS($AN$2:$AN$1000,AN269,$DY$2:$DY$1000,"Y")+COUNTIFS($AN$2:$AN$1000,AN269,$T$2:$T$1000,"Y")&gt;0,"Y","N")</f>
        <v>N</v>
      </c>
      <c r="EA269" s="0" t="str">
        <f aca="false">IF(AND(U269="new",T269="N",AR269="Y",AQ269="",DZ269="N"),"Y","N")</f>
        <v>N</v>
      </c>
      <c r="EB269" s="0" t="str">
        <f aca="false">IF(EA269&lt;&gt;"Y","N",IF(COUNTIFS($AN$2:$AN$1000,AN269,$EA$2:$EA$1000,"Y",$J$2:$J$1000,"&gt;"&amp;J269)+COUNTIFS($AN$2:$AN$1000,AN269,$EA$2:$EA$1000,"Y",$J$2:$J$1000,J269,$ED$2:$ED$1000,"&lt;"&amp;ED269)=0,"Y","N"))</f>
        <v>N</v>
      </c>
      <c r="EC269" s="0" t="str">
        <f aca="false">IF(Y269="","N",IF(Y269&lt;=10,"Y","N"))</f>
        <v>N</v>
      </c>
      <c r="ED269" s="0" t="n">
        <f aca="false">ROW()-1</f>
        <v>268</v>
      </c>
    </row>
    <row r="270" customFormat="false" ht="15" hidden="false" customHeight="false" outlineLevel="0" collapsed="false">
      <c r="A270" s="0" t="s">
        <v>10241</v>
      </c>
      <c r="B270" s="0" t="s">
        <v>10242</v>
      </c>
      <c r="C270" s="0" t="s">
        <v>5744</v>
      </c>
      <c r="D270" s="0" t="s">
        <v>10243</v>
      </c>
      <c r="E270" s="0" t="s">
        <v>4625</v>
      </c>
      <c r="H270" s="5" t="s">
        <v>158</v>
      </c>
      <c r="I270" s="5" t="s">
        <v>159</v>
      </c>
      <c r="J270" s="0" t="n">
        <f aca="false">IF(AU270="pass",CM270+CN270+CO270+CP270+CQ270+CR270+CS270+CT270,0)</f>
        <v>0</v>
      </c>
      <c r="K270" s="0" t="s">
        <v>10244</v>
      </c>
      <c r="M270" s="0" t="s">
        <v>5291</v>
      </c>
      <c r="N270" s="0" t="s">
        <v>598</v>
      </c>
      <c r="O270" s="0" t="s">
        <v>10245</v>
      </c>
      <c r="P270" s="0" t="s">
        <v>10246</v>
      </c>
      <c r="Q270" s="0" t="s">
        <v>5540</v>
      </c>
      <c r="R270" s="5" t="s">
        <v>162</v>
      </c>
      <c r="S270" s="0" t="s">
        <v>168</v>
      </c>
      <c r="T270" s="5" t="s">
        <v>162</v>
      </c>
      <c r="U270" s="5" t="s">
        <v>561</v>
      </c>
      <c r="V270" s="0" t="s">
        <v>10246</v>
      </c>
      <c r="W270" s="0" t="s">
        <v>166</v>
      </c>
      <c r="X270" s="0" t="s">
        <v>4585</v>
      </c>
      <c r="Y270" s="0" t="str">
        <f aca="false">IF(EB270&lt;&gt;"Y","",COUNTIFS($EB$2:$EB$1000,"Y",$J$2:$J$1000,"&gt;"&amp;J270)+COUNTIFS($EB$2:$EB$1000,"Y",$J$2:$J$1000,J270,$ED$2:$ED$1000,"&lt;"&amp;ED270)+1)</f>
        <v/>
      </c>
      <c r="AA270" s="0" t="s">
        <v>162</v>
      </c>
      <c r="AC270" s="0" t="s">
        <v>4587</v>
      </c>
      <c r="AD270" s="0" t="s">
        <v>171</v>
      </c>
      <c r="AE270" s="0" t="s">
        <v>1189</v>
      </c>
      <c r="AF270" s="0" t="s">
        <v>10246</v>
      </c>
      <c r="AG270" s="0" t="s">
        <v>166</v>
      </c>
      <c r="AH270" s="0" t="s">
        <v>10247</v>
      </c>
      <c r="AI270" s="0" t="s">
        <v>5924</v>
      </c>
      <c r="AJ270" s="0" t="s">
        <v>10013</v>
      </c>
      <c r="AL270" s="0" t="s">
        <v>168</v>
      </c>
      <c r="AM270" s="0" t="s">
        <v>4690</v>
      </c>
      <c r="AN270" s="0" t="s">
        <v>10241</v>
      </c>
      <c r="AO270" s="5" t="s">
        <v>162</v>
      </c>
      <c r="AR270" s="0" t="str">
        <f aca="false">IF(AND(AU270="pass",AO270&lt;&gt;"Y",C270&lt;&gt;""),"Y","N")</f>
        <v>N</v>
      </c>
      <c r="AS270" s="0" t="str">
        <f aca="false">_xlfn.TEXTJOIN("; ",TRUE(),IF(AU270&lt;&gt;"pass","gated out",""),IF(AO270="Y","on hold: "&amp;AP270,""),IF(C270="","no contact named on an opened page",""))</f>
        <v>gated out</v>
      </c>
      <c r="AU270" s="0" t="s">
        <v>3703</v>
      </c>
      <c r="AV270" s="0" t="s">
        <v>10088</v>
      </c>
      <c r="AW270" s="0" t="s">
        <v>10248</v>
      </c>
      <c r="AY270" s="0" t="s">
        <v>10249</v>
      </c>
      <c r="AZ270" s="0" t="s">
        <v>4595</v>
      </c>
      <c r="BA270" s="0" t="s">
        <v>4596</v>
      </c>
      <c r="BB270" s="0" t="s">
        <v>163</v>
      </c>
      <c r="BD270" s="0" t="s">
        <v>163</v>
      </c>
      <c r="BF270" s="0" t="s">
        <v>163</v>
      </c>
      <c r="BG270" s="0" t="s">
        <v>163</v>
      </c>
      <c r="BH270" s="0" t="s">
        <v>163</v>
      </c>
      <c r="BJ270" s="0" t="s">
        <v>163</v>
      </c>
      <c r="BK270" s="0" t="s">
        <v>162</v>
      </c>
      <c r="BL270" s="0" t="s">
        <v>168</v>
      </c>
      <c r="BM270" s="0" t="s">
        <v>10250</v>
      </c>
      <c r="BO270" s="0" t="s">
        <v>162</v>
      </c>
      <c r="BP270" s="0" t="n">
        <v>0</v>
      </c>
      <c r="BU270" s="0" t="s">
        <v>4604</v>
      </c>
      <c r="BV270" s="0" t="n">
        <v>43</v>
      </c>
      <c r="BW270" s="0" t="s">
        <v>10246</v>
      </c>
      <c r="BX270" s="0" t="s">
        <v>10251</v>
      </c>
      <c r="CF270" s="0" t="s">
        <v>158</v>
      </c>
      <c r="CK270" s="0" t="s">
        <v>158</v>
      </c>
      <c r="CL270" s="0" t="n">
        <v>49</v>
      </c>
      <c r="CM270" s="0" t="n">
        <v>0</v>
      </c>
      <c r="CN270" s="0" t="n">
        <v>20</v>
      </c>
      <c r="CO270" s="0" t="n">
        <v>15</v>
      </c>
      <c r="CP270" s="0" t="n">
        <v>5</v>
      </c>
      <c r="CQ270" s="0" t="n">
        <v>3</v>
      </c>
      <c r="CR270" s="0" t="n">
        <v>6</v>
      </c>
      <c r="CS270" s="0" t="n">
        <f aca="false">IF(R270="Y",10,0)</f>
        <v>0</v>
      </c>
      <c r="CT270" s="0" t="n">
        <v>0</v>
      </c>
      <c r="CV270" s="0" t="s">
        <v>4615</v>
      </c>
      <c r="CW270" s="0" t="s">
        <v>10252</v>
      </c>
      <c r="CX270" s="0" t="s">
        <v>10021</v>
      </c>
      <c r="DA270" s="0" t="s">
        <v>6234</v>
      </c>
      <c r="DY270" s="0" t="str">
        <f aca="false">IF(ISNUMBER(MATCH(U270,{"queued","contacted","replied","call_booked","call_done","yes_in_principle","materials_sent"},0)),"Y","N")</f>
        <v>N</v>
      </c>
      <c r="DZ270" s="0" t="str">
        <f aca="false">IF(COUNTIFS($AN$2:$AN$1000,AN270,$DY$2:$DY$1000,"Y")+COUNTIFS($AN$2:$AN$1000,AN270,$T$2:$T$1000,"Y")&gt;0,"Y","N")</f>
        <v>N</v>
      </c>
      <c r="EA270" s="0" t="str">
        <f aca="false">IF(AND(U270="new",T270="N",AR270="Y",AQ270="",DZ270="N"),"Y","N")</f>
        <v>N</v>
      </c>
      <c r="EB270" s="0" t="str">
        <f aca="false">IF(EA270&lt;&gt;"Y","N",IF(COUNTIFS($AN$2:$AN$1000,AN270,$EA$2:$EA$1000,"Y",$J$2:$J$1000,"&gt;"&amp;J270)+COUNTIFS($AN$2:$AN$1000,AN270,$EA$2:$EA$1000,"Y",$J$2:$J$1000,J270,$ED$2:$ED$1000,"&lt;"&amp;ED270)=0,"Y","N"))</f>
        <v>N</v>
      </c>
      <c r="EC270" s="0" t="str">
        <f aca="false">IF(Y270="","N",IF(Y270&lt;=10,"Y","N"))</f>
        <v>N</v>
      </c>
      <c r="ED270" s="0" t="n">
        <f aca="false">ROW()-1</f>
        <v>269</v>
      </c>
    </row>
    <row r="271" customFormat="false" ht="15" hidden="false" customHeight="false" outlineLevel="0" collapsed="false">
      <c r="A271" s="0" t="s">
        <v>10253</v>
      </c>
      <c r="B271" s="0" t="s">
        <v>10254</v>
      </c>
      <c r="C271" s="0" t="s">
        <v>10255</v>
      </c>
      <c r="D271" s="0" t="s">
        <v>10256</v>
      </c>
      <c r="E271" s="0" t="s">
        <v>4625</v>
      </c>
      <c r="H271" s="5" t="s">
        <v>158</v>
      </c>
      <c r="I271" s="5" t="s">
        <v>159</v>
      </c>
      <c r="J271" s="0" t="n">
        <f aca="false">IF(AU271="pass",CM271+CN271+CO271+CP271+CQ271+CR271+CS271+CT271,0)</f>
        <v>0</v>
      </c>
      <c r="K271" s="0" t="s">
        <v>10257</v>
      </c>
      <c r="M271" s="0" t="s">
        <v>5291</v>
      </c>
      <c r="N271" s="0" t="s">
        <v>598</v>
      </c>
      <c r="O271" s="0" t="s">
        <v>10258</v>
      </c>
      <c r="P271" s="0" t="s">
        <v>10259</v>
      </c>
      <c r="Q271" s="0" t="s">
        <v>10260</v>
      </c>
      <c r="R271" s="5" t="s">
        <v>162</v>
      </c>
      <c r="S271" s="0" t="s">
        <v>168</v>
      </c>
      <c r="T271" s="5" t="s">
        <v>162</v>
      </c>
      <c r="U271" s="5" t="s">
        <v>561</v>
      </c>
      <c r="V271" s="0" t="s">
        <v>10259</v>
      </c>
      <c r="W271" s="0" t="s">
        <v>166</v>
      </c>
      <c r="X271" s="0" t="s">
        <v>4585</v>
      </c>
      <c r="Y271" s="0" t="str">
        <f aca="false">IF(EB271&lt;&gt;"Y","",COUNTIFS($EB$2:$EB$1000,"Y",$J$2:$J$1000,"&gt;"&amp;J271)+COUNTIFS($EB$2:$EB$1000,"Y",$J$2:$J$1000,J271,$ED$2:$ED$1000,"&lt;"&amp;ED271)+1)</f>
        <v/>
      </c>
      <c r="AA271" s="0" t="s">
        <v>162</v>
      </c>
      <c r="AC271" s="0" t="s">
        <v>4587</v>
      </c>
      <c r="AD271" s="0" t="s">
        <v>171</v>
      </c>
      <c r="AE271" s="0" t="s">
        <v>1189</v>
      </c>
      <c r="AF271" s="0" t="s">
        <v>10259</v>
      </c>
      <c r="AG271" s="0" t="s">
        <v>166</v>
      </c>
      <c r="AH271" s="0" t="s">
        <v>10261</v>
      </c>
      <c r="AI271" s="0" t="s">
        <v>4664</v>
      </c>
      <c r="AJ271" s="0" t="s">
        <v>10013</v>
      </c>
      <c r="AL271" s="0" t="s">
        <v>162</v>
      </c>
      <c r="AN271" s="0" t="s">
        <v>10253</v>
      </c>
      <c r="AO271" s="5" t="s">
        <v>162</v>
      </c>
      <c r="AR271" s="0" t="str">
        <f aca="false">IF(AND(AU271="pass",AO271&lt;&gt;"Y",C271&lt;&gt;""),"Y","N")</f>
        <v>N</v>
      </c>
      <c r="AS271" s="0" t="str">
        <f aca="false">_xlfn.TEXTJOIN("; ",TRUE(),IF(AU271&lt;&gt;"pass","gated out",""),IF(AO271="Y","on hold: "&amp;AP271,""),IF(C271="","no contact named on an opened page",""))</f>
        <v>gated out</v>
      </c>
      <c r="AU271" s="0" t="s">
        <v>3703</v>
      </c>
      <c r="AV271" s="0" t="s">
        <v>10202</v>
      </c>
      <c r="AW271" s="0" t="s">
        <v>10262</v>
      </c>
      <c r="AY271" s="0" t="s">
        <v>10263</v>
      </c>
      <c r="AZ271" s="0" t="s">
        <v>4595</v>
      </c>
      <c r="BA271" s="0" t="s">
        <v>4596</v>
      </c>
      <c r="BB271" s="0" t="s">
        <v>163</v>
      </c>
      <c r="BD271" s="0" t="s">
        <v>162</v>
      </c>
      <c r="BE271" s="0" t="s">
        <v>10264</v>
      </c>
      <c r="BF271" s="0" t="s">
        <v>163</v>
      </c>
      <c r="BG271" s="0" t="s">
        <v>163</v>
      </c>
      <c r="BH271" s="0" t="s">
        <v>163</v>
      </c>
      <c r="BJ271" s="0" t="s">
        <v>163</v>
      </c>
      <c r="BK271" s="0" t="s">
        <v>162</v>
      </c>
      <c r="BL271" s="0" t="s">
        <v>168</v>
      </c>
      <c r="BM271" s="0" t="s">
        <v>10265</v>
      </c>
      <c r="BO271" s="0" t="s">
        <v>162</v>
      </c>
      <c r="BP271" s="0" t="n">
        <v>0</v>
      </c>
      <c r="BS271" s="0" t="s">
        <v>10266</v>
      </c>
      <c r="BU271" s="0" t="s">
        <v>4604</v>
      </c>
      <c r="BV271" s="0" t="n">
        <v>236</v>
      </c>
      <c r="BW271" s="0" t="s">
        <v>10259</v>
      </c>
      <c r="BX271" s="0" t="s">
        <v>10267</v>
      </c>
      <c r="CF271" s="0" t="s">
        <v>158</v>
      </c>
      <c r="CK271" s="0" t="s">
        <v>158</v>
      </c>
      <c r="CL271" s="0" t="n">
        <v>41</v>
      </c>
      <c r="CM271" s="0" t="n">
        <v>0</v>
      </c>
      <c r="CN271" s="0" t="n">
        <v>20</v>
      </c>
      <c r="CO271" s="0" t="n">
        <v>8</v>
      </c>
      <c r="CP271" s="0" t="n">
        <v>5</v>
      </c>
      <c r="CQ271" s="0" t="n">
        <v>2</v>
      </c>
      <c r="CR271" s="0" t="n">
        <v>6</v>
      </c>
      <c r="CS271" s="0" t="n">
        <f aca="false">IF(R271="Y",10,0)</f>
        <v>0</v>
      </c>
      <c r="CT271" s="0" t="n">
        <v>0</v>
      </c>
      <c r="CV271" s="0" t="s">
        <v>4615</v>
      </c>
      <c r="CW271" s="0" t="s">
        <v>10268</v>
      </c>
      <c r="CX271" s="0" t="s">
        <v>10021</v>
      </c>
      <c r="DA271" s="0" t="s">
        <v>6234</v>
      </c>
      <c r="DY271" s="0" t="str">
        <f aca="false">IF(ISNUMBER(MATCH(U271,{"queued","contacted","replied","call_booked","call_done","yes_in_principle","materials_sent"},0)),"Y","N")</f>
        <v>N</v>
      </c>
      <c r="DZ271" s="0" t="str">
        <f aca="false">IF(COUNTIFS($AN$2:$AN$1000,AN271,$DY$2:$DY$1000,"Y")+COUNTIFS($AN$2:$AN$1000,AN271,$T$2:$T$1000,"Y")&gt;0,"Y","N")</f>
        <v>N</v>
      </c>
      <c r="EA271" s="0" t="str">
        <f aca="false">IF(AND(U271="new",T271="N",AR271="Y",AQ271="",DZ271="N"),"Y","N")</f>
        <v>N</v>
      </c>
      <c r="EB271" s="0" t="str">
        <f aca="false">IF(EA271&lt;&gt;"Y","N",IF(COUNTIFS($AN$2:$AN$1000,AN271,$EA$2:$EA$1000,"Y",$J$2:$J$1000,"&gt;"&amp;J271)+COUNTIFS($AN$2:$AN$1000,AN271,$EA$2:$EA$1000,"Y",$J$2:$J$1000,J271,$ED$2:$ED$1000,"&lt;"&amp;ED271)=0,"Y","N"))</f>
        <v>N</v>
      </c>
      <c r="EC271" s="0" t="str">
        <f aca="false">IF(Y271="","N",IF(Y271&lt;=10,"Y","N"))</f>
        <v>N</v>
      </c>
      <c r="ED271" s="0" t="n">
        <f aca="false">ROW()-1</f>
        <v>270</v>
      </c>
    </row>
    <row r="272" customFormat="false" ht="15" hidden="false" customHeight="false" outlineLevel="0" collapsed="false">
      <c r="A272" s="0" t="s">
        <v>10269</v>
      </c>
      <c r="B272" s="0" t="s">
        <v>10270</v>
      </c>
      <c r="C272" s="0" t="s">
        <v>10271</v>
      </c>
      <c r="D272" s="0" t="s">
        <v>10272</v>
      </c>
      <c r="E272" s="0" t="s">
        <v>4625</v>
      </c>
      <c r="H272" s="5" t="s">
        <v>158</v>
      </c>
      <c r="I272" s="5" t="s">
        <v>159</v>
      </c>
      <c r="J272" s="0" t="n">
        <f aca="false">IF(AU272="pass",CM272+CN272+CO272+CP272+CQ272+CR272+CS272+CT272,0)</f>
        <v>0</v>
      </c>
      <c r="K272" s="0" t="s">
        <v>10273</v>
      </c>
      <c r="M272" s="0" t="s">
        <v>5291</v>
      </c>
      <c r="N272" s="0" t="s">
        <v>598</v>
      </c>
      <c r="O272" s="0" t="s">
        <v>10274</v>
      </c>
      <c r="P272" s="0" t="s">
        <v>10275</v>
      </c>
      <c r="Q272" s="0" t="s">
        <v>10276</v>
      </c>
      <c r="R272" s="5" t="s">
        <v>162</v>
      </c>
      <c r="S272" s="0" t="s">
        <v>163</v>
      </c>
      <c r="T272" s="5" t="s">
        <v>162</v>
      </c>
      <c r="U272" s="5" t="s">
        <v>561</v>
      </c>
      <c r="V272" s="0" t="s">
        <v>10277</v>
      </c>
      <c r="W272" s="0" t="s">
        <v>166</v>
      </c>
      <c r="X272" s="0" t="s">
        <v>4585</v>
      </c>
      <c r="Y272" s="0" t="str">
        <f aca="false">IF(EB272&lt;&gt;"Y","",COUNTIFS($EB$2:$EB$1000,"Y",$J$2:$J$1000,"&gt;"&amp;J272)+COUNTIFS($EB$2:$EB$1000,"Y",$J$2:$J$1000,J272,$ED$2:$ED$1000,"&lt;"&amp;ED272)+1)</f>
        <v/>
      </c>
      <c r="AA272" s="0" t="s">
        <v>162</v>
      </c>
      <c r="AC272" s="0" t="s">
        <v>4587</v>
      </c>
      <c r="AD272" s="0" t="s">
        <v>171</v>
      </c>
      <c r="AE272" s="0" t="s">
        <v>172</v>
      </c>
      <c r="AF272" s="0" t="s">
        <v>10277</v>
      </c>
      <c r="AG272" s="0" t="s">
        <v>166</v>
      </c>
      <c r="AH272" s="0" t="s">
        <v>10278</v>
      </c>
      <c r="AI272" s="0" t="s">
        <v>5028</v>
      </c>
      <c r="AJ272" s="0" t="s">
        <v>10279</v>
      </c>
      <c r="AK272" s="0" t="s">
        <v>10280</v>
      </c>
      <c r="AL272" s="0" t="s">
        <v>168</v>
      </c>
      <c r="AM272" s="0" t="s">
        <v>10281</v>
      </c>
      <c r="AN272" s="0" t="s">
        <v>10269</v>
      </c>
      <c r="AO272" s="5" t="s">
        <v>162</v>
      </c>
      <c r="AR272" s="0" t="str">
        <f aca="false">IF(AND(AU272="pass",AO272&lt;&gt;"Y",C272&lt;&gt;""),"Y","N")</f>
        <v>N</v>
      </c>
      <c r="AS272" s="0" t="str">
        <f aca="false">_xlfn.TEXTJOIN("; ",TRUE(),IF(AU272&lt;&gt;"pass","gated out",""),IF(AO272="Y","on hold: "&amp;AP272,""),IF(C272="","no contact named on an opened page",""))</f>
        <v>gated out</v>
      </c>
      <c r="AU272" s="0" t="s">
        <v>3703</v>
      </c>
      <c r="AV272" s="0" t="s">
        <v>9762</v>
      </c>
      <c r="AW272" s="0" t="s">
        <v>10282</v>
      </c>
      <c r="AX272" s="0" t="s">
        <v>5221</v>
      </c>
      <c r="AY272" s="0" t="s">
        <v>10280</v>
      </c>
      <c r="AZ272" s="0" t="s">
        <v>4595</v>
      </c>
      <c r="BA272" s="0" t="s">
        <v>4596</v>
      </c>
      <c r="BB272" s="0" t="s">
        <v>163</v>
      </c>
      <c r="BD272" s="0" t="s">
        <v>168</v>
      </c>
      <c r="BE272" s="0" t="s">
        <v>10283</v>
      </c>
      <c r="BF272" s="0" t="s">
        <v>163</v>
      </c>
      <c r="BG272" s="0" t="s">
        <v>168</v>
      </c>
      <c r="BH272" s="0" t="s">
        <v>163</v>
      </c>
      <c r="BJ272" s="0" t="s">
        <v>163</v>
      </c>
      <c r="BK272" s="0" t="s">
        <v>168</v>
      </c>
      <c r="BL272" s="0" t="s">
        <v>168</v>
      </c>
      <c r="BM272" s="0" t="s">
        <v>10284</v>
      </c>
      <c r="BO272" s="0" t="s">
        <v>162</v>
      </c>
      <c r="BP272" s="0" t="n">
        <v>0</v>
      </c>
      <c r="BR272" s="0" t="s">
        <v>6762</v>
      </c>
      <c r="BS272" s="0" t="s">
        <v>6809</v>
      </c>
      <c r="BT272" s="0" t="s">
        <v>10285</v>
      </c>
      <c r="BU272" s="0" t="s">
        <v>4694</v>
      </c>
      <c r="BV272" s="0" t="n">
        <v>57</v>
      </c>
      <c r="BX272" s="0" t="s">
        <v>10286</v>
      </c>
      <c r="BY272" s="0" t="s">
        <v>7655</v>
      </c>
      <c r="CA272" s="0" t="s">
        <v>10287</v>
      </c>
      <c r="CB272" s="0" t="s">
        <v>10287</v>
      </c>
      <c r="CC272" s="0" t="s">
        <v>163</v>
      </c>
      <c r="CD272" s="0" t="s">
        <v>4625</v>
      </c>
      <c r="CE272" s="0" t="s">
        <v>6723</v>
      </c>
      <c r="CF272" s="0" t="s">
        <v>5008</v>
      </c>
      <c r="CG272" s="0" t="s">
        <v>7655</v>
      </c>
      <c r="CK272" s="0" t="s">
        <v>158</v>
      </c>
      <c r="CL272" s="0" t="n">
        <v>41</v>
      </c>
      <c r="CM272" s="0" t="n">
        <v>6</v>
      </c>
      <c r="CN272" s="0" t="n">
        <v>20</v>
      </c>
      <c r="CO272" s="0" t="n">
        <v>8</v>
      </c>
      <c r="CP272" s="0" t="n">
        <v>5</v>
      </c>
      <c r="CQ272" s="0" t="n">
        <v>8</v>
      </c>
      <c r="CR272" s="0" t="n">
        <v>6</v>
      </c>
      <c r="CS272" s="0" t="n">
        <f aca="false">IF(R272="Y",10,0)</f>
        <v>0</v>
      </c>
      <c r="CT272" s="0" t="n">
        <v>-12</v>
      </c>
      <c r="CU272" s="0" t="s">
        <v>10288</v>
      </c>
      <c r="CV272" s="0" t="s">
        <v>4841</v>
      </c>
      <c r="CW272" s="0" t="s">
        <v>10289</v>
      </c>
      <c r="CX272" s="0" t="s">
        <v>10290</v>
      </c>
      <c r="CZ272" s="0" t="s">
        <v>10277</v>
      </c>
      <c r="DA272" s="0" t="s">
        <v>6234</v>
      </c>
      <c r="DC272" s="0" t="s">
        <v>172</v>
      </c>
      <c r="DY272" s="0" t="str">
        <f aca="false">IF(ISNUMBER(MATCH(U272,{"queued","contacted","replied","call_booked","call_done","yes_in_principle","materials_sent"},0)),"Y","N")</f>
        <v>N</v>
      </c>
      <c r="DZ272" s="0" t="str">
        <f aca="false">IF(COUNTIFS($AN$2:$AN$1000,AN272,$DY$2:$DY$1000,"Y")+COUNTIFS($AN$2:$AN$1000,AN272,$T$2:$T$1000,"Y")&gt;0,"Y","N")</f>
        <v>N</v>
      </c>
      <c r="EA272" s="0" t="str">
        <f aca="false">IF(AND(U272="new",T272="N",AR272="Y",AQ272="",DZ272="N"),"Y","N")</f>
        <v>N</v>
      </c>
      <c r="EB272" s="0" t="str">
        <f aca="false">IF(EA272&lt;&gt;"Y","N",IF(COUNTIFS($AN$2:$AN$1000,AN272,$EA$2:$EA$1000,"Y",$J$2:$J$1000,"&gt;"&amp;J272)+COUNTIFS($AN$2:$AN$1000,AN272,$EA$2:$EA$1000,"Y",$J$2:$J$1000,J272,$ED$2:$ED$1000,"&lt;"&amp;ED272)=0,"Y","N"))</f>
        <v>N</v>
      </c>
      <c r="EC272" s="0" t="str">
        <f aca="false">IF(Y272="","N",IF(Y272&lt;=10,"Y","N"))</f>
        <v>N</v>
      </c>
      <c r="ED272" s="0" t="n">
        <f aca="false">ROW()-1</f>
        <v>271</v>
      </c>
    </row>
    <row r="273" customFormat="false" ht="15" hidden="false" customHeight="false" outlineLevel="0" collapsed="false">
      <c r="A273" s="0" t="s">
        <v>10291</v>
      </c>
      <c r="B273" s="0" t="s">
        <v>10292</v>
      </c>
      <c r="C273" s="0" t="s">
        <v>10293</v>
      </c>
      <c r="D273" s="0" t="s">
        <v>163</v>
      </c>
      <c r="E273" s="0" t="s">
        <v>4771</v>
      </c>
      <c r="H273" s="5" t="s">
        <v>158</v>
      </c>
      <c r="I273" s="5" t="s">
        <v>159</v>
      </c>
      <c r="J273" s="0" t="n">
        <f aca="false">IF(AU273="pass",CM273+CN273+CO273+CP273+CQ273+CR273+CS273+CT273,0)</f>
        <v>0</v>
      </c>
      <c r="K273" s="0" t="s">
        <v>10294</v>
      </c>
      <c r="M273" s="0" t="s">
        <v>5291</v>
      </c>
      <c r="N273" s="0" t="s">
        <v>598</v>
      </c>
      <c r="O273" s="0" t="s">
        <v>10295</v>
      </c>
      <c r="P273" s="0" t="s">
        <v>10296</v>
      </c>
      <c r="Q273" s="0" t="s">
        <v>5943</v>
      </c>
      <c r="R273" s="5" t="s">
        <v>162</v>
      </c>
      <c r="S273" s="0" t="s">
        <v>168</v>
      </c>
      <c r="T273" s="5" t="s">
        <v>162</v>
      </c>
      <c r="U273" s="5" t="s">
        <v>561</v>
      </c>
      <c r="V273" s="0" t="s">
        <v>6643</v>
      </c>
      <c r="W273" s="0" t="s">
        <v>174</v>
      </c>
      <c r="X273" s="0" t="s">
        <v>4585</v>
      </c>
      <c r="Y273" s="0" t="str">
        <f aca="false">IF(EB273&lt;&gt;"Y","",COUNTIFS($EB$2:$EB$1000,"Y",$J$2:$J$1000,"&gt;"&amp;J273)+COUNTIFS($EB$2:$EB$1000,"Y",$J$2:$J$1000,J273,$ED$2:$ED$1000,"&lt;"&amp;ED273)+1)</f>
        <v/>
      </c>
      <c r="AA273" s="0" t="s">
        <v>162</v>
      </c>
      <c r="AC273" s="0" t="s">
        <v>4587</v>
      </c>
      <c r="AD273" s="0" t="s">
        <v>5008</v>
      </c>
      <c r="AE273" s="0" t="s">
        <v>1189</v>
      </c>
      <c r="AF273" s="0" t="s">
        <v>6645</v>
      </c>
      <c r="AG273" s="0" t="s">
        <v>174</v>
      </c>
      <c r="AH273" s="0" t="s">
        <v>10297</v>
      </c>
      <c r="AI273" s="0" t="s">
        <v>5924</v>
      </c>
      <c r="AJ273" s="0" t="s">
        <v>10298</v>
      </c>
      <c r="AK273" s="0" t="s">
        <v>10299</v>
      </c>
      <c r="AL273" s="0" t="s">
        <v>168</v>
      </c>
      <c r="AM273" s="0" t="s">
        <v>4690</v>
      </c>
      <c r="AN273" s="0" t="s">
        <v>10291</v>
      </c>
      <c r="AO273" s="5" t="s">
        <v>162</v>
      </c>
      <c r="AR273" s="0" t="str">
        <f aca="false">IF(AND(AU273="pass",AO273&lt;&gt;"Y",C273&lt;&gt;""),"Y","N")</f>
        <v>N</v>
      </c>
      <c r="AS273" s="0" t="str">
        <f aca="false">_xlfn.TEXTJOIN("; ",TRUE(),IF(AU273&lt;&gt;"pass","gated out",""),IF(AO273="Y","on hold: "&amp;AP273,""),IF(C273="","no contact named on an opened page",""))</f>
        <v>gated out</v>
      </c>
      <c r="AU273" s="0" t="s">
        <v>3703</v>
      </c>
      <c r="AV273" s="0" t="s">
        <v>9762</v>
      </c>
      <c r="AW273" s="0" t="s">
        <v>10300</v>
      </c>
      <c r="AY273" s="0" t="s">
        <v>10299</v>
      </c>
      <c r="AZ273" s="0" t="s">
        <v>4595</v>
      </c>
      <c r="BA273" s="0" t="s">
        <v>4596</v>
      </c>
      <c r="BB273" s="0" t="s">
        <v>163</v>
      </c>
      <c r="BD273" s="0" t="s">
        <v>163</v>
      </c>
      <c r="BE273" s="0" t="s">
        <v>10301</v>
      </c>
      <c r="BF273" s="0" t="s">
        <v>168</v>
      </c>
      <c r="BG273" s="0" t="s">
        <v>168</v>
      </c>
      <c r="BH273" s="0" t="s">
        <v>163</v>
      </c>
      <c r="BJ273" s="0" t="s">
        <v>5143</v>
      </c>
      <c r="BK273" s="0" t="s">
        <v>168</v>
      </c>
      <c r="BL273" s="0" t="s">
        <v>168</v>
      </c>
      <c r="BM273" s="0" t="s">
        <v>10302</v>
      </c>
      <c r="BO273" s="0" t="s">
        <v>162</v>
      </c>
      <c r="BP273" s="0" t="n">
        <v>0</v>
      </c>
      <c r="BS273" s="0" t="s">
        <v>163</v>
      </c>
      <c r="BU273" s="0" t="s">
        <v>4694</v>
      </c>
      <c r="BV273" s="0" t="n">
        <v>65</v>
      </c>
      <c r="BW273" s="0" t="s">
        <v>10303</v>
      </c>
      <c r="BX273" s="0" t="s">
        <v>10293</v>
      </c>
      <c r="BY273" s="0" t="s">
        <v>6650</v>
      </c>
      <c r="CF273" s="0" t="s">
        <v>158</v>
      </c>
      <c r="CK273" s="0" t="s">
        <v>158</v>
      </c>
      <c r="CL273" s="0" t="n">
        <v>49</v>
      </c>
      <c r="CM273" s="0" t="n">
        <v>6</v>
      </c>
      <c r="CN273" s="0" t="n">
        <v>20</v>
      </c>
      <c r="CO273" s="0" t="n">
        <v>8</v>
      </c>
      <c r="CP273" s="0" t="n">
        <v>5</v>
      </c>
      <c r="CQ273" s="0" t="n">
        <v>7</v>
      </c>
      <c r="CR273" s="0" t="n">
        <v>3</v>
      </c>
      <c r="CS273" s="0" t="n">
        <f aca="false">IF(R273="Y",10,0)</f>
        <v>0</v>
      </c>
      <c r="CT273" s="0" t="n">
        <v>0</v>
      </c>
      <c r="CU273" s="0" t="s">
        <v>10304</v>
      </c>
      <c r="CV273" s="0" t="s">
        <v>5150</v>
      </c>
      <c r="CW273" s="0" t="s">
        <v>10305</v>
      </c>
      <c r="CX273" s="0" t="s">
        <v>10306</v>
      </c>
      <c r="DA273" s="0" t="s">
        <v>6234</v>
      </c>
      <c r="DY273" s="0" t="str">
        <f aca="false">IF(ISNUMBER(MATCH(U273,{"queued","contacted","replied","call_booked","call_done","yes_in_principle","materials_sent"},0)),"Y","N")</f>
        <v>N</v>
      </c>
      <c r="DZ273" s="0" t="str">
        <f aca="false">IF(COUNTIFS($AN$2:$AN$1000,AN273,$DY$2:$DY$1000,"Y")+COUNTIFS($AN$2:$AN$1000,AN273,$T$2:$T$1000,"Y")&gt;0,"Y","N")</f>
        <v>N</v>
      </c>
      <c r="EA273" s="0" t="str">
        <f aca="false">IF(AND(U273="new",T273="N",AR273="Y",AQ273="",DZ273="N"),"Y","N")</f>
        <v>N</v>
      </c>
      <c r="EB273" s="0" t="str">
        <f aca="false">IF(EA273&lt;&gt;"Y","N",IF(COUNTIFS($AN$2:$AN$1000,AN273,$EA$2:$EA$1000,"Y",$J$2:$J$1000,"&gt;"&amp;J273)+COUNTIFS($AN$2:$AN$1000,AN273,$EA$2:$EA$1000,"Y",$J$2:$J$1000,J273,$ED$2:$ED$1000,"&lt;"&amp;ED273)=0,"Y","N"))</f>
        <v>N</v>
      </c>
      <c r="EC273" s="0" t="str">
        <f aca="false">IF(Y273="","N",IF(Y273&lt;=10,"Y","N"))</f>
        <v>N</v>
      </c>
      <c r="ED273" s="0" t="n">
        <f aca="false">ROW()-1</f>
        <v>272</v>
      </c>
    </row>
    <row r="274" customFormat="false" ht="15" hidden="false" customHeight="false" outlineLevel="0" collapsed="false">
      <c r="A274" s="0" t="s">
        <v>10307</v>
      </c>
      <c r="B274" s="0" t="s">
        <v>10308</v>
      </c>
      <c r="C274" s="0" t="s">
        <v>10309</v>
      </c>
      <c r="D274" s="0" t="s">
        <v>163</v>
      </c>
      <c r="E274" s="0" t="s">
        <v>4656</v>
      </c>
      <c r="H274" s="5" t="s">
        <v>158</v>
      </c>
      <c r="I274" s="5" t="s">
        <v>159</v>
      </c>
      <c r="J274" s="0" t="n">
        <f aca="false">IF(AU274="pass",CM274+CN274+CO274+CP274+CQ274+CR274+CS274+CT274,0)</f>
        <v>0</v>
      </c>
      <c r="K274" s="0" t="s">
        <v>10310</v>
      </c>
      <c r="M274" s="0" t="s">
        <v>5291</v>
      </c>
      <c r="N274" s="0" t="s">
        <v>598</v>
      </c>
      <c r="O274" s="0" t="s">
        <v>10311</v>
      </c>
      <c r="P274" s="0" t="s">
        <v>10312</v>
      </c>
      <c r="Q274" s="0" t="s">
        <v>10313</v>
      </c>
      <c r="R274" s="5" t="s">
        <v>162</v>
      </c>
      <c r="S274" s="0" t="s">
        <v>163</v>
      </c>
      <c r="T274" s="5" t="s">
        <v>162</v>
      </c>
      <c r="U274" s="5" t="s">
        <v>561</v>
      </c>
      <c r="V274" s="0" t="s">
        <v>10314</v>
      </c>
      <c r="W274" s="0" t="s">
        <v>166</v>
      </c>
      <c r="X274" s="0" t="s">
        <v>4585</v>
      </c>
      <c r="Y274" s="0" t="str">
        <f aca="false">IF(EB274&lt;&gt;"Y","",COUNTIFS($EB$2:$EB$1000,"Y",$J$2:$J$1000,"&gt;"&amp;J274)+COUNTIFS($EB$2:$EB$1000,"Y",$J$2:$J$1000,J274,$ED$2:$ED$1000,"&lt;"&amp;ED274)+1)</f>
        <v/>
      </c>
      <c r="AA274" s="0" t="s">
        <v>162</v>
      </c>
      <c r="AC274" s="0" t="s">
        <v>4587</v>
      </c>
      <c r="AD274" s="0" t="s">
        <v>5008</v>
      </c>
      <c r="AE274" s="0" t="s">
        <v>172</v>
      </c>
      <c r="AF274" s="0" t="s">
        <v>10315</v>
      </c>
      <c r="AG274" s="0" t="s">
        <v>166</v>
      </c>
      <c r="AH274" s="0" t="s">
        <v>10316</v>
      </c>
      <c r="AI274" s="0" t="s">
        <v>5924</v>
      </c>
      <c r="AJ274" s="0" t="s">
        <v>163</v>
      </c>
      <c r="AK274" s="0" t="s">
        <v>10317</v>
      </c>
      <c r="AL274" s="0" t="s">
        <v>168</v>
      </c>
      <c r="AM274" s="0" t="s">
        <v>4690</v>
      </c>
      <c r="AN274" s="0" t="s">
        <v>10307</v>
      </c>
      <c r="AO274" s="5" t="s">
        <v>162</v>
      </c>
      <c r="AR274" s="0" t="str">
        <f aca="false">IF(AND(AU274="pass",AO274&lt;&gt;"Y",C274&lt;&gt;""),"Y","N")</f>
        <v>N</v>
      </c>
      <c r="AS274" s="0" t="str">
        <f aca="false">_xlfn.TEXTJOIN("; ",TRUE(),IF(AU274&lt;&gt;"pass","gated out",""),IF(AO274="Y","on hold: "&amp;AP274,""),IF(C274="","no contact named on an opened page",""))</f>
        <v>gated out</v>
      </c>
      <c r="AU274" s="0" t="s">
        <v>3703</v>
      </c>
      <c r="AV274" s="0" t="s">
        <v>9762</v>
      </c>
      <c r="AW274" s="0" t="s">
        <v>10318</v>
      </c>
      <c r="AY274" s="0" t="s">
        <v>10317</v>
      </c>
      <c r="AZ274" s="0" t="s">
        <v>163</v>
      </c>
      <c r="BA274" s="0" t="s">
        <v>163</v>
      </c>
      <c r="BB274" s="0" t="s">
        <v>163</v>
      </c>
      <c r="BD274" s="0" t="s">
        <v>163</v>
      </c>
      <c r="BE274" s="0" t="s">
        <v>10319</v>
      </c>
      <c r="BF274" s="0" t="s">
        <v>168</v>
      </c>
      <c r="BG274" s="0" t="s">
        <v>168</v>
      </c>
      <c r="BH274" s="0" t="s">
        <v>163</v>
      </c>
      <c r="BJ274" s="0" t="s">
        <v>5549</v>
      </c>
      <c r="BK274" s="0" t="s">
        <v>168</v>
      </c>
      <c r="BL274" s="0" t="s">
        <v>168</v>
      </c>
      <c r="BM274" s="0" t="s">
        <v>10320</v>
      </c>
      <c r="BO274" s="0" t="s">
        <v>162</v>
      </c>
      <c r="BP274" s="0" t="n">
        <v>0</v>
      </c>
      <c r="BS274" s="0" t="s">
        <v>163</v>
      </c>
      <c r="BU274" s="0" t="s">
        <v>4694</v>
      </c>
      <c r="BV274" s="0" t="n">
        <v>51</v>
      </c>
      <c r="BX274" s="0" t="s">
        <v>10309</v>
      </c>
      <c r="CF274" s="0" t="s">
        <v>158</v>
      </c>
      <c r="CK274" s="0" t="s">
        <v>158</v>
      </c>
      <c r="CL274" s="0" t="n">
        <v>33</v>
      </c>
      <c r="CM274" s="0" t="n">
        <v>6</v>
      </c>
      <c r="CN274" s="0" t="n">
        <v>4</v>
      </c>
      <c r="CO274" s="0" t="n">
        <v>8</v>
      </c>
      <c r="CP274" s="0" t="n">
        <v>5</v>
      </c>
      <c r="CQ274" s="0" t="n">
        <v>7</v>
      </c>
      <c r="CR274" s="0" t="n">
        <v>3</v>
      </c>
      <c r="CS274" s="0" t="n">
        <f aca="false">IF(R274="Y",10,0)</f>
        <v>0</v>
      </c>
      <c r="CT274" s="0" t="n">
        <v>0</v>
      </c>
      <c r="CU274" s="0" t="s">
        <v>10321</v>
      </c>
      <c r="CV274" s="0" t="s">
        <v>5562</v>
      </c>
      <c r="CW274" s="0" t="s">
        <v>10322</v>
      </c>
      <c r="CX274" s="0" t="s">
        <v>10323</v>
      </c>
      <c r="DA274" s="0" t="s">
        <v>6234</v>
      </c>
      <c r="DY274" s="0" t="str">
        <f aca="false">IF(ISNUMBER(MATCH(U274,{"queued","contacted","replied","call_booked","call_done","yes_in_principle","materials_sent"},0)),"Y","N")</f>
        <v>N</v>
      </c>
      <c r="DZ274" s="0" t="str">
        <f aca="false">IF(COUNTIFS($AN$2:$AN$1000,AN274,$DY$2:$DY$1000,"Y")+COUNTIFS($AN$2:$AN$1000,AN274,$T$2:$T$1000,"Y")&gt;0,"Y","N")</f>
        <v>N</v>
      </c>
      <c r="EA274" s="0" t="str">
        <f aca="false">IF(AND(U274="new",T274="N",AR274="Y",AQ274="",DZ274="N"),"Y","N")</f>
        <v>N</v>
      </c>
      <c r="EB274" s="0" t="str">
        <f aca="false">IF(EA274&lt;&gt;"Y","N",IF(COUNTIFS($AN$2:$AN$1000,AN274,$EA$2:$EA$1000,"Y",$J$2:$J$1000,"&gt;"&amp;J274)+COUNTIFS($AN$2:$AN$1000,AN274,$EA$2:$EA$1000,"Y",$J$2:$J$1000,J274,$ED$2:$ED$1000,"&lt;"&amp;ED274)=0,"Y","N"))</f>
        <v>N</v>
      </c>
      <c r="EC274" s="0" t="str">
        <f aca="false">IF(Y274="","N",IF(Y274&lt;=10,"Y","N"))</f>
        <v>N</v>
      </c>
      <c r="ED274" s="0" t="n">
        <f aca="false">ROW()-1</f>
        <v>273</v>
      </c>
    </row>
    <row r="275" customFormat="false" ht="15" hidden="false" customHeight="false" outlineLevel="0" collapsed="false">
      <c r="A275" s="0" t="s">
        <v>10324</v>
      </c>
      <c r="B275" s="0" t="s">
        <v>10325</v>
      </c>
      <c r="C275" s="0" t="s">
        <v>5101</v>
      </c>
      <c r="D275" s="0" t="s">
        <v>10326</v>
      </c>
      <c r="E275" s="0" t="s">
        <v>4771</v>
      </c>
      <c r="H275" s="5" t="s">
        <v>158</v>
      </c>
      <c r="I275" s="5" t="s">
        <v>159</v>
      </c>
      <c r="J275" s="0" t="n">
        <f aca="false">IF(AU275="pass",CM275+CN275+CO275+CP275+CQ275+CR275+CS275+CT275,0)</f>
        <v>0</v>
      </c>
      <c r="K275" s="0" t="s">
        <v>10327</v>
      </c>
      <c r="M275" s="0" t="s">
        <v>5291</v>
      </c>
      <c r="N275" s="0" t="s">
        <v>598</v>
      </c>
      <c r="O275" s="0" t="s">
        <v>10328</v>
      </c>
      <c r="P275" s="0" t="s">
        <v>10329</v>
      </c>
      <c r="Q275" s="0" t="s">
        <v>9030</v>
      </c>
      <c r="R275" s="5" t="s">
        <v>162</v>
      </c>
      <c r="S275" s="0" t="s">
        <v>163</v>
      </c>
      <c r="T275" s="5" t="s">
        <v>162</v>
      </c>
      <c r="U275" s="5" t="s">
        <v>561</v>
      </c>
      <c r="V275" s="0" t="s">
        <v>10330</v>
      </c>
      <c r="W275" s="0" t="s">
        <v>166</v>
      </c>
      <c r="X275" s="0" t="s">
        <v>4585</v>
      </c>
      <c r="Y275" s="0" t="str">
        <f aca="false">IF(EB275&lt;&gt;"Y","",COUNTIFS($EB$2:$EB$1000,"Y",$J$2:$J$1000,"&gt;"&amp;J275)+COUNTIFS($EB$2:$EB$1000,"Y",$J$2:$J$1000,J275,$ED$2:$ED$1000,"&lt;"&amp;ED275)+1)</f>
        <v/>
      </c>
      <c r="AA275" s="0" t="s">
        <v>162</v>
      </c>
      <c r="AC275" s="0" t="s">
        <v>4587</v>
      </c>
      <c r="AD275" s="0" t="s">
        <v>171</v>
      </c>
      <c r="AE275" s="0" t="s">
        <v>172</v>
      </c>
      <c r="AF275" s="0" t="s">
        <v>10330</v>
      </c>
      <c r="AG275" s="0" t="s">
        <v>166</v>
      </c>
      <c r="AH275" s="0" t="s">
        <v>10331</v>
      </c>
      <c r="AI275" s="0" t="s">
        <v>5763</v>
      </c>
      <c r="AJ275" s="0" t="s">
        <v>4634</v>
      </c>
      <c r="AK275" s="0" t="s">
        <v>10332</v>
      </c>
      <c r="AL275" s="0" t="s">
        <v>162</v>
      </c>
      <c r="AN275" s="0" t="s">
        <v>10324</v>
      </c>
      <c r="AO275" s="5" t="s">
        <v>162</v>
      </c>
      <c r="AR275" s="0" t="str">
        <f aca="false">IF(AND(AU275="pass",AO275&lt;&gt;"Y",C275&lt;&gt;""),"Y","N")</f>
        <v>N</v>
      </c>
      <c r="AS275" s="0" t="str">
        <f aca="false">_xlfn.TEXTJOIN("; ",TRUE(),IF(AU275&lt;&gt;"pass","gated out",""),IF(AO275="Y","on hold: "&amp;AP275,""),IF(C275="","no contact named on an opened page",""))</f>
        <v>gated out</v>
      </c>
      <c r="AU275" s="0" t="s">
        <v>3703</v>
      </c>
      <c r="AV275" s="0" t="s">
        <v>9883</v>
      </c>
      <c r="AW275" s="0" t="s">
        <v>10333</v>
      </c>
      <c r="AY275" s="0" t="s">
        <v>10332</v>
      </c>
      <c r="AZ275" s="0" t="s">
        <v>4595</v>
      </c>
      <c r="BA275" s="0" t="s">
        <v>4596</v>
      </c>
      <c r="BB275" s="0" t="s">
        <v>163</v>
      </c>
      <c r="BD275" s="0" t="s">
        <v>162</v>
      </c>
      <c r="BE275" s="0" t="s">
        <v>10334</v>
      </c>
      <c r="BF275" s="0" t="s">
        <v>168</v>
      </c>
      <c r="BG275" s="0" t="s">
        <v>168</v>
      </c>
      <c r="BH275" s="0" t="s">
        <v>163</v>
      </c>
      <c r="BJ275" s="0" t="s">
        <v>5549</v>
      </c>
      <c r="BK275" s="0" t="s">
        <v>162</v>
      </c>
      <c r="BL275" s="0" t="s">
        <v>168</v>
      </c>
      <c r="BM275" s="0" t="s">
        <v>10335</v>
      </c>
      <c r="BO275" s="0" t="s">
        <v>162</v>
      </c>
      <c r="BP275" s="0" t="n">
        <v>0</v>
      </c>
      <c r="BR275" s="0" t="s">
        <v>8089</v>
      </c>
      <c r="BS275" s="0" t="s">
        <v>10336</v>
      </c>
      <c r="BT275" s="0" t="s">
        <v>10329</v>
      </c>
      <c r="BU275" s="0" t="s">
        <v>4694</v>
      </c>
      <c r="BV275" s="0" t="n">
        <v>25</v>
      </c>
      <c r="BX275" s="0" t="s">
        <v>10337</v>
      </c>
      <c r="CF275" s="0" t="s">
        <v>158</v>
      </c>
      <c r="CK275" s="0" t="s">
        <v>158</v>
      </c>
      <c r="CL275" s="0" t="n">
        <v>51</v>
      </c>
      <c r="CM275" s="0" t="n">
        <v>6</v>
      </c>
      <c r="CN275" s="0" t="n">
        <v>20</v>
      </c>
      <c r="CO275" s="0" t="n">
        <v>8</v>
      </c>
      <c r="CP275" s="0" t="n">
        <v>5</v>
      </c>
      <c r="CQ275" s="0" t="n">
        <v>6</v>
      </c>
      <c r="CR275" s="0" t="n">
        <v>6</v>
      </c>
      <c r="CS275" s="0" t="n">
        <f aca="false">IF(R275="Y",10,0)</f>
        <v>0</v>
      </c>
      <c r="CT275" s="0" t="n">
        <v>0</v>
      </c>
      <c r="CU275" s="0" t="s">
        <v>163</v>
      </c>
      <c r="CV275" s="0" t="s">
        <v>5562</v>
      </c>
      <c r="CW275" s="0" t="s">
        <v>10338</v>
      </c>
      <c r="CX275" s="0" t="s">
        <v>10339</v>
      </c>
      <c r="DA275" s="0" t="s">
        <v>6234</v>
      </c>
      <c r="DY275" s="0" t="str">
        <f aca="false">IF(ISNUMBER(MATCH(U275,{"queued","contacted","replied","call_booked","call_done","yes_in_principle","materials_sent"},0)),"Y","N")</f>
        <v>N</v>
      </c>
      <c r="DZ275" s="0" t="str">
        <f aca="false">IF(COUNTIFS($AN$2:$AN$1000,AN275,$DY$2:$DY$1000,"Y")+COUNTIFS($AN$2:$AN$1000,AN275,$T$2:$T$1000,"Y")&gt;0,"Y","N")</f>
        <v>N</v>
      </c>
      <c r="EA275" s="0" t="str">
        <f aca="false">IF(AND(U275="new",T275="N",AR275="Y",AQ275="",DZ275="N"),"Y","N")</f>
        <v>N</v>
      </c>
      <c r="EB275" s="0" t="str">
        <f aca="false">IF(EA275&lt;&gt;"Y","N",IF(COUNTIFS($AN$2:$AN$1000,AN275,$EA$2:$EA$1000,"Y",$J$2:$J$1000,"&gt;"&amp;J275)+COUNTIFS($AN$2:$AN$1000,AN275,$EA$2:$EA$1000,"Y",$J$2:$J$1000,J275,$ED$2:$ED$1000,"&lt;"&amp;ED275)=0,"Y","N"))</f>
        <v>N</v>
      </c>
      <c r="EC275" s="0" t="str">
        <f aca="false">IF(Y275="","N",IF(Y275&lt;=10,"Y","N"))</f>
        <v>N</v>
      </c>
      <c r="ED275" s="0" t="n">
        <f aca="false">ROW()-1</f>
        <v>274</v>
      </c>
    </row>
    <row r="276" customFormat="false" ht="15" hidden="false" customHeight="false" outlineLevel="0" collapsed="false">
      <c r="A276" s="0" t="s">
        <v>10340</v>
      </c>
      <c r="B276" s="0" t="s">
        <v>10341</v>
      </c>
      <c r="C276" s="0" t="s">
        <v>10342</v>
      </c>
      <c r="D276" s="0" t="s">
        <v>163</v>
      </c>
      <c r="E276" s="0" t="s">
        <v>4771</v>
      </c>
      <c r="H276" s="5" t="s">
        <v>158</v>
      </c>
      <c r="I276" s="5" t="s">
        <v>159</v>
      </c>
      <c r="J276" s="0" t="n">
        <f aca="false">IF(AU276="pass",CM276+CN276+CO276+CP276+CQ276+CR276+CS276+CT276,0)</f>
        <v>0</v>
      </c>
      <c r="K276" s="0" t="s">
        <v>10343</v>
      </c>
      <c r="M276" s="0" t="s">
        <v>5291</v>
      </c>
      <c r="N276" s="0" t="s">
        <v>598</v>
      </c>
      <c r="O276" s="0" t="s">
        <v>10344</v>
      </c>
      <c r="P276" s="0" t="s">
        <v>10345</v>
      </c>
      <c r="Q276" s="0" t="s">
        <v>3758</v>
      </c>
      <c r="R276" s="5" t="s">
        <v>162</v>
      </c>
      <c r="S276" s="0" t="s">
        <v>163</v>
      </c>
      <c r="T276" s="5" t="s">
        <v>162</v>
      </c>
      <c r="U276" s="5" t="s">
        <v>561</v>
      </c>
      <c r="V276" s="0" t="s">
        <v>10346</v>
      </c>
      <c r="W276" s="0" t="s">
        <v>166</v>
      </c>
      <c r="X276" s="0" t="s">
        <v>4585</v>
      </c>
      <c r="Y276" s="0" t="str">
        <f aca="false">IF(EB276&lt;&gt;"Y","",COUNTIFS($EB$2:$EB$1000,"Y",$J$2:$J$1000,"&gt;"&amp;J276)+COUNTIFS($EB$2:$EB$1000,"Y",$J$2:$J$1000,J276,$ED$2:$ED$1000,"&lt;"&amp;ED276)+1)</f>
        <v/>
      </c>
      <c r="AA276" s="0" t="s">
        <v>162</v>
      </c>
      <c r="AC276" s="0" t="s">
        <v>4587</v>
      </c>
      <c r="AD276" s="0" t="s">
        <v>5008</v>
      </c>
      <c r="AE276" s="0" t="s">
        <v>172</v>
      </c>
      <c r="AF276" s="0" t="s">
        <v>10346</v>
      </c>
      <c r="AG276" s="0" t="s">
        <v>166</v>
      </c>
      <c r="AH276" s="0" t="s">
        <v>10347</v>
      </c>
      <c r="AI276" s="0" t="s">
        <v>5736</v>
      </c>
      <c r="AJ276" s="0" t="s">
        <v>4634</v>
      </c>
      <c r="AK276" s="0" t="s">
        <v>10348</v>
      </c>
      <c r="AL276" s="0" t="s">
        <v>162</v>
      </c>
      <c r="AN276" s="0" t="s">
        <v>10340</v>
      </c>
      <c r="AO276" s="5" t="s">
        <v>162</v>
      </c>
      <c r="AR276" s="0" t="str">
        <f aca="false">IF(AND(AU276="pass",AO276&lt;&gt;"Y",C276&lt;&gt;""),"Y","N")</f>
        <v>N</v>
      </c>
      <c r="AS276" s="0" t="str">
        <f aca="false">_xlfn.TEXTJOIN("; ",TRUE(),IF(AU276&lt;&gt;"pass","gated out",""),IF(AO276="Y","on hold: "&amp;AP276,""),IF(C276="","no contact named on an opened page",""))</f>
        <v>gated out</v>
      </c>
      <c r="AU276" s="0" t="s">
        <v>3703</v>
      </c>
      <c r="AV276" s="0" t="s">
        <v>10349</v>
      </c>
      <c r="AW276" s="0" t="s">
        <v>10350</v>
      </c>
      <c r="AY276" s="0" t="s">
        <v>10348</v>
      </c>
      <c r="AZ276" s="0" t="s">
        <v>4595</v>
      </c>
      <c r="BA276" s="0" t="s">
        <v>4596</v>
      </c>
      <c r="BB276" s="0" t="s">
        <v>163</v>
      </c>
      <c r="BD276" s="0" t="s">
        <v>162</v>
      </c>
      <c r="BE276" s="0" t="s">
        <v>10351</v>
      </c>
      <c r="BF276" s="0" t="s">
        <v>162</v>
      </c>
      <c r="BG276" s="0" t="s">
        <v>168</v>
      </c>
      <c r="BH276" s="0" t="s">
        <v>163</v>
      </c>
      <c r="BJ276" s="0" t="s">
        <v>5549</v>
      </c>
      <c r="BK276" s="0" t="s">
        <v>162</v>
      </c>
      <c r="BL276" s="0" t="s">
        <v>168</v>
      </c>
      <c r="BM276" s="0" t="s">
        <v>10352</v>
      </c>
      <c r="BO276" s="0" t="s">
        <v>162</v>
      </c>
      <c r="BP276" s="0" t="n">
        <v>0</v>
      </c>
      <c r="BS276" s="0" t="s">
        <v>10353</v>
      </c>
      <c r="BU276" s="0" t="s">
        <v>4694</v>
      </c>
      <c r="BV276" s="0" t="n">
        <v>135</v>
      </c>
      <c r="BX276" s="0" t="s">
        <v>10342</v>
      </c>
      <c r="CF276" s="0" t="s">
        <v>158</v>
      </c>
      <c r="CK276" s="0" t="s">
        <v>158</v>
      </c>
      <c r="CL276" s="0" t="n">
        <v>45</v>
      </c>
      <c r="CM276" s="0" t="n">
        <v>6</v>
      </c>
      <c r="CN276" s="0" t="n">
        <v>20</v>
      </c>
      <c r="CO276" s="0" t="n">
        <v>8</v>
      </c>
      <c r="CP276" s="0" t="n">
        <v>5</v>
      </c>
      <c r="CQ276" s="0" t="n">
        <v>3</v>
      </c>
      <c r="CR276" s="0" t="n">
        <v>3</v>
      </c>
      <c r="CS276" s="0" t="n">
        <f aca="false">IF(R276="Y",10,0)</f>
        <v>0</v>
      </c>
      <c r="CT276" s="0" t="n">
        <v>0</v>
      </c>
      <c r="CU276" s="0" t="s">
        <v>10354</v>
      </c>
      <c r="CV276" s="0" t="s">
        <v>5562</v>
      </c>
      <c r="CW276" s="0" t="s">
        <v>10355</v>
      </c>
      <c r="CX276" s="0" t="s">
        <v>10356</v>
      </c>
      <c r="DA276" s="0" t="s">
        <v>6234</v>
      </c>
      <c r="DY276" s="0" t="str">
        <f aca="false">IF(ISNUMBER(MATCH(U276,{"queued","contacted","replied","call_booked","call_done","yes_in_principle","materials_sent"},0)),"Y","N")</f>
        <v>N</v>
      </c>
      <c r="DZ276" s="0" t="str">
        <f aca="false">IF(COUNTIFS($AN$2:$AN$1000,AN276,$DY$2:$DY$1000,"Y")+COUNTIFS($AN$2:$AN$1000,AN276,$T$2:$T$1000,"Y")&gt;0,"Y","N")</f>
        <v>N</v>
      </c>
      <c r="EA276" s="0" t="str">
        <f aca="false">IF(AND(U276="new",T276="N",AR276="Y",AQ276="",DZ276="N"),"Y","N")</f>
        <v>N</v>
      </c>
      <c r="EB276" s="0" t="str">
        <f aca="false">IF(EA276&lt;&gt;"Y","N",IF(COUNTIFS($AN$2:$AN$1000,AN276,$EA$2:$EA$1000,"Y",$J$2:$J$1000,"&gt;"&amp;J276)+COUNTIFS($AN$2:$AN$1000,AN276,$EA$2:$EA$1000,"Y",$J$2:$J$1000,J276,$ED$2:$ED$1000,"&lt;"&amp;ED276)=0,"Y","N"))</f>
        <v>N</v>
      </c>
      <c r="EC276" s="0" t="str">
        <f aca="false">IF(Y276="","N",IF(Y276&lt;=10,"Y","N"))</f>
        <v>N</v>
      </c>
      <c r="ED276" s="0" t="n">
        <f aca="false">ROW()-1</f>
        <v>275</v>
      </c>
    </row>
    <row r="277" customFormat="false" ht="15" hidden="false" customHeight="false" outlineLevel="0" collapsed="false">
      <c r="A277" s="0" t="s">
        <v>10357</v>
      </c>
      <c r="B277" s="0" t="s">
        <v>10358</v>
      </c>
      <c r="C277" s="0" t="s">
        <v>8752</v>
      </c>
      <c r="D277" s="0" t="s">
        <v>10359</v>
      </c>
      <c r="E277" s="0" t="s">
        <v>4771</v>
      </c>
      <c r="H277" s="5" t="s">
        <v>158</v>
      </c>
      <c r="I277" s="5" t="s">
        <v>159</v>
      </c>
      <c r="J277" s="0" t="n">
        <f aca="false">IF(AU277="pass",CM277+CN277+CO277+CP277+CQ277+CR277+CS277+CT277,0)</f>
        <v>0</v>
      </c>
      <c r="K277" s="0" t="s">
        <v>10360</v>
      </c>
      <c r="M277" s="0" t="s">
        <v>5291</v>
      </c>
      <c r="N277" s="0" t="s">
        <v>598</v>
      </c>
      <c r="O277" s="0" t="s">
        <v>10361</v>
      </c>
      <c r="P277" s="0" t="s">
        <v>10362</v>
      </c>
      <c r="Q277" s="0" t="s">
        <v>10363</v>
      </c>
      <c r="R277" s="5" t="s">
        <v>162</v>
      </c>
      <c r="S277" s="0" t="s">
        <v>168</v>
      </c>
      <c r="T277" s="5" t="s">
        <v>162</v>
      </c>
      <c r="U277" s="5" t="s">
        <v>561</v>
      </c>
      <c r="V277" s="0" t="s">
        <v>10364</v>
      </c>
      <c r="W277" s="0" t="s">
        <v>166</v>
      </c>
      <c r="X277" s="0" t="s">
        <v>4585</v>
      </c>
      <c r="Y277" s="0" t="str">
        <f aca="false">IF(EB277&lt;&gt;"Y","",COUNTIFS($EB$2:$EB$1000,"Y",$J$2:$J$1000,"&gt;"&amp;J277)+COUNTIFS($EB$2:$EB$1000,"Y",$J$2:$J$1000,J277,$ED$2:$ED$1000,"&lt;"&amp;ED277)+1)</f>
        <v/>
      </c>
      <c r="AA277" s="0" t="s">
        <v>162</v>
      </c>
      <c r="AC277" s="0" t="s">
        <v>4587</v>
      </c>
      <c r="AD277" s="0" t="s">
        <v>171</v>
      </c>
      <c r="AE277" s="0" t="s">
        <v>1189</v>
      </c>
      <c r="AF277" s="0" t="s">
        <v>10362</v>
      </c>
      <c r="AG277" s="0" t="s">
        <v>166</v>
      </c>
      <c r="AH277" s="0" t="s">
        <v>10365</v>
      </c>
      <c r="AI277" s="0" t="s">
        <v>4664</v>
      </c>
      <c r="AJ277" s="0" t="s">
        <v>10366</v>
      </c>
      <c r="AK277" s="0" t="s">
        <v>10367</v>
      </c>
      <c r="AL277" s="0" t="s">
        <v>168</v>
      </c>
      <c r="AM277" s="0" t="s">
        <v>4690</v>
      </c>
      <c r="AN277" s="0" t="s">
        <v>10357</v>
      </c>
      <c r="AO277" s="5" t="s">
        <v>162</v>
      </c>
      <c r="AR277" s="0" t="str">
        <f aca="false">IF(AND(AU277="pass",AO277&lt;&gt;"Y",C277&lt;&gt;""),"Y","N")</f>
        <v>N</v>
      </c>
      <c r="AS277" s="0" t="str">
        <f aca="false">_xlfn.TEXTJOIN("; ",TRUE(),IF(AU277&lt;&gt;"pass","gated out",""),IF(AO277="Y","on hold: "&amp;AP277,""),IF(C277="","no contact named on an opened page",""))</f>
        <v>gated out</v>
      </c>
      <c r="AU277" s="0" t="s">
        <v>3703</v>
      </c>
      <c r="AV277" s="0" t="s">
        <v>9920</v>
      </c>
      <c r="AW277" s="0" t="s">
        <v>10368</v>
      </c>
      <c r="AY277" s="0" t="s">
        <v>10367</v>
      </c>
      <c r="AZ277" s="0" t="s">
        <v>4595</v>
      </c>
      <c r="BA277" s="0" t="s">
        <v>4951</v>
      </c>
      <c r="BB277" s="0" t="s">
        <v>10369</v>
      </c>
      <c r="BD277" s="0" t="s">
        <v>163</v>
      </c>
      <c r="BE277" s="0" t="s">
        <v>10370</v>
      </c>
      <c r="BF277" s="0" t="s">
        <v>163</v>
      </c>
      <c r="BG277" s="0" t="s">
        <v>168</v>
      </c>
      <c r="BH277" s="0" t="s">
        <v>163</v>
      </c>
      <c r="BJ277" s="0" t="s">
        <v>10371</v>
      </c>
      <c r="BK277" s="0" t="s">
        <v>162</v>
      </c>
      <c r="BL277" s="0" t="s">
        <v>168</v>
      </c>
      <c r="BM277" s="0" t="s">
        <v>10372</v>
      </c>
      <c r="BO277" s="0" t="s">
        <v>162</v>
      </c>
      <c r="BP277" s="0" t="n">
        <v>0</v>
      </c>
      <c r="BS277" s="0" t="s">
        <v>10373</v>
      </c>
      <c r="BU277" s="0" t="s">
        <v>4604</v>
      </c>
      <c r="BV277" s="0" t="n">
        <v>309</v>
      </c>
      <c r="BW277" s="0" t="s">
        <v>10362</v>
      </c>
      <c r="BX277" s="0" t="s">
        <v>10374</v>
      </c>
      <c r="CF277" s="0" t="s">
        <v>158</v>
      </c>
      <c r="CK277" s="0" t="s">
        <v>158</v>
      </c>
      <c r="CL277" s="0" t="n">
        <v>43</v>
      </c>
      <c r="CM277" s="0" t="n">
        <v>6</v>
      </c>
      <c r="CN277" s="0" t="n">
        <v>13</v>
      </c>
      <c r="CO277" s="0" t="n">
        <v>8</v>
      </c>
      <c r="CP277" s="0" t="n">
        <v>5</v>
      </c>
      <c r="CQ277" s="0" t="n">
        <v>5</v>
      </c>
      <c r="CR277" s="0" t="n">
        <v>6</v>
      </c>
      <c r="CS277" s="0" t="n">
        <f aca="false">IF(R277="Y",10,0)</f>
        <v>0</v>
      </c>
      <c r="CT277" s="0" t="n">
        <v>0</v>
      </c>
      <c r="CV277" s="0" t="s">
        <v>4615</v>
      </c>
      <c r="CW277" s="0" t="s">
        <v>10375</v>
      </c>
      <c r="CX277" s="0" t="s">
        <v>10376</v>
      </c>
      <c r="DA277" s="0" t="s">
        <v>6234</v>
      </c>
      <c r="DY277" s="0" t="str">
        <f aca="false">IF(ISNUMBER(MATCH(U277,{"queued","contacted","replied","call_booked","call_done","yes_in_principle","materials_sent"},0)),"Y","N")</f>
        <v>N</v>
      </c>
      <c r="DZ277" s="0" t="str">
        <f aca="false">IF(COUNTIFS($AN$2:$AN$1000,AN277,$DY$2:$DY$1000,"Y")+COUNTIFS($AN$2:$AN$1000,AN277,$T$2:$T$1000,"Y")&gt;0,"Y","N")</f>
        <v>N</v>
      </c>
      <c r="EA277" s="0" t="str">
        <f aca="false">IF(AND(U277="new",T277="N",AR277="Y",AQ277="",DZ277="N"),"Y","N")</f>
        <v>N</v>
      </c>
      <c r="EB277" s="0" t="str">
        <f aca="false">IF(EA277&lt;&gt;"Y","N",IF(COUNTIFS($AN$2:$AN$1000,AN277,$EA$2:$EA$1000,"Y",$J$2:$J$1000,"&gt;"&amp;J277)+COUNTIFS($AN$2:$AN$1000,AN277,$EA$2:$EA$1000,"Y",$J$2:$J$1000,J277,$ED$2:$ED$1000,"&lt;"&amp;ED277)=0,"Y","N"))</f>
        <v>N</v>
      </c>
      <c r="EC277" s="0" t="str">
        <f aca="false">IF(Y277="","N",IF(Y277&lt;=10,"Y","N"))</f>
        <v>N</v>
      </c>
      <c r="ED277" s="0" t="n">
        <f aca="false">ROW()-1</f>
        <v>276</v>
      </c>
    </row>
    <row r="278" customFormat="false" ht="15" hidden="false" customHeight="false" outlineLevel="0" collapsed="false">
      <c r="A278" s="0" t="s">
        <v>10377</v>
      </c>
      <c r="B278" s="0" t="s">
        <v>10378</v>
      </c>
      <c r="H278" s="5" t="s">
        <v>158</v>
      </c>
      <c r="I278" s="5"/>
      <c r="J278" s="0" t="n">
        <f aca="false">IF(AU278="pass",CM278+CN278+CO278+CP278+CQ278+CR278+CS278+CT278,0)</f>
        <v>0</v>
      </c>
      <c r="K278" s="0" t="s">
        <v>10379</v>
      </c>
      <c r="M278" s="0" t="s">
        <v>5291</v>
      </c>
      <c r="N278" s="0" t="s">
        <v>598</v>
      </c>
      <c r="O278" s="0" t="s">
        <v>10380</v>
      </c>
      <c r="P278" s="0" t="s">
        <v>10381</v>
      </c>
      <c r="Q278" s="0" t="s">
        <v>6097</v>
      </c>
      <c r="R278" s="5" t="s">
        <v>162</v>
      </c>
      <c r="S278" s="0" t="s">
        <v>163</v>
      </c>
      <c r="T278" s="5" t="s">
        <v>162</v>
      </c>
      <c r="U278" s="5" t="s">
        <v>561</v>
      </c>
      <c r="V278" s="0" t="s">
        <v>10382</v>
      </c>
      <c r="W278" s="0" t="s">
        <v>166</v>
      </c>
      <c r="X278" s="0" t="s">
        <v>4585</v>
      </c>
      <c r="Y278" s="0" t="str">
        <f aca="false">IF(EB278&lt;&gt;"Y","",COUNTIFS($EB$2:$EB$1000,"Y",$J$2:$J$1000,"&gt;"&amp;J278)+COUNTIFS($EB$2:$EB$1000,"Y",$J$2:$J$1000,J278,$ED$2:$ED$1000,"&lt;"&amp;ED278)+1)</f>
        <v/>
      </c>
      <c r="AA278" s="0" t="s">
        <v>162</v>
      </c>
      <c r="AD278" s="0" t="s">
        <v>158</v>
      </c>
      <c r="AH278" s="0" t="s">
        <v>10383</v>
      </c>
      <c r="AI278" s="0" t="s">
        <v>5079</v>
      </c>
      <c r="AJ278" s="0" t="s">
        <v>163</v>
      </c>
      <c r="AK278" s="0" t="s">
        <v>10384</v>
      </c>
      <c r="AL278" s="0" t="s">
        <v>168</v>
      </c>
      <c r="AM278" s="0" t="s">
        <v>10385</v>
      </c>
      <c r="AN278" s="0" t="s">
        <v>10377</v>
      </c>
      <c r="AO278" s="5" t="s">
        <v>162</v>
      </c>
      <c r="AR278" s="0" t="str">
        <f aca="false">IF(AND(AU278="pass",AO278&lt;&gt;"Y",C278&lt;&gt;""),"Y","N")</f>
        <v>N</v>
      </c>
      <c r="AS278" s="0" t="str">
        <f aca="false">_xlfn.TEXTJOIN("; ",TRUE(),IF(AU278&lt;&gt;"pass","gated out",""),IF(AO278="Y","on hold: "&amp;AP278,""),IF(C278="","no contact named on an opened page",""))</f>
        <v>gated out; no contact named on an opened page</v>
      </c>
      <c r="AU278" s="0" t="s">
        <v>3703</v>
      </c>
      <c r="AV278" s="0" t="s">
        <v>9762</v>
      </c>
      <c r="AW278" s="0" t="s">
        <v>10386</v>
      </c>
      <c r="AX278" s="0" t="s">
        <v>4594</v>
      </c>
      <c r="AY278" s="0" t="s">
        <v>10384</v>
      </c>
      <c r="AZ278" s="0" t="s">
        <v>163</v>
      </c>
      <c r="BA278" s="0" t="s">
        <v>163</v>
      </c>
      <c r="BB278" s="0" t="s">
        <v>163</v>
      </c>
      <c r="BD278" s="0" t="s">
        <v>263</v>
      </c>
      <c r="BE278" s="0" t="s">
        <v>10387</v>
      </c>
      <c r="BF278" s="0" t="s">
        <v>168</v>
      </c>
      <c r="BG278" s="0" t="s">
        <v>168</v>
      </c>
      <c r="BH278" s="0" t="s">
        <v>163</v>
      </c>
      <c r="BJ278" s="0" t="s">
        <v>163</v>
      </c>
      <c r="BK278" s="0" t="s">
        <v>168</v>
      </c>
      <c r="BL278" s="0" t="s">
        <v>168</v>
      </c>
      <c r="BM278" s="0" t="s">
        <v>10388</v>
      </c>
      <c r="BO278" s="0" t="s">
        <v>162</v>
      </c>
      <c r="BP278" s="0" t="n">
        <v>0</v>
      </c>
      <c r="BS278" s="0" t="s">
        <v>10389</v>
      </c>
      <c r="BT278" s="0" t="s">
        <v>10390</v>
      </c>
      <c r="BU278" s="0" t="s">
        <v>4694</v>
      </c>
      <c r="BV278" s="0" t="n">
        <v>11</v>
      </c>
      <c r="CF278" s="0" t="s">
        <v>158</v>
      </c>
      <c r="CK278" s="0" t="s">
        <v>158</v>
      </c>
      <c r="CL278" s="0" t="n">
        <v>27</v>
      </c>
      <c r="CM278" s="0" t="n">
        <v>6</v>
      </c>
      <c r="CN278" s="0" t="n">
        <v>4</v>
      </c>
      <c r="CO278" s="0" t="n">
        <v>8</v>
      </c>
      <c r="CP278" s="0" t="n">
        <v>5</v>
      </c>
      <c r="CQ278" s="0" t="n">
        <v>8</v>
      </c>
      <c r="CR278" s="0" t="n">
        <v>0</v>
      </c>
      <c r="CS278" s="0" t="n">
        <f aca="false">IF(R278="Y",10,0)</f>
        <v>0</v>
      </c>
      <c r="CT278" s="0" t="n">
        <v>-4</v>
      </c>
      <c r="CU278" s="0" t="s">
        <v>10391</v>
      </c>
      <c r="CV278" s="0" t="s">
        <v>4703</v>
      </c>
      <c r="CW278" s="0" t="s">
        <v>10392</v>
      </c>
      <c r="CX278" s="0" t="s">
        <v>10393</v>
      </c>
      <c r="DA278" s="0" t="s">
        <v>6234</v>
      </c>
      <c r="DY278" s="0" t="str">
        <f aca="false">IF(ISNUMBER(MATCH(U278,{"queued","contacted","replied","call_booked","call_done","yes_in_principle","materials_sent"},0)),"Y","N")</f>
        <v>N</v>
      </c>
      <c r="DZ278" s="0" t="str">
        <f aca="false">IF(COUNTIFS($AN$2:$AN$1000,AN278,$DY$2:$DY$1000,"Y")+COUNTIFS($AN$2:$AN$1000,AN278,$T$2:$T$1000,"Y")&gt;0,"Y","N")</f>
        <v>N</v>
      </c>
      <c r="EA278" s="0" t="str">
        <f aca="false">IF(AND(U278="new",T278="N",AR278="Y",AQ278="",DZ278="N"),"Y","N")</f>
        <v>N</v>
      </c>
      <c r="EB278" s="0" t="str">
        <f aca="false">IF(EA278&lt;&gt;"Y","N",IF(COUNTIFS($AN$2:$AN$1000,AN278,$EA$2:$EA$1000,"Y",$J$2:$J$1000,"&gt;"&amp;J278)+COUNTIFS($AN$2:$AN$1000,AN278,$EA$2:$EA$1000,"Y",$J$2:$J$1000,J278,$ED$2:$ED$1000,"&lt;"&amp;ED278)=0,"Y","N"))</f>
        <v>N</v>
      </c>
      <c r="EC278" s="0" t="str">
        <f aca="false">IF(Y278="","N",IF(Y278&lt;=10,"Y","N"))</f>
        <v>N</v>
      </c>
      <c r="ED278" s="0" t="n">
        <f aca="false">ROW()-1</f>
        <v>277</v>
      </c>
    </row>
    <row r="279" customFormat="false" ht="15" hidden="false" customHeight="false" outlineLevel="0" collapsed="false">
      <c r="A279" s="0" t="s">
        <v>10394</v>
      </c>
      <c r="B279" s="0" t="s">
        <v>10395</v>
      </c>
      <c r="C279" s="0" t="s">
        <v>5208</v>
      </c>
      <c r="D279" s="0" t="s">
        <v>5102</v>
      </c>
      <c r="E279" s="0" t="s">
        <v>10396</v>
      </c>
      <c r="H279" s="5" t="s">
        <v>158</v>
      </c>
      <c r="I279" s="5" t="s">
        <v>159</v>
      </c>
      <c r="J279" s="0" t="n">
        <f aca="false">IF(AU279="pass",CM279+CN279+CO279+CP279+CQ279+CR279+CS279+CT279,0)</f>
        <v>0</v>
      </c>
      <c r="K279" s="0" t="s">
        <v>10397</v>
      </c>
      <c r="M279" s="0" t="s">
        <v>5291</v>
      </c>
      <c r="N279" s="0" t="s">
        <v>598</v>
      </c>
      <c r="O279" s="0" t="s">
        <v>10398</v>
      </c>
      <c r="P279" s="0" t="s">
        <v>10399</v>
      </c>
      <c r="Q279" s="0" t="s">
        <v>8921</v>
      </c>
      <c r="R279" s="5" t="s">
        <v>162</v>
      </c>
      <c r="S279" s="0" t="s">
        <v>168</v>
      </c>
      <c r="T279" s="5" t="s">
        <v>162</v>
      </c>
      <c r="U279" s="5" t="s">
        <v>561</v>
      </c>
      <c r="V279" s="0" t="s">
        <v>10399</v>
      </c>
      <c r="W279" s="0" t="s">
        <v>166</v>
      </c>
      <c r="X279" s="0" t="s">
        <v>4585</v>
      </c>
      <c r="Y279" s="0" t="str">
        <f aca="false">IF(EB279&lt;&gt;"Y","",COUNTIFS($EB$2:$EB$1000,"Y",$J$2:$J$1000,"&gt;"&amp;J279)+COUNTIFS($EB$2:$EB$1000,"Y",$J$2:$J$1000,J279,$ED$2:$ED$1000,"&lt;"&amp;ED279)+1)</f>
        <v/>
      </c>
      <c r="AA279" s="0" t="s">
        <v>162</v>
      </c>
      <c r="AC279" s="0" t="s">
        <v>4587</v>
      </c>
      <c r="AD279" s="0" t="s">
        <v>171</v>
      </c>
      <c r="AE279" s="0" t="s">
        <v>1189</v>
      </c>
      <c r="AF279" s="0" t="s">
        <v>10399</v>
      </c>
      <c r="AG279" s="0" t="s">
        <v>166</v>
      </c>
      <c r="AH279" s="0" t="s">
        <v>10400</v>
      </c>
      <c r="AI279" s="0" t="s">
        <v>5924</v>
      </c>
      <c r="AJ279" s="0" t="s">
        <v>10013</v>
      </c>
      <c r="AK279" s="0" t="s">
        <v>10401</v>
      </c>
      <c r="AL279" s="0" t="s">
        <v>162</v>
      </c>
      <c r="AN279" s="0" t="s">
        <v>10394</v>
      </c>
      <c r="AO279" s="5" t="s">
        <v>162</v>
      </c>
      <c r="AR279" s="0" t="str">
        <f aca="false">IF(AND(AU279="pass",AO279&lt;&gt;"Y",C279&lt;&gt;""),"Y","N")</f>
        <v>N</v>
      </c>
      <c r="AS279" s="0" t="str">
        <f aca="false">_xlfn.TEXTJOIN("; ",TRUE(),IF(AU279&lt;&gt;"pass","gated out",""),IF(AO279="Y","on hold: "&amp;AP279,""),IF(C279="","no contact named on an opened page",""))</f>
        <v>gated out</v>
      </c>
      <c r="AU279" s="0" t="s">
        <v>3703</v>
      </c>
      <c r="AV279" s="0" t="s">
        <v>10402</v>
      </c>
      <c r="AW279" s="0" t="s">
        <v>10403</v>
      </c>
      <c r="AY279" s="0" t="s">
        <v>10401</v>
      </c>
      <c r="AZ279" s="0" t="s">
        <v>4595</v>
      </c>
      <c r="BA279" s="0" t="s">
        <v>4596</v>
      </c>
      <c r="BB279" s="0" t="s">
        <v>163</v>
      </c>
      <c r="BD279" s="0" t="s">
        <v>168</v>
      </c>
      <c r="BE279" s="0" t="s">
        <v>10404</v>
      </c>
      <c r="BF279" s="0" t="s">
        <v>168</v>
      </c>
      <c r="BG279" s="0" t="s">
        <v>168</v>
      </c>
      <c r="BH279" s="0" t="s">
        <v>10405</v>
      </c>
      <c r="BI279" s="0" t="s">
        <v>6457</v>
      </c>
      <c r="BJ279" s="0" t="s">
        <v>10406</v>
      </c>
      <c r="BK279" s="0" t="s">
        <v>162</v>
      </c>
      <c r="BL279" s="0" t="s">
        <v>168</v>
      </c>
      <c r="BM279" s="0" t="s">
        <v>10407</v>
      </c>
      <c r="BO279" s="0" t="s">
        <v>162</v>
      </c>
      <c r="BP279" s="0" t="n">
        <v>0</v>
      </c>
      <c r="BS279" s="0" t="s">
        <v>10408</v>
      </c>
      <c r="BU279" s="0" t="s">
        <v>4604</v>
      </c>
      <c r="BV279" s="0" t="n">
        <v>344</v>
      </c>
      <c r="BW279" s="0" t="s">
        <v>10399</v>
      </c>
      <c r="BX279" s="0" t="s">
        <v>10409</v>
      </c>
      <c r="CF279" s="0" t="s">
        <v>158</v>
      </c>
      <c r="CK279" s="0" t="s">
        <v>158</v>
      </c>
      <c r="CL279" s="0" t="n">
        <v>52</v>
      </c>
      <c r="CM279" s="0" t="n">
        <v>6</v>
      </c>
      <c r="CN279" s="0" t="n">
        <v>20</v>
      </c>
      <c r="CO279" s="0" t="n">
        <v>8</v>
      </c>
      <c r="CP279" s="0" t="n">
        <v>2</v>
      </c>
      <c r="CQ279" s="0" t="n">
        <v>10</v>
      </c>
      <c r="CR279" s="0" t="n">
        <v>6</v>
      </c>
      <c r="CS279" s="0" t="n">
        <f aca="false">IF(R279="Y",10,0)</f>
        <v>0</v>
      </c>
      <c r="CT279" s="0" t="n">
        <v>0</v>
      </c>
      <c r="CV279" s="0" t="s">
        <v>4615</v>
      </c>
      <c r="CW279" s="0" t="s">
        <v>10410</v>
      </c>
      <c r="CX279" s="0" t="s">
        <v>10021</v>
      </c>
      <c r="DA279" s="0" t="s">
        <v>6234</v>
      </c>
      <c r="DY279" s="0" t="str">
        <f aca="false">IF(ISNUMBER(MATCH(U279,{"queued","contacted","replied","call_booked","call_done","yes_in_principle","materials_sent"},0)),"Y","N")</f>
        <v>N</v>
      </c>
      <c r="DZ279" s="0" t="str">
        <f aca="false">IF(COUNTIFS($AN$2:$AN$1000,AN279,$DY$2:$DY$1000,"Y")+COUNTIFS($AN$2:$AN$1000,AN279,$T$2:$T$1000,"Y")&gt;0,"Y","N")</f>
        <v>N</v>
      </c>
      <c r="EA279" s="0" t="str">
        <f aca="false">IF(AND(U279="new",T279="N",AR279="Y",AQ279="",DZ279="N"),"Y","N")</f>
        <v>N</v>
      </c>
      <c r="EB279" s="0" t="str">
        <f aca="false">IF(EA279&lt;&gt;"Y","N",IF(COUNTIFS($AN$2:$AN$1000,AN279,$EA$2:$EA$1000,"Y",$J$2:$J$1000,"&gt;"&amp;J279)+COUNTIFS($AN$2:$AN$1000,AN279,$EA$2:$EA$1000,"Y",$J$2:$J$1000,J279,$ED$2:$ED$1000,"&lt;"&amp;ED279)=0,"Y","N"))</f>
        <v>N</v>
      </c>
      <c r="EC279" s="0" t="str">
        <f aca="false">IF(Y279="","N",IF(Y279&lt;=10,"Y","N"))</f>
        <v>N</v>
      </c>
      <c r="ED279" s="0" t="n">
        <f aca="false">ROW()-1</f>
        <v>278</v>
      </c>
    </row>
    <row r="280" customFormat="false" ht="15" hidden="false" customHeight="false" outlineLevel="0" collapsed="false">
      <c r="A280" s="0" t="s">
        <v>10411</v>
      </c>
      <c r="B280" s="0" t="s">
        <v>10412</v>
      </c>
      <c r="H280" s="5" t="s">
        <v>158</v>
      </c>
      <c r="I280" s="5"/>
      <c r="J280" s="0" t="n">
        <f aca="false">IF(AU280="pass",CM280+CN280+CO280+CP280+CQ280+CR280+CS280+CT280,0)</f>
        <v>0</v>
      </c>
      <c r="K280" s="0" t="s">
        <v>10052</v>
      </c>
      <c r="M280" s="0" t="s">
        <v>5291</v>
      </c>
      <c r="N280" s="0" t="s">
        <v>598</v>
      </c>
      <c r="O280" s="0" t="s">
        <v>9451</v>
      </c>
      <c r="P280" s="0" t="s">
        <v>10413</v>
      </c>
      <c r="Q280" s="0" t="s">
        <v>7153</v>
      </c>
      <c r="R280" s="5" t="s">
        <v>162</v>
      </c>
      <c r="S280" s="0" t="s">
        <v>163</v>
      </c>
      <c r="T280" s="5" t="s">
        <v>162</v>
      </c>
      <c r="U280" s="5" t="s">
        <v>561</v>
      </c>
      <c r="V280" s="0" t="s">
        <v>10413</v>
      </c>
      <c r="W280" s="0" t="s">
        <v>166</v>
      </c>
      <c r="X280" s="0" t="s">
        <v>4585</v>
      </c>
      <c r="Y280" s="0" t="str">
        <f aca="false">IF(EB280&lt;&gt;"Y","",COUNTIFS($EB$2:$EB$1000,"Y",$J$2:$J$1000,"&gt;"&amp;J280)+COUNTIFS($EB$2:$EB$1000,"Y",$J$2:$J$1000,J280,$ED$2:$ED$1000,"&lt;"&amp;ED280)+1)</f>
        <v/>
      </c>
      <c r="AA280" s="0" t="s">
        <v>162</v>
      </c>
      <c r="AD280" s="0" t="s">
        <v>158</v>
      </c>
      <c r="AH280" s="0" t="s">
        <v>10414</v>
      </c>
      <c r="AI280" s="0" t="s">
        <v>4590</v>
      </c>
      <c r="AJ280" s="0" t="s">
        <v>163</v>
      </c>
      <c r="AK280" s="0" t="s">
        <v>163</v>
      </c>
      <c r="AL280" s="0" t="s">
        <v>168</v>
      </c>
      <c r="AM280" s="0" t="s">
        <v>10415</v>
      </c>
      <c r="AN280" s="0" t="s">
        <v>10411</v>
      </c>
      <c r="AO280" s="5" t="s">
        <v>162</v>
      </c>
      <c r="AR280" s="0" t="str">
        <f aca="false">IF(AND(AU280="pass",AO280&lt;&gt;"Y",C280&lt;&gt;""),"Y","N")</f>
        <v>N</v>
      </c>
      <c r="AS280" s="0" t="str">
        <f aca="false">_xlfn.TEXTJOIN("; ",TRUE(),IF(AU280&lt;&gt;"pass","gated out",""),IF(AO280="Y","on hold: "&amp;AP280,""),IF(C280="","no contact named on an opened page",""))</f>
        <v>gated out; no contact named on an opened page</v>
      </c>
      <c r="AU280" s="0" t="s">
        <v>3703</v>
      </c>
      <c r="AV280" s="0" t="s">
        <v>10056</v>
      </c>
      <c r="AW280" s="0" t="s">
        <v>10057</v>
      </c>
      <c r="AX280" s="0" t="s">
        <v>4594</v>
      </c>
      <c r="AY280" s="0" t="s">
        <v>10416</v>
      </c>
      <c r="AZ280" s="0" t="s">
        <v>163</v>
      </c>
      <c r="BA280" s="0" t="s">
        <v>163</v>
      </c>
      <c r="BB280" s="0" t="s">
        <v>163</v>
      </c>
      <c r="BD280" s="0" t="s">
        <v>163</v>
      </c>
      <c r="BE280" s="0" t="s">
        <v>10417</v>
      </c>
      <c r="BF280" s="0" t="s">
        <v>163</v>
      </c>
      <c r="BG280" s="0" t="s">
        <v>163</v>
      </c>
      <c r="BH280" s="0" t="s">
        <v>163</v>
      </c>
      <c r="BJ280" s="0" t="s">
        <v>5549</v>
      </c>
      <c r="BK280" s="0" t="s">
        <v>162</v>
      </c>
      <c r="BL280" s="0" t="s">
        <v>162</v>
      </c>
      <c r="BO280" s="0" t="s">
        <v>162</v>
      </c>
      <c r="BP280" s="0" t="n">
        <v>0</v>
      </c>
      <c r="BR280" s="0" t="s">
        <v>8089</v>
      </c>
      <c r="BS280" s="0" t="s">
        <v>8349</v>
      </c>
      <c r="BT280" s="0" t="s">
        <v>10413</v>
      </c>
      <c r="BU280" s="0" t="s">
        <v>4694</v>
      </c>
      <c r="BV280" s="0" t="n">
        <v>115</v>
      </c>
      <c r="CF280" s="0" t="s">
        <v>158</v>
      </c>
      <c r="CK280" s="0" t="s">
        <v>158</v>
      </c>
      <c r="CL280" s="0" t="n">
        <v>16</v>
      </c>
      <c r="CM280" s="0" t="n">
        <v>0</v>
      </c>
      <c r="CN280" s="0" t="n">
        <v>4</v>
      </c>
      <c r="CO280" s="0" t="n">
        <v>8</v>
      </c>
      <c r="CP280" s="0" t="n">
        <v>5</v>
      </c>
      <c r="CQ280" s="0" t="n">
        <v>3</v>
      </c>
      <c r="CR280" s="0" t="n">
        <v>0</v>
      </c>
      <c r="CS280" s="0" t="n">
        <f aca="false">IF(R280="Y",10,0)</f>
        <v>0</v>
      </c>
      <c r="CT280" s="0" t="n">
        <v>-4</v>
      </c>
      <c r="CU280" s="0" t="s">
        <v>163</v>
      </c>
      <c r="CV280" s="0" t="s">
        <v>5562</v>
      </c>
      <c r="CW280" s="0" t="s">
        <v>10418</v>
      </c>
      <c r="CX280" s="0" t="s">
        <v>10419</v>
      </c>
      <c r="DA280" s="0" t="s">
        <v>6234</v>
      </c>
      <c r="DY280" s="0" t="str">
        <f aca="false">IF(ISNUMBER(MATCH(U280,{"queued","contacted","replied","call_booked","call_done","yes_in_principle","materials_sent"},0)),"Y","N")</f>
        <v>N</v>
      </c>
      <c r="DZ280" s="0" t="str">
        <f aca="false">IF(COUNTIFS($AN$2:$AN$1000,AN280,$DY$2:$DY$1000,"Y")+COUNTIFS($AN$2:$AN$1000,AN280,$T$2:$T$1000,"Y")&gt;0,"Y","N")</f>
        <v>N</v>
      </c>
      <c r="EA280" s="0" t="str">
        <f aca="false">IF(AND(U280="new",T280="N",AR280="Y",AQ280="",DZ280="N"),"Y","N")</f>
        <v>N</v>
      </c>
      <c r="EB280" s="0" t="str">
        <f aca="false">IF(EA280&lt;&gt;"Y","N",IF(COUNTIFS($AN$2:$AN$1000,AN280,$EA$2:$EA$1000,"Y",$J$2:$J$1000,"&gt;"&amp;J280)+COUNTIFS($AN$2:$AN$1000,AN280,$EA$2:$EA$1000,"Y",$J$2:$J$1000,J280,$ED$2:$ED$1000,"&lt;"&amp;ED280)=0,"Y","N"))</f>
        <v>N</v>
      </c>
      <c r="EC280" s="0" t="str">
        <f aca="false">IF(Y280="","N",IF(Y280&lt;=10,"Y","N"))</f>
        <v>N</v>
      </c>
      <c r="ED280" s="0" t="n">
        <f aca="false">ROW()-1</f>
        <v>279</v>
      </c>
    </row>
    <row r="281" customFormat="false" ht="15" hidden="false" customHeight="false" outlineLevel="0" collapsed="false">
      <c r="A281" s="0" t="s">
        <v>10420</v>
      </c>
      <c r="B281" s="0" t="s">
        <v>10421</v>
      </c>
      <c r="H281" s="5" t="s">
        <v>158</v>
      </c>
      <c r="I281" s="5"/>
      <c r="J281" s="0" t="n">
        <f aca="false">IF(AU281="pass",CM281+CN281+CO281+CP281+CQ281+CR281+CS281+CT281,0)</f>
        <v>0</v>
      </c>
      <c r="K281" s="0" t="s">
        <v>10422</v>
      </c>
      <c r="M281" s="0" t="s">
        <v>4580</v>
      </c>
      <c r="N281" s="0" t="s">
        <v>598</v>
      </c>
      <c r="O281" s="0" t="s">
        <v>10423</v>
      </c>
      <c r="P281" s="0" t="s">
        <v>10424</v>
      </c>
      <c r="Q281" s="0" t="s">
        <v>10425</v>
      </c>
      <c r="R281" s="5" t="s">
        <v>162</v>
      </c>
      <c r="S281" s="0" t="s">
        <v>163</v>
      </c>
      <c r="T281" s="5" t="s">
        <v>162</v>
      </c>
      <c r="U281" s="5" t="s">
        <v>561</v>
      </c>
      <c r="V281" s="0" t="s">
        <v>10426</v>
      </c>
      <c r="W281" s="0" t="s">
        <v>166</v>
      </c>
      <c r="X281" s="0" t="s">
        <v>4585</v>
      </c>
      <c r="Y281" s="0" t="str">
        <f aca="false">IF(EB281&lt;&gt;"Y","",COUNTIFS($EB$2:$EB$1000,"Y",$J$2:$J$1000,"&gt;"&amp;J281)+COUNTIFS($EB$2:$EB$1000,"Y",$J$2:$J$1000,J281,$ED$2:$ED$1000,"&lt;"&amp;ED281)+1)</f>
        <v/>
      </c>
      <c r="AA281" s="0" t="s">
        <v>162</v>
      </c>
      <c r="AD281" s="0" t="s">
        <v>158</v>
      </c>
      <c r="AH281" s="0" t="s">
        <v>10427</v>
      </c>
      <c r="AI281" s="0" t="s">
        <v>4826</v>
      </c>
      <c r="AJ281" s="0" t="s">
        <v>163</v>
      </c>
      <c r="AK281" s="0" t="s">
        <v>10428</v>
      </c>
      <c r="AL281" s="0" t="s">
        <v>168</v>
      </c>
      <c r="AM281" s="0" t="s">
        <v>10429</v>
      </c>
      <c r="AN281" s="0" t="s">
        <v>10420</v>
      </c>
      <c r="AO281" s="5" t="s">
        <v>162</v>
      </c>
      <c r="AR281" s="0" t="str">
        <f aca="false">IF(AND(AU281="pass",AO281&lt;&gt;"Y",C281&lt;&gt;""),"Y","N")</f>
        <v>N</v>
      </c>
      <c r="AS281" s="0" t="str">
        <f aca="false">_xlfn.TEXTJOIN("; ",TRUE(),IF(AU281&lt;&gt;"pass","gated out",""),IF(AO281="Y","on hold: "&amp;AP281,""),IF(C281="","no contact named on an opened page",""))</f>
        <v>gated out; no contact named on an opened page</v>
      </c>
      <c r="AU281" s="0" t="s">
        <v>3703</v>
      </c>
      <c r="AV281" s="0" t="s">
        <v>9762</v>
      </c>
      <c r="AW281" s="0" t="s">
        <v>10430</v>
      </c>
      <c r="AX281" s="0" t="s">
        <v>4594</v>
      </c>
      <c r="AY281" s="0" t="s">
        <v>10428</v>
      </c>
      <c r="AZ281" s="0" t="s">
        <v>163</v>
      </c>
      <c r="BA281" s="0" t="s">
        <v>163</v>
      </c>
      <c r="BB281" s="0" t="s">
        <v>163</v>
      </c>
      <c r="BD281" s="0" t="s">
        <v>168</v>
      </c>
      <c r="BE281" s="0" t="s">
        <v>10431</v>
      </c>
      <c r="BF281" s="0" t="s">
        <v>162</v>
      </c>
      <c r="BG281" s="0" t="s">
        <v>168</v>
      </c>
      <c r="BH281" s="0" t="s">
        <v>163</v>
      </c>
      <c r="BJ281" s="0" t="s">
        <v>163</v>
      </c>
      <c r="BK281" s="0" t="s">
        <v>168</v>
      </c>
      <c r="BL281" s="0" t="s">
        <v>168</v>
      </c>
      <c r="BM281" s="0" t="s">
        <v>10432</v>
      </c>
      <c r="BN281" s="0" t="n">
        <v>0</v>
      </c>
      <c r="BO281" s="0" t="s">
        <v>168</v>
      </c>
      <c r="BP281" s="0" t="n">
        <v>0</v>
      </c>
      <c r="BQ281" s="0" t="s">
        <v>9620</v>
      </c>
      <c r="BS281" s="0" t="s">
        <v>5060</v>
      </c>
      <c r="BT281" s="0" t="s">
        <v>10433</v>
      </c>
      <c r="BU281" s="0" t="s">
        <v>4694</v>
      </c>
      <c r="BV281" s="0" t="n">
        <v>85</v>
      </c>
      <c r="CF281" s="0" t="s">
        <v>158</v>
      </c>
      <c r="CK281" s="0" t="s">
        <v>158</v>
      </c>
      <c r="CL281" s="0" t="n">
        <v>26</v>
      </c>
      <c r="CM281" s="0" t="n">
        <v>6</v>
      </c>
      <c r="CN281" s="0" t="n">
        <v>4</v>
      </c>
      <c r="CO281" s="0" t="n">
        <v>8</v>
      </c>
      <c r="CP281" s="0" t="n">
        <v>5</v>
      </c>
      <c r="CQ281" s="0" t="n">
        <v>7</v>
      </c>
      <c r="CR281" s="0" t="n">
        <v>0</v>
      </c>
      <c r="CS281" s="0" t="n">
        <f aca="false">IF(R281="Y",10,0)</f>
        <v>0</v>
      </c>
      <c r="CT281" s="0" t="n">
        <v>-4</v>
      </c>
      <c r="CU281" s="0" t="s">
        <v>10434</v>
      </c>
      <c r="CV281" s="0" t="s">
        <v>4841</v>
      </c>
      <c r="CW281" s="0" t="s">
        <v>10435</v>
      </c>
      <c r="CX281" s="0" t="s">
        <v>10436</v>
      </c>
      <c r="DA281" s="0" t="s">
        <v>6234</v>
      </c>
      <c r="DY281" s="0" t="str">
        <f aca="false">IF(ISNUMBER(MATCH(U281,{"queued","contacted","replied","call_booked","call_done","yes_in_principle","materials_sent"},0)),"Y","N")</f>
        <v>N</v>
      </c>
      <c r="DZ281" s="0" t="str">
        <f aca="false">IF(COUNTIFS($AN$2:$AN$1000,AN281,$DY$2:$DY$1000,"Y")+COUNTIFS($AN$2:$AN$1000,AN281,$T$2:$T$1000,"Y")&gt;0,"Y","N")</f>
        <v>N</v>
      </c>
      <c r="EA281" s="0" t="str">
        <f aca="false">IF(AND(U281="new",T281="N",AR281="Y",AQ281="",DZ281="N"),"Y","N")</f>
        <v>N</v>
      </c>
      <c r="EB281" s="0" t="str">
        <f aca="false">IF(EA281&lt;&gt;"Y","N",IF(COUNTIFS($AN$2:$AN$1000,AN281,$EA$2:$EA$1000,"Y",$J$2:$J$1000,"&gt;"&amp;J281)+COUNTIFS($AN$2:$AN$1000,AN281,$EA$2:$EA$1000,"Y",$J$2:$J$1000,J281,$ED$2:$ED$1000,"&lt;"&amp;ED281)=0,"Y","N"))</f>
        <v>N</v>
      </c>
      <c r="EC281" s="0" t="str">
        <f aca="false">IF(Y281="","N",IF(Y281&lt;=10,"Y","N"))</f>
        <v>N</v>
      </c>
      <c r="ED281" s="0" t="n">
        <f aca="false">ROW()-1</f>
        <v>280</v>
      </c>
    </row>
    <row r="282" customFormat="false" ht="15" hidden="false" customHeight="false" outlineLevel="0" collapsed="false">
      <c r="A282" s="0" t="s">
        <v>10437</v>
      </c>
      <c r="B282" s="0" t="s">
        <v>10438</v>
      </c>
      <c r="C282" s="0" t="s">
        <v>10439</v>
      </c>
      <c r="D282" s="0" t="s">
        <v>10440</v>
      </c>
      <c r="E282" s="0" t="s">
        <v>4771</v>
      </c>
      <c r="H282" s="5" t="s">
        <v>158</v>
      </c>
      <c r="I282" s="5" t="s">
        <v>159</v>
      </c>
      <c r="J282" s="0" t="n">
        <f aca="false">IF(AU282="pass",CM282+CN282+CO282+CP282+CQ282+CR282+CS282+CT282,0)</f>
        <v>0</v>
      </c>
      <c r="K282" s="0" t="s">
        <v>10441</v>
      </c>
      <c r="M282" s="0" t="s">
        <v>5291</v>
      </c>
      <c r="N282" s="0" t="s">
        <v>598</v>
      </c>
      <c r="O282" s="0" t="s">
        <v>10442</v>
      </c>
      <c r="P282" s="0" t="s">
        <v>10443</v>
      </c>
      <c r="Q282" s="0" t="s">
        <v>10444</v>
      </c>
      <c r="R282" s="5" t="s">
        <v>162</v>
      </c>
      <c r="S282" s="0" t="s">
        <v>168</v>
      </c>
      <c r="T282" s="5" t="s">
        <v>162</v>
      </c>
      <c r="U282" s="5" t="s">
        <v>561</v>
      </c>
      <c r="V282" s="0" t="s">
        <v>10443</v>
      </c>
      <c r="W282" s="0" t="s">
        <v>166</v>
      </c>
      <c r="X282" s="0" t="s">
        <v>4585</v>
      </c>
      <c r="Y282" s="0" t="str">
        <f aca="false">IF(EB282&lt;&gt;"Y","",COUNTIFS($EB$2:$EB$1000,"Y",$J$2:$J$1000,"&gt;"&amp;J282)+COUNTIFS($EB$2:$EB$1000,"Y",$J$2:$J$1000,J282,$ED$2:$ED$1000,"&lt;"&amp;ED282)+1)</f>
        <v/>
      </c>
      <c r="AA282" s="0" t="s">
        <v>162</v>
      </c>
      <c r="AC282" s="0" t="s">
        <v>4587</v>
      </c>
      <c r="AD282" s="0" t="s">
        <v>171</v>
      </c>
      <c r="AE282" s="0" t="s">
        <v>1189</v>
      </c>
      <c r="AF282" s="0" t="s">
        <v>10443</v>
      </c>
      <c r="AG282" s="0" t="s">
        <v>166</v>
      </c>
      <c r="AH282" s="0" t="s">
        <v>10445</v>
      </c>
      <c r="AI282" s="0" t="s">
        <v>5924</v>
      </c>
      <c r="AJ282" s="0" t="s">
        <v>10013</v>
      </c>
      <c r="AK282" s="0" t="s">
        <v>10446</v>
      </c>
      <c r="AL282" s="0" t="s">
        <v>162</v>
      </c>
      <c r="AN282" s="0" t="s">
        <v>10437</v>
      </c>
      <c r="AO282" s="5" t="s">
        <v>162</v>
      </c>
      <c r="AR282" s="0" t="str">
        <f aca="false">IF(AND(AU282="pass",AO282&lt;&gt;"Y",C282&lt;&gt;""),"Y","N")</f>
        <v>N</v>
      </c>
      <c r="AS282" s="0" t="str">
        <f aca="false">_xlfn.TEXTJOIN("; ",TRUE(),IF(AU282&lt;&gt;"pass","gated out",""),IF(AO282="Y","on hold: "&amp;AP282,""),IF(C282="","no contact named on an opened page",""))</f>
        <v>gated out</v>
      </c>
      <c r="AU282" s="0" t="s">
        <v>3703</v>
      </c>
      <c r="AV282" s="0" t="s">
        <v>9920</v>
      </c>
      <c r="AW282" s="0" t="s">
        <v>10447</v>
      </c>
      <c r="AY282" s="0" t="s">
        <v>10446</v>
      </c>
      <c r="AZ282" s="0" t="s">
        <v>4595</v>
      </c>
      <c r="BA282" s="0" t="s">
        <v>4596</v>
      </c>
      <c r="BB282" s="0" t="s">
        <v>163</v>
      </c>
      <c r="BD282" s="0" t="s">
        <v>168</v>
      </c>
      <c r="BE282" s="0" t="s">
        <v>10448</v>
      </c>
      <c r="BF282" s="0" t="s">
        <v>162</v>
      </c>
      <c r="BG282" s="0" t="s">
        <v>168</v>
      </c>
      <c r="BH282" s="0" t="s">
        <v>163</v>
      </c>
      <c r="BJ282" s="0" t="s">
        <v>10449</v>
      </c>
      <c r="BK282" s="0" t="s">
        <v>162</v>
      </c>
      <c r="BL282" s="0" t="s">
        <v>168</v>
      </c>
      <c r="BM282" s="0" t="s">
        <v>10450</v>
      </c>
      <c r="BO282" s="0" t="s">
        <v>162</v>
      </c>
      <c r="BP282" s="0" t="n">
        <v>0</v>
      </c>
      <c r="BS282" s="0" t="s">
        <v>10451</v>
      </c>
      <c r="BU282" s="0" t="s">
        <v>4604</v>
      </c>
      <c r="BV282" s="0" t="n">
        <v>352</v>
      </c>
      <c r="BW282" s="0" t="s">
        <v>10443</v>
      </c>
      <c r="BX282" s="0" t="s">
        <v>10452</v>
      </c>
      <c r="CF282" s="0" t="s">
        <v>158</v>
      </c>
      <c r="CK282" s="0" t="s">
        <v>158</v>
      </c>
      <c r="CL282" s="0" t="n">
        <v>52</v>
      </c>
      <c r="CM282" s="0" t="n">
        <v>6</v>
      </c>
      <c r="CN282" s="0" t="n">
        <v>20</v>
      </c>
      <c r="CO282" s="0" t="n">
        <v>8</v>
      </c>
      <c r="CP282" s="0" t="n">
        <v>5</v>
      </c>
      <c r="CQ282" s="0" t="n">
        <v>7</v>
      </c>
      <c r="CR282" s="0" t="n">
        <v>6</v>
      </c>
      <c r="CS282" s="0" t="n">
        <f aca="false">IF(R282="Y",10,0)</f>
        <v>0</v>
      </c>
      <c r="CT282" s="0" t="n">
        <v>0</v>
      </c>
      <c r="CV282" s="0" t="s">
        <v>4615</v>
      </c>
      <c r="CW282" s="0" t="s">
        <v>10453</v>
      </c>
      <c r="CX282" s="0" t="s">
        <v>10454</v>
      </c>
      <c r="DA282" s="0" t="s">
        <v>6234</v>
      </c>
      <c r="DY282" s="0" t="str">
        <f aca="false">IF(ISNUMBER(MATCH(U282,{"queued","contacted","replied","call_booked","call_done","yes_in_principle","materials_sent"},0)),"Y","N")</f>
        <v>N</v>
      </c>
      <c r="DZ282" s="0" t="str">
        <f aca="false">IF(COUNTIFS($AN$2:$AN$1000,AN282,$DY$2:$DY$1000,"Y")+COUNTIFS($AN$2:$AN$1000,AN282,$T$2:$T$1000,"Y")&gt;0,"Y","N")</f>
        <v>N</v>
      </c>
      <c r="EA282" s="0" t="str">
        <f aca="false">IF(AND(U282="new",T282="N",AR282="Y",AQ282="",DZ282="N"),"Y","N")</f>
        <v>N</v>
      </c>
      <c r="EB282" s="0" t="str">
        <f aca="false">IF(EA282&lt;&gt;"Y","N",IF(COUNTIFS($AN$2:$AN$1000,AN282,$EA$2:$EA$1000,"Y",$J$2:$J$1000,"&gt;"&amp;J282)+COUNTIFS($AN$2:$AN$1000,AN282,$EA$2:$EA$1000,"Y",$J$2:$J$1000,J282,$ED$2:$ED$1000,"&lt;"&amp;ED282)=0,"Y","N"))</f>
        <v>N</v>
      </c>
      <c r="EC282" s="0" t="str">
        <f aca="false">IF(Y282="","N",IF(Y282&lt;=10,"Y","N"))</f>
        <v>N</v>
      </c>
      <c r="ED282" s="0" t="n">
        <f aca="false">ROW()-1</f>
        <v>281</v>
      </c>
    </row>
    <row r="283" customFormat="false" ht="15" hidden="false" customHeight="false" outlineLevel="0" collapsed="false">
      <c r="A283" s="0" t="s">
        <v>10455</v>
      </c>
      <c r="B283" s="0" t="s">
        <v>10456</v>
      </c>
      <c r="C283" s="0" t="s">
        <v>10457</v>
      </c>
      <c r="D283" s="0" t="s">
        <v>10458</v>
      </c>
      <c r="E283" s="0" t="s">
        <v>4625</v>
      </c>
      <c r="H283" s="5" t="s">
        <v>158</v>
      </c>
      <c r="I283" s="5" t="s">
        <v>159</v>
      </c>
      <c r="J283" s="0" t="n">
        <f aca="false">IF(AU283="pass",CM283+CN283+CO283+CP283+CQ283+CR283+CS283+CT283,0)</f>
        <v>0</v>
      </c>
      <c r="K283" s="0" t="s">
        <v>10459</v>
      </c>
      <c r="M283" s="0" t="s">
        <v>5291</v>
      </c>
      <c r="N283" s="0" t="s">
        <v>598</v>
      </c>
      <c r="O283" s="0" t="s">
        <v>10460</v>
      </c>
      <c r="P283" s="0" t="s">
        <v>10461</v>
      </c>
      <c r="Q283" s="0" t="s">
        <v>9166</v>
      </c>
      <c r="R283" s="5" t="s">
        <v>162</v>
      </c>
      <c r="S283" s="0" t="s">
        <v>168</v>
      </c>
      <c r="T283" s="5" t="s">
        <v>162</v>
      </c>
      <c r="U283" s="5" t="s">
        <v>561</v>
      </c>
      <c r="V283" s="0" t="s">
        <v>10461</v>
      </c>
      <c r="W283" s="0" t="s">
        <v>166</v>
      </c>
      <c r="X283" s="0" t="s">
        <v>4585</v>
      </c>
      <c r="Y283" s="0" t="str">
        <f aca="false">IF(EB283&lt;&gt;"Y","",COUNTIFS($EB$2:$EB$1000,"Y",$J$2:$J$1000,"&gt;"&amp;J283)+COUNTIFS($EB$2:$EB$1000,"Y",$J$2:$J$1000,J283,$ED$2:$ED$1000,"&lt;"&amp;ED283)+1)</f>
        <v/>
      </c>
      <c r="AA283" s="0" t="s">
        <v>162</v>
      </c>
      <c r="AC283" s="0" t="s">
        <v>4587</v>
      </c>
      <c r="AD283" s="0" t="s">
        <v>171</v>
      </c>
      <c r="AE283" s="0" t="s">
        <v>1189</v>
      </c>
      <c r="AF283" s="0" t="s">
        <v>10461</v>
      </c>
      <c r="AG283" s="0" t="s">
        <v>166</v>
      </c>
      <c r="AH283" s="0" t="s">
        <v>10462</v>
      </c>
      <c r="AI283" s="0" t="s">
        <v>5924</v>
      </c>
      <c r="AJ283" s="0" t="s">
        <v>10463</v>
      </c>
      <c r="AL283" s="0" t="s">
        <v>168</v>
      </c>
      <c r="AM283" s="0" t="s">
        <v>4690</v>
      </c>
      <c r="AN283" s="0" t="s">
        <v>10455</v>
      </c>
      <c r="AO283" s="5" t="s">
        <v>162</v>
      </c>
      <c r="AR283" s="0" t="str">
        <f aca="false">IF(AND(AU283="pass",AO283&lt;&gt;"Y",C283&lt;&gt;""),"Y","N")</f>
        <v>N</v>
      </c>
      <c r="AS283" s="0" t="str">
        <f aca="false">_xlfn.TEXTJOIN("; ",TRUE(),IF(AU283&lt;&gt;"pass","gated out",""),IF(AO283="Y","on hold: "&amp;AP283,""),IF(C283="","no contact named on an opened page",""))</f>
        <v>gated out</v>
      </c>
      <c r="AU283" s="0" t="s">
        <v>3703</v>
      </c>
      <c r="AV283" s="0" t="s">
        <v>10088</v>
      </c>
      <c r="AW283" s="0" t="s">
        <v>10464</v>
      </c>
      <c r="AY283" s="0" t="s">
        <v>10465</v>
      </c>
      <c r="AZ283" s="0" t="s">
        <v>4595</v>
      </c>
      <c r="BA283" s="0" t="s">
        <v>4596</v>
      </c>
      <c r="BB283" s="0" t="s">
        <v>163</v>
      </c>
      <c r="BD283" s="0" t="s">
        <v>163</v>
      </c>
      <c r="BF283" s="0" t="s">
        <v>163</v>
      </c>
      <c r="BG283" s="0" t="s">
        <v>163</v>
      </c>
      <c r="BH283" s="0" t="s">
        <v>163</v>
      </c>
      <c r="BJ283" s="0" t="s">
        <v>163</v>
      </c>
      <c r="BK283" s="0" t="s">
        <v>162</v>
      </c>
      <c r="BL283" s="0" t="s">
        <v>168</v>
      </c>
      <c r="BM283" s="0" t="s">
        <v>10466</v>
      </c>
      <c r="BO283" s="0" t="s">
        <v>162</v>
      </c>
      <c r="BP283" s="0" t="n">
        <v>0</v>
      </c>
      <c r="BU283" s="0" t="s">
        <v>4604</v>
      </c>
      <c r="BV283" s="0" t="n">
        <v>359</v>
      </c>
      <c r="BW283" s="0" t="s">
        <v>10461</v>
      </c>
      <c r="BX283" s="0" t="s">
        <v>10467</v>
      </c>
      <c r="CF283" s="0" t="s">
        <v>158</v>
      </c>
      <c r="CK283" s="0" t="s">
        <v>158</v>
      </c>
      <c r="CL283" s="0" t="n">
        <v>42</v>
      </c>
      <c r="CM283" s="0" t="n">
        <v>0</v>
      </c>
      <c r="CN283" s="0" t="n">
        <v>20</v>
      </c>
      <c r="CO283" s="0" t="n">
        <v>8</v>
      </c>
      <c r="CP283" s="0" t="n">
        <v>5</v>
      </c>
      <c r="CQ283" s="0" t="n">
        <v>3</v>
      </c>
      <c r="CR283" s="0" t="n">
        <v>6</v>
      </c>
      <c r="CS283" s="0" t="n">
        <f aca="false">IF(R283="Y",10,0)</f>
        <v>0</v>
      </c>
      <c r="CT283" s="0" t="n">
        <v>0</v>
      </c>
      <c r="CV283" s="0" t="s">
        <v>4615</v>
      </c>
      <c r="CW283" s="0" t="s">
        <v>10468</v>
      </c>
      <c r="CX283" s="0" t="s">
        <v>10021</v>
      </c>
      <c r="DA283" s="0" t="s">
        <v>6234</v>
      </c>
      <c r="DY283" s="0" t="str">
        <f aca="false">IF(ISNUMBER(MATCH(U283,{"queued","contacted","replied","call_booked","call_done","yes_in_principle","materials_sent"},0)),"Y","N")</f>
        <v>N</v>
      </c>
      <c r="DZ283" s="0" t="str">
        <f aca="false">IF(COUNTIFS($AN$2:$AN$1000,AN283,$DY$2:$DY$1000,"Y")+COUNTIFS($AN$2:$AN$1000,AN283,$T$2:$T$1000,"Y")&gt;0,"Y","N")</f>
        <v>N</v>
      </c>
      <c r="EA283" s="0" t="str">
        <f aca="false">IF(AND(U283="new",T283="N",AR283="Y",AQ283="",DZ283="N"),"Y","N")</f>
        <v>N</v>
      </c>
      <c r="EB283" s="0" t="str">
        <f aca="false">IF(EA283&lt;&gt;"Y","N",IF(COUNTIFS($AN$2:$AN$1000,AN283,$EA$2:$EA$1000,"Y",$J$2:$J$1000,"&gt;"&amp;J283)+COUNTIFS($AN$2:$AN$1000,AN283,$EA$2:$EA$1000,"Y",$J$2:$J$1000,J283,$ED$2:$ED$1000,"&lt;"&amp;ED283)=0,"Y","N"))</f>
        <v>N</v>
      </c>
      <c r="EC283" s="0" t="str">
        <f aca="false">IF(Y283="","N",IF(Y283&lt;=10,"Y","N"))</f>
        <v>N</v>
      </c>
      <c r="ED283" s="0" t="n">
        <f aca="false">ROW()-1</f>
        <v>282</v>
      </c>
    </row>
    <row r="284" customFormat="false" ht="15" hidden="false" customHeight="false" outlineLevel="0" collapsed="false">
      <c r="A284" s="0" t="s">
        <v>10469</v>
      </c>
      <c r="B284" s="0" t="s">
        <v>10470</v>
      </c>
      <c r="C284" s="0" t="s">
        <v>450</v>
      </c>
      <c r="D284" s="0" t="s">
        <v>10471</v>
      </c>
      <c r="E284" s="0" t="s">
        <v>4656</v>
      </c>
      <c r="H284" s="5" t="s">
        <v>158</v>
      </c>
      <c r="I284" s="5" t="s">
        <v>159</v>
      </c>
      <c r="J284" s="0" t="n">
        <f aca="false">IF(AU284="pass",CM284+CN284+CO284+CP284+CQ284+CR284+CS284+CT284,0)</f>
        <v>0</v>
      </c>
      <c r="K284" s="0" t="s">
        <v>10472</v>
      </c>
      <c r="M284" s="0" t="s">
        <v>5291</v>
      </c>
      <c r="N284" s="0" t="s">
        <v>598</v>
      </c>
      <c r="O284" s="0" t="s">
        <v>10473</v>
      </c>
      <c r="P284" s="0" t="s">
        <v>10474</v>
      </c>
      <c r="Q284" s="0" t="s">
        <v>8921</v>
      </c>
      <c r="R284" s="5" t="s">
        <v>162</v>
      </c>
      <c r="S284" s="0" t="s">
        <v>168</v>
      </c>
      <c r="T284" s="5" t="s">
        <v>162</v>
      </c>
      <c r="U284" s="5" t="s">
        <v>561</v>
      </c>
      <c r="V284" s="0" t="s">
        <v>10474</v>
      </c>
      <c r="W284" s="0" t="s">
        <v>166</v>
      </c>
      <c r="X284" s="0" t="s">
        <v>4585</v>
      </c>
      <c r="Y284" s="0" t="str">
        <f aca="false">IF(EB284&lt;&gt;"Y","",COUNTIFS($EB$2:$EB$1000,"Y",$J$2:$J$1000,"&gt;"&amp;J284)+COUNTIFS($EB$2:$EB$1000,"Y",$J$2:$J$1000,J284,$ED$2:$ED$1000,"&lt;"&amp;ED284)+1)</f>
        <v/>
      </c>
      <c r="AA284" s="0" t="s">
        <v>162</v>
      </c>
      <c r="AC284" s="0" t="s">
        <v>4587</v>
      </c>
      <c r="AD284" s="0" t="s">
        <v>171</v>
      </c>
      <c r="AE284" s="0" t="s">
        <v>1189</v>
      </c>
      <c r="AF284" s="0" t="s">
        <v>10474</v>
      </c>
      <c r="AG284" s="0" t="s">
        <v>166</v>
      </c>
      <c r="AH284" s="0" t="s">
        <v>10475</v>
      </c>
      <c r="AI284" s="0" t="s">
        <v>4722</v>
      </c>
      <c r="AJ284" s="0" t="s">
        <v>10476</v>
      </c>
      <c r="AL284" s="0" t="s">
        <v>162</v>
      </c>
      <c r="AN284" s="0" t="s">
        <v>10469</v>
      </c>
      <c r="AO284" s="5" t="s">
        <v>162</v>
      </c>
      <c r="AR284" s="0" t="str">
        <f aca="false">IF(AND(AU284="pass",AO284&lt;&gt;"Y",C284&lt;&gt;""),"Y","N")</f>
        <v>N</v>
      </c>
      <c r="AS284" s="0" t="str">
        <f aca="false">_xlfn.TEXTJOIN("; ",TRUE(),IF(AU284&lt;&gt;"pass","gated out",""),IF(AO284="Y","on hold: "&amp;AP284,""),IF(C284="","no contact named on an opened page",""))</f>
        <v>gated out</v>
      </c>
      <c r="AU284" s="0" t="s">
        <v>3703</v>
      </c>
      <c r="AV284" s="0" t="s">
        <v>10202</v>
      </c>
      <c r="AW284" s="0" t="s">
        <v>10477</v>
      </c>
      <c r="AY284" s="0" t="s">
        <v>10478</v>
      </c>
      <c r="AZ284" s="0" t="s">
        <v>5190</v>
      </c>
      <c r="BA284" s="0" t="s">
        <v>5191</v>
      </c>
      <c r="BB284" s="0" t="s">
        <v>163</v>
      </c>
      <c r="BD284" s="0" t="s">
        <v>162</v>
      </c>
      <c r="BE284" s="0" t="s">
        <v>10479</v>
      </c>
      <c r="BF284" s="0" t="s">
        <v>163</v>
      </c>
      <c r="BG284" s="0" t="s">
        <v>163</v>
      </c>
      <c r="BH284" s="0" t="s">
        <v>10405</v>
      </c>
      <c r="BI284" s="0" t="s">
        <v>6457</v>
      </c>
      <c r="BJ284" s="0" t="s">
        <v>10480</v>
      </c>
      <c r="BK284" s="0" t="s">
        <v>162</v>
      </c>
      <c r="BL284" s="0" t="s">
        <v>168</v>
      </c>
      <c r="BM284" s="0" t="s">
        <v>10481</v>
      </c>
      <c r="BO284" s="0" t="s">
        <v>162</v>
      </c>
      <c r="BP284" s="0" t="n">
        <v>0</v>
      </c>
      <c r="BU284" s="0" t="s">
        <v>4604</v>
      </c>
      <c r="BV284" s="0" t="n">
        <v>344</v>
      </c>
      <c r="BW284" s="0" t="s">
        <v>10474</v>
      </c>
      <c r="BX284" s="0" t="s">
        <v>10482</v>
      </c>
      <c r="CF284" s="0" t="s">
        <v>158</v>
      </c>
      <c r="CK284" s="0" t="s">
        <v>158</v>
      </c>
      <c r="CL284" s="0" t="n">
        <v>26</v>
      </c>
      <c r="CM284" s="0" t="n">
        <v>0</v>
      </c>
      <c r="CN284" s="0" t="n">
        <v>8</v>
      </c>
      <c r="CO284" s="0" t="n">
        <v>8</v>
      </c>
      <c r="CP284" s="0" t="n">
        <v>2</v>
      </c>
      <c r="CQ284" s="0" t="n">
        <v>2</v>
      </c>
      <c r="CR284" s="0" t="n">
        <v>6</v>
      </c>
      <c r="CS284" s="0" t="n">
        <f aca="false">IF(R284="Y",10,0)</f>
        <v>0</v>
      </c>
      <c r="CT284" s="0" t="n">
        <v>0</v>
      </c>
      <c r="CV284" s="0" t="s">
        <v>4615</v>
      </c>
      <c r="CW284" s="0" t="s">
        <v>10483</v>
      </c>
      <c r="CX284" s="0" t="s">
        <v>10021</v>
      </c>
      <c r="DA284" s="0" t="s">
        <v>6234</v>
      </c>
      <c r="DY284" s="0" t="str">
        <f aca="false">IF(ISNUMBER(MATCH(U284,{"queued","contacted","replied","call_booked","call_done","yes_in_principle","materials_sent"},0)),"Y","N")</f>
        <v>N</v>
      </c>
      <c r="DZ284" s="0" t="str">
        <f aca="false">IF(COUNTIFS($AN$2:$AN$1000,AN284,$DY$2:$DY$1000,"Y")+COUNTIFS($AN$2:$AN$1000,AN284,$T$2:$T$1000,"Y")&gt;0,"Y","N")</f>
        <v>N</v>
      </c>
      <c r="EA284" s="0" t="str">
        <f aca="false">IF(AND(U284="new",T284="N",AR284="Y",AQ284="",DZ284="N"),"Y","N")</f>
        <v>N</v>
      </c>
      <c r="EB284" s="0" t="str">
        <f aca="false">IF(EA284&lt;&gt;"Y","N",IF(COUNTIFS($AN$2:$AN$1000,AN284,$EA$2:$EA$1000,"Y",$J$2:$J$1000,"&gt;"&amp;J284)+COUNTIFS($AN$2:$AN$1000,AN284,$EA$2:$EA$1000,"Y",$J$2:$J$1000,J284,$ED$2:$ED$1000,"&lt;"&amp;ED284)=0,"Y","N"))</f>
        <v>N</v>
      </c>
      <c r="EC284" s="0" t="str">
        <f aca="false">IF(Y284="","N",IF(Y284&lt;=10,"Y","N"))</f>
        <v>N</v>
      </c>
      <c r="ED284" s="0" t="n">
        <f aca="false">ROW()-1</f>
        <v>283</v>
      </c>
    </row>
    <row r="285" customFormat="false" ht="15" hidden="false" customHeight="false" outlineLevel="0" collapsed="false">
      <c r="A285" s="0" t="s">
        <v>10484</v>
      </c>
      <c r="B285" s="0" t="s">
        <v>10485</v>
      </c>
      <c r="H285" s="5" t="s">
        <v>158</v>
      </c>
      <c r="I285" s="5"/>
      <c r="J285" s="0" t="n">
        <f aca="false">IF(AU285="pass",CM285+CN285+CO285+CP285+CQ285+CR285+CS285+CT285,0)</f>
        <v>0</v>
      </c>
      <c r="K285" s="0" t="s">
        <v>10486</v>
      </c>
      <c r="M285" s="0" t="s">
        <v>5291</v>
      </c>
      <c r="N285" s="0" t="s">
        <v>598</v>
      </c>
      <c r="O285" s="0" t="s">
        <v>10487</v>
      </c>
      <c r="P285" s="0" t="s">
        <v>10488</v>
      </c>
      <c r="Q285" s="0" t="s">
        <v>9241</v>
      </c>
      <c r="R285" s="5" t="s">
        <v>162</v>
      </c>
      <c r="S285" s="0" t="s">
        <v>163</v>
      </c>
      <c r="T285" s="5" t="s">
        <v>162</v>
      </c>
      <c r="U285" s="5" t="s">
        <v>561</v>
      </c>
      <c r="V285" s="0" t="s">
        <v>10489</v>
      </c>
      <c r="W285" s="0" t="s">
        <v>174</v>
      </c>
      <c r="X285" s="0" t="s">
        <v>4585</v>
      </c>
      <c r="Y285" s="0" t="str">
        <f aca="false">IF(EB285&lt;&gt;"Y","",COUNTIFS($EB$2:$EB$1000,"Y",$J$2:$J$1000,"&gt;"&amp;J285)+COUNTIFS($EB$2:$EB$1000,"Y",$J$2:$J$1000,J285,$ED$2:$ED$1000,"&lt;"&amp;ED285)+1)</f>
        <v/>
      </c>
      <c r="AA285" s="0" t="s">
        <v>162</v>
      </c>
      <c r="AD285" s="0" t="s">
        <v>158</v>
      </c>
      <c r="AH285" s="0" t="s">
        <v>10490</v>
      </c>
      <c r="AI285" s="0" t="s">
        <v>5028</v>
      </c>
      <c r="AJ285" s="0" t="s">
        <v>4634</v>
      </c>
      <c r="AK285" s="0" t="s">
        <v>10491</v>
      </c>
      <c r="AL285" s="0" t="s">
        <v>168</v>
      </c>
      <c r="AM285" s="0" t="s">
        <v>10492</v>
      </c>
      <c r="AN285" s="0" t="s">
        <v>10484</v>
      </c>
      <c r="AO285" s="5" t="s">
        <v>162</v>
      </c>
      <c r="AR285" s="0" t="str">
        <f aca="false">IF(AND(AU285="pass",AO285&lt;&gt;"Y",C285&lt;&gt;""),"Y","N")</f>
        <v>N</v>
      </c>
      <c r="AS285" s="0" t="str">
        <f aca="false">_xlfn.TEXTJOIN("; ",TRUE(),IF(AU285&lt;&gt;"pass","gated out",""),IF(AO285="Y","on hold: "&amp;AP285,""),IF(C285="","no contact named on an opened page",""))</f>
        <v>gated out; no contact named on an opened page</v>
      </c>
      <c r="AU285" s="0" t="s">
        <v>3703</v>
      </c>
      <c r="AV285" s="0" t="s">
        <v>9762</v>
      </c>
      <c r="AW285" s="0" t="s">
        <v>10493</v>
      </c>
      <c r="AX285" s="0" t="s">
        <v>4594</v>
      </c>
      <c r="AY285" s="0" t="s">
        <v>10494</v>
      </c>
      <c r="AZ285" s="0" t="s">
        <v>4595</v>
      </c>
      <c r="BA285" s="0" t="s">
        <v>4596</v>
      </c>
      <c r="BB285" s="0" t="s">
        <v>163</v>
      </c>
      <c r="BD285" s="0" t="s">
        <v>168</v>
      </c>
      <c r="BE285" s="0" t="s">
        <v>10495</v>
      </c>
      <c r="BF285" s="0" t="s">
        <v>168</v>
      </c>
      <c r="BG285" s="0" t="s">
        <v>168</v>
      </c>
      <c r="BH285" s="0" t="s">
        <v>163</v>
      </c>
      <c r="BJ285" s="0" t="s">
        <v>5143</v>
      </c>
      <c r="BK285" s="0" t="s">
        <v>168</v>
      </c>
      <c r="BL285" s="0" t="s">
        <v>168</v>
      </c>
      <c r="BM285" s="0" t="s">
        <v>10496</v>
      </c>
      <c r="BO285" s="0" t="s">
        <v>162</v>
      </c>
      <c r="BP285" s="0" t="n">
        <v>0</v>
      </c>
      <c r="BS285" s="0" t="s">
        <v>10497</v>
      </c>
      <c r="BU285" s="0" t="s">
        <v>4694</v>
      </c>
      <c r="BV285" s="0" t="n">
        <v>204</v>
      </c>
      <c r="CF285" s="0" t="s">
        <v>158</v>
      </c>
      <c r="CK285" s="0" t="s">
        <v>158</v>
      </c>
      <c r="CL285" s="0" t="n">
        <v>41</v>
      </c>
      <c r="CM285" s="0" t="n">
        <v>6</v>
      </c>
      <c r="CN285" s="0" t="n">
        <v>20</v>
      </c>
      <c r="CO285" s="0" t="n">
        <v>4</v>
      </c>
      <c r="CP285" s="0" t="n">
        <v>5</v>
      </c>
      <c r="CQ285" s="0" t="n">
        <v>10</v>
      </c>
      <c r="CR285" s="0" t="n">
        <v>0</v>
      </c>
      <c r="CS285" s="0" t="n">
        <f aca="false">IF(R285="Y",10,0)</f>
        <v>0</v>
      </c>
      <c r="CT285" s="0" t="n">
        <v>-4</v>
      </c>
      <c r="CU285" s="0" t="s">
        <v>10498</v>
      </c>
      <c r="CV285" s="0" t="s">
        <v>5150</v>
      </c>
      <c r="CW285" s="0" t="s">
        <v>10499</v>
      </c>
      <c r="CX285" s="0" t="s">
        <v>10500</v>
      </c>
      <c r="DA285" s="0" t="s">
        <v>6234</v>
      </c>
      <c r="DY285" s="0" t="str">
        <f aca="false">IF(ISNUMBER(MATCH(U285,{"queued","contacted","replied","call_booked","call_done","yes_in_principle","materials_sent"},0)),"Y","N")</f>
        <v>N</v>
      </c>
      <c r="DZ285" s="0" t="str">
        <f aca="false">IF(COUNTIFS($AN$2:$AN$1000,AN285,$DY$2:$DY$1000,"Y")+COUNTIFS($AN$2:$AN$1000,AN285,$T$2:$T$1000,"Y")&gt;0,"Y","N")</f>
        <v>N</v>
      </c>
      <c r="EA285" s="0" t="str">
        <f aca="false">IF(AND(U285="new",T285="N",AR285="Y",AQ285="",DZ285="N"),"Y","N")</f>
        <v>N</v>
      </c>
      <c r="EB285" s="0" t="str">
        <f aca="false">IF(EA285&lt;&gt;"Y","N",IF(COUNTIFS($AN$2:$AN$1000,AN285,$EA$2:$EA$1000,"Y",$J$2:$J$1000,"&gt;"&amp;J285)+COUNTIFS($AN$2:$AN$1000,AN285,$EA$2:$EA$1000,"Y",$J$2:$J$1000,J285,$ED$2:$ED$1000,"&lt;"&amp;ED285)=0,"Y","N"))</f>
        <v>N</v>
      </c>
      <c r="EC285" s="0" t="str">
        <f aca="false">IF(Y285="","N",IF(Y285&lt;=10,"Y","N"))</f>
        <v>N</v>
      </c>
      <c r="ED285" s="0" t="n">
        <f aca="false">ROW()-1</f>
        <v>284</v>
      </c>
    </row>
    <row r="286" customFormat="false" ht="15" hidden="false" customHeight="false" outlineLevel="0" collapsed="false">
      <c r="A286" s="0" t="s">
        <v>10501</v>
      </c>
      <c r="B286" s="0" t="s">
        <v>10502</v>
      </c>
      <c r="H286" s="5" t="s">
        <v>158</v>
      </c>
      <c r="I286" s="5"/>
      <c r="J286" s="0" t="n">
        <f aca="false">IF(AU286="pass",CM286+CN286+CO286+CP286+CQ286+CR286+CS286+CT286,0)</f>
        <v>0</v>
      </c>
      <c r="K286" s="0" t="s">
        <v>10503</v>
      </c>
      <c r="M286" s="0" t="s">
        <v>5291</v>
      </c>
      <c r="N286" s="0" t="s">
        <v>598</v>
      </c>
      <c r="R286" s="5" t="s">
        <v>162</v>
      </c>
      <c r="S286" s="0" t="s">
        <v>163</v>
      </c>
      <c r="T286" s="5" t="s">
        <v>162</v>
      </c>
      <c r="U286" s="5" t="s">
        <v>561</v>
      </c>
      <c r="V286" s="0" t="s">
        <v>10504</v>
      </c>
      <c r="W286" s="0" t="s">
        <v>166</v>
      </c>
      <c r="X286" s="0" t="s">
        <v>4585</v>
      </c>
      <c r="Y286" s="0" t="str">
        <f aca="false">IF(EB286&lt;&gt;"Y","",COUNTIFS($EB$2:$EB$1000,"Y",$J$2:$J$1000,"&gt;"&amp;J286)+COUNTIFS($EB$2:$EB$1000,"Y",$J$2:$J$1000,J286,$ED$2:$ED$1000,"&lt;"&amp;ED286)+1)</f>
        <v/>
      </c>
      <c r="AA286" s="0" t="s">
        <v>162</v>
      </c>
      <c r="AD286" s="0" t="s">
        <v>158</v>
      </c>
      <c r="AH286" s="0" t="s">
        <v>10505</v>
      </c>
      <c r="AI286" s="0" t="s">
        <v>4590</v>
      </c>
      <c r="AJ286" s="0" t="s">
        <v>163</v>
      </c>
      <c r="AK286" s="0" t="s">
        <v>10506</v>
      </c>
      <c r="AL286" s="0" t="s">
        <v>168</v>
      </c>
      <c r="AM286" s="0" t="s">
        <v>4690</v>
      </c>
      <c r="AN286" s="0" t="s">
        <v>10501</v>
      </c>
      <c r="AO286" s="5" t="s">
        <v>162</v>
      </c>
      <c r="AR286" s="0" t="str">
        <f aca="false">IF(AND(AU286="pass",AO286&lt;&gt;"Y",C286&lt;&gt;""),"Y","N")</f>
        <v>N</v>
      </c>
      <c r="AS286" s="0" t="str">
        <f aca="false">_xlfn.TEXTJOIN("; ",TRUE(),IF(AU286&lt;&gt;"pass","gated out",""),IF(AO286="Y","on hold: "&amp;AP286,""),IF(C286="","no contact named on an opened page",""))</f>
        <v>gated out; no contact named on an opened page</v>
      </c>
      <c r="AU286" s="0" t="s">
        <v>3703</v>
      </c>
      <c r="AV286" s="0" t="s">
        <v>9762</v>
      </c>
      <c r="AW286" s="0" t="s">
        <v>10507</v>
      </c>
      <c r="AY286" s="0" t="s">
        <v>10506</v>
      </c>
      <c r="AZ286" s="0" t="s">
        <v>4595</v>
      </c>
      <c r="BA286" s="0" t="s">
        <v>4951</v>
      </c>
      <c r="BB286" s="0" t="s">
        <v>163</v>
      </c>
      <c r="BD286" s="0" t="s">
        <v>163</v>
      </c>
      <c r="BE286" s="0" t="s">
        <v>10508</v>
      </c>
      <c r="BF286" s="0" t="s">
        <v>168</v>
      </c>
      <c r="BG286" s="0" t="s">
        <v>168</v>
      </c>
      <c r="BH286" s="0" t="s">
        <v>163</v>
      </c>
      <c r="BJ286" s="0" t="s">
        <v>5549</v>
      </c>
      <c r="BK286" s="0" t="s">
        <v>168</v>
      </c>
      <c r="BL286" s="0" t="s">
        <v>168</v>
      </c>
      <c r="BM286" s="0" t="s">
        <v>10509</v>
      </c>
      <c r="BO286" s="0" t="s">
        <v>162</v>
      </c>
      <c r="BP286" s="0" t="n">
        <v>0</v>
      </c>
      <c r="BS286" s="0" t="s">
        <v>163</v>
      </c>
      <c r="BU286" s="0" t="s">
        <v>158</v>
      </c>
      <c r="CF286" s="0" t="s">
        <v>158</v>
      </c>
      <c r="CK286" s="0" t="s">
        <v>158</v>
      </c>
      <c r="CL286" s="0" t="n">
        <v>31</v>
      </c>
      <c r="CM286" s="0" t="n">
        <v>6</v>
      </c>
      <c r="CN286" s="0" t="n">
        <v>13</v>
      </c>
      <c r="CO286" s="0" t="n">
        <v>0</v>
      </c>
      <c r="CP286" s="0" t="n">
        <v>5</v>
      </c>
      <c r="CQ286" s="0" t="n">
        <v>7</v>
      </c>
      <c r="CR286" s="0" t="n">
        <v>0</v>
      </c>
      <c r="CS286" s="0" t="n">
        <f aca="false">IF(R286="Y",10,0)</f>
        <v>0</v>
      </c>
      <c r="CT286" s="0" t="n">
        <v>0</v>
      </c>
      <c r="CU286" s="0" t="s">
        <v>10510</v>
      </c>
      <c r="CV286" s="0" t="s">
        <v>5562</v>
      </c>
      <c r="CW286" s="0" t="s">
        <v>10511</v>
      </c>
      <c r="CX286" s="0" t="s">
        <v>10512</v>
      </c>
      <c r="DA286" s="0" t="s">
        <v>6234</v>
      </c>
      <c r="DY286" s="0" t="str">
        <f aca="false">IF(ISNUMBER(MATCH(U286,{"queued","contacted","replied","call_booked","call_done","yes_in_principle","materials_sent"},0)),"Y","N")</f>
        <v>N</v>
      </c>
      <c r="DZ286" s="0" t="str">
        <f aca="false">IF(COUNTIFS($AN$2:$AN$1000,AN286,$DY$2:$DY$1000,"Y")+COUNTIFS($AN$2:$AN$1000,AN286,$T$2:$T$1000,"Y")&gt;0,"Y","N")</f>
        <v>N</v>
      </c>
      <c r="EA286" s="0" t="str">
        <f aca="false">IF(AND(U286="new",T286="N",AR286="Y",AQ286="",DZ286="N"),"Y","N")</f>
        <v>N</v>
      </c>
      <c r="EB286" s="0" t="str">
        <f aca="false">IF(EA286&lt;&gt;"Y","N",IF(COUNTIFS($AN$2:$AN$1000,AN286,$EA$2:$EA$1000,"Y",$J$2:$J$1000,"&gt;"&amp;J286)+COUNTIFS($AN$2:$AN$1000,AN286,$EA$2:$EA$1000,"Y",$J$2:$J$1000,J286,$ED$2:$ED$1000,"&lt;"&amp;ED286)=0,"Y","N"))</f>
        <v>N</v>
      </c>
      <c r="EC286" s="0" t="str">
        <f aca="false">IF(Y286="","N",IF(Y286&lt;=10,"Y","N"))</f>
        <v>N</v>
      </c>
      <c r="ED286" s="0" t="n">
        <f aca="false">ROW()-1</f>
        <v>285</v>
      </c>
    </row>
    <row r="287" customFormat="false" ht="15" hidden="false" customHeight="false" outlineLevel="0" collapsed="false">
      <c r="A287" s="0" t="s">
        <v>10513</v>
      </c>
      <c r="B287" s="0" t="s">
        <v>10514</v>
      </c>
      <c r="H287" s="5" t="s">
        <v>158</v>
      </c>
      <c r="I287" s="5"/>
      <c r="J287" s="0" t="n">
        <f aca="false">IF(AU287="pass",CM287+CN287+CO287+CP287+CQ287+CR287+CS287+CT287,0)</f>
        <v>0</v>
      </c>
      <c r="K287" s="0" t="s">
        <v>10515</v>
      </c>
      <c r="M287" s="0" t="s">
        <v>5291</v>
      </c>
      <c r="N287" s="0" t="s">
        <v>598</v>
      </c>
      <c r="O287" s="0" t="s">
        <v>10516</v>
      </c>
      <c r="P287" s="0" t="s">
        <v>10517</v>
      </c>
      <c r="Q287" s="0" t="s">
        <v>4854</v>
      </c>
      <c r="R287" s="5" t="s">
        <v>162</v>
      </c>
      <c r="S287" s="0" t="s">
        <v>163</v>
      </c>
      <c r="T287" s="5" t="s">
        <v>162</v>
      </c>
      <c r="U287" s="5" t="s">
        <v>561</v>
      </c>
      <c r="V287" s="0" t="s">
        <v>10518</v>
      </c>
      <c r="W287" s="0" t="s">
        <v>166</v>
      </c>
      <c r="X287" s="0" t="s">
        <v>4585</v>
      </c>
      <c r="Y287" s="0" t="str">
        <f aca="false">IF(EB287&lt;&gt;"Y","",COUNTIFS($EB$2:$EB$1000,"Y",$J$2:$J$1000,"&gt;"&amp;J287)+COUNTIFS($EB$2:$EB$1000,"Y",$J$2:$J$1000,J287,$ED$2:$ED$1000,"&lt;"&amp;ED287)+1)</f>
        <v/>
      </c>
      <c r="AA287" s="0" t="s">
        <v>162</v>
      </c>
      <c r="AC287" s="0" t="s">
        <v>4587</v>
      </c>
      <c r="AD287" s="0" t="s">
        <v>598</v>
      </c>
      <c r="AE287" s="0" t="s">
        <v>172</v>
      </c>
      <c r="AF287" s="0" t="s">
        <v>10519</v>
      </c>
      <c r="AG287" s="0" t="s">
        <v>166</v>
      </c>
      <c r="AH287" s="0" t="s">
        <v>10520</v>
      </c>
      <c r="AI287" s="0" t="s">
        <v>4975</v>
      </c>
      <c r="AJ287" s="0" t="s">
        <v>10521</v>
      </c>
      <c r="AK287" s="0" t="s">
        <v>10522</v>
      </c>
      <c r="AL287" s="0" t="s">
        <v>168</v>
      </c>
      <c r="AM287" s="0" t="s">
        <v>10523</v>
      </c>
      <c r="AN287" s="0" t="s">
        <v>10513</v>
      </c>
      <c r="AO287" s="5" t="s">
        <v>162</v>
      </c>
      <c r="AR287" s="0" t="str">
        <f aca="false">IF(AND(AU287="pass",AO287&lt;&gt;"Y",C287&lt;&gt;""),"Y","N")</f>
        <v>N</v>
      </c>
      <c r="AS287" s="0" t="str">
        <f aca="false">_xlfn.TEXTJOIN("; ",TRUE(),IF(AU287&lt;&gt;"pass","gated out",""),IF(AO287="Y","on hold: "&amp;AP287,""),IF(C287="","no contact named on an opened page",""))</f>
        <v>gated out; no contact named on an opened page</v>
      </c>
      <c r="AU287" s="0" t="s">
        <v>3703</v>
      </c>
      <c r="AV287" s="0" t="s">
        <v>9883</v>
      </c>
      <c r="AW287" s="0" t="s">
        <v>10524</v>
      </c>
      <c r="AX287" s="0" t="s">
        <v>5605</v>
      </c>
      <c r="AY287" s="0" t="s">
        <v>10522</v>
      </c>
      <c r="AZ287" s="0" t="s">
        <v>4595</v>
      </c>
      <c r="BA287" s="0" t="s">
        <v>4596</v>
      </c>
      <c r="BB287" s="0" t="s">
        <v>163</v>
      </c>
      <c r="BD287" s="0" t="s">
        <v>162</v>
      </c>
      <c r="BE287" s="0" t="s">
        <v>10525</v>
      </c>
      <c r="BF287" s="0" t="s">
        <v>163</v>
      </c>
      <c r="BG287" s="0" t="s">
        <v>168</v>
      </c>
      <c r="BH287" s="0" t="s">
        <v>163</v>
      </c>
      <c r="BJ287" s="0" t="s">
        <v>10526</v>
      </c>
      <c r="BK287" s="0" t="s">
        <v>162</v>
      </c>
      <c r="BL287" s="0" t="s">
        <v>168</v>
      </c>
      <c r="BM287" s="0" t="s">
        <v>10527</v>
      </c>
      <c r="BO287" s="0" t="s">
        <v>162</v>
      </c>
      <c r="BP287" s="0" t="n">
        <v>0</v>
      </c>
      <c r="BS287" s="0" t="s">
        <v>10528</v>
      </c>
      <c r="BT287" s="0" t="s">
        <v>10518</v>
      </c>
      <c r="BU287" s="0" t="s">
        <v>598</v>
      </c>
      <c r="BV287" s="0" t="n">
        <v>241</v>
      </c>
      <c r="BX287" s="0" t="s">
        <v>10529</v>
      </c>
      <c r="BY287" s="0" t="s">
        <v>10530</v>
      </c>
      <c r="CF287" s="0" t="s">
        <v>158</v>
      </c>
      <c r="CK287" s="0" t="s">
        <v>158</v>
      </c>
      <c r="CL287" s="0" t="n">
        <v>26</v>
      </c>
      <c r="CM287" s="0" t="n">
        <v>6</v>
      </c>
      <c r="CN287" s="0" t="n">
        <v>20</v>
      </c>
      <c r="CO287" s="0" t="n">
        <v>0</v>
      </c>
      <c r="CP287" s="0" t="n">
        <v>5</v>
      </c>
      <c r="CQ287" s="0" t="n">
        <v>4</v>
      </c>
      <c r="CR287" s="0" t="n">
        <v>3</v>
      </c>
      <c r="CS287" s="0" t="n">
        <f aca="false">IF(R287="Y",10,0)</f>
        <v>0</v>
      </c>
      <c r="CT287" s="0" t="n">
        <v>-12</v>
      </c>
      <c r="CU287" s="0" t="s">
        <v>10531</v>
      </c>
      <c r="CV287" s="0" t="s">
        <v>4703</v>
      </c>
      <c r="CW287" s="0" t="s">
        <v>10532</v>
      </c>
      <c r="CX287" s="0" t="s">
        <v>10533</v>
      </c>
      <c r="DA287" s="0" t="s">
        <v>6234</v>
      </c>
      <c r="DY287" s="0" t="str">
        <f aca="false">IF(ISNUMBER(MATCH(U287,{"queued","contacted","replied","call_booked","call_done","yes_in_principle","materials_sent"},0)),"Y","N")</f>
        <v>N</v>
      </c>
      <c r="DZ287" s="0" t="str">
        <f aca="false">IF(COUNTIFS($AN$2:$AN$1000,AN287,$DY$2:$DY$1000,"Y")+COUNTIFS($AN$2:$AN$1000,AN287,$T$2:$T$1000,"Y")&gt;0,"Y","N")</f>
        <v>N</v>
      </c>
      <c r="EA287" s="0" t="str">
        <f aca="false">IF(AND(U287="new",T287="N",AR287="Y",AQ287="",DZ287="N"),"Y","N")</f>
        <v>N</v>
      </c>
      <c r="EB287" s="0" t="str">
        <f aca="false">IF(EA287&lt;&gt;"Y","N",IF(COUNTIFS($AN$2:$AN$1000,AN287,$EA$2:$EA$1000,"Y",$J$2:$J$1000,"&gt;"&amp;J287)+COUNTIFS($AN$2:$AN$1000,AN287,$EA$2:$EA$1000,"Y",$J$2:$J$1000,J287,$ED$2:$ED$1000,"&lt;"&amp;ED287)=0,"Y","N"))</f>
        <v>N</v>
      </c>
      <c r="EC287" s="0" t="str">
        <f aca="false">IF(Y287="","N",IF(Y287&lt;=10,"Y","N"))</f>
        <v>N</v>
      </c>
      <c r="ED287" s="0" t="n">
        <f aca="false">ROW()-1</f>
        <v>286</v>
      </c>
    </row>
    <row r="288" customFormat="false" ht="15" hidden="false" customHeight="false" outlineLevel="0" collapsed="false">
      <c r="A288" s="0" t="s">
        <v>10534</v>
      </c>
      <c r="B288" s="0" t="s">
        <v>10535</v>
      </c>
      <c r="C288" s="0" t="s">
        <v>10536</v>
      </c>
      <c r="D288" s="0" t="s">
        <v>10537</v>
      </c>
      <c r="E288" s="0" t="s">
        <v>5702</v>
      </c>
      <c r="H288" s="5" t="s">
        <v>158</v>
      </c>
      <c r="I288" s="5" t="s">
        <v>159</v>
      </c>
      <c r="J288" s="0" t="n">
        <f aca="false">IF(AU288="pass",CM288+CN288+CO288+CP288+CQ288+CR288+CS288+CT288,0)</f>
        <v>0</v>
      </c>
      <c r="K288" s="0" t="s">
        <v>10096</v>
      </c>
      <c r="M288" s="0" t="s">
        <v>5291</v>
      </c>
      <c r="N288" s="0" t="s">
        <v>598</v>
      </c>
      <c r="R288" s="5" t="s">
        <v>162</v>
      </c>
      <c r="S288" s="0" t="s">
        <v>163</v>
      </c>
      <c r="T288" s="5" t="s">
        <v>162</v>
      </c>
      <c r="U288" s="5" t="s">
        <v>561</v>
      </c>
      <c r="V288" s="0" t="s">
        <v>10538</v>
      </c>
      <c r="W288" s="0" t="s">
        <v>166</v>
      </c>
      <c r="X288" s="0" t="s">
        <v>4585</v>
      </c>
      <c r="Y288" s="0" t="str">
        <f aca="false">IF(EB288&lt;&gt;"Y","",COUNTIFS($EB$2:$EB$1000,"Y",$J$2:$J$1000,"&gt;"&amp;J288)+COUNTIFS($EB$2:$EB$1000,"Y",$J$2:$J$1000,J288,$ED$2:$ED$1000,"&lt;"&amp;ED288)+1)</f>
        <v/>
      </c>
      <c r="AA288" s="0" t="s">
        <v>162</v>
      </c>
      <c r="AC288" s="0" t="s">
        <v>4587</v>
      </c>
      <c r="AD288" s="0" t="s">
        <v>171</v>
      </c>
      <c r="AE288" s="0" t="s">
        <v>1189</v>
      </c>
      <c r="AF288" s="0" t="s">
        <v>10539</v>
      </c>
      <c r="AG288" s="0" t="s">
        <v>166</v>
      </c>
      <c r="AH288" s="0" t="s">
        <v>10540</v>
      </c>
      <c r="AI288" s="0" t="s">
        <v>4590</v>
      </c>
      <c r="AJ288" s="0" t="s">
        <v>4634</v>
      </c>
      <c r="AK288" s="0" t="s">
        <v>163</v>
      </c>
      <c r="AL288" s="0" t="s">
        <v>168</v>
      </c>
      <c r="AM288" s="0" t="s">
        <v>10541</v>
      </c>
      <c r="AN288" s="0" t="s">
        <v>5547</v>
      </c>
      <c r="AO288" s="5" t="s">
        <v>162</v>
      </c>
      <c r="AR288" s="0" t="str">
        <f aca="false">IF(AND(AU288="pass",AO288&lt;&gt;"Y",C288&lt;&gt;""),"Y","N")</f>
        <v>N</v>
      </c>
      <c r="AS288" s="0" t="str">
        <f aca="false">_xlfn.TEXTJOIN("; ",TRUE(),IF(AU288&lt;&gt;"pass","gated out",""),IF(AO288="Y","on hold: "&amp;AP288,""),IF(C288="","no contact named on an opened page",""))</f>
        <v>gated out</v>
      </c>
      <c r="AU288" s="0" t="s">
        <v>3703</v>
      </c>
      <c r="AV288" s="0" t="s">
        <v>10056</v>
      </c>
      <c r="AW288" s="0" t="s">
        <v>10101</v>
      </c>
      <c r="AX288" s="0" t="s">
        <v>282</v>
      </c>
      <c r="AY288" s="0" t="s">
        <v>10538</v>
      </c>
      <c r="AZ288" s="0" t="s">
        <v>4595</v>
      </c>
      <c r="BA288" s="0" t="s">
        <v>4596</v>
      </c>
      <c r="BB288" s="0" t="s">
        <v>163</v>
      </c>
      <c r="BD288" s="0" t="s">
        <v>163</v>
      </c>
      <c r="BE288" s="0" t="s">
        <v>6319</v>
      </c>
      <c r="BF288" s="0" t="s">
        <v>168</v>
      </c>
      <c r="BG288" s="0" t="s">
        <v>162</v>
      </c>
      <c r="BH288" s="0" t="s">
        <v>163</v>
      </c>
      <c r="BJ288" s="0" t="s">
        <v>5549</v>
      </c>
      <c r="BK288" s="0" t="s">
        <v>162</v>
      </c>
      <c r="BL288" s="0" t="s">
        <v>162</v>
      </c>
      <c r="BO288" s="0" t="s">
        <v>162</v>
      </c>
      <c r="BP288" s="0" t="n">
        <v>0</v>
      </c>
      <c r="BS288" s="0" t="s">
        <v>10542</v>
      </c>
      <c r="BU288" s="0" t="s">
        <v>158</v>
      </c>
      <c r="BX288" s="0" t="s">
        <v>6322</v>
      </c>
      <c r="CA288" s="0" t="s">
        <v>5556</v>
      </c>
      <c r="CB288" s="0" t="s">
        <v>5557</v>
      </c>
      <c r="CC288" s="0" t="s">
        <v>5558</v>
      </c>
      <c r="CD288" s="0" t="s">
        <v>5559</v>
      </c>
      <c r="CE288" s="0" t="s">
        <v>6260</v>
      </c>
      <c r="CF288" s="0" t="s">
        <v>171</v>
      </c>
      <c r="CK288" s="0" t="s">
        <v>158</v>
      </c>
      <c r="CL288" s="0" t="n">
        <v>37</v>
      </c>
      <c r="CM288" s="0" t="n">
        <v>0</v>
      </c>
      <c r="CN288" s="0" t="n">
        <v>20</v>
      </c>
      <c r="CO288" s="0" t="n">
        <v>0</v>
      </c>
      <c r="CP288" s="0" t="n">
        <v>5</v>
      </c>
      <c r="CQ288" s="0" t="n">
        <v>4</v>
      </c>
      <c r="CR288" s="0" t="n">
        <v>10</v>
      </c>
      <c r="CS288" s="0" t="n">
        <f aca="false">IF(R288="Y",10,0)</f>
        <v>0</v>
      </c>
      <c r="CT288" s="0" t="n">
        <v>-2</v>
      </c>
      <c r="CU288" s="0" t="s">
        <v>10543</v>
      </c>
      <c r="CV288" s="0" t="s">
        <v>5562</v>
      </c>
      <c r="CW288" s="0" t="s">
        <v>10544</v>
      </c>
      <c r="CX288" s="0" t="s">
        <v>10545</v>
      </c>
      <c r="CY288" s="0" t="s">
        <v>5565</v>
      </c>
      <c r="CZ288" s="0" t="s">
        <v>5543</v>
      </c>
      <c r="DA288" s="0" t="s">
        <v>6234</v>
      </c>
      <c r="DC288" s="0" t="s">
        <v>1189</v>
      </c>
      <c r="DF288" s="0" t="s">
        <v>10546</v>
      </c>
      <c r="DY288" s="0" t="str">
        <f aca="false">IF(ISNUMBER(MATCH(U288,{"queued","contacted","replied","call_booked","call_done","yes_in_principle","materials_sent"},0)),"Y","N")</f>
        <v>N</v>
      </c>
      <c r="DZ288" s="0" t="str">
        <f aca="false">IF(COUNTIFS($AN$2:$AN$1000,AN288,$DY$2:$DY$1000,"Y")+COUNTIFS($AN$2:$AN$1000,AN288,$T$2:$T$1000,"Y")&gt;0,"Y","N")</f>
        <v>N</v>
      </c>
      <c r="EA288" s="0" t="str">
        <f aca="false">IF(AND(U288="new",T288="N",AR288="Y",AQ288="",DZ288="N"),"Y","N")</f>
        <v>N</v>
      </c>
      <c r="EB288" s="0" t="str">
        <f aca="false">IF(EA288&lt;&gt;"Y","N",IF(COUNTIFS($AN$2:$AN$1000,AN288,$EA$2:$EA$1000,"Y",$J$2:$J$1000,"&gt;"&amp;J288)+COUNTIFS($AN$2:$AN$1000,AN288,$EA$2:$EA$1000,"Y",$J$2:$J$1000,J288,$ED$2:$ED$1000,"&lt;"&amp;ED288)=0,"Y","N"))</f>
        <v>N</v>
      </c>
      <c r="EC288" s="0" t="str">
        <f aca="false">IF(Y288="","N",IF(Y288&lt;=10,"Y","N"))</f>
        <v>N</v>
      </c>
      <c r="ED288" s="0" t="n">
        <f aca="false">ROW()-1</f>
        <v>287</v>
      </c>
    </row>
    <row r="289" customFormat="false" ht="15" hidden="false" customHeight="false" outlineLevel="0" collapsed="false">
      <c r="A289" s="0" t="s">
        <v>10547</v>
      </c>
      <c r="B289" s="0" t="s">
        <v>10548</v>
      </c>
      <c r="H289" s="5" t="s">
        <v>158</v>
      </c>
      <c r="I289" s="5"/>
      <c r="J289" s="0" t="n">
        <f aca="false">IF(AU289="pass",CM289+CN289+CO289+CP289+CQ289+CR289+CS289+CT289,0)</f>
        <v>0</v>
      </c>
      <c r="K289" s="0" t="s">
        <v>10549</v>
      </c>
      <c r="M289" s="0" t="s">
        <v>5291</v>
      </c>
      <c r="N289" s="0" t="s">
        <v>598</v>
      </c>
      <c r="R289" s="5" t="s">
        <v>162</v>
      </c>
      <c r="S289" s="0" t="s">
        <v>163</v>
      </c>
      <c r="T289" s="5" t="s">
        <v>162</v>
      </c>
      <c r="U289" s="5" t="s">
        <v>561</v>
      </c>
      <c r="V289" s="0" t="s">
        <v>10550</v>
      </c>
      <c r="W289" s="0" t="s">
        <v>166</v>
      </c>
      <c r="X289" s="0" t="s">
        <v>4585</v>
      </c>
      <c r="Y289" s="0" t="str">
        <f aca="false">IF(EB289&lt;&gt;"Y","",COUNTIFS($EB$2:$EB$1000,"Y",$J$2:$J$1000,"&gt;"&amp;J289)+COUNTIFS($EB$2:$EB$1000,"Y",$J$2:$J$1000,J289,$ED$2:$ED$1000,"&lt;"&amp;ED289)+1)</f>
        <v/>
      </c>
      <c r="AA289" s="0" t="s">
        <v>162</v>
      </c>
      <c r="AD289" s="0" t="s">
        <v>158</v>
      </c>
      <c r="AH289" s="0" t="s">
        <v>10551</v>
      </c>
      <c r="AI289" s="0" t="s">
        <v>5924</v>
      </c>
      <c r="AJ289" s="0" t="s">
        <v>163</v>
      </c>
      <c r="AK289" s="0" t="s">
        <v>10552</v>
      </c>
      <c r="AL289" s="0" t="s">
        <v>168</v>
      </c>
      <c r="AM289" s="0" t="s">
        <v>4690</v>
      </c>
      <c r="AN289" s="0" t="s">
        <v>10547</v>
      </c>
      <c r="AO289" s="5" t="s">
        <v>162</v>
      </c>
      <c r="AR289" s="0" t="str">
        <f aca="false">IF(AND(AU289="pass",AO289&lt;&gt;"Y",C289&lt;&gt;""),"Y","N")</f>
        <v>N</v>
      </c>
      <c r="AS289" s="0" t="str">
        <f aca="false">_xlfn.TEXTJOIN("; ",TRUE(),IF(AU289&lt;&gt;"pass","gated out",""),IF(AO289="Y","on hold: "&amp;AP289,""),IF(C289="","no contact named on an opened page",""))</f>
        <v>gated out; no contact named on an opened page</v>
      </c>
      <c r="AU289" s="0" t="s">
        <v>3703</v>
      </c>
      <c r="AV289" s="0" t="s">
        <v>9762</v>
      </c>
      <c r="AW289" s="0" t="s">
        <v>10553</v>
      </c>
      <c r="AY289" s="0" t="s">
        <v>10552</v>
      </c>
      <c r="AZ289" s="0" t="s">
        <v>163</v>
      </c>
      <c r="BA289" s="0" t="s">
        <v>163</v>
      </c>
      <c r="BB289" s="0" t="s">
        <v>163</v>
      </c>
      <c r="BD289" s="0" t="s">
        <v>163</v>
      </c>
      <c r="BE289" s="0" t="s">
        <v>10554</v>
      </c>
      <c r="BF289" s="0" t="s">
        <v>168</v>
      </c>
      <c r="BG289" s="0" t="s">
        <v>168</v>
      </c>
      <c r="BH289" s="0" t="s">
        <v>163</v>
      </c>
      <c r="BJ289" s="0" t="s">
        <v>5549</v>
      </c>
      <c r="BK289" s="0" t="s">
        <v>168</v>
      </c>
      <c r="BL289" s="0" t="s">
        <v>168</v>
      </c>
      <c r="BM289" s="0" t="s">
        <v>10555</v>
      </c>
      <c r="BO289" s="0" t="s">
        <v>162</v>
      </c>
      <c r="BP289" s="0" t="n">
        <v>0</v>
      </c>
      <c r="BS289" s="0" t="s">
        <v>163</v>
      </c>
      <c r="BU289" s="0" t="s">
        <v>158</v>
      </c>
      <c r="CF289" s="0" t="s">
        <v>158</v>
      </c>
      <c r="CK289" s="0" t="s">
        <v>158</v>
      </c>
      <c r="CL289" s="0" t="n">
        <v>22</v>
      </c>
      <c r="CM289" s="0" t="n">
        <v>6</v>
      </c>
      <c r="CN289" s="0" t="n">
        <v>4</v>
      </c>
      <c r="CO289" s="0" t="n">
        <v>0</v>
      </c>
      <c r="CP289" s="0" t="n">
        <v>5</v>
      </c>
      <c r="CQ289" s="0" t="n">
        <v>7</v>
      </c>
      <c r="CR289" s="0" t="n">
        <v>0</v>
      </c>
      <c r="CS289" s="0" t="n">
        <f aca="false">IF(R289="Y",10,0)</f>
        <v>0</v>
      </c>
      <c r="CT289" s="0" t="n">
        <v>0</v>
      </c>
      <c r="CU289" s="0" t="s">
        <v>10556</v>
      </c>
      <c r="CV289" s="0" t="s">
        <v>5562</v>
      </c>
      <c r="CW289" s="0" t="s">
        <v>10557</v>
      </c>
      <c r="CX289" s="0" t="s">
        <v>10558</v>
      </c>
      <c r="DA289" s="0" t="s">
        <v>6234</v>
      </c>
      <c r="DY289" s="0" t="str">
        <f aca="false">IF(ISNUMBER(MATCH(U289,{"queued","contacted","replied","call_booked","call_done","yes_in_principle","materials_sent"},0)),"Y","N")</f>
        <v>N</v>
      </c>
      <c r="DZ289" s="0" t="str">
        <f aca="false">IF(COUNTIFS($AN$2:$AN$1000,AN289,$DY$2:$DY$1000,"Y")+COUNTIFS($AN$2:$AN$1000,AN289,$T$2:$T$1000,"Y")&gt;0,"Y","N")</f>
        <v>N</v>
      </c>
      <c r="EA289" s="0" t="str">
        <f aca="false">IF(AND(U289="new",T289="N",AR289="Y",AQ289="",DZ289="N"),"Y","N")</f>
        <v>N</v>
      </c>
      <c r="EB289" s="0" t="str">
        <f aca="false">IF(EA289&lt;&gt;"Y","N",IF(COUNTIFS($AN$2:$AN$1000,AN289,$EA$2:$EA$1000,"Y",$J$2:$J$1000,"&gt;"&amp;J289)+COUNTIFS($AN$2:$AN$1000,AN289,$EA$2:$EA$1000,"Y",$J$2:$J$1000,J289,$ED$2:$ED$1000,"&lt;"&amp;ED289)=0,"Y","N"))</f>
        <v>N</v>
      </c>
      <c r="EC289" s="0" t="str">
        <f aca="false">IF(Y289="","N",IF(Y289&lt;=10,"Y","N"))</f>
        <v>N</v>
      </c>
      <c r="ED289" s="0" t="n">
        <f aca="false">ROW()-1</f>
        <v>288</v>
      </c>
    </row>
    <row r="290" customFormat="false" ht="15" hidden="false" customHeight="false" outlineLevel="0" collapsed="false">
      <c r="A290" s="0" t="s">
        <v>10559</v>
      </c>
      <c r="B290" s="0" t="s">
        <v>10560</v>
      </c>
      <c r="H290" s="5" t="s">
        <v>158</v>
      </c>
      <c r="I290" s="5"/>
      <c r="J290" s="0" t="n">
        <f aca="false">IF(AU290="pass",CM290+CN290+CO290+CP290+CQ290+CR290+CS290+CT290,0)</f>
        <v>0</v>
      </c>
      <c r="K290" s="0" t="s">
        <v>10561</v>
      </c>
      <c r="M290" s="0" t="s">
        <v>5291</v>
      </c>
      <c r="N290" s="0" t="s">
        <v>598</v>
      </c>
      <c r="R290" s="5" t="s">
        <v>162</v>
      </c>
      <c r="S290" s="0" t="s">
        <v>163</v>
      </c>
      <c r="T290" s="5" t="s">
        <v>162</v>
      </c>
      <c r="U290" s="5" t="s">
        <v>561</v>
      </c>
      <c r="V290" s="0" t="s">
        <v>10562</v>
      </c>
      <c r="W290" s="0" t="s">
        <v>166</v>
      </c>
      <c r="X290" s="0" t="s">
        <v>4585</v>
      </c>
      <c r="Y290" s="0" t="str">
        <f aca="false">IF(EB290&lt;&gt;"Y","",COUNTIFS($EB$2:$EB$1000,"Y",$J$2:$J$1000,"&gt;"&amp;J290)+COUNTIFS($EB$2:$EB$1000,"Y",$J$2:$J$1000,J290,$ED$2:$ED$1000,"&lt;"&amp;ED290)+1)</f>
        <v/>
      </c>
      <c r="AA290" s="0" t="s">
        <v>162</v>
      </c>
      <c r="AD290" s="0" t="s">
        <v>158</v>
      </c>
      <c r="AH290" s="0" t="s">
        <v>10563</v>
      </c>
      <c r="AI290" s="0" t="s">
        <v>5763</v>
      </c>
      <c r="AJ290" s="0" t="s">
        <v>10564</v>
      </c>
      <c r="AK290" s="0" t="s">
        <v>10565</v>
      </c>
      <c r="AL290" s="0" t="s">
        <v>162</v>
      </c>
      <c r="AN290" s="0" t="s">
        <v>10559</v>
      </c>
      <c r="AO290" s="5" t="s">
        <v>162</v>
      </c>
      <c r="AR290" s="0" t="str">
        <f aca="false">IF(AND(AU290="pass",AO290&lt;&gt;"Y",C290&lt;&gt;""),"Y","N")</f>
        <v>N</v>
      </c>
      <c r="AS290" s="0" t="str">
        <f aca="false">_xlfn.TEXTJOIN("; ",TRUE(),IF(AU290&lt;&gt;"pass","gated out",""),IF(AO290="Y","on hold: "&amp;AP290,""),IF(C290="","no contact named on an opened page",""))</f>
        <v>gated out; no contact named on an opened page</v>
      </c>
      <c r="AU290" s="0" t="s">
        <v>3703</v>
      </c>
      <c r="AV290" s="0" t="s">
        <v>9883</v>
      </c>
      <c r="AW290" s="0" t="s">
        <v>10566</v>
      </c>
      <c r="AY290" s="0" t="s">
        <v>10565</v>
      </c>
      <c r="AZ290" s="0" t="s">
        <v>4595</v>
      </c>
      <c r="BA290" s="0" t="s">
        <v>4596</v>
      </c>
      <c r="BB290" s="0" t="s">
        <v>163</v>
      </c>
      <c r="BD290" s="0" t="s">
        <v>162</v>
      </c>
      <c r="BE290" s="0" t="s">
        <v>10567</v>
      </c>
      <c r="BF290" s="0" t="s">
        <v>168</v>
      </c>
      <c r="BG290" s="0" t="s">
        <v>168</v>
      </c>
      <c r="BH290" s="0" t="s">
        <v>163</v>
      </c>
      <c r="BJ290" s="0" t="s">
        <v>163</v>
      </c>
      <c r="BK290" s="0" t="s">
        <v>162</v>
      </c>
      <c r="BL290" s="0" t="s">
        <v>168</v>
      </c>
      <c r="BM290" s="0" t="s">
        <v>10568</v>
      </c>
      <c r="BO290" s="0" t="s">
        <v>162</v>
      </c>
      <c r="BP290" s="0" t="n">
        <v>0</v>
      </c>
      <c r="BS290" s="0" t="s">
        <v>10569</v>
      </c>
      <c r="BU290" s="0" t="s">
        <v>158</v>
      </c>
      <c r="CF290" s="0" t="s">
        <v>158</v>
      </c>
      <c r="CK290" s="0" t="s">
        <v>158</v>
      </c>
      <c r="CL290" s="0" t="n">
        <v>37</v>
      </c>
      <c r="CM290" s="0" t="n">
        <v>6</v>
      </c>
      <c r="CN290" s="0" t="n">
        <v>20</v>
      </c>
      <c r="CO290" s="0" t="n">
        <v>0</v>
      </c>
      <c r="CP290" s="0" t="n">
        <v>5</v>
      </c>
      <c r="CQ290" s="0" t="n">
        <v>6</v>
      </c>
      <c r="CR290" s="0" t="n">
        <v>0</v>
      </c>
      <c r="CS290" s="0" t="n">
        <f aca="false">IF(R290="Y",10,0)</f>
        <v>0</v>
      </c>
      <c r="CT290" s="0" t="n">
        <v>0</v>
      </c>
      <c r="CV290" s="0" t="s">
        <v>4615</v>
      </c>
      <c r="CW290" s="0" t="s">
        <v>10570</v>
      </c>
      <c r="CX290" s="0" t="s">
        <v>10571</v>
      </c>
      <c r="DA290" s="0" t="s">
        <v>6234</v>
      </c>
      <c r="DY290" s="0" t="str">
        <f aca="false">IF(ISNUMBER(MATCH(U290,{"queued","contacted","replied","call_booked","call_done","yes_in_principle","materials_sent"},0)),"Y","N")</f>
        <v>N</v>
      </c>
      <c r="DZ290" s="0" t="str">
        <f aca="false">IF(COUNTIFS($AN$2:$AN$1000,AN290,$DY$2:$DY$1000,"Y")+COUNTIFS($AN$2:$AN$1000,AN290,$T$2:$T$1000,"Y")&gt;0,"Y","N")</f>
        <v>N</v>
      </c>
      <c r="EA290" s="0" t="str">
        <f aca="false">IF(AND(U290="new",T290="N",AR290="Y",AQ290="",DZ290="N"),"Y","N")</f>
        <v>N</v>
      </c>
      <c r="EB290" s="0" t="str">
        <f aca="false">IF(EA290&lt;&gt;"Y","N",IF(COUNTIFS($AN$2:$AN$1000,AN290,$EA$2:$EA$1000,"Y",$J$2:$J$1000,"&gt;"&amp;J290)+COUNTIFS($AN$2:$AN$1000,AN290,$EA$2:$EA$1000,"Y",$J$2:$J$1000,J290,$ED$2:$ED$1000,"&lt;"&amp;ED290)=0,"Y","N"))</f>
        <v>N</v>
      </c>
      <c r="EC290" s="0" t="str">
        <f aca="false">IF(Y290="","N",IF(Y290&lt;=10,"Y","N"))</f>
        <v>N</v>
      </c>
      <c r="ED290" s="0" t="n">
        <f aca="false">ROW()-1</f>
        <v>289</v>
      </c>
    </row>
    <row r="291" customFormat="false" ht="15" hidden="false" customHeight="false" outlineLevel="0" collapsed="false">
      <c r="A291" s="0" t="s">
        <v>10572</v>
      </c>
      <c r="B291" s="0" t="s">
        <v>10573</v>
      </c>
      <c r="C291" s="0" t="s">
        <v>10574</v>
      </c>
      <c r="D291" s="0" t="s">
        <v>10575</v>
      </c>
      <c r="E291" s="0" t="s">
        <v>4771</v>
      </c>
      <c r="H291" s="5" t="s">
        <v>158</v>
      </c>
      <c r="I291" s="5" t="s">
        <v>159</v>
      </c>
      <c r="J291" s="0" t="n">
        <f aca="false">IF(AU291="pass",CM291+CN291+CO291+CP291+CQ291+CR291+CS291+CT291,0)</f>
        <v>0</v>
      </c>
      <c r="K291" s="0" t="s">
        <v>10576</v>
      </c>
      <c r="M291" s="0" t="s">
        <v>5291</v>
      </c>
      <c r="N291" s="0" t="s">
        <v>598</v>
      </c>
      <c r="R291" s="5" t="s">
        <v>162</v>
      </c>
      <c r="S291" s="0" t="s">
        <v>163</v>
      </c>
      <c r="T291" s="5" t="s">
        <v>162</v>
      </c>
      <c r="U291" s="5" t="s">
        <v>561</v>
      </c>
      <c r="V291" s="0" t="s">
        <v>10577</v>
      </c>
      <c r="W291" s="0" t="s">
        <v>166</v>
      </c>
      <c r="X291" s="0" t="s">
        <v>4585</v>
      </c>
      <c r="Y291" s="0" t="str">
        <f aca="false">IF(EB291&lt;&gt;"Y","",COUNTIFS($EB$2:$EB$1000,"Y",$J$2:$J$1000,"&gt;"&amp;J291)+COUNTIFS($EB$2:$EB$1000,"Y",$J$2:$J$1000,J291,$ED$2:$ED$1000,"&lt;"&amp;ED291)+1)</f>
        <v/>
      </c>
      <c r="AA291" s="0" t="s">
        <v>162</v>
      </c>
      <c r="AC291" s="0" t="s">
        <v>4587</v>
      </c>
      <c r="AD291" s="0" t="s">
        <v>171</v>
      </c>
      <c r="AE291" s="0" t="s">
        <v>172</v>
      </c>
      <c r="AF291" s="0" t="s">
        <v>10578</v>
      </c>
      <c r="AG291" s="0" t="s">
        <v>166</v>
      </c>
      <c r="AH291" s="0" t="s">
        <v>10579</v>
      </c>
      <c r="AI291" s="0" t="s">
        <v>4664</v>
      </c>
      <c r="AJ291" s="0" t="s">
        <v>163</v>
      </c>
      <c r="AK291" s="0" t="s">
        <v>10580</v>
      </c>
      <c r="AL291" s="0" t="s">
        <v>162</v>
      </c>
      <c r="AN291" s="0" t="s">
        <v>10572</v>
      </c>
      <c r="AO291" s="5" t="s">
        <v>162</v>
      </c>
      <c r="AR291" s="0" t="str">
        <f aca="false">IF(AND(AU291="pass",AO291&lt;&gt;"Y",C291&lt;&gt;""),"Y","N")</f>
        <v>N</v>
      </c>
      <c r="AS291" s="0" t="str">
        <f aca="false">_xlfn.TEXTJOIN("; ",TRUE(),IF(AU291&lt;&gt;"pass","gated out",""),IF(AO291="Y","on hold: "&amp;AP291,""),IF(C291="","no contact named on an opened page",""))</f>
        <v>gated out</v>
      </c>
      <c r="AU291" s="0" t="s">
        <v>3703</v>
      </c>
      <c r="AV291" s="0" t="s">
        <v>9883</v>
      </c>
      <c r="AW291" s="0" t="s">
        <v>10581</v>
      </c>
      <c r="AY291" s="0" t="s">
        <v>10580</v>
      </c>
      <c r="AZ291" s="0" t="s">
        <v>163</v>
      </c>
      <c r="BA291" s="0" t="s">
        <v>163</v>
      </c>
      <c r="BB291" s="0" t="s">
        <v>163</v>
      </c>
      <c r="BD291" s="0" t="s">
        <v>162</v>
      </c>
      <c r="BE291" s="0" t="s">
        <v>10582</v>
      </c>
      <c r="BF291" s="0" t="s">
        <v>168</v>
      </c>
      <c r="BG291" s="0" t="s">
        <v>168</v>
      </c>
      <c r="BH291" s="0" t="s">
        <v>163</v>
      </c>
      <c r="BJ291" s="0" t="s">
        <v>163</v>
      </c>
      <c r="BK291" s="0" t="s">
        <v>162</v>
      </c>
      <c r="BL291" s="0" t="s">
        <v>168</v>
      </c>
      <c r="BM291" s="0" t="s">
        <v>10583</v>
      </c>
      <c r="BO291" s="0" t="s">
        <v>162</v>
      </c>
      <c r="BP291" s="0" t="n">
        <v>0</v>
      </c>
      <c r="BS291" s="0" t="s">
        <v>10584</v>
      </c>
      <c r="BT291" s="0" t="s">
        <v>10585</v>
      </c>
      <c r="BU291" s="0" t="s">
        <v>158</v>
      </c>
      <c r="BX291" s="0" t="s">
        <v>10586</v>
      </c>
      <c r="CF291" s="0" t="s">
        <v>158</v>
      </c>
      <c r="CK291" s="0" t="s">
        <v>158</v>
      </c>
      <c r="CL291" s="0" t="n">
        <v>27</v>
      </c>
      <c r="CM291" s="0" t="n">
        <v>6</v>
      </c>
      <c r="CN291" s="0" t="n">
        <v>4</v>
      </c>
      <c r="CO291" s="0" t="n">
        <v>0</v>
      </c>
      <c r="CP291" s="0" t="n">
        <v>5</v>
      </c>
      <c r="CQ291" s="0" t="n">
        <v>6</v>
      </c>
      <c r="CR291" s="0" t="n">
        <v>6</v>
      </c>
      <c r="CS291" s="0" t="n">
        <f aca="false">IF(R291="Y",10,0)</f>
        <v>0</v>
      </c>
      <c r="CT291" s="0" t="n">
        <v>0</v>
      </c>
      <c r="CU291" s="0" t="s">
        <v>10587</v>
      </c>
      <c r="CV291" s="0" t="s">
        <v>4703</v>
      </c>
      <c r="CW291" s="0" t="s">
        <v>10588</v>
      </c>
      <c r="CX291" s="0" t="s">
        <v>10589</v>
      </c>
      <c r="DA291" s="0" t="s">
        <v>6234</v>
      </c>
      <c r="DY291" s="0" t="str">
        <f aca="false">IF(ISNUMBER(MATCH(U291,{"queued","contacted","replied","call_booked","call_done","yes_in_principle","materials_sent"},0)),"Y","N")</f>
        <v>N</v>
      </c>
      <c r="DZ291" s="0" t="str">
        <f aca="false">IF(COUNTIFS($AN$2:$AN$1000,AN291,$DY$2:$DY$1000,"Y")+COUNTIFS($AN$2:$AN$1000,AN291,$T$2:$T$1000,"Y")&gt;0,"Y","N")</f>
        <v>N</v>
      </c>
      <c r="EA291" s="0" t="str">
        <f aca="false">IF(AND(U291="new",T291="N",AR291="Y",AQ291="",DZ291="N"),"Y","N")</f>
        <v>N</v>
      </c>
      <c r="EB291" s="0" t="str">
        <f aca="false">IF(EA291&lt;&gt;"Y","N",IF(COUNTIFS($AN$2:$AN$1000,AN291,$EA$2:$EA$1000,"Y",$J$2:$J$1000,"&gt;"&amp;J291)+COUNTIFS($AN$2:$AN$1000,AN291,$EA$2:$EA$1000,"Y",$J$2:$J$1000,J291,$ED$2:$ED$1000,"&lt;"&amp;ED291)=0,"Y","N"))</f>
        <v>N</v>
      </c>
      <c r="EC291" s="0" t="str">
        <f aca="false">IF(Y291="","N",IF(Y291&lt;=10,"Y","N"))</f>
        <v>N</v>
      </c>
      <c r="ED291" s="0" t="n">
        <f aca="false">ROW()-1</f>
        <v>290</v>
      </c>
    </row>
    <row r="292" customFormat="false" ht="15" hidden="false" customHeight="false" outlineLevel="0" collapsed="false">
      <c r="A292" s="0" t="s">
        <v>10590</v>
      </c>
      <c r="B292" s="0" t="s">
        <v>10591</v>
      </c>
      <c r="C292" s="0" t="s">
        <v>10592</v>
      </c>
      <c r="D292" s="0" t="s">
        <v>10593</v>
      </c>
      <c r="E292" s="0" t="s">
        <v>4771</v>
      </c>
      <c r="H292" s="5" t="s">
        <v>158</v>
      </c>
      <c r="I292" s="5" t="s">
        <v>159</v>
      </c>
      <c r="J292" s="0" t="n">
        <f aca="false">IF(AU292="pass",CM292+CN292+CO292+CP292+CQ292+CR292+CS292+CT292,0)</f>
        <v>0</v>
      </c>
      <c r="K292" s="0" t="s">
        <v>10576</v>
      </c>
      <c r="M292" s="0" t="s">
        <v>5291</v>
      </c>
      <c r="N292" s="0" t="s">
        <v>598</v>
      </c>
      <c r="R292" s="5" t="s">
        <v>162</v>
      </c>
      <c r="S292" s="0" t="s">
        <v>163</v>
      </c>
      <c r="T292" s="5" t="s">
        <v>162</v>
      </c>
      <c r="U292" s="5" t="s">
        <v>561</v>
      </c>
      <c r="V292" s="0" t="s">
        <v>10594</v>
      </c>
      <c r="W292" s="0" t="s">
        <v>166</v>
      </c>
      <c r="X292" s="0" t="s">
        <v>4585</v>
      </c>
      <c r="Y292" s="0" t="str">
        <f aca="false">IF(EB292&lt;&gt;"Y","",COUNTIFS($EB$2:$EB$1000,"Y",$J$2:$J$1000,"&gt;"&amp;J292)+COUNTIFS($EB$2:$EB$1000,"Y",$J$2:$J$1000,J292,$ED$2:$ED$1000,"&lt;"&amp;ED292)+1)</f>
        <v/>
      </c>
      <c r="AA292" s="0" t="s">
        <v>162</v>
      </c>
      <c r="AC292" s="0" t="s">
        <v>4587</v>
      </c>
      <c r="AD292" s="0" t="s">
        <v>171</v>
      </c>
      <c r="AE292" s="0" t="s">
        <v>172</v>
      </c>
      <c r="AF292" s="0" t="s">
        <v>10595</v>
      </c>
      <c r="AG292" s="0" t="s">
        <v>166</v>
      </c>
      <c r="AH292" s="0" t="s">
        <v>10596</v>
      </c>
      <c r="AI292" s="0" t="s">
        <v>4664</v>
      </c>
      <c r="AJ292" s="0" t="s">
        <v>10597</v>
      </c>
      <c r="AK292" s="0" t="s">
        <v>10598</v>
      </c>
      <c r="AL292" s="0" t="s">
        <v>162</v>
      </c>
      <c r="AN292" s="0" t="s">
        <v>10590</v>
      </c>
      <c r="AO292" s="5" t="s">
        <v>162</v>
      </c>
      <c r="AR292" s="0" t="str">
        <f aca="false">IF(AND(AU292="pass",AO292&lt;&gt;"Y",C292&lt;&gt;""),"Y","N")</f>
        <v>N</v>
      </c>
      <c r="AS292" s="0" t="str">
        <f aca="false">_xlfn.TEXTJOIN("; ",TRUE(),IF(AU292&lt;&gt;"pass","gated out",""),IF(AO292="Y","on hold: "&amp;AP292,""),IF(C292="","no contact named on an opened page",""))</f>
        <v>gated out</v>
      </c>
      <c r="AU292" s="0" t="s">
        <v>3703</v>
      </c>
      <c r="AV292" s="0" t="s">
        <v>9883</v>
      </c>
      <c r="AW292" s="0" t="s">
        <v>10581</v>
      </c>
      <c r="AY292" s="0" t="s">
        <v>10598</v>
      </c>
      <c r="AZ292" s="0" t="s">
        <v>10599</v>
      </c>
      <c r="BA292" s="0" t="s">
        <v>5329</v>
      </c>
      <c r="BB292" s="0" t="s">
        <v>163</v>
      </c>
      <c r="BD292" s="0" t="s">
        <v>162</v>
      </c>
      <c r="BE292" s="0" t="s">
        <v>10600</v>
      </c>
      <c r="BF292" s="0" t="s">
        <v>168</v>
      </c>
      <c r="BG292" s="0" t="s">
        <v>168</v>
      </c>
      <c r="BH292" s="0" t="s">
        <v>163</v>
      </c>
      <c r="BJ292" s="0" t="s">
        <v>163</v>
      </c>
      <c r="BK292" s="0" t="s">
        <v>162</v>
      </c>
      <c r="BL292" s="0" t="s">
        <v>168</v>
      </c>
      <c r="BM292" s="0" t="s">
        <v>10583</v>
      </c>
      <c r="BO292" s="0" t="s">
        <v>162</v>
      </c>
      <c r="BP292" s="0" t="n">
        <v>0</v>
      </c>
      <c r="BS292" s="0" t="s">
        <v>10601</v>
      </c>
      <c r="BT292" s="0" t="s">
        <v>10602</v>
      </c>
      <c r="BU292" s="0" t="s">
        <v>158</v>
      </c>
      <c r="BX292" s="0" t="s">
        <v>10603</v>
      </c>
      <c r="CF292" s="0" t="s">
        <v>158</v>
      </c>
      <c r="CK292" s="0" t="s">
        <v>158</v>
      </c>
      <c r="CL292" s="0" t="n">
        <v>26</v>
      </c>
      <c r="CM292" s="0" t="n">
        <v>6</v>
      </c>
      <c r="CN292" s="0" t="n">
        <v>3</v>
      </c>
      <c r="CO292" s="0" t="n">
        <v>0</v>
      </c>
      <c r="CP292" s="0" t="n">
        <v>5</v>
      </c>
      <c r="CQ292" s="0" t="n">
        <v>6</v>
      </c>
      <c r="CR292" s="0" t="n">
        <v>6</v>
      </c>
      <c r="CS292" s="0" t="n">
        <f aca="false">IF(R292="Y",10,0)</f>
        <v>0</v>
      </c>
      <c r="CT292" s="0" t="n">
        <v>0</v>
      </c>
      <c r="CU292" s="0" t="s">
        <v>10604</v>
      </c>
      <c r="CV292" s="0" t="s">
        <v>4703</v>
      </c>
      <c r="CW292" s="0" t="s">
        <v>10605</v>
      </c>
      <c r="CX292" s="0" t="s">
        <v>10606</v>
      </c>
      <c r="DA292" s="0" t="s">
        <v>6234</v>
      </c>
      <c r="DY292" s="0" t="str">
        <f aca="false">IF(ISNUMBER(MATCH(U292,{"queued","contacted","replied","call_booked","call_done","yes_in_principle","materials_sent"},0)),"Y","N")</f>
        <v>N</v>
      </c>
      <c r="DZ292" s="0" t="str">
        <f aca="false">IF(COUNTIFS($AN$2:$AN$1000,AN292,$DY$2:$DY$1000,"Y")+COUNTIFS($AN$2:$AN$1000,AN292,$T$2:$T$1000,"Y")&gt;0,"Y","N")</f>
        <v>N</v>
      </c>
      <c r="EA292" s="0" t="str">
        <f aca="false">IF(AND(U292="new",T292="N",AR292="Y",AQ292="",DZ292="N"),"Y","N")</f>
        <v>N</v>
      </c>
      <c r="EB292" s="0" t="str">
        <f aca="false">IF(EA292&lt;&gt;"Y","N",IF(COUNTIFS($AN$2:$AN$1000,AN292,$EA$2:$EA$1000,"Y",$J$2:$J$1000,"&gt;"&amp;J292)+COUNTIFS($AN$2:$AN$1000,AN292,$EA$2:$EA$1000,"Y",$J$2:$J$1000,J292,$ED$2:$ED$1000,"&lt;"&amp;ED292)=0,"Y","N"))</f>
        <v>N</v>
      </c>
      <c r="EC292" s="0" t="str">
        <f aca="false">IF(Y292="","N",IF(Y292&lt;=10,"Y","N"))</f>
        <v>N</v>
      </c>
      <c r="ED292" s="0" t="n">
        <f aca="false">ROW()-1</f>
        <v>291</v>
      </c>
    </row>
    <row r="293" customFormat="false" ht="15" hidden="false" customHeight="false" outlineLevel="0" collapsed="false">
      <c r="A293" s="0" t="s">
        <v>10607</v>
      </c>
      <c r="B293" s="0" t="s">
        <v>10608</v>
      </c>
      <c r="H293" s="5" t="s">
        <v>158</v>
      </c>
      <c r="I293" s="5"/>
      <c r="J293" s="0" t="n">
        <f aca="false">IF(AU293="pass",CM293+CN293+CO293+CP293+CQ293+CR293+CS293+CT293,0)</f>
        <v>0</v>
      </c>
      <c r="K293" s="0" t="s">
        <v>10609</v>
      </c>
      <c r="M293" s="0" t="s">
        <v>5291</v>
      </c>
      <c r="N293" s="0" t="s">
        <v>598</v>
      </c>
      <c r="R293" s="5" t="s">
        <v>162</v>
      </c>
      <c r="S293" s="0" t="s">
        <v>163</v>
      </c>
      <c r="T293" s="5" t="s">
        <v>162</v>
      </c>
      <c r="U293" s="5" t="s">
        <v>561</v>
      </c>
      <c r="V293" s="0" t="s">
        <v>10610</v>
      </c>
      <c r="W293" s="0" t="s">
        <v>166</v>
      </c>
      <c r="X293" s="0" t="s">
        <v>4585</v>
      </c>
      <c r="Y293" s="0" t="str">
        <f aca="false">IF(EB293&lt;&gt;"Y","",COUNTIFS($EB$2:$EB$1000,"Y",$J$2:$J$1000,"&gt;"&amp;J293)+COUNTIFS($EB$2:$EB$1000,"Y",$J$2:$J$1000,J293,$ED$2:$ED$1000,"&lt;"&amp;ED293)+1)</f>
        <v/>
      </c>
      <c r="AA293" s="0" t="s">
        <v>162</v>
      </c>
      <c r="AD293" s="0" t="s">
        <v>158</v>
      </c>
      <c r="AH293" s="0" t="s">
        <v>10611</v>
      </c>
      <c r="AI293" s="0" t="s">
        <v>5924</v>
      </c>
      <c r="AJ293" s="0" t="s">
        <v>163</v>
      </c>
      <c r="AK293" s="0" t="s">
        <v>10612</v>
      </c>
      <c r="AL293" s="0" t="s">
        <v>168</v>
      </c>
      <c r="AM293" s="0" t="s">
        <v>10613</v>
      </c>
      <c r="AN293" s="0" t="s">
        <v>10607</v>
      </c>
      <c r="AO293" s="5" t="s">
        <v>162</v>
      </c>
      <c r="AR293" s="0" t="str">
        <f aca="false">IF(AND(AU293="pass",AO293&lt;&gt;"Y",C293&lt;&gt;""),"Y","N")</f>
        <v>N</v>
      </c>
      <c r="AS293" s="0" t="str">
        <f aca="false">_xlfn.TEXTJOIN("; ",TRUE(),IF(AU293&lt;&gt;"pass","gated out",""),IF(AO293="Y","on hold: "&amp;AP293,""),IF(C293="","no contact named on an opened page",""))</f>
        <v>gated out; no contact named on an opened page</v>
      </c>
      <c r="AU293" s="0" t="s">
        <v>3703</v>
      </c>
      <c r="AV293" s="0" t="s">
        <v>10402</v>
      </c>
      <c r="AW293" s="0" t="s">
        <v>10614</v>
      </c>
      <c r="AX293" s="0" t="s">
        <v>4594</v>
      </c>
      <c r="AY293" s="0" t="s">
        <v>10612</v>
      </c>
      <c r="AZ293" s="0" t="s">
        <v>5356</v>
      </c>
      <c r="BA293" s="0" t="s">
        <v>5329</v>
      </c>
      <c r="BB293" s="0" t="s">
        <v>163</v>
      </c>
      <c r="BD293" s="0" t="s">
        <v>168</v>
      </c>
      <c r="BE293" s="0" t="s">
        <v>10615</v>
      </c>
      <c r="BF293" s="0" t="s">
        <v>168</v>
      </c>
      <c r="BG293" s="0" t="s">
        <v>168</v>
      </c>
      <c r="BH293" s="0" t="s">
        <v>163</v>
      </c>
      <c r="BJ293" s="0" t="s">
        <v>5549</v>
      </c>
      <c r="BK293" s="0" t="s">
        <v>168</v>
      </c>
      <c r="BL293" s="0" t="s">
        <v>168</v>
      </c>
      <c r="BM293" s="0" t="s">
        <v>10616</v>
      </c>
      <c r="BO293" s="0" t="s">
        <v>162</v>
      </c>
      <c r="BP293" s="0" t="n">
        <v>0</v>
      </c>
      <c r="BS293" s="0" t="s">
        <v>7160</v>
      </c>
      <c r="BU293" s="0" t="s">
        <v>158</v>
      </c>
      <c r="CF293" s="0" t="s">
        <v>158</v>
      </c>
      <c r="CK293" s="0" t="s">
        <v>158</v>
      </c>
      <c r="CL293" s="0" t="n">
        <v>20</v>
      </c>
      <c r="CM293" s="0" t="n">
        <v>6</v>
      </c>
      <c r="CN293" s="0" t="n">
        <v>3</v>
      </c>
      <c r="CO293" s="0" t="n">
        <v>0</v>
      </c>
      <c r="CP293" s="0" t="n">
        <v>5</v>
      </c>
      <c r="CQ293" s="0" t="n">
        <v>10</v>
      </c>
      <c r="CR293" s="0" t="n">
        <v>0</v>
      </c>
      <c r="CS293" s="0" t="n">
        <f aca="false">IF(R293="Y",10,0)</f>
        <v>0</v>
      </c>
      <c r="CT293" s="0" t="n">
        <v>-4</v>
      </c>
      <c r="CU293" s="0" t="s">
        <v>10617</v>
      </c>
      <c r="CV293" s="0" t="s">
        <v>5562</v>
      </c>
      <c r="CW293" s="0" t="s">
        <v>10618</v>
      </c>
      <c r="CX293" s="0" t="s">
        <v>10619</v>
      </c>
      <c r="DA293" s="0" t="s">
        <v>6234</v>
      </c>
      <c r="DY293" s="0" t="str">
        <f aca="false">IF(ISNUMBER(MATCH(U293,{"queued","contacted","replied","call_booked","call_done","yes_in_principle","materials_sent"},0)),"Y","N")</f>
        <v>N</v>
      </c>
      <c r="DZ293" s="0" t="str">
        <f aca="false">IF(COUNTIFS($AN$2:$AN$1000,AN293,$DY$2:$DY$1000,"Y")+COUNTIFS($AN$2:$AN$1000,AN293,$T$2:$T$1000,"Y")&gt;0,"Y","N")</f>
        <v>N</v>
      </c>
      <c r="EA293" s="0" t="str">
        <f aca="false">IF(AND(U293="new",T293="N",AR293="Y",AQ293="",DZ293="N"),"Y","N")</f>
        <v>N</v>
      </c>
      <c r="EB293" s="0" t="str">
        <f aca="false">IF(EA293&lt;&gt;"Y","N",IF(COUNTIFS($AN$2:$AN$1000,AN293,$EA$2:$EA$1000,"Y",$J$2:$J$1000,"&gt;"&amp;J293)+COUNTIFS($AN$2:$AN$1000,AN293,$EA$2:$EA$1000,"Y",$J$2:$J$1000,J293,$ED$2:$ED$1000,"&lt;"&amp;ED293)=0,"Y","N"))</f>
        <v>N</v>
      </c>
      <c r="EC293" s="0" t="str">
        <f aca="false">IF(Y293="","N",IF(Y293&lt;=10,"Y","N"))</f>
        <v>N</v>
      </c>
      <c r="ED293" s="0" t="n">
        <f aca="false">ROW()-1</f>
        <v>292</v>
      </c>
    </row>
    <row r="294" customFormat="false" ht="15" hidden="false" customHeight="false" outlineLevel="0" collapsed="false">
      <c r="A294" s="0" t="s">
        <v>10620</v>
      </c>
      <c r="B294" s="0" t="s">
        <v>10621</v>
      </c>
      <c r="C294" s="0" t="s">
        <v>5888</v>
      </c>
      <c r="D294" s="0" t="s">
        <v>10622</v>
      </c>
      <c r="E294" s="0" t="s">
        <v>4625</v>
      </c>
      <c r="H294" s="5" t="s">
        <v>158</v>
      </c>
      <c r="I294" s="5" t="s">
        <v>159</v>
      </c>
      <c r="J294" s="0" t="n">
        <f aca="false">IF(AU294="pass",CM294+CN294+CO294+CP294+CQ294+CR294+CS294+CT294,0)</f>
        <v>0</v>
      </c>
      <c r="K294" s="0" t="s">
        <v>10623</v>
      </c>
      <c r="M294" s="0" t="s">
        <v>5291</v>
      </c>
      <c r="N294" s="0" t="s">
        <v>598</v>
      </c>
      <c r="R294" s="5" t="s">
        <v>162</v>
      </c>
      <c r="S294" s="0" t="s">
        <v>168</v>
      </c>
      <c r="T294" s="5" t="s">
        <v>162</v>
      </c>
      <c r="U294" s="5" t="s">
        <v>561</v>
      </c>
      <c r="V294" s="0" t="s">
        <v>10624</v>
      </c>
      <c r="W294" s="0" t="s">
        <v>166</v>
      </c>
      <c r="X294" s="0" t="s">
        <v>4585</v>
      </c>
      <c r="Y294" s="0" t="str">
        <f aca="false">IF(EB294&lt;&gt;"Y","",COUNTIFS($EB$2:$EB$1000,"Y",$J$2:$J$1000,"&gt;"&amp;J294)+COUNTIFS($EB$2:$EB$1000,"Y",$J$2:$J$1000,J294,$ED$2:$ED$1000,"&lt;"&amp;ED294)+1)</f>
        <v/>
      </c>
      <c r="AA294" s="0" t="s">
        <v>162</v>
      </c>
      <c r="AC294" s="0" t="s">
        <v>4587</v>
      </c>
      <c r="AD294" s="0" t="s">
        <v>171</v>
      </c>
      <c r="AE294" s="0" t="s">
        <v>1189</v>
      </c>
      <c r="AF294" s="0" t="s">
        <v>10624</v>
      </c>
      <c r="AG294" s="0" t="s">
        <v>166</v>
      </c>
      <c r="AH294" s="0" t="s">
        <v>10625</v>
      </c>
      <c r="AI294" s="0" t="s">
        <v>5924</v>
      </c>
      <c r="AJ294" s="0" t="s">
        <v>10463</v>
      </c>
      <c r="AK294" s="0" t="s">
        <v>10626</v>
      </c>
      <c r="AL294" s="0" t="s">
        <v>168</v>
      </c>
      <c r="AM294" s="0" t="s">
        <v>4690</v>
      </c>
      <c r="AN294" s="0" t="s">
        <v>10620</v>
      </c>
      <c r="AO294" s="5" t="s">
        <v>162</v>
      </c>
      <c r="AR294" s="0" t="str">
        <f aca="false">IF(AND(AU294="pass",AO294&lt;&gt;"Y",C294&lt;&gt;""),"Y","N")</f>
        <v>N</v>
      </c>
      <c r="AS294" s="0" t="str">
        <f aca="false">_xlfn.TEXTJOIN("; ",TRUE(),IF(AU294&lt;&gt;"pass","gated out",""),IF(AO294="Y","on hold: "&amp;AP294,""),IF(C294="","no contact named on an opened page",""))</f>
        <v>gated out</v>
      </c>
      <c r="AU294" s="0" t="s">
        <v>3703</v>
      </c>
      <c r="AV294" s="0" t="s">
        <v>9762</v>
      </c>
      <c r="AW294" s="0" t="s">
        <v>10627</v>
      </c>
      <c r="AY294" s="0" t="s">
        <v>10626</v>
      </c>
      <c r="AZ294" s="0" t="s">
        <v>4595</v>
      </c>
      <c r="BA294" s="0" t="s">
        <v>4596</v>
      </c>
      <c r="BB294" s="0" t="s">
        <v>163</v>
      </c>
      <c r="BD294" s="0" t="s">
        <v>163</v>
      </c>
      <c r="BE294" s="0" t="s">
        <v>10628</v>
      </c>
      <c r="BF294" s="0" t="s">
        <v>168</v>
      </c>
      <c r="BG294" s="0" t="s">
        <v>168</v>
      </c>
      <c r="BH294" s="0" t="s">
        <v>163</v>
      </c>
      <c r="BJ294" s="0" t="s">
        <v>10629</v>
      </c>
      <c r="BK294" s="0" t="s">
        <v>168</v>
      </c>
      <c r="BL294" s="0" t="s">
        <v>168</v>
      </c>
      <c r="BM294" s="0" t="s">
        <v>10630</v>
      </c>
      <c r="BO294" s="0" t="s">
        <v>162</v>
      </c>
      <c r="BP294" s="0" t="n">
        <v>0</v>
      </c>
      <c r="BS294" s="0" t="s">
        <v>10631</v>
      </c>
      <c r="BU294" s="0" t="s">
        <v>158</v>
      </c>
      <c r="BW294" s="0" t="s">
        <v>10624</v>
      </c>
      <c r="BX294" s="0" t="s">
        <v>10632</v>
      </c>
      <c r="CF294" s="0" t="s">
        <v>158</v>
      </c>
      <c r="CK294" s="0" t="s">
        <v>158</v>
      </c>
      <c r="CL294" s="0" t="n">
        <v>44</v>
      </c>
      <c r="CM294" s="0" t="n">
        <v>6</v>
      </c>
      <c r="CN294" s="0" t="n">
        <v>20</v>
      </c>
      <c r="CO294" s="0" t="n">
        <v>0</v>
      </c>
      <c r="CP294" s="0" t="n">
        <v>5</v>
      </c>
      <c r="CQ294" s="0" t="n">
        <v>7</v>
      </c>
      <c r="CR294" s="0" t="n">
        <v>6</v>
      </c>
      <c r="CS294" s="0" t="n">
        <f aca="false">IF(R294="Y",10,0)</f>
        <v>0</v>
      </c>
      <c r="CT294" s="0" t="n">
        <v>0</v>
      </c>
      <c r="CV294" s="0" t="s">
        <v>4615</v>
      </c>
      <c r="CW294" s="0" t="s">
        <v>10633</v>
      </c>
      <c r="CX294" s="0" t="s">
        <v>10634</v>
      </c>
      <c r="DA294" s="0" t="s">
        <v>6234</v>
      </c>
      <c r="DY294" s="0" t="str">
        <f aca="false">IF(ISNUMBER(MATCH(U294,{"queued","contacted","replied","call_booked","call_done","yes_in_principle","materials_sent"},0)),"Y","N")</f>
        <v>N</v>
      </c>
      <c r="DZ294" s="0" t="str">
        <f aca="false">IF(COUNTIFS($AN$2:$AN$1000,AN294,$DY$2:$DY$1000,"Y")+COUNTIFS($AN$2:$AN$1000,AN294,$T$2:$T$1000,"Y")&gt;0,"Y","N")</f>
        <v>N</v>
      </c>
      <c r="EA294" s="0" t="str">
        <f aca="false">IF(AND(U294="new",T294="N",AR294="Y",AQ294="",DZ294="N"),"Y","N")</f>
        <v>N</v>
      </c>
      <c r="EB294" s="0" t="str">
        <f aca="false">IF(EA294&lt;&gt;"Y","N",IF(COUNTIFS($AN$2:$AN$1000,AN294,$EA$2:$EA$1000,"Y",$J$2:$J$1000,"&gt;"&amp;J294)+COUNTIFS($AN$2:$AN$1000,AN294,$EA$2:$EA$1000,"Y",$J$2:$J$1000,J294,$ED$2:$ED$1000,"&lt;"&amp;ED294)=0,"Y","N"))</f>
        <v>N</v>
      </c>
      <c r="EC294" s="0" t="str">
        <f aca="false">IF(Y294="","N",IF(Y294&lt;=10,"Y","N"))</f>
        <v>N</v>
      </c>
      <c r="ED294" s="0" t="n">
        <f aca="false">ROW()-1</f>
        <v>293</v>
      </c>
    </row>
    <row r="295" customFormat="false" ht="15" hidden="false" customHeight="false" outlineLevel="0" collapsed="false">
      <c r="A295" s="0" t="s">
        <v>10635</v>
      </c>
      <c r="B295" s="0" t="s">
        <v>10636</v>
      </c>
      <c r="C295" s="0" t="s">
        <v>5101</v>
      </c>
      <c r="D295" s="0" t="s">
        <v>10637</v>
      </c>
      <c r="E295" s="0" t="s">
        <v>4625</v>
      </c>
      <c r="H295" s="5" t="s">
        <v>158</v>
      </c>
      <c r="I295" s="5" t="s">
        <v>159</v>
      </c>
      <c r="J295" s="0" t="n">
        <f aca="false">IF(AU295="pass",CM295+CN295+CO295+CP295+CQ295+CR295+CS295+CT295,0)</f>
        <v>0</v>
      </c>
      <c r="K295" s="0" t="s">
        <v>10638</v>
      </c>
      <c r="M295" s="0" t="s">
        <v>5291</v>
      </c>
      <c r="N295" s="0" t="s">
        <v>598</v>
      </c>
      <c r="R295" s="5" t="s">
        <v>162</v>
      </c>
      <c r="S295" s="0" t="s">
        <v>163</v>
      </c>
      <c r="T295" s="5" t="s">
        <v>162</v>
      </c>
      <c r="U295" s="5" t="s">
        <v>561</v>
      </c>
      <c r="V295" s="0" t="s">
        <v>10639</v>
      </c>
      <c r="W295" s="0" t="s">
        <v>166</v>
      </c>
      <c r="X295" s="0" t="s">
        <v>4585</v>
      </c>
      <c r="Y295" s="0" t="str">
        <f aca="false">IF(EB295&lt;&gt;"Y","",COUNTIFS($EB$2:$EB$1000,"Y",$J$2:$J$1000,"&gt;"&amp;J295)+COUNTIFS($EB$2:$EB$1000,"Y",$J$2:$J$1000,J295,$ED$2:$ED$1000,"&lt;"&amp;ED295)+1)</f>
        <v/>
      </c>
      <c r="AA295" s="0" t="s">
        <v>162</v>
      </c>
      <c r="AC295" s="0" t="s">
        <v>4587</v>
      </c>
      <c r="AD295" s="0" t="s">
        <v>171</v>
      </c>
      <c r="AE295" s="0" t="s">
        <v>163</v>
      </c>
      <c r="AG295" s="0" t="s">
        <v>166</v>
      </c>
      <c r="AH295" s="0" t="s">
        <v>10640</v>
      </c>
      <c r="AI295" s="0" t="s">
        <v>5461</v>
      </c>
      <c r="AJ295" s="0" t="s">
        <v>4634</v>
      </c>
      <c r="AL295" s="0" t="s">
        <v>168</v>
      </c>
      <c r="AM295" s="0" t="s">
        <v>4690</v>
      </c>
      <c r="AN295" s="0" t="s">
        <v>10635</v>
      </c>
      <c r="AO295" s="5" t="s">
        <v>162</v>
      </c>
      <c r="AR295" s="0" t="str">
        <f aca="false">IF(AND(AU295="pass",AO295&lt;&gt;"Y",C295&lt;&gt;""),"Y","N")</f>
        <v>N</v>
      </c>
      <c r="AS295" s="0" t="str">
        <f aca="false">_xlfn.TEXTJOIN("; ",TRUE(),IF(AU295&lt;&gt;"pass","gated out",""),IF(AO295="Y","on hold: "&amp;AP295,""),IF(C295="","no contact named on an opened page",""))</f>
        <v>gated out</v>
      </c>
      <c r="AU295" s="0" t="s">
        <v>3703</v>
      </c>
      <c r="AV295" s="0" t="s">
        <v>10056</v>
      </c>
      <c r="AW295" s="0" t="s">
        <v>10641</v>
      </c>
      <c r="AY295" s="0" t="s">
        <v>10639</v>
      </c>
      <c r="AZ295" s="0" t="s">
        <v>4595</v>
      </c>
      <c r="BA295" s="0" t="s">
        <v>4596</v>
      </c>
      <c r="BB295" s="0" t="s">
        <v>163</v>
      </c>
      <c r="BD295" s="0" t="s">
        <v>163</v>
      </c>
      <c r="BF295" s="0" t="s">
        <v>163</v>
      </c>
      <c r="BG295" s="0" t="s">
        <v>162</v>
      </c>
      <c r="BH295" s="0" t="s">
        <v>163</v>
      </c>
      <c r="BJ295" s="0" t="s">
        <v>163</v>
      </c>
      <c r="BK295" s="0" t="s">
        <v>162</v>
      </c>
      <c r="BL295" s="0" t="s">
        <v>168</v>
      </c>
      <c r="BM295" s="0" t="s">
        <v>10642</v>
      </c>
      <c r="BO295" s="0" t="s">
        <v>162</v>
      </c>
      <c r="BP295" s="0" t="n">
        <v>0</v>
      </c>
      <c r="BT295" s="0" t="s">
        <v>10643</v>
      </c>
      <c r="BU295" s="0" t="s">
        <v>158</v>
      </c>
      <c r="BX295" s="0" t="s">
        <v>10644</v>
      </c>
      <c r="CA295" s="0" t="s">
        <v>10645</v>
      </c>
      <c r="CB295" s="0" t="s">
        <v>5474</v>
      </c>
      <c r="CC295" s="0" t="s">
        <v>10646</v>
      </c>
      <c r="CD295" s="0" t="s">
        <v>4625</v>
      </c>
      <c r="CE295" s="0" t="s">
        <v>6723</v>
      </c>
      <c r="CF295" s="0" t="s">
        <v>171</v>
      </c>
      <c r="CK295" s="0" t="s">
        <v>158</v>
      </c>
      <c r="CL295" s="0" t="n">
        <v>33</v>
      </c>
      <c r="CM295" s="0" t="n">
        <v>0</v>
      </c>
      <c r="CN295" s="0" t="n">
        <v>20</v>
      </c>
      <c r="CO295" s="0" t="n">
        <v>0</v>
      </c>
      <c r="CP295" s="0" t="n">
        <v>5</v>
      </c>
      <c r="CQ295" s="0" t="n">
        <v>2</v>
      </c>
      <c r="CR295" s="0" t="n">
        <v>6</v>
      </c>
      <c r="CS295" s="0" t="n">
        <f aca="false">IF(R295="Y",10,0)</f>
        <v>0</v>
      </c>
      <c r="CT295" s="0" t="n">
        <v>0</v>
      </c>
      <c r="CU295" s="0" t="s">
        <v>163</v>
      </c>
      <c r="CV295" s="0" t="s">
        <v>4841</v>
      </c>
      <c r="CW295" s="0" t="s">
        <v>10647</v>
      </c>
      <c r="CX295" s="0" t="s">
        <v>10648</v>
      </c>
      <c r="DA295" s="0" t="s">
        <v>6234</v>
      </c>
      <c r="DC295" s="0" t="s">
        <v>163</v>
      </c>
      <c r="DY295" s="0" t="str">
        <f aca="false">IF(ISNUMBER(MATCH(U295,{"queued","contacted","replied","call_booked","call_done","yes_in_principle","materials_sent"},0)),"Y","N")</f>
        <v>N</v>
      </c>
      <c r="DZ295" s="0" t="str">
        <f aca="false">IF(COUNTIFS($AN$2:$AN$1000,AN295,$DY$2:$DY$1000,"Y")+COUNTIFS($AN$2:$AN$1000,AN295,$T$2:$T$1000,"Y")&gt;0,"Y","N")</f>
        <v>N</v>
      </c>
      <c r="EA295" s="0" t="str">
        <f aca="false">IF(AND(U295="new",T295="N",AR295="Y",AQ295="",DZ295="N"),"Y","N")</f>
        <v>N</v>
      </c>
      <c r="EB295" s="0" t="str">
        <f aca="false">IF(EA295&lt;&gt;"Y","N",IF(COUNTIFS($AN$2:$AN$1000,AN295,$EA$2:$EA$1000,"Y",$J$2:$J$1000,"&gt;"&amp;J295)+COUNTIFS($AN$2:$AN$1000,AN295,$EA$2:$EA$1000,"Y",$J$2:$J$1000,J295,$ED$2:$ED$1000,"&lt;"&amp;ED295)=0,"Y","N"))</f>
        <v>N</v>
      </c>
      <c r="EC295" s="0" t="str">
        <f aca="false">IF(Y295="","N",IF(Y295&lt;=10,"Y","N"))</f>
        <v>N</v>
      </c>
      <c r="ED295" s="0" t="n">
        <f aca="false">ROW()-1</f>
        <v>294</v>
      </c>
    </row>
    <row r="296" customFormat="false" ht="15" hidden="false" customHeight="false" outlineLevel="0" collapsed="false">
      <c r="A296" s="0" t="s">
        <v>10649</v>
      </c>
      <c r="B296" s="0" t="s">
        <v>10650</v>
      </c>
      <c r="H296" s="5" t="s">
        <v>158</v>
      </c>
      <c r="I296" s="5"/>
      <c r="J296" s="0" t="n">
        <f aca="false">IF(AU296="pass",CM296+CN296+CO296+CP296+CQ296+CR296+CS296+CT296,0)</f>
        <v>0</v>
      </c>
      <c r="K296" s="0" t="s">
        <v>10651</v>
      </c>
      <c r="M296" s="0" t="s">
        <v>5291</v>
      </c>
      <c r="N296" s="0" t="s">
        <v>598</v>
      </c>
      <c r="R296" s="5" t="s">
        <v>162</v>
      </c>
      <c r="S296" s="0" t="s">
        <v>163</v>
      </c>
      <c r="T296" s="5" t="s">
        <v>162</v>
      </c>
      <c r="U296" s="5" t="s">
        <v>561</v>
      </c>
      <c r="V296" s="0" t="s">
        <v>10652</v>
      </c>
      <c r="W296" s="0" t="s">
        <v>166</v>
      </c>
      <c r="X296" s="0" t="s">
        <v>4585</v>
      </c>
      <c r="Y296" s="0" t="str">
        <f aca="false">IF(EB296&lt;&gt;"Y","",COUNTIFS($EB$2:$EB$1000,"Y",$J$2:$J$1000,"&gt;"&amp;J296)+COUNTIFS($EB$2:$EB$1000,"Y",$J$2:$J$1000,J296,$ED$2:$ED$1000,"&lt;"&amp;ED296)+1)</f>
        <v/>
      </c>
      <c r="AA296" s="0" t="s">
        <v>162</v>
      </c>
      <c r="AD296" s="0" t="s">
        <v>158</v>
      </c>
      <c r="AH296" s="0" t="s">
        <v>10653</v>
      </c>
      <c r="AI296" s="0" t="s">
        <v>5924</v>
      </c>
      <c r="AJ296" s="0" t="s">
        <v>163</v>
      </c>
      <c r="AK296" s="0" t="s">
        <v>10654</v>
      </c>
      <c r="AL296" s="0" t="s">
        <v>168</v>
      </c>
      <c r="AM296" s="0" t="s">
        <v>4690</v>
      </c>
      <c r="AN296" s="0" t="s">
        <v>10649</v>
      </c>
      <c r="AO296" s="5" t="s">
        <v>162</v>
      </c>
      <c r="AR296" s="0" t="str">
        <f aca="false">IF(AND(AU296="pass",AO296&lt;&gt;"Y",C296&lt;&gt;""),"Y","N")</f>
        <v>N</v>
      </c>
      <c r="AS296" s="0" t="str">
        <f aca="false">_xlfn.TEXTJOIN("; ",TRUE(),IF(AU296&lt;&gt;"pass","gated out",""),IF(AO296="Y","on hold: "&amp;AP296,""),IF(C296="","no contact named on an opened page",""))</f>
        <v>gated out; no contact named on an opened page</v>
      </c>
      <c r="AU296" s="0" t="s">
        <v>3703</v>
      </c>
      <c r="AV296" s="0" t="s">
        <v>9762</v>
      </c>
      <c r="AW296" s="0" t="s">
        <v>10655</v>
      </c>
      <c r="AY296" s="0" t="s">
        <v>10654</v>
      </c>
      <c r="AZ296" s="0" t="s">
        <v>163</v>
      </c>
      <c r="BA296" s="0" t="s">
        <v>163</v>
      </c>
      <c r="BB296" s="0" t="s">
        <v>163</v>
      </c>
      <c r="BD296" s="0" t="s">
        <v>163</v>
      </c>
      <c r="BE296" s="0" t="s">
        <v>8632</v>
      </c>
      <c r="BF296" s="0" t="s">
        <v>168</v>
      </c>
      <c r="BG296" s="0" t="s">
        <v>168</v>
      </c>
      <c r="BH296" s="0" t="s">
        <v>163</v>
      </c>
      <c r="BJ296" s="0" t="s">
        <v>10656</v>
      </c>
      <c r="BK296" s="0" t="s">
        <v>168</v>
      </c>
      <c r="BL296" s="0" t="s">
        <v>168</v>
      </c>
      <c r="BM296" s="0" t="s">
        <v>10657</v>
      </c>
      <c r="BO296" s="0" t="s">
        <v>162</v>
      </c>
      <c r="BP296" s="0" t="n">
        <v>0</v>
      </c>
      <c r="BS296" s="0" t="s">
        <v>163</v>
      </c>
      <c r="BU296" s="0" t="s">
        <v>158</v>
      </c>
      <c r="CF296" s="0" t="s">
        <v>158</v>
      </c>
      <c r="CK296" s="0" t="s">
        <v>158</v>
      </c>
      <c r="CL296" s="0" t="n">
        <v>22</v>
      </c>
      <c r="CM296" s="0" t="n">
        <v>6</v>
      </c>
      <c r="CN296" s="0" t="n">
        <v>4</v>
      </c>
      <c r="CO296" s="0" t="n">
        <v>0</v>
      </c>
      <c r="CP296" s="0" t="n">
        <v>5</v>
      </c>
      <c r="CQ296" s="0" t="n">
        <v>7</v>
      </c>
      <c r="CR296" s="0" t="n">
        <v>0</v>
      </c>
      <c r="CS296" s="0" t="n">
        <f aca="false">IF(R296="Y",10,0)</f>
        <v>0</v>
      </c>
      <c r="CT296" s="0" t="n">
        <v>0</v>
      </c>
      <c r="CU296" s="0" t="s">
        <v>10658</v>
      </c>
      <c r="CV296" s="0" t="s">
        <v>5562</v>
      </c>
      <c r="CW296" s="0" t="s">
        <v>10659</v>
      </c>
      <c r="CX296" s="0" t="s">
        <v>10660</v>
      </c>
      <c r="DA296" s="0" t="s">
        <v>6234</v>
      </c>
      <c r="DY296" s="0" t="str">
        <f aca="false">IF(ISNUMBER(MATCH(U296,{"queued","contacted","replied","call_booked","call_done","yes_in_principle","materials_sent"},0)),"Y","N")</f>
        <v>N</v>
      </c>
      <c r="DZ296" s="0" t="str">
        <f aca="false">IF(COUNTIFS($AN$2:$AN$1000,AN296,$DY$2:$DY$1000,"Y")+COUNTIFS($AN$2:$AN$1000,AN296,$T$2:$T$1000,"Y")&gt;0,"Y","N")</f>
        <v>N</v>
      </c>
      <c r="EA296" s="0" t="str">
        <f aca="false">IF(AND(U296="new",T296="N",AR296="Y",AQ296="",DZ296="N"),"Y","N")</f>
        <v>N</v>
      </c>
      <c r="EB296" s="0" t="str">
        <f aca="false">IF(EA296&lt;&gt;"Y","N",IF(COUNTIFS($AN$2:$AN$1000,AN296,$EA$2:$EA$1000,"Y",$J$2:$J$1000,"&gt;"&amp;J296)+COUNTIFS($AN$2:$AN$1000,AN296,$EA$2:$EA$1000,"Y",$J$2:$J$1000,J296,$ED$2:$ED$1000,"&lt;"&amp;ED296)=0,"Y","N"))</f>
        <v>N</v>
      </c>
      <c r="EC296" s="0" t="str">
        <f aca="false">IF(Y296="","N",IF(Y296&lt;=10,"Y","N"))</f>
        <v>N</v>
      </c>
      <c r="ED296" s="0" t="n">
        <f aca="false">ROW()-1</f>
        <v>295</v>
      </c>
    </row>
    <row r="297" customFormat="false" ht="15" hidden="false" customHeight="false" outlineLevel="0" collapsed="false">
      <c r="A297" s="0" t="s">
        <v>10661</v>
      </c>
      <c r="B297" s="0" t="s">
        <v>10662</v>
      </c>
      <c r="C297" s="0" t="s">
        <v>1087</v>
      </c>
      <c r="D297" s="0" t="s">
        <v>10663</v>
      </c>
      <c r="E297" s="0" t="s">
        <v>4771</v>
      </c>
      <c r="H297" s="5" t="s">
        <v>158</v>
      </c>
      <c r="I297" s="5" t="s">
        <v>159</v>
      </c>
      <c r="J297" s="0" t="n">
        <f aca="false">IF(AU297="pass",CM297+CN297+CO297+CP297+CQ297+CR297+CS297+CT297,0)</f>
        <v>0</v>
      </c>
      <c r="K297" s="0" t="s">
        <v>10664</v>
      </c>
      <c r="M297" s="0" t="s">
        <v>4627</v>
      </c>
      <c r="N297" s="0" t="s">
        <v>598</v>
      </c>
      <c r="R297" s="5" t="s">
        <v>162</v>
      </c>
      <c r="S297" s="0" t="s">
        <v>163</v>
      </c>
      <c r="T297" s="5" t="s">
        <v>162</v>
      </c>
      <c r="U297" s="5" t="s">
        <v>561</v>
      </c>
      <c r="V297" s="0" t="s">
        <v>10665</v>
      </c>
      <c r="W297" s="0" t="s">
        <v>166</v>
      </c>
      <c r="X297" s="0" t="s">
        <v>4585</v>
      </c>
      <c r="Y297" s="0" t="str">
        <f aca="false">IF(EB297&lt;&gt;"Y","",COUNTIFS($EB$2:$EB$1000,"Y",$J$2:$J$1000,"&gt;"&amp;J297)+COUNTIFS($EB$2:$EB$1000,"Y",$J$2:$J$1000,J297,$ED$2:$ED$1000,"&lt;"&amp;ED297)+1)</f>
        <v/>
      </c>
      <c r="AA297" s="0" t="s">
        <v>162</v>
      </c>
      <c r="AC297" s="0" t="s">
        <v>4587</v>
      </c>
      <c r="AD297" s="0" t="s">
        <v>171</v>
      </c>
      <c r="AE297" s="0" t="s">
        <v>172</v>
      </c>
      <c r="AF297" s="0" t="s">
        <v>10666</v>
      </c>
      <c r="AG297" s="0" t="s">
        <v>166</v>
      </c>
      <c r="AH297" s="0" t="s">
        <v>10667</v>
      </c>
      <c r="AI297" s="0" t="s">
        <v>4633</v>
      </c>
      <c r="AJ297" s="0" t="s">
        <v>10668</v>
      </c>
      <c r="AK297" s="0" t="s">
        <v>10669</v>
      </c>
      <c r="AL297" s="0" t="s">
        <v>162</v>
      </c>
      <c r="AN297" s="0" t="s">
        <v>10661</v>
      </c>
      <c r="AO297" s="5" t="s">
        <v>162</v>
      </c>
      <c r="AR297" s="0" t="str">
        <f aca="false">IF(AND(AU297="pass",AO297&lt;&gt;"Y",C297&lt;&gt;""),"Y","N")</f>
        <v>N</v>
      </c>
      <c r="AS297" s="0" t="str">
        <f aca="false">_xlfn.TEXTJOIN("; ",TRUE(),IF(AU297&lt;&gt;"pass","gated out",""),IF(AO297="Y","on hold: "&amp;AP297,""),IF(C297="","no contact named on an opened page",""))</f>
        <v>gated out</v>
      </c>
      <c r="AU297" s="0" t="s">
        <v>3703</v>
      </c>
      <c r="AV297" s="0" t="s">
        <v>9762</v>
      </c>
      <c r="AW297" s="0" t="s">
        <v>10670</v>
      </c>
      <c r="AY297" s="0" t="s">
        <v>10669</v>
      </c>
      <c r="AZ297" s="0" t="s">
        <v>7692</v>
      </c>
      <c r="BA297" s="0" t="s">
        <v>5191</v>
      </c>
      <c r="BB297" s="0" t="s">
        <v>163</v>
      </c>
      <c r="BD297" s="0" t="s">
        <v>168</v>
      </c>
      <c r="BE297" s="0" t="s">
        <v>10671</v>
      </c>
      <c r="BF297" s="0" t="s">
        <v>162</v>
      </c>
      <c r="BG297" s="0" t="s">
        <v>168</v>
      </c>
      <c r="BH297" s="0" t="s">
        <v>163</v>
      </c>
      <c r="BJ297" s="0" t="s">
        <v>163</v>
      </c>
      <c r="BK297" s="0" t="s">
        <v>162</v>
      </c>
      <c r="BL297" s="0" t="s">
        <v>168</v>
      </c>
      <c r="BM297" s="0" t="s">
        <v>10672</v>
      </c>
      <c r="BN297" s="0" t="n">
        <v>0</v>
      </c>
      <c r="BO297" s="0" t="s">
        <v>168</v>
      </c>
      <c r="BP297" s="0" t="n">
        <v>0</v>
      </c>
      <c r="BQ297" s="0" t="s">
        <v>10673</v>
      </c>
      <c r="BS297" s="0" t="s">
        <v>4981</v>
      </c>
      <c r="BT297" s="0" t="s">
        <v>10674</v>
      </c>
      <c r="BU297" s="0" t="s">
        <v>158</v>
      </c>
      <c r="BX297" s="0" t="s">
        <v>10675</v>
      </c>
      <c r="CF297" s="0" t="s">
        <v>158</v>
      </c>
      <c r="CK297" s="0" t="s">
        <v>158</v>
      </c>
      <c r="CL297" s="0" t="n">
        <v>32</v>
      </c>
      <c r="CM297" s="0" t="n">
        <v>6</v>
      </c>
      <c r="CN297" s="0" t="n">
        <v>8</v>
      </c>
      <c r="CO297" s="0" t="n">
        <v>0</v>
      </c>
      <c r="CP297" s="0" t="n">
        <v>5</v>
      </c>
      <c r="CQ297" s="0" t="n">
        <v>7</v>
      </c>
      <c r="CR297" s="0" t="n">
        <v>6</v>
      </c>
      <c r="CS297" s="0" t="n">
        <f aca="false">IF(R297="Y",10,0)</f>
        <v>0</v>
      </c>
      <c r="CT297" s="0" t="n">
        <v>0</v>
      </c>
      <c r="CU297" s="0" t="s">
        <v>163</v>
      </c>
      <c r="CV297" s="0" t="s">
        <v>4841</v>
      </c>
      <c r="CW297" s="0" t="s">
        <v>10676</v>
      </c>
      <c r="CX297" s="0" t="s">
        <v>10677</v>
      </c>
      <c r="CY297" s="0" t="s">
        <v>10678</v>
      </c>
      <c r="DA297" s="0" t="s">
        <v>6234</v>
      </c>
      <c r="DY297" s="0" t="str">
        <f aca="false">IF(ISNUMBER(MATCH(U297,{"queued","contacted","replied","call_booked","call_done","yes_in_principle","materials_sent"},0)),"Y","N")</f>
        <v>N</v>
      </c>
      <c r="DZ297" s="0" t="str">
        <f aca="false">IF(COUNTIFS($AN$2:$AN$1000,AN297,$DY$2:$DY$1000,"Y")+COUNTIFS($AN$2:$AN$1000,AN297,$T$2:$T$1000,"Y")&gt;0,"Y","N")</f>
        <v>N</v>
      </c>
      <c r="EA297" s="0" t="str">
        <f aca="false">IF(AND(U297="new",T297="N",AR297="Y",AQ297="",DZ297="N"),"Y","N")</f>
        <v>N</v>
      </c>
      <c r="EB297" s="0" t="str">
        <f aca="false">IF(EA297&lt;&gt;"Y","N",IF(COUNTIFS($AN$2:$AN$1000,AN297,$EA$2:$EA$1000,"Y",$J$2:$J$1000,"&gt;"&amp;J297)+COUNTIFS($AN$2:$AN$1000,AN297,$EA$2:$EA$1000,"Y",$J$2:$J$1000,J297,$ED$2:$ED$1000,"&lt;"&amp;ED297)=0,"Y","N"))</f>
        <v>N</v>
      </c>
      <c r="EC297" s="0" t="str">
        <f aca="false">IF(Y297="","N",IF(Y297&lt;=10,"Y","N"))</f>
        <v>N</v>
      </c>
      <c r="ED297" s="0" t="n">
        <f aca="false">ROW()-1</f>
        <v>296</v>
      </c>
    </row>
    <row r="298" customFormat="false" ht="15" hidden="false" customHeight="false" outlineLevel="0" collapsed="false">
      <c r="A298" s="0" t="s">
        <v>10679</v>
      </c>
      <c r="B298" s="0" t="s">
        <v>10680</v>
      </c>
      <c r="H298" s="5" t="s">
        <v>158</v>
      </c>
      <c r="I298" s="5"/>
      <c r="J298" s="0" t="n">
        <f aca="false">IF(AU298="pass",CM298+CN298+CO298+CP298+CQ298+CR298+CS298+CT298,0)</f>
        <v>0</v>
      </c>
      <c r="K298" s="0" t="s">
        <v>10052</v>
      </c>
      <c r="M298" s="0" t="s">
        <v>5291</v>
      </c>
      <c r="N298" s="0" t="s">
        <v>598</v>
      </c>
      <c r="R298" s="5" t="s">
        <v>162</v>
      </c>
      <c r="S298" s="0" t="s">
        <v>163</v>
      </c>
      <c r="T298" s="5" t="s">
        <v>162</v>
      </c>
      <c r="U298" s="5" t="s">
        <v>561</v>
      </c>
      <c r="V298" s="0" t="s">
        <v>10681</v>
      </c>
      <c r="W298" s="0" t="s">
        <v>166</v>
      </c>
      <c r="X298" s="0" t="s">
        <v>4585</v>
      </c>
      <c r="Y298" s="0" t="str">
        <f aca="false">IF(EB298&lt;&gt;"Y","",COUNTIFS($EB$2:$EB$1000,"Y",$J$2:$J$1000,"&gt;"&amp;J298)+COUNTIFS($EB$2:$EB$1000,"Y",$J$2:$J$1000,J298,$ED$2:$ED$1000,"&lt;"&amp;ED298)+1)</f>
        <v/>
      </c>
      <c r="AA298" s="0" t="s">
        <v>162</v>
      </c>
      <c r="AD298" s="0" t="s">
        <v>158</v>
      </c>
      <c r="AH298" s="0" t="s">
        <v>10682</v>
      </c>
      <c r="AI298" s="0" t="s">
        <v>4590</v>
      </c>
      <c r="AJ298" s="0" t="s">
        <v>163</v>
      </c>
      <c r="AK298" s="0" t="s">
        <v>163</v>
      </c>
      <c r="AL298" s="0" t="s">
        <v>168</v>
      </c>
      <c r="AM298" s="0" t="s">
        <v>10683</v>
      </c>
      <c r="AN298" s="0" t="s">
        <v>10679</v>
      </c>
      <c r="AO298" s="5" t="s">
        <v>162</v>
      </c>
      <c r="AR298" s="0" t="str">
        <f aca="false">IF(AND(AU298="pass",AO298&lt;&gt;"Y",C298&lt;&gt;""),"Y","N")</f>
        <v>N</v>
      </c>
      <c r="AS298" s="0" t="str">
        <f aca="false">_xlfn.TEXTJOIN("; ",TRUE(),IF(AU298&lt;&gt;"pass","gated out",""),IF(AO298="Y","on hold: "&amp;AP298,""),IF(C298="","no contact named on an opened page",""))</f>
        <v>gated out; no contact named on an opened page</v>
      </c>
      <c r="AU298" s="0" t="s">
        <v>3703</v>
      </c>
      <c r="AV298" s="0" t="s">
        <v>10056</v>
      </c>
      <c r="AW298" s="0" t="s">
        <v>10057</v>
      </c>
      <c r="AX298" s="0" t="s">
        <v>282</v>
      </c>
      <c r="AY298" s="0" t="s">
        <v>10684</v>
      </c>
      <c r="AZ298" s="0" t="s">
        <v>163</v>
      </c>
      <c r="BA298" s="0" t="s">
        <v>163</v>
      </c>
      <c r="BB298" s="0" t="s">
        <v>163</v>
      </c>
      <c r="BD298" s="0" t="s">
        <v>163</v>
      </c>
      <c r="BE298" s="0" t="s">
        <v>5927</v>
      </c>
      <c r="BF298" s="0" t="s">
        <v>168</v>
      </c>
      <c r="BG298" s="0" t="s">
        <v>163</v>
      </c>
      <c r="BH298" s="0" t="s">
        <v>163</v>
      </c>
      <c r="BJ298" s="0" t="s">
        <v>5549</v>
      </c>
      <c r="BK298" s="0" t="s">
        <v>162</v>
      </c>
      <c r="BL298" s="0" t="s">
        <v>162</v>
      </c>
      <c r="BO298" s="0" t="s">
        <v>162</v>
      </c>
      <c r="BP298" s="0" t="n">
        <v>0</v>
      </c>
      <c r="BS298" s="0" t="s">
        <v>10685</v>
      </c>
      <c r="BU298" s="0" t="s">
        <v>158</v>
      </c>
      <c r="CF298" s="0" t="s">
        <v>158</v>
      </c>
      <c r="CK298" s="0" t="s">
        <v>158</v>
      </c>
      <c r="CL298" s="0" t="n">
        <v>12</v>
      </c>
      <c r="CM298" s="0" t="n">
        <v>0</v>
      </c>
      <c r="CN298" s="0" t="n">
        <v>4</v>
      </c>
      <c r="CO298" s="0" t="n">
        <v>0</v>
      </c>
      <c r="CP298" s="0" t="n">
        <v>5</v>
      </c>
      <c r="CQ298" s="0" t="n">
        <v>5</v>
      </c>
      <c r="CR298" s="0" t="n">
        <v>0</v>
      </c>
      <c r="CS298" s="0" t="n">
        <f aca="false">IF(R298="Y",10,0)</f>
        <v>0</v>
      </c>
      <c r="CT298" s="0" t="n">
        <v>-2</v>
      </c>
      <c r="CU298" s="0" t="s">
        <v>10686</v>
      </c>
      <c r="CV298" s="0" t="s">
        <v>5562</v>
      </c>
      <c r="CW298" s="0" t="s">
        <v>10687</v>
      </c>
      <c r="CX298" s="0" t="s">
        <v>10688</v>
      </c>
      <c r="CY298" s="0" t="s">
        <v>10689</v>
      </c>
      <c r="DA298" s="0" t="s">
        <v>6234</v>
      </c>
      <c r="DY298" s="0" t="str">
        <f aca="false">IF(ISNUMBER(MATCH(U298,{"queued","contacted","replied","call_booked","call_done","yes_in_principle","materials_sent"},0)),"Y","N")</f>
        <v>N</v>
      </c>
      <c r="DZ298" s="0" t="str">
        <f aca="false">IF(COUNTIFS($AN$2:$AN$1000,AN298,$DY$2:$DY$1000,"Y")+COUNTIFS($AN$2:$AN$1000,AN298,$T$2:$T$1000,"Y")&gt;0,"Y","N")</f>
        <v>N</v>
      </c>
      <c r="EA298" s="0" t="str">
        <f aca="false">IF(AND(U298="new",T298="N",AR298="Y",AQ298="",DZ298="N"),"Y","N")</f>
        <v>N</v>
      </c>
      <c r="EB298" s="0" t="str">
        <f aca="false">IF(EA298&lt;&gt;"Y","N",IF(COUNTIFS($AN$2:$AN$1000,AN298,$EA$2:$EA$1000,"Y",$J$2:$J$1000,"&gt;"&amp;J298)+COUNTIFS($AN$2:$AN$1000,AN298,$EA$2:$EA$1000,"Y",$J$2:$J$1000,J298,$ED$2:$ED$1000,"&lt;"&amp;ED298)=0,"Y","N"))</f>
        <v>N</v>
      </c>
      <c r="EC298" s="0" t="str">
        <f aca="false">IF(Y298="","N",IF(Y298&lt;=10,"Y","N"))</f>
        <v>N</v>
      </c>
      <c r="ED298" s="0" t="n">
        <f aca="false">ROW()-1</f>
        <v>297</v>
      </c>
    </row>
    <row r="299" customFormat="false" ht="15" hidden="false" customHeight="false" outlineLevel="0" collapsed="false">
      <c r="A299" s="0" t="s">
        <v>10690</v>
      </c>
      <c r="B299" s="0" t="s">
        <v>10691</v>
      </c>
      <c r="C299" s="0" t="s">
        <v>10692</v>
      </c>
      <c r="D299" s="0" t="s">
        <v>163</v>
      </c>
      <c r="E299" s="0" t="s">
        <v>4771</v>
      </c>
      <c r="H299" s="5" t="s">
        <v>158</v>
      </c>
      <c r="I299" s="5" t="s">
        <v>159</v>
      </c>
      <c r="J299" s="0" t="n">
        <f aca="false">IF(AU299="pass",CM299+CN299+CO299+CP299+CQ299+CR299+CS299+CT299,0)</f>
        <v>0</v>
      </c>
      <c r="K299" s="0" t="s">
        <v>10693</v>
      </c>
      <c r="M299" s="0" t="s">
        <v>5291</v>
      </c>
      <c r="N299" s="0" t="s">
        <v>598</v>
      </c>
      <c r="R299" s="5" t="s">
        <v>162</v>
      </c>
      <c r="S299" s="0" t="s">
        <v>163</v>
      </c>
      <c r="T299" s="5" t="s">
        <v>162</v>
      </c>
      <c r="U299" s="5" t="s">
        <v>561</v>
      </c>
      <c r="V299" s="0" t="s">
        <v>10694</v>
      </c>
      <c r="W299" s="0" t="s">
        <v>166</v>
      </c>
      <c r="X299" s="0" t="s">
        <v>4585</v>
      </c>
      <c r="Y299" s="0" t="str">
        <f aca="false">IF(EB299&lt;&gt;"Y","",COUNTIFS($EB$2:$EB$1000,"Y",$J$2:$J$1000,"&gt;"&amp;J299)+COUNTIFS($EB$2:$EB$1000,"Y",$J$2:$J$1000,J299,$ED$2:$ED$1000,"&lt;"&amp;ED299)+1)</f>
        <v/>
      </c>
      <c r="AA299" s="0" t="s">
        <v>162</v>
      </c>
      <c r="AC299" s="0" t="s">
        <v>4587</v>
      </c>
      <c r="AD299" s="0" t="s">
        <v>5008</v>
      </c>
      <c r="AE299" s="0" t="s">
        <v>172</v>
      </c>
      <c r="AF299" s="0" t="s">
        <v>10695</v>
      </c>
      <c r="AG299" s="0" t="s">
        <v>166</v>
      </c>
      <c r="AH299" s="0" t="s">
        <v>10696</v>
      </c>
      <c r="AI299" s="0" t="s">
        <v>4590</v>
      </c>
      <c r="AJ299" s="0" t="s">
        <v>163</v>
      </c>
      <c r="AK299" s="0" t="s">
        <v>10697</v>
      </c>
      <c r="AL299" s="0" t="s">
        <v>168</v>
      </c>
      <c r="AM299" s="0" t="s">
        <v>4690</v>
      </c>
      <c r="AN299" s="0" t="s">
        <v>10690</v>
      </c>
      <c r="AO299" s="5" t="s">
        <v>162</v>
      </c>
      <c r="AR299" s="0" t="str">
        <f aca="false">IF(AND(AU299="pass",AO299&lt;&gt;"Y",C299&lt;&gt;""),"Y","N")</f>
        <v>N</v>
      </c>
      <c r="AS299" s="0" t="str">
        <f aca="false">_xlfn.TEXTJOIN("; ",TRUE(),IF(AU299&lt;&gt;"pass","gated out",""),IF(AO299="Y","on hold: "&amp;AP299,""),IF(C299="","no contact named on an opened page",""))</f>
        <v>gated out</v>
      </c>
      <c r="AU299" s="0" t="s">
        <v>3703</v>
      </c>
      <c r="AV299" s="0" t="s">
        <v>9762</v>
      </c>
      <c r="AW299" s="0" t="s">
        <v>10698</v>
      </c>
      <c r="AY299" s="0" t="s">
        <v>10697</v>
      </c>
      <c r="AZ299" s="0" t="s">
        <v>163</v>
      </c>
      <c r="BA299" s="0" t="s">
        <v>163</v>
      </c>
      <c r="BB299" s="0" t="s">
        <v>163</v>
      </c>
      <c r="BD299" s="0" t="s">
        <v>163</v>
      </c>
      <c r="BE299" s="0" t="s">
        <v>10554</v>
      </c>
      <c r="BF299" s="0" t="s">
        <v>168</v>
      </c>
      <c r="BG299" s="0" t="s">
        <v>168</v>
      </c>
      <c r="BH299" s="0" t="s">
        <v>163</v>
      </c>
      <c r="BJ299" s="0" t="s">
        <v>5549</v>
      </c>
      <c r="BK299" s="0" t="s">
        <v>168</v>
      </c>
      <c r="BL299" s="0" t="s">
        <v>168</v>
      </c>
      <c r="BM299" s="0" t="s">
        <v>10699</v>
      </c>
      <c r="BO299" s="0" t="s">
        <v>162</v>
      </c>
      <c r="BP299" s="0" t="n">
        <v>0</v>
      </c>
      <c r="BS299" s="0" t="s">
        <v>163</v>
      </c>
      <c r="BU299" s="0" t="s">
        <v>158</v>
      </c>
      <c r="BX299" s="0" t="s">
        <v>10692</v>
      </c>
      <c r="CF299" s="0" t="s">
        <v>158</v>
      </c>
      <c r="CK299" s="0" t="s">
        <v>158</v>
      </c>
      <c r="CL299" s="0" t="n">
        <v>25</v>
      </c>
      <c r="CM299" s="0" t="n">
        <v>6</v>
      </c>
      <c r="CN299" s="0" t="n">
        <v>4</v>
      </c>
      <c r="CO299" s="0" t="n">
        <v>0</v>
      </c>
      <c r="CP299" s="0" t="n">
        <v>5</v>
      </c>
      <c r="CQ299" s="0" t="n">
        <v>7</v>
      </c>
      <c r="CR299" s="0" t="n">
        <v>3</v>
      </c>
      <c r="CS299" s="0" t="n">
        <f aca="false">IF(R299="Y",10,0)</f>
        <v>0</v>
      </c>
      <c r="CT299" s="0" t="n">
        <v>0</v>
      </c>
      <c r="CU299" s="0" t="s">
        <v>10700</v>
      </c>
      <c r="CV299" s="0" t="s">
        <v>5562</v>
      </c>
      <c r="CW299" s="0" t="s">
        <v>10701</v>
      </c>
      <c r="CX299" s="0" t="s">
        <v>10702</v>
      </c>
      <c r="DA299" s="0" t="s">
        <v>6234</v>
      </c>
      <c r="DY299" s="0" t="str">
        <f aca="false">IF(ISNUMBER(MATCH(U299,{"queued","contacted","replied","call_booked","call_done","yes_in_principle","materials_sent"},0)),"Y","N")</f>
        <v>N</v>
      </c>
      <c r="DZ299" s="0" t="str">
        <f aca="false">IF(COUNTIFS($AN$2:$AN$1000,AN299,$DY$2:$DY$1000,"Y")+COUNTIFS($AN$2:$AN$1000,AN299,$T$2:$T$1000,"Y")&gt;0,"Y","N")</f>
        <v>N</v>
      </c>
      <c r="EA299" s="0" t="str">
        <f aca="false">IF(AND(U299="new",T299="N",AR299="Y",AQ299="",DZ299="N"),"Y","N")</f>
        <v>N</v>
      </c>
      <c r="EB299" s="0" t="str">
        <f aca="false">IF(EA299&lt;&gt;"Y","N",IF(COUNTIFS($AN$2:$AN$1000,AN299,$EA$2:$EA$1000,"Y",$J$2:$J$1000,"&gt;"&amp;J299)+COUNTIFS($AN$2:$AN$1000,AN299,$EA$2:$EA$1000,"Y",$J$2:$J$1000,J299,$ED$2:$ED$1000,"&lt;"&amp;ED299)=0,"Y","N"))</f>
        <v>N</v>
      </c>
      <c r="EC299" s="0" t="str">
        <f aca="false">IF(Y299="","N",IF(Y299&lt;=10,"Y","N"))</f>
        <v>N</v>
      </c>
      <c r="ED299" s="0" t="n">
        <f aca="false">ROW()-1</f>
        <v>298</v>
      </c>
    </row>
    <row r="300" customFormat="false" ht="15" hidden="false" customHeight="false" outlineLevel="0" collapsed="false">
      <c r="A300" s="0" t="s">
        <v>10703</v>
      </c>
      <c r="B300" s="0" t="s">
        <v>10704</v>
      </c>
      <c r="C300" s="0" t="s">
        <v>5089</v>
      </c>
      <c r="D300" s="0" t="s">
        <v>163</v>
      </c>
      <c r="E300" s="0" t="s">
        <v>4625</v>
      </c>
      <c r="H300" s="5" t="s">
        <v>158</v>
      </c>
      <c r="I300" s="5" t="s">
        <v>159</v>
      </c>
      <c r="J300" s="0" t="n">
        <f aca="false">IF(AU300="pass",CM300+CN300+CO300+CP300+CQ300+CR300+CS300+CT300,0)</f>
        <v>0</v>
      </c>
      <c r="K300" s="0" t="s">
        <v>10705</v>
      </c>
      <c r="M300" s="0" t="s">
        <v>5291</v>
      </c>
      <c r="N300" s="0" t="s">
        <v>598</v>
      </c>
      <c r="R300" s="5" t="s">
        <v>162</v>
      </c>
      <c r="S300" s="0" t="s">
        <v>163</v>
      </c>
      <c r="T300" s="5" t="s">
        <v>162</v>
      </c>
      <c r="U300" s="5" t="s">
        <v>561</v>
      </c>
      <c r="V300" s="0" t="s">
        <v>10706</v>
      </c>
      <c r="W300" s="0" t="s">
        <v>166</v>
      </c>
      <c r="X300" s="0" t="s">
        <v>4585</v>
      </c>
      <c r="Y300" s="0" t="str">
        <f aca="false">IF(EB300&lt;&gt;"Y","",COUNTIFS($EB$2:$EB$1000,"Y",$J$2:$J$1000,"&gt;"&amp;J300)+COUNTIFS($EB$2:$EB$1000,"Y",$J$2:$J$1000,J300,$ED$2:$ED$1000,"&lt;"&amp;ED300)+1)</f>
        <v/>
      </c>
      <c r="AA300" s="0" t="s">
        <v>162</v>
      </c>
      <c r="AC300" s="0" t="s">
        <v>4587</v>
      </c>
      <c r="AD300" s="0" t="s">
        <v>5008</v>
      </c>
      <c r="AE300" s="0" t="s">
        <v>172</v>
      </c>
      <c r="AF300" s="0" t="s">
        <v>10707</v>
      </c>
      <c r="AG300" s="0" t="s">
        <v>166</v>
      </c>
      <c r="AH300" s="0" t="s">
        <v>10708</v>
      </c>
      <c r="AI300" s="0" t="s">
        <v>5079</v>
      </c>
      <c r="AJ300" s="0" t="s">
        <v>163</v>
      </c>
      <c r="AK300" s="0" t="s">
        <v>10709</v>
      </c>
      <c r="AL300" s="0" t="s">
        <v>168</v>
      </c>
      <c r="AM300" s="0" t="s">
        <v>4690</v>
      </c>
      <c r="AN300" s="0" t="s">
        <v>10703</v>
      </c>
      <c r="AO300" s="5" t="s">
        <v>162</v>
      </c>
      <c r="AR300" s="0" t="str">
        <f aca="false">IF(AND(AU300="pass",AO300&lt;&gt;"Y",C300&lt;&gt;""),"Y","N")</f>
        <v>N</v>
      </c>
      <c r="AS300" s="0" t="str">
        <f aca="false">_xlfn.TEXTJOIN("; ",TRUE(),IF(AU300&lt;&gt;"pass","gated out",""),IF(AO300="Y","on hold: "&amp;AP300,""),IF(C300="","no contact named on an opened page",""))</f>
        <v>gated out</v>
      </c>
      <c r="AU300" s="0" t="s">
        <v>3703</v>
      </c>
      <c r="AV300" s="0" t="s">
        <v>9762</v>
      </c>
      <c r="AW300" s="0" t="s">
        <v>10710</v>
      </c>
      <c r="AY300" s="0" t="s">
        <v>10709</v>
      </c>
      <c r="AZ300" s="0" t="s">
        <v>163</v>
      </c>
      <c r="BA300" s="0" t="s">
        <v>163</v>
      </c>
      <c r="BB300" s="0" t="s">
        <v>163</v>
      </c>
      <c r="BD300" s="0" t="s">
        <v>263</v>
      </c>
      <c r="BE300" s="0" t="s">
        <v>10387</v>
      </c>
      <c r="BF300" s="0" t="s">
        <v>168</v>
      </c>
      <c r="BG300" s="0" t="s">
        <v>168</v>
      </c>
      <c r="BH300" s="0" t="s">
        <v>163</v>
      </c>
      <c r="BJ300" s="0" t="s">
        <v>163</v>
      </c>
      <c r="BK300" s="0" t="s">
        <v>168</v>
      </c>
      <c r="BL300" s="0" t="s">
        <v>168</v>
      </c>
      <c r="BM300" s="0" t="s">
        <v>10711</v>
      </c>
      <c r="BO300" s="0" t="s">
        <v>162</v>
      </c>
      <c r="BP300" s="0" t="n">
        <v>0</v>
      </c>
      <c r="BS300" s="0" t="s">
        <v>10712</v>
      </c>
      <c r="BT300" s="0" t="s">
        <v>10713</v>
      </c>
      <c r="BU300" s="0" t="s">
        <v>158</v>
      </c>
      <c r="BX300" s="0" t="s">
        <v>5089</v>
      </c>
      <c r="BY300" s="0" t="s">
        <v>10714</v>
      </c>
      <c r="CA300" s="0" t="s">
        <v>10715</v>
      </c>
      <c r="CB300" s="0" t="s">
        <v>10715</v>
      </c>
      <c r="CC300" s="0" t="s">
        <v>163</v>
      </c>
      <c r="CD300" s="0" t="s">
        <v>4625</v>
      </c>
      <c r="CE300" s="0" t="s">
        <v>6723</v>
      </c>
      <c r="CF300" s="0" t="s">
        <v>5008</v>
      </c>
      <c r="CG300" s="0" t="s">
        <v>10714</v>
      </c>
      <c r="CK300" s="0" t="s">
        <v>158</v>
      </c>
      <c r="CL300" s="0" t="n">
        <v>26</v>
      </c>
      <c r="CM300" s="0" t="n">
        <v>6</v>
      </c>
      <c r="CN300" s="0" t="n">
        <v>4</v>
      </c>
      <c r="CO300" s="0" t="n">
        <v>0</v>
      </c>
      <c r="CP300" s="0" t="n">
        <v>5</v>
      </c>
      <c r="CQ300" s="0" t="n">
        <v>8</v>
      </c>
      <c r="CR300" s="0" t="n">
        <v>3</v>
      </c>
      <c r="CS300" s="0" t="n">
        <f aca="false">IF(R300="Y",10,0)</f>
        <v>0</v>
      </c>
      <c r="CT300" s="0" t="n">
        <v>0</v>
      </c>
      <c r="CU300" s="0" t="s">
        <v>10716</v>
      </c>
      <c r="CV300" s="0" t="s">
        <v>4703</v>
      </c>
      <c r="CW300" s="0" t="s">
        <v>10717</v>
      </c>
      <c r="CX300" s="0" t="s">
        <v>10718</v>
      </c>
      <c r="CZ300" s="0" t="s">
        <v>10707</v>
      </c>
      <c r="DA300" s="0" t="s">
        <v>6234</v>
      </c>
      <c r="DC300" s="0" t="s">
        <v>172</v>
      </c>
      <c r="DY300" s="0" t="str">
        <f aca="false">IF(ISNUMBER(MATCH(U300,{"queued","contacted","replied","call_booked","call_done","yes_in_principle","materials_sent"},0)),"Y","N")</f>
        <v>N</v>
      </c>
      <c r="DZ300" s="0" t="str">
        <f aca="false">IF(COUNTIFS($AN$2:$AN$1000,AN300,$DY$2:$DY$1000,"Y")+COUNTIFS($AN$2:$AN$1000,AN300,$T$2:$T$1000,"Y")&gt;0,"Y","N")</f>
        <v>N</v>
      </c>
      <c r="EA300" s="0" t="str">
        <f aca="false">IF(AND(U300="new",T300="N",AR300="Y",AQ300="",DZ300="N"),"Y","N")</f>
        <v>N</v>
      </c>
      <c r="EB300" s="0" t="str">
        <f aca="false">IF(EA300&lt;&gt;"Y","N",IF(COUNTIFS($AN$2:$AN$1000,AN300,$EA$2:$EA$1000,"Y",$J$2:$J$1000,"&gt;"&amp;J300)+COUNTIFS($AN$2:$AN$1000,AN300,$EA$2:$EA$1000,"Y",$J$2:$J$1000,J300,$ED$2:$ED$1000,"&lt;"&amp;ED300)=0,"Y","N"))</f>
        <v>N</v>
      </c>
      <c r="EC300" s="0" t="str">
        <f aca="false">IF(Y300="","N",IF(Y300&lt;=10,"Y","N"))</f>
        <v>N</v>
      </c>
      <c r="ED300" s="0" t="n">
        <f aca="false">ROW()-1</f>
        <v>299</v>
      </c>
    </row>
    <row r="301" customFormat="false" ht="15" hidden="false" customHeight="false" outlineLevel="0" collapsed="false">
      <c r="A301" s="0" t="s">
        <v>10719</v>
      </c>
      <c r="B301" s="0" t="s">
        <v>10720</v>
      </c>
      <c r="H301" s="5" t="s">
        <v>158</v>
      </c>
      <c r="I301" s="5"/>
      <c r="J301" s="0" t="n">
        <f aca="false">IF(AU301="pass",CM301+CN301+CO301+CP301+CQ301+CR301+CS301+CT301,0)</f>
        <v>0</v>
      </c>
      <c r="K301" s="0" t="s">
        <v>10721</v>
      </c>
      <c r="M301" s="0" t="s">
        <v>5291</v>
      </c>
      <c r="N301" s="0" t="s">
        <v>598</v>
      </c>
      <c r="R301" s="5" t="s">
        <v>162</v>
      </c>
      <c r="S301" s="0" t="s">
        <v>163</v>
      </c>
      <c r="T301" s="5" t="s">
        <v>162</v>
      </c>
      <c r="U301" s="5" t="s">
        <v>561</v>
      </c>
      <c r="V301" s="0" t="s">
        <v>10722</v>
      </c>
      <c r="W301" s="0" t="s">
        <v>166</v>
      </c>
      <c r="X301" s="0" t="s">
        <v>4585</v>
      </c>
      <c r="Y301" s="0" t="str">
        <f aca="false">IF(EB301&lt;&gt;"Y","",COUNTIFS($EB$2:$EB$1000,"Y",$J$2:$J$1000,"&gt;"&amp;J301)+COUNTIFS($EB$2:$EB$1000,"Y",$J$2:$J$1000,J301,$ED$2:$ED$1000,"&lt;"&amp;ED301)+1)</f>
        <v/>
      </c>
      <c r="AA301" s="0" t="s">
        <v>162</v>
      </c>
      <c r="AD301" s="0" t="s">
        <v>158</v>
      </c>
      <c r="AH301" s="0" t="s">
        <v>10723</v>
      </c>
      <c r="AI301" s="0" t="s">
        <v>5763</v>
      </c>
      <c r="AJ301" s="0" t="s">
        <v>163</v>
      </c>
      <c r="AK301" s="0" t="s">
        <v>163</v>
      </c>
      <c r="AL301" s="0" t="s">
        <v>162</v>
      </c>
      <c r="AN301" s="0" t="s">
        <v>10719</v>
      </c>
      <c r="AO301" s="5" t="s">
        <v>162</v>
      </c>
      <c r="AR301" s="0" t="str">
        <f aca="false">IF(AND(AU301="pass",AO301&lt;&gt;"Y",C301&lt;&gt;""),"Y","N")</f>
        <v>N</v>
      </c>
      <c r="AS301" s="0" t="str">
        <f aca="false">_xlfn.TEXTJOIN("; ",TRUE(),IF(AU301&lt;&gt;"pass","gated out",""),IF(AO301="Y","on hold: "&amp;AP301,""),IF(C301="","no contact named on an opened page",""))</f>
        <v>gated out; no contact named on an opened page</v>
      </c>
      <c r="AU301" s="0" t="s">
        <v>3703</v>
      </c>
      <c r="AV301" s="0" t="s">
        <v>10202</v>
      </c>
      <c r="AW301" s="0" t="s">
        <v>10724</v>
      </c>
      <c r="AY301" s="0" t="s">
        <v>10722</v>
      </c>
      <c r="AZ301" s="0" t="s">
        <v>163</v>
      </c>
      <c r="BA301" s="0" t="s">
        <v>163</v>
      </c>
      <c r="BB301" s="0" t="s">
        <v>163</v>
      </c>
      <c r="BD301" s="0" t="s">
        <v>162</v>
      </c>
      <c r="BE301" s="0" t="s">
        <v>10725</v>
      </c>
      <c r="BF301" s="0" t="s">
        <v>168</v>
      </c>
      <c r="BG301" s="0" t="s">
        <v>162</v>
      </c>
      <c r="BH301" s="0" t="s">
        <v>163</v>
      </c>
      <c r="BJ301" s="0" t="s">
        <v>5549</v>
      </c>
      <c r="BK301" s="0" t="s">
        <v>162</v>
      </c>
      <c r="BL301" s="0" t="s">
        <v>168</v>
      </c>
      <c r="BM301" s="0" t="s">
        <v>10726</v>
      </c>
      <c r="BO301" s="0" t="s">
        <v>162</v>
      </c>
      <c r="BP301" s="0" t="n">
        <v>0</v>
      </c>
      <c r="BR301" s="0" t="s">
        <v>8089</v>
      </c>
      <c r="BS301" s="0" t="s">
        <v>10727</v>
      </c>
      <c r="BT301" s="0" t="s">
        <v>10728</v>
      </c>
      <c r="BU301" s="0" t="s">
        <v>158</v>
      </c>
      <c r="CF301" s="0" t="s">
        <v>158</v>
      </c>
      <c r="CK301" s="0" t="s">
        <v>158</v>
      </c>
      <c r="CL301" s="0" t="n">
        <v>12</v>
      </c>
      <c r="CM301" s="0" t="n">
        <v>0</v>
      </c>
      <c r="CN301" s="0" t="n">
        <v>4</v>
      </c>
      <c r="CO301" s="0" t="n">
        <v>0</v>
      </c>
      <c r="CP301" s="0" t="n">
        <v>5</v>
      </c>
      <c r="CQ301" s="0" t="n">
        <v>3</v>
      </c>
      <c r="CR301" s="0" t="n">
        <v>0</v>
      </c>
      <c r="CS301" s="0" t="n">
        <f aca="false">IF(R301="Y",10,0)</f>
        <v>0</v>
      </c>
      <c r="CT301" s="0" t="n">
        <v>0</v>
      </c>
      <c r="CU301" s="0" t="s">
        <v>163</v>
      </c>
      <c r="CV301" s="0" t="s">
        <v>5562</v>
      </c>
      <c r="CW301" s="0" t="s">
        <v>10729</v>
      </c>
      <c r="CX301" s="0" t="s">
        <v>10730</v>
      </c>
      <c r="DA301" s="0" t="s">
        <v>6234</v>
      </c>
      <c r="DY301" s="0" t="str">
        <f aca="false">IF(ISNUMBER(MATCH(U301,{"queued","contacted","replied","call_booked","call_done","yes_in_principle","materials_sent"},0)),"Y","N")</f>
        <v>N</v>
      </c>
      <c r="DZ301" s="0" t="str">
        <f aca="false">IF(COUNTIFS($AN$2:$AN$1000,AN301,$DY$2:$DY$1000,"Y")+COUNTIFS($AN$2:$AN$1000,AN301,$T$2:$T$1000,"Y")&gt;0,"Y","N")</f>
        <v>N</v>
      </c>
      <c r="EA301" s="0" t="str">
        <f aca="false">IF(AND(U301="new",T301="N",AR301="Y",AQ301="",DZ301="N"),"Y","N")</f>
        <v>N</v>
      </c>
      <c r="EB301" s="0" t="str">
        <f aca="false">IF(EA301&lt;&gt;"Y","N",IF(COUNTIFS($AN$2:$AN$1000,AN301,$EA$2:$EA$1000,"Y",$J$2:$J$1000,"&gt;"&amp;J301)+COUNTIFS($AN$2:$AN$1000,AN301,$EA$2:$EA$1000,"Y",$J$2:$J$1000,J301,$ED$2:$ED$1000,"&lt;"&amp;ED301)=0,"Y","N"))</f>
        <v>N</v>
      </c>
      <c r="EC301" s="0" t="str">
        <f aca="false">IF(Y301="","N",IF(Y301&lt;=10,"Y","N"))</f>
        <v>N</v>
      </c>
      <c r="ED301" s="0" t="n">
        <f aca="false">ROW()-1</f>
        <v>300</v>
      </c>
    </row>
    <row r="302" customFormat="false" ht="15" hidden="false" customHeight="false" outlineLevel="0" collapsed="false">
      <c r="A302" s="0" t="s">
        <v>10731</v>
      </c>
      <c r="B302" s="0" t="s">
        <v>10732</v>
      </c>
      <c r="H302" s="5" t="s">
        <v>158</v>
      </c>
      <c r="I302" s="5"/>
      <c r="J302" s="0" t="n">
        <f aca="false">IF(AU302="pass",CM302+CN302+CO302+CP302+CQ302+CR302+CS302+CT302,0)</f>
        <v>0</v>
      </c>
      <c r="K302" s="0" t="s">
        <v>10576</v>
      </c>
      <c r="M302" s="0" t="s">
        <v>5291</v>
      </c>
      <c r="N302" s="0" t="s">
        <v>598</v>
      </c>
      <c r="R302" s="5" t="s">
        <v>162</v>
      </c>
      <c r="S302" s="0" t="s">
        <v>163</v>
      </c>
      <c r="T302" s="5" t="s">
        <v>162</v>
      </c>
      <c r="U302" s="5" t="s">
        <v>561</v>
      </c>
      <c r="V302" s="0" t="s">
        <v>10733</v>
      </c>
      <c r="W302" s="0" t="s">
        <v>166</v>
      </c>
      <c r="X302" s="0" t="s">
        <v>4585</v>
      </c>
      <c r="Y302" s="0" t="str">
        <f aca="false">IF(EB302&lt;&gt;"Y","",COUNTIFS($EB$2:$EB$1000,"Y",$J$2:$J$1000,"&gt;"&amp;J302)+COUNTIFS($EB$2:$EB$1000,"Y",$J$2:$J$1000,J302,$ED$2:$ED$1000,"&lt;"&amp;ED302)+1)</f>
        <v/>
      </c>
      <c r="AA302" s="0" t="s">
        <v>162</v>
      </c>
      <c r="AD302" s="0" t="s">
        <v>158</v>
      </c>
      <c r="AH302" s="0" t="s">
        <v>10734</v>
      </c>
      <c r="AI302" s="0" t="s">
        <v>4664</v>
      </c>
      <c r="AJ302" s="0" t="s">
        <v>163</v>
      </c>
      <c r="AK302" s="0" t="s">
        <v>10735</v>
      </c>
      <c r="AL302" s="0" t="s">
        <v>162</v>
      </c>
      <c r="AN302" s="0" t="s">
        <v>10731</v>
      </c>
      <c r="AO302" s="5" t="s">
        <v>162</v>
      </c>
      <c r="AR302" s="0" t="str">
        <f aca="false">IF(AND(AU302="pass",AO302&lt;&gt;"Y",C302&lt;&gt;""),"Y","N")</f>
        <v>N</v>
      </c>
      <c r="AS302" s="0" t="str">
        <f aca="false">_xlfn.TEXTJOIN("; ",TRUE(),IF(AU302&lt;&gt;"pass","gated out",""),IF(AO302="Y","on hold: "&amp;AP302,""),IF(C302="","no contact named on an opened page",""))</f>
        <v>gated out; no contact named on an opened page</v>
      </c>
      <c r="AU302" s="0" t="s">
        <v>3703</v>
      </c>
      <c r="AV302" s="0" t="s">
        <v>9883</v>
      </c>
      <c r="AW302" s="0" t="s">
        <v>10581</v>
      </c>
      <c r="AY302" s="0" t="s">
        <v>10735</v>
      </c>
      <c r="AZ302" s="0" t="s">
        <v>163</v>
      </c>
      <c r="BA302" s="0" t="s">
        <v>163</v>
      </c>
      <c r="BB302" s="0" t="s">
        <v>163</v>
      </c>
      <c r="BD302" s="0" t="s">
        <v>162</v>
      </c>
      <c r="BE302" s="0" t="s">
        <v>10736</v>
      </c>
      <c r="BF302" s="0" t="s">
        <v>168</v>
      </c>
      <c r="BG302" s="0" t="s">
        <v>168</v>
      </c>
      <c r="BH302" s="0" t="s">
        <v>163</v>
      </c>
      <c r="BJ302" s="0" t="s">
        <v>163</v>
      </c>
      <c r="BK302" s="0" t="s">
        <v>162</v>
      </c>
      <c r="BL302" s="0" t="s">
        <v>168</v>
      </c>
      <c r="BM302" s="0" t="s">
        <v>10583</v>
      </c>
      <c r="BO302" s="0" t="s">
        <v>162</v>
      </c>
      <c r="BP302" s="0" t="n">
        <v>0</v>
      </c>
      <c r="BS302" s="0" t="s">
        <v>10737</v>
      </c>
      <c r="BU302" s="0" t="s">
        <v>158</v>
      </c>
      <c r="CF302" s="0" t="s">
        <v>158</v>
      </c>
      <c r="CK302" s="0" t="s">
        <v>158</v>
      </c>
      <c r="CL302" s="0" t="n">
        <v>21</v>
      </c>
      <c r="CM302" s="0" t="n">
        <v>6</v>
      </c>
      <c r="CN302" s="0" t="n">
        <v>4</v>
      </c>
      <c r="CO302" s="0" t="n">
        <v>0</v>
      </c>
      <c r="CP302" s="0" t="n">
        <v>5</v>
      </c>
      <c r="CQ302" s="0" t="n">
        <v>6</v>
      </c>
      <c r="CR302" s="0" t="n">
        <v>0</v>
      </c>
      <c r="CS302" s="0" t="n">
        <f aca="false">IF(R302="Y",10,0)</f>
        <v>0</v>
      </c>
      <c r="CT302" s="0" t="n">
        <v>0</v>
      </c>
      <c r="CU302" s="0" t="s">
        <v>10738</v>
      </c>
      <c r="CV302" s="0" t="s">
        <v>4703</v>
      </c>
      <c r="CW302" s="0" t="s">
        <v>10739</v>
      </c>
      <c r="CX302" s="0" t="s">
        <v>10740</v>
      </c>
      <c r="DA302" s="0" t="s">
        <v>6234</v>
      </c>
      <c r="DY302" s="0" t="str">
        <f aca="false">IF(ISNUMBER(MATCH(U302,{"queued","contacted","replied","call_booked","call_done","yes_in_principle","materials_sent"},0)),"Y","N")</f>
        <v>N</v>
      </c>
      <c r="DZ302" s="0" t="str">
        <f aca="false">IF(COUNTIFS($AN$2:$AN$1000,AN302,$DY$2:$DY$1000,"Y")+COUNTIFS($AN$2:$AN$1000,AN302,$T$2:$T$1000,"Y")&gt;0,"Y","N")</f>
        <v>N</v>
      </c>
      <c r="EA302" s="0" t="str">
        <f aca="false">IF(AND(U302="new",T302="N",AR302="Y",AQ302="",DZ302="N"),"Y","N")</f>
        <v>N</v>
      </c>
      <c r="EB302" s="0" t="str">
        <f aca="false">IF(EA302&lt;&gt;"Y","N",IF(COUNTIFS($AN$2:$AN$1000,AN302,$EA$2:$EA$1000,"Y",$J$2:$J$1000,"&gt;"&amp;J302)+COUNTIFS($AN$2:$AN$1000,AN302,$EA$2:$EA$1000,"Y",$J$2:$J$1000,J302,$ED$2:$ED$1000,"&lt;"&amp;ED302)=0,"Y","N"))</f>
        <v>N</v>
      </c>
      <c r="EC302" s="0" t="str">
        <f aca="false">IF(Y302="","N",IF(Y302&lt;=10,"Y","N"))</f>
        <v>N</v>
      </c>
      <c r="ED302" s="0" t="n">
        <f aca="false">ROW()-1</f>
        <v>301</v>
      </c>
    </row>
    <row r="303" customFormat="false" ht="15" hidden="false" customHeight="false" outlineLevel="0" collapsed="false">
      <c r="A303" s="0" t="s">
        <v>10741</v>
      </c>
      <c r="B303" s="0" t="s">
        <v>10742</v>
      </c>
      <c r="H303" s="5" t="s">
        <v>158</v>
      </c>
      <c r="I303" s="5"/>
      <c r="J303" s="0" t="n">
        <f aca="false">IF(AU303="pass",CM303+CN303+CO303+CP303+CQ303+CR303+CS303+CT303,0)</f>
        <v>0</v>
      </c>
      <c r="K303" s="0" t="s">
        <v>10743</v>
      </c>
      <c r="M303" s="0" t="s">
        <v>5291</v>
      </c>
      <c r="N303" s="0" t="s">
        <v>598</v>
      </c>
      <c r="R303" s="5" t="s">
        <v>162</v>
      </c>
      <c r="S303" s="0" t="s">
        <v>163</v>
      </c>
      <c r="T303" s="5" t="s">
        <v>162</v>
      </c>
      <c r="U303" s="5" t="s">
        <v>561</v>
      </c>
      <c r="V303" s="0" t="s">
        <v>10744</v>
      </c>
      <c r="W303" s="0" t="s">
        <v>166</v>
      </c>
      <c r="X303" s="0" t="s">
        <v>4585</v>
      </c>
      <c r="Y303" s="0" t="str">
        <f aca="false">IF(EB303&lt;&gt;"Y","",COUNTIFS($EB$2:$EB$1000,"Y",$J$2:$J$1000,"&gt;"&amp;J303)+COUNTIFS($EB$2:$EB$1000,"Y",$J$2:$J$1000,J303,$ED$2:$ED$1000,"&lt;"&amp;ED303)+1)</f>
        <v/>
      </c>
      <c r="AA303" s="0" t="s">
        <v>162</v>
      </c>
      <c r="AD303" s="0" t="s">
        <v>158</v>
      </c>
      <c r="AH303" s="0" t="s">
        <v>10745</v>
      </c>
      <c r="AI303" s="0" t="s">
        <v>4590</v>
      </c>
      <c r="AJ303" s="0" t="s">
        <v>163</v>
      </c>
      <c r="AK303" s="0" t="s">
        <v>10746</v>
      </c>
      <c r="AL303" s="0" t="s">
        <v>168</v>
      </c>
      <c r="AM303" s="0" t="s">
        <v>4690</v>
      </c>
      <c r="AN303" s="0" t="s">
        <v>10741</v>
      </c>
      <c r="AO303" s="5" t="s">
        <v>162</v>
      </c>
      <c r="AR303" s="0" t="str">
        <f aca="false">IF(AND(AU303="pass",AO303&lt;&gt;"Y",C303&lt;&gt;""),"Y","N")</f>
        <v>N</v>
      </c>
      <c r="AS303" s="0" t="str">
        <f aca="false">_xlfn.TEXTJOIN("; ",TRUE(),IF(AU303&lt;&gt;"pass","gated out",""),IF(AO303="Y","on hold: "&amp;AP303,""),IF(C303="","no contact named on an opened page",""))</f>
        <v>gated out; no contact named on an opened page</v>
      </c>
      <c r="AU303" s="0" t="s">
        <v>3703</v>
      </c>
      <c r="AV303" s="0" t="s">
        <v>9762</v>
      </c>
      <c r="AW303" s="0" t="s">
        <v>10747</v>
      </c>
      <c r="AY303" s="0" t="s">
        <v>10746</v>
      </c>
      <c r="AZ303" s="0" t="s">
        <v>163</v>
      </c>
      <c r="BA303" s="0" t="s">
        <v>163</v>
      </c>
      <c r="BB303" s="0" t="s">
        <v>163</v>
      </c>
      <c r="BD303" s="0" t="s">
        <v>163</v>
      </c>
      <c r="BE303" s="0" t="s">
        <v>8632</v>
      </c>
      <c r="BF303" s="0" t="s">
        <v>168</v>
      </c>
      <c r="BG303" s="0" t="s">
        <v>168</v>
      </c>
      <c r="BH303" s="0" t="s">
        <v>163</v>
      </c>
      <c r="BJ303" s="0" t="s">
        <v>5549</v>
      </c>
      <c r="BK303" s="0" t="s">
        <v>168</v>
      </c>
      <c r="BL303" s="0" t="s">
        <v>168</v>
      </c>
      <c r="BM303" s="0" t="s">
        <v>10748</v>
      </c>
      <c r="BO303" s="0" t="s">
        <v>162</v>
      </c>
      <c r="BP303" s="0" t="n">
        <v>0</v>
      </c>
      <c r="BS303" s="0" t="s">
        <v>163</v>
      </c>
      <c r="BU303" s="0" t="s">
        <v>158</v>
      </c>
      <c r="CF303" s="0" t="s">
        <v>158</v>
      </c>
      <c r="CK303" s="0" t="s">
        <v>158</v>
      </c>
      <c r="CL303" s="0" t="n">
        <v>22</v>
      </c>
      <c r="CM303" s="0" t="n">
        <v>6</v>
      </c>
      <c r="CN303" s="0" t="n">
        <v>4</v>
      </c>
      <c r="CO303" s="0" t="n">
        <v>0</v>
      </c>
      <c r="CP303" s="0" t="n">
        <v>5</v>
      </c>
      <c r="CQ303" s="0" t="n">
        <v>7</v>
      </c>
      <c r="CR303" s="0" t="n">
        <v>0</v>
      </c>
      <c r="CS303" s="0" t="n">
        <f aca="false">IF(R303="Y",10,0)</f>
        <v>0</v>
      </c>
      <c r="CT303" s="0" t="n">
        <v>0</v>
      </c>
      <c r="CU303" s="0" t="s">
        <v>10749</v>
      </c>
      <c r="CV303" s="0" t="s">
        <v>5562</v>
      </c>
      <c r="CW303" s="0" t="s">
        <v>10750</v>
      </c>
      <c r="CX303" s="0" t="s">
        <v>10751</v>
      </c>
      <c r="DA303" s="0" t="s">
        <v>6234</v>
      </c>
      <c r="DY303" s="0" t="str">
        <f aca="false">IF(ISNUMBER(MATCH(U303,{"queued","contacted","replied","call_booked","call_done","yes_in_principle","materials_sent"},0)),"Y","N")</f>
        <v>N</v>
      </c>
      <c r="DZ303" s="0" t="str">
        <f aca="false">IF(COUNTIFS($AN$2:$AN$1000,AN303,$DY$2:$DY$1000,"Y")+COUNTIFS($AN$2:$AN$1000,AN303,$T$2:$T$1000,"Y")&gt;0,"Y","N")</f>
        <v>N</v>
      </c>
      <c r="EA303" s="0" t="str">
        <f aca="false">IF(AND(U303="new",T303="N",AR303="Y",AQ303="",DZ303="N"),"Y","N")</f>
        <v>N</v>
      </c>
      <c r="EB303" s="0" t="str">
        <f aca="false">IF(EA303&lt;&gt;"Y","N",IF(COUNTIFS($AN$2:$AN$1000,AN303,$EA$2:$EA$1000,"Y",$J$2:$J$1000,"&gt;"&amp;J303)+COUNTIFS($AN$2:$AN$1000,AN303,$EA$2:$EA$1000,"Y",$J$2:$J$1000,J303,$ED$2:$ED$1000,"&lt;"&amp;ED303)=0,"Y","N"))</f>
        <v>N</v>
      </c>
      <c r="EC303" s="0" t="str">
        <f aca="false">IF(Y303="","N",IF(Y303&lt;=10,"Y","N"))</f>
        <v>N</v>
      </c>
      <c r="ED303" s="0" t="n">
        <f aca="false">ROW()-1</f>
        <v>302</v>
      </c>
    </row>
    <row r="304" customFormat="false" ht="15" hidden="false" customHeight="false" outlineLevel="0" collapsed="false">
      <c r="A304" s="0" t="s">
        <v>10752</v>
      </c>
      <c r="B304" s="0" t="s">
        <v>10753</v>
      </c>
      <c r="H304" s="5" t="s">
        <v>158</v>
      </c>
      <c r="I304" s="5"/>
      <c r="J304" s="0" t="n">
        <f aca="false">IF(AU304="pass",CM304+CN304+CO304+CP304+CQ304+CR304+CS304+CT304,0)</f>
        <v>0</v>
      </c>
      <c r="K304" s="0" t="s">
        <v>10754</v>
      </c>
      <c r="M304" s="0" t="s">
        <v>5291</v>
      </c>
      <c r="N304" s="0" t="s">
        <v>598</v>
      </c>
      <c r="R304" s="5" t="s">
        <v>162</v>
      </c>
      <c r="S304" s="0" t="s">
        <v>163</v>
      </c>
      <c r="T304" s="5" t="s">
        <v>162</v>
      </c>
      <c r="U304" s="5" t="s">
        <v>561</v>
      </c>
      <c r="V304" s="0" t="s">
        <v>10755</v>
      </c>
      <c r="W304" s="0" t="s">
        <v>166</v>
      </c>
      <c r="X304" s="0" t="s">
        <v>4585</v>
      </c>
      <c r="Y304" s="0" t="str">
        <f aca="false">IF(EB304&lt;&gt;"Y","",COUNTIFS($EB$2:$EB$1000,"Y",$J$2:$J$1000,"&gt;"&amp;J304)+COUNTIFS($EB$2:$EB$1000,"Y",$J$2:$J$1000,J304,$ED$2:$ED$1000,"&lt;"&amp;ED304)+1)</f>
        <v/>
      </c>
      <c r="AA304" s="0" t="s">
        <v>162</v>
      </c>
      <c r="AD304" s="0" t="s">
        <v>158</v>
      </c>
      <c r="AH304" s="0" t="s">
        <v>10756</v>
      </c>
      <c r="AI304" s="0" t="s">
        <v>5924</v>
      </c>
      <c r="AJ304" s="0" t="s">
        <v>192</v>
      </c>
      <c r="AK304" s="0" t="s">
        <v>10757</v>
      </c>
      <c r="AL304" s="0" t="s">
        <v>162</v>
      </c>
      <c r="AN304" s="0" t="s">
        <v>10752</v>
      </c>
      <c r="AO304" s="5" t="s">
        <v>162</v>
      </c>
      <c r="AR304" s="0" t="str">
        <f aca="false">IF(AND(AU304="pass",AO304&lt;&gt;"Y",C304&lt;&gt;""),"Y","N")</f>
        <v>N</v>
      </c>
      <c r="AS304" s="0" t="str">
        <f aca="false">_xlfn.TEXTJOIN("; ",TRUE(),IF(AU304&lt;&gt;"pass","gated out",""),IF(AO304="Y","on hold: "&amp;AP304,""),IF(C304="","no contact named on an opened page",""))</f>
        <v>gated out; no contact named on an opened page</v>
      </c>
      <c r="AU304" s="0" t="s">
        <v>3703</v>
      </c>
      <c r="AV304" s="0" t="s">
        <v>10402</v>
      </c>
      <c r="AW304" s="0" t="s">
        <v>10758</v>
      </c>
      <c r="AY304" s="0" t="s">
        <v>10757</v>
      </c>
      <c r="AZ304" s="0" t="s">
        <v>4595</v>
      </c>
      <c r="BA304" s="0" t="s">
        <v>4596</v>
      </c>
      <c r="BB304" s="0" t="s">
        <v>163</v>
      </c>
      <c r="BD304" s="0" t="s">
        <v>168</v>
      </c>
      <c r="BE304" s="0" t="s">
        <v>10759</v>
      </c>
      <c r="BF304" s="0" t="s">
        <v>168</v>
      </c>
      <c r="BG304" s="0" t="s">
        <v>168</v>
      </c>
      <c r="BH304" s="0" t="s">
        <v>163</v>
      </c>
      <c r="BJ304" s="0" t="s">
        <v>5549</v>
      </c>
      <c r="BK304" s="0" t="s">
        <v>168</v>
      </c>
      <c r="BL304" s="0" t="s">
        <v>168</v>
      </c>
      <c r="BM304" s="0" t="s">
        <v>10760</v>
      </c>
      <c r="BO304" s="0" t="s">
        <v>162</v>
      </c>
      <c r="BP304" s="0" t="n">
        <v>0</v>
      </c>
      <c r="BS304" s="0" t="s">
        <v>10761</v>
      </c>
      <c r="BU304" s="0" t="s">
        <v>158</v>
      </c>
      <c r="CF304" s="0" t="s">
        <v>158</v>
      </c>
      <c r="CK304" s="0" t="s">
        <v>158</v>
      </c>
      <c r="CL304" s="0" t="n">
        <v>41</v>
      </c>
      <c r="CM304" s="0" t="n">
        <v>6</v>
      </c>
      <c r="CN304" s="0" t="n">
        <v>20</v>
      </c>
      <c r="CO304" s="0" t="n">
        <v>0</v>
      </c>
      <c r="CP304" s="0" t="n">
        <v>5</v>
      </c>
      <c r="CQ304" s="0" t="n">
        <v>10</v>
      </c>
      <c r="CR304" s="0" t="n">
        <v>0</v>
      </c>
      <c r="CS304" s="0" t="n">
        <f aca="false">IF(R304="Y",10,0)</f>
        <v>0</v>
      </c>
      <c r="CT304" s="0" t="n">
        <v>0</v>
      </c>
      <c r="CU304" s="0" t="s">
        <v>10762</v>
      </c>
      <c r="CV304" s="0" t="s">
        <v>5562</v>
      </c>
      <c r="CW304" s="0" t="s">
        <v>10763</v>
      </c>
      <c r="CX304" s="0" t="s">
        <v>10764</v>
      </c>
      <c r="DA304" s="0" t="s">
        <v>6234</v>
      </c>
      <c r="DY304" s="0" t="str">
        <f aca="false">IF(ISNUMBER(MATCH(U304,{"queued","contacted","replied","call_booked","call_done","yes_in_principle","materials_sent"},0)),"Y","N")</f>
        <v>N</v>
      </c>
      <c r="DZ304" s="0" t="str">
        <f aca="false">IF(COUNTIFS($AN$2:$AN$1000,AN304,$DY$2:$DY$1000,"Y")+COUNTIFS($AN$2:$AN$1000,AN304,$T$2:$T$1000,"Y")&gt;0,"Y","N")</f>
        <v>N</v>
      </c>
      <c r="EA304" s="0" t="str">
        <f aca="false">IF(AND(U304="new",T304="N",AR304="Y",AQ304="",DZ304="N"),"Y","N")</f>
        <v>N</v>
      </c>
      <c r="EB304" s="0" t="str">
        <f aca="false">IF(EA304&lt;&gt;"Y","N",IF(COUNTIFS($AN$2:$AN$1000,AN304,$EA$2:$EA$1000,"Y",$J$2:$J$1000,"&gt;"&amp;J304)+COUNTIFS($AN$2:$AN$1000,AN304,$EA$2:$EA$1000,"Y",$J$2:$J$1000,J304,$ED$2:$ED$1000,"&lt;"&amp;ED304)=0,"Y","N"))</f>
        <v>N</v>
      </c>
      <c r="EC304" s="0" t="str">
        <f aca="false">IF(Y304="","N",IF(Y304&lt;=10,"Y","N"))</f>
        <v>N</v>
      </c>
      <c r="ED304" s="0" t="n">
        <f aca="false">ROW()-1</f>
        <v>303</v>
      </c>
    </row>
    <row r="305" customFormat="false" ht="15" hidden="false" customHeight="false" outlineLevel="0" collapsed="false">
      <c r="A305" s="0" t="s">
        <v>10765</v>
      </c>
      <c r="B305" s="0" t="s">
        <v>10766</v>
      </c>
      <c r="H305" s="5" t="s">
        <v>158</v>
      </c>
      <c r="I305" s="5"/>
      <c r="J305" s="0" t="n">
        <f aca="false">IF(AU305="pass",CM305+CN305+CO305+CP305+CQ305+CR305+CS305+CT305,0)</f>
        <v>0</v>
      </c>
      <c r="K305" s="0" t="s">
        <v>10767</v>
      </c>
      <c r="M305" s="0" t="s">
        <v>5291</v>
      </c>
      <c r="N305" s="0" t="s">
        <v>598</v>
      </c>
      <c r="R305" s="5" t="s">
        <v>162</v>
      </c>
      <c r="S305" s="0" t="s">
        <v>163</v>
      </c>
      <c r="T305" s="5" t="s">
        <v>162</v>
      </c>
      <c r="U305" s="5" t="s">
        <v>561</v>
      </c>
      <c r="V305" s="0" t="s">
        <v>10768</v>
      </c>
      <c r="W305" s="0" t="s">
        <v>166</v>
      </c>
      <c r="X305" s="0" t="s">
        <v>4585</v>
      </c>
      <c r="Y305" s="0" t="str">
        <f aca="false">IF(EB305&lt;&gt;"Y","",COUNTIFS($EB$2:$EB$1000,"Y",$J$2:$J$1000,"&gt;"&amp;J305)+COUNTIFS($EB$2:$EB$1000,"Y",$J$2:$J$1000,J305,$ED$2:$ED$1000,"&lt;"&amp;ED305)+1)</f>
        <v/>
      </c>
      <c r="AA305" s="0" t="s">
        <v>162</v>
      </c>
      <c r="AD305" s="0" t="s">
        <v>158</v>
      </c>
      <c r="AH305" s="0" t="s">
        <v>10769</v>
      </c>
      <c r="AI305" s="0" t="s">
        <v>4590</v>
      </c>
      <c r="AJ305" s="0" t="s">
        <v>192</v>
      </c>
      <c r="AK305" s="0" t="s">
        <v>10770</v>
      </c>
      <c r="AL305" s="0" t="s">
        <v>162</v>
      </c>
      <c r="AN305" s="0" t="s">
        <v>10765</v>
      </c>
      <c r="AO305" s="5" t="s">
        <v>162</v>
      </c>
      <c r="AR305" s="0" t="str">
        <f aca="false">IF(AND(AU305="pass",AO305&lt;&gt;"Y",C305&lt;&gt;""),"Y","N")</f>
        <v>N</v>
      </c>
      <c r="AS305" s="0" t="str">
        <f aca="false">_xlfn.TEXTJOIN("; ",TRUE(),IF(AU305&lt;&gt;"pass","gated out",""),IF(AO305="Y","on hold: "&amp;AP305,""),IF(C305="","no contact named on an opened page",""))</f>
        <v>gated out; no contact named on an opened page</v>
      </c>
      <c r="AU305" s="0" t="s">
        <v>3703</v>
      </c>
      <c r="AV305" s="0" t="s">
        <v>10402</v>
      </c>
      <c r="AW305" s="0" t="s">
        <v>10771</v>
      </c>
      <c r="AY305" s="0" t="s">
        <v>10770</v>
      </c>
      <c r="AZ305" s="0" t="s">
        <v>4595</v>
      </c>
      <c r="BA305" s="0" t="s">
        <v>4596</v>
      </c>
      <c r="BB305" s="0" t="s">
        <v>163</v>
      </c>
      <c r="BD305" s="0" t="s">
        <v>168</v>
      </c>
      <c r="BE305" s="0" t="s">
        <v>10772</v>
      </c>
      <c r="BF305" s="0" t="s">
        <v>168</v>
      </c>
      <c r="BG305" s="0" t="s">
        <v>168</v>
      </c>
      <c r="BH305" s="0" t="s">
        <v>163</v>
      </c>
      <c r="BJ305" s="0" t="s">
        <v>5549</v>
      </c>
      <c r="BK305" s="0" t="s">
        <v>168</v>
      </c>
      <c r="BL305" s="0" t="s">
        <v>168</v>
      </c>
      <c r="BM305" s="0" t="s">
        <v>10773</v>
      </c>
      <c r="BO305" s="0" t="s">
        <v>162</v>
      </c>
      <c r="BP305" s="0" t="n">
        <v>0</v>
      </c>
      <c r="BS305" s="0" t="s">
        <v>163</v>
      </c>
      <c r="BU305" s="0" t="s">
        <v>158</v>
      </c>
      <c r="CF305" s="0" t="s">
        <v>158</v>
      </c>
      <c r="CK305" s="0" t="s">
        <v>158</v>
      </c>
      <c r="CL305" s="0" t="n">
        <v>41</v>
      </c>
      <c r="CM305" s="0" t="n">
        <v>6</v>
      </c>
      <c r="CN305" s="0" t="n">
        <v>20</v>
      </c>
      <c r="CO305" s="0" t="n">
        <v>0</v>
      </c>
      <c r="CP305" s="0" t="n">
        <v>5</v>
      </c>
      <c r="CQ305" s="0" t="n">
        <v>10</v>
      </c>
      <c r="CR305" s="0" t="n">
        <v>0</v>
      </c>
      <c r="CS305" s="0" t="n">
        <f aca="false">IF(R305="Y",10,0)</f>
        <v>0</v>
      </c>
      <c r="CT305" s="0" t="n">
        <v>0</v>
      </c>
      <c r="CU305" s="0" t="s">
        <v>10774</v>
      </c>
      <c r="CV305" s="0" t="s">
        <v>5562</v>
      </c>
      <c r="CW305" s="0" t="s">
        <v>10775</v>
      </c>
      <c r="CX305" s="0" t="s">
        <v>10776</v>
      </c>
      <c r="DA305" s="0" t="s">
        <v>6234</v>
      </c>
      <c r="DY305" s="0" t="str">
        <f aca="false">IF(ISNUMBER(MATCH(U305,{"queued","contacted","replied","call_booked","call_done","yes_in_principle","materials_sent"},0)),"Y","N")</f>
        <v>N</v>
      </c>
      <c r="DZ305" s="0" t="str">
        <f aca="false">IF(COUNTIFS($AN$2:$AN$1000,AN305,$DY$2:$DY$1000,"Y")+COUNTIFS($AN$2:$AN$1000,AN305,$T$2:$T$1000,"Y")&gt;0,"Y","N")</f>
        <v>N</v>
      </c>
      <c r="EA305" s="0" t="str">
        <f aca="false">IF(AND(U305="new",T305="N",AR305="Y",AQ305="",DZ305="N"),"Y","N")</f>
        <v>N</v>
      </c>
      <c r="EB305" s="0" t="str">
        <f aca="false">IF(EA305&lt;&gt;"Y","N",IF(COUNTIFS($AN$2:$AN$1000,AN305,$EA$2:$EA$1000,"Y",$J$2:$J$1000,"&gt;"&amp;J305)+COUNTIFS($AN$2:$AN$1000,AN305,$EA$2:$EA$1000,"Y",$J$2:$J$1000,J305,$ED$2:$ED$1000,"&lt;"&amp;ED305)=0,"Y","N"))</f>
        <v>N</v>
      </c>
      <c r="EC305" s="0" t="str">
        <f aca="false">IF(Y305="","N",IF(Y305&lt;=10,"Y","N"))</f>
        <v>N</v>
      </c>
      <c r="ED305" s="0" t="n">
        <f aca="false">ROW()-1</f>
        <v>304</v>
      </c>
    </row>
    <row r="306" customFormat="false" ht="15" hidden="false" customHeight="false" outlineLevel="0" collapsed="false">
      <c r="A306" s="0" t="s">
        <v>10777</v>
      </c>
      <c r="B306" s="0" t="s">
        <v>10778</v>
      </c>
      <c r="H306" s="5" t="s">
        <v>158</v>
      </c>
      <c r="I306" s="5"/>
      <c r="J306" s="0" t="n">
        <f aca="false">IF(AU306="pass",CM306+CN306+CO306+CP306+CQ306+CR306+CS306+CT306,0)</f>
        <v>0</v>
      </c>
      <c r="K306" s="0" t="s">
        <v>10779</v>
      </c>
      <c r="M306" s="0" t="s">
        <v>5291</v>
      </c>
      <c r="N306" s="0" t="s">
        <v>598</v>
      </c>
      <c r="O306" s="0" t="s">
        <v>10780</v>
      </c>
      <c r="P306" s="0" t="s">
        <v>10781</v>
      </c>
      <c r="Q306" s="0" t="s">
        <v>10782</v>
      </c>
      <c r="R306" s="5" t="s">
        <v>162</v>
      </c>
      <c r="S306" s="0" t="s">
        <v>163</v>
      </c>
      <c r="T306" s="5" t="s">
        <v>162</v>
      </c>
      <c r="U306" s="5" t="s">
        <v>561</v>
      </c>
      <c r="V306" s="0" t="s">
        <v>10783</v>
      </c>
      <c r="W306" s="0" t="s">
        <v>166</v>
      </c>
      <c r="X306" s="0" t="s">
        <v>4585</v>
      </c>
      <c r="Y306" s="0" t="str">
        <f aca="false">IF(EB306&lt;&gt;"Y","",COUNTIFS($EB$2:$EB$1000,"Y",$J$2:$J$1000,"&gt;"&amp;J306)+COUNTIFS($EB$2:$EB$1000,"Y",$J$2:$J$1000,J306,$ED$2:$ED$1000,"&lt;"&amp;ED306)+1)</f>
        <v/>
      </c>
      <c r="AA306" s="0" t="s">
        <v>162</v>
      </c>
      <c r="AD306" s="0" t="s">
        <v>158</v>
      </c>
      <c r="AH306" s="0" t="s">
        <v>10784</v>
      </c>
      <c r="AI306" s="0" t="s">
        <v>5763</v>
      </c>
      <c r="AJ306" s="0" t="s">
        <v>163</v>
      </c>
      <c r="AK306" s="0" t="s">
        <v>10785</v>
      </c>
      <c r="AL306" s="0" t="s">
        <v>168</v>
      </c>
      <c r="AM306" s="0" t="s">
        <v>10786</v>
      </c>
      <c r="AN306" s="0" t="s">
        <v>10777</v>
      </c>
      <c r="AO306" s="5" t="s">
        <v>162</v>
      </c>
      <c r="AR306" s="0" t="str">
        <f aca="false">IF(AND(AU306="pass",AO306&lt;&gt;"Y",C306&lt;&gt;""),"Y","N")</f>
        <v>N</v>
      </c>
      <c r="AS306" s="0" t="str">
        <f aca="false">_xlfn.TEXTJOIN("; ",TRUE(),IF(AU306&lt;&gt;"pass","gated out",""),IF(AO306="Y","on hold: "&amp;AP306,""),IF(C306="","no contact named on an opened page",""))</f>
        <v>gated out; no contact named on an opened page</v>
      </c>
      <c r="AU306" s="0" t="s">
        <v>3703</v>
      </c>
      <c r="AV306" s="0" t="s">
        <v>9883</v>
      </c>
      <c r="AW306" s="0" t="s">
        <v>10787</v>
      </c>
      <c r="AX306" s="0" t="s">
        <v>4594</v>
      </c>
      <c r="AY306" s="0" t="s">
        <v>10785</v>
      </c>
      <c r="AZ306" s="0" t="s">
        <v>4595</v>
      </c>
      <c r="BA306" s="0" t="s">
        <v>4951</v>
      </c>
      <c r="BB306" s="0" t="s">
        <v>8882</v>
      </c>
      <c r="BD306" s="0" t="s">
        <v>162</v>
      </c>
      <c r="BE306" s="0" t="s">
        <v>10788</v>
      </c>
      <c r="BF306" s="0" t="s">
        <v>168</v>
      </c>
      <c r="BG306" s="0" t="s">
        <v>168</v>
      </c>
      <c r="BH306" s="0" t="s">
        <v>163</v>
      </c>
      <c r="BJ306" s="0" t="s">
        <v>5549</v>
      </c>
      <c r="BK306" s="0" t="s">
        <v>162</v>
      </c>
      <c r="BL306" s="0" t="s">
        <v>168</v>
      </c>
      <c r="BM306" s="0" t="s">
        <v>10789</v>
      </c>
      <c r="BO306" s="0" t="s">
        <v>162</v>
      </c>
      <c r="BP306" s="0" t="n">
        <v>0</v>
      </c>
      <c r="BS306" s="0" t="s">
        <v>163</v>
      </c>
      <c r="BU306" s="0" t="s">
        <v>10790</v>
      </c>
      <c r="BV306" s="0" t="n">
        <v>388</v>
      </c>
      <c r="CF306" s="0" t="s">
        <v>158</v>
      </c>
      <c r="CK306" s="0" t="s">
        <v>158</v>
      </c>
      <c r="CL306" s="0" t="n">
        <v>26</v>
      </c>
      <c r="CM306" s="0" t="n">
        <v>6</v>
      </c>
      <c r="CN306" s="0" t="n">
        <v>13</v>
      </c>
      <c r="CO306" s="0" t="n">
        <v>0</v>
      </c>
      <c r="CP306" s="0" t="n">
        <v>5</v>
      </c>
      <c r="CQ306" s="0" t="n">
        <v>6</v>
      </c>
      <c r="CR306" s="0" t="n">
        <v>0</v>
      </c>
      <c r="CS306" s="0" t="n">
        <f aca="false">IF(R306="Y",10,0)</f>
        <v>0</v>
      </c>
      <c r="CT306" s="0" t="n">
        <v>-4</v>
      </c>
      <c r="CU306" s="0" t="s">
        <v>10791</v>
      </c>
      <c r="CV306" s="0" t="s">
        <v>5562</v>
      </c>
      <c r="CW306" s="0" t="s">
        <v>10792</v>
      </c>
      <c r="CX306" s="0" t="s">
        <v>10793</v>
      </c>
      <c r="CY306" s="0" t="s">
        <v>10794</v>
      </c>
      <c r="DA306" s="0" t="s">
        <v>6234</v>
      </c>
      <c r="DY306" s="0" t="str">
        <f aca="false">IF(ISNUMBER(MATCH(U306,{"queued","contacted","replied","call_booked","call_done","yes_in_principle","materials_sent"},0)),"Y","N")</f>
        <v>N</v>
      </c>
      <c r="DZ306" s="0" t="str">
        <f aca="false">IF(COUNTIFS($AN$2:$AN$1000,AN306,$DY$2:$DY$1000,"Y")+COUNTIFS($AN$2:$AN$1000,AN306,$T$2:$T$1000,"Y")&gt;0,"Y","N")</f>
        <v>N</v>
      </c>
      <c r="EA306" s="0" t="str">
        <f aca="false">IF(AND(U306="new",T306="N",AR306="Y",AQ306="",DZ306="N"),"Y","N")</f>
        <v>N</v>
      </c>
      <c r="EB306" s="0" t="str">
        <f aca="false">IF(EA306&lt;&gt;"Y","N",IF(COUNTIFS($AN$2:$AN$1000,AN306,$EA$2:$EA$1000,"Y",$J$2:$J$1000,"&gt;"&amp;J306)+COUNTIFS($AN$2:$AN$1000,AN306,$EA$2:$EA$1000,"Y",$J$2:$J$1000,J306,$ED$2:$ED$1000,"&lt;"&amp;ED306)=0,"Y","N"))</f>
        <v>N</v>
      </c>
      <c r="EC306" s="0" t="str">
        <f aca="false">IF(Y306="","N",IF(Y306&lt;=10,"Y","N"))</f>
        <v>N</v>
      </c>
      <c r="ED306" s="0" t="n">
        <f aca="false">ROW()-1</f>
        <v>305</v>
      </c>
    </row>
    <row r="307" customFormat="false" ht="15" hidden="false" customHeight="false" outlineLevel="0" collapsed="false">
      <c r="A307" s="0" t="s">
        <v>10795</v>
      </c>
      <c r="B307" s="0" t="s">
        <v>10796</v>
      </c>
      <c r="C307" s="0" t="s">
        <v>10797</v>
      </c>
      <c r="D307" s="0" t="s">
        <v>163</v>
      </c>
      <c r="E307" s="0" t="s">
        <v>4625</v>
      </c>
      <c r="H307" s="5" t="s">
        <v>158</v>
      </c>
      <c r="I307" s="5" t="s">
        <v>159</v>
      </c>
      <c r="J307" s="0" t="n">
        <f aca="false">IF(AU307="pass",CM307+CN307+CO307+CP307+CQ307+CR307+CS307+CT307,0)</f>
        <v>0</v>
      </c>
      <c r="K307" s="0" t="s">
        <v>10798</v>
      </c>
      <c r="M307" s="0" t="s">
        <v>5291</v>
      </c>
      <c r="N307" s="0" t="s">
        <v>598</v>
      </c>
      <c r="R307" s="5" t="s">
        <v>162</v>
      </c>
      <c r="S307" s="0" t="s">
        <v>163</v>
      </c>
      <c r="T307" s="5" t="s">
        <v>162</v>
      </c>
      <c r="U307" s="5" t="s">
        <v>561</v>
      </c>
      <c r="V307" s="0" t="s">
        <v>10799</v>
      </c>
      <c r="W307" s="0" t="s">
        <v>166</v>
      </c>
      <c r="X307" s="0" t="s">
        <v>4585</v>
      </c>
      <c r="Y307" s="0" t="str">
        <f aca="false">IF(EB307&lt;&gt;"Y","",COUNTIFS($EB$2:$EB$1000,"Y",$J$2:$J$1000,"&gt;"&amp;J307)+COUNTIFS($EB$2:$EB$1000,"Y",$J$2:$J$1000,J307,$ED$2:$ED$1000,"&lt;"&amp;ED307)+1)</f>
        <v/>
      </c>
      <c r="AA307" s="0" t="s">
        <v>162</v>
      </c>
      <c r="AC307" s="0" t="s">
        <v>4587</v>
      </c>
      <c r="AD307" s="0" t="s">
        <v>5008</v>
      </c>
      <c r="AE307" s="0" t="s">
        <v>172</v>
      </c>
      <c r="AF307" s="0" t="s">
        <v>10800</v>
      </c>
      <c r="AG307" s="0" t="s">
        <v>166</v>
      </c>
      <c r="AH307" s="0" t="s">
        <v>10801</v>
      </c>
      <c r="AI307" s="0" t="s">
        <v>4590</v>
      </c>
      <c r="AJ307" s="0" t="s">
        <v>163</v>
      </c>
      <c r="AK307" s="0" t="s">
        <v>10802</v>
      </c>
      <c r="AL307" s="0" t="s">
        <v>162</v>
      </c>
      <c r="AN307" s="0" t="s">
        <v>10795</v>
      </c>
      <c r="AO307" s="5" t="s">
        <v>162</v>
      </c>
      <c r="AR307" s="0" t="str">
        <f aca="false">IF(AND(AU307="pass",AO307&lt;&gt;"Y",C307&lt;&gt;""),"Y","N")</f>
        <v>N</v>
      </c>
      <c r="AS307" s="0" t="str">
        <f aca="false">_xlfn.TEXTJOIN("; ",TRUE(),IF(AU307&lt;&gt;"pass","gated out",""),IF(AO307="Y","on hold: "&amp;AP307,""),IF(C307="","no contact named on an opened page",""))</f>
        <v>gated out</v>
      </c>
      <c r="AU307" s="0" t="s">
        <v>3703</v>
      </c>
      <c r="AV307" s="0" t="s">
        <v>9762</v>
      </c>
      <c r="AW307" s="0" t="s">
        <v>10803</v>
      </c>
      <c r="AY307" s="0" t="s">
        <v>10802</v>
      </c>
      <c r="AZ307" s="0" t="s">
        <v>6032</v>
      </c>
      <c r="BA307" s="0" t="s">
        <v>5191</v>
      </c>
      <c r="BB307" s="0" t="s">
        <v>163</v>
      </c>
      <c r="BD307" s="0" t="s">
        <v>168</v>
      </c>
      <c r="BE307" s="0" t="s">
        <v>10804</v>
      </c>
      <c r="BF307" s="0" t="s">
        <v>168</v>
      </c>
      <c r="BG307" s="0" t="s">
        <v>168</v>
      </c>
      <c r="BH307" s="0" t="s">
        <v>163</v>
      </c>
      <c r="BJ307" s="0" t="s">
        <v>5549</v>
      </c>
      <c r="BK307" s="0" t="s">
        <v>168</v>
      </c>
      <c r="BL307" s="0" t="s">
        <v>168</v>
      </c>
      <c r="BM307" s="0" t="s">
        <v>10805</v>
      </c>
      <c r="BO307" s="0" t="s">
        <v>162</v>
      </c>
      <c r="BP307" s="0" t="n">
        <v>0</v>
      </c>
      <c r="BS307" s="0" t="s">
        <v>163</v>
      </c>
      <c r="BU307" s="0" t="s">
        <v>158</v>
      </c>
      <c r="BX307" s="0" t="s">
        <v>10797</v>
      </c>
      <c r="BY307" s="0" t="s">
        <v>10806</v>
      </c>
      <c r="CA307" s="0" t="s">
        <v>10807</v>
      </c>
      <c r="CB307" s="0" t="s">
        <v>10807</v>
      </c>
      <c r="CC307" s="0" t="s">
        <v>163</v>
      </c>
      <c r="CD307" s="0" t="s">
        <v>4625</v>
      </c>
      <c r="CE307" s="0" t="s">
        <v>6723</v>
      </c>
      <c r="CF307" s="0" t="s">
        <v>5008</v>
      </c>
      <c r="CG307" s="0" t="s">
        <v>10806</v>
      </c>
      <c r="CK307" s="0" t="s">
        <v>158</v>
      </c>
      <c r="CL307" s="0" t="n">
        <v>32</v>
      </c>
      <c r="CM307" s="0" t="n">
        <v>6</v>
      </c>
      <c r="CN307" s="0" t="n">
        <v>8</v>
      </c>
      <c r="CO307" s="0" t="n">
        <v>0</v>
      </c>
      <c r="CP307" s="0" t="n">
        <v>5</v>
      </c>
      <c r="CQ307" s="0" t="n">
        <v>10</v>
      </c>
      <c r="CR307" s="0" t="n">
        <v>3</v>
      </c>
      <c r="CS307" s="0" t="n">
        <f aca="false">IF(R307="Y",10,0)</f>
        <v>0</v>
      </c>
      <c r="CT307" s="0" t="n">
        <v>0</v>
      </c>
      <c r="CU307" s="0" t="s">
        <v>10808</v>
      </c>
      <c r="CV307" s="0" t="s">
        <v>5562</v>
      </c>
      <c r="CW307" s="0" t="s">
        <v>10809</v>
      </c>
      <c r="CX307" s="0" t="s">
        <v>10810</v>
      </c>
      <c r="CZ307" s="0" t="s">
        <v>10800</v>
      </c>
      <c r="DA307" s="0" t="s">
        <v>6234</v>
      </c>
      <c r="DC307" s="0" t="s">
        <v>172</v>
      </c>
      <c r="DY307" s="0" t="str">
        <f aca="false">IF(ISNUMBER(MATCH(U307,{"queued","contacted","replied","call_booked","call_done","yes_in_principle","materials_sent"},0)),"Y","N")</f>
        <v>N</v>
      </c>
      <c r="DZ307" s="0" t="str">
        <f aca="false">IF(COUNTIFS($AN$2:$AN$1000,AN307,$DY$2:$DY$1000,"Y")+COUNTIFS($AN$2:$AN$1000,AN307,$T$2:$T$1000,"Y")&gt;0,"Y","N")</f>
        <v>N</v>
      </c>
      <c r="EA307" s="0" t="str">
        <f aca="false">IF(AND(U307="new",T307="N",AR307="Y",AQ307="",DZ307="N"),"Y","N")</f>
        <v>N</v>
      </c>
      <c r="EB307" s="0" t="str">
        <f aca="false">IF(EA307&lt;&gt;"Y","N",IF(COUNTIFS($AN$2:$AN$1000,AN307,$EA$2:$EA$1000,"Y",$J$2:$J$1000,"&gt;"&amp;J307)+COUNTIFS($AN$2:$AN$1000,AN307,$EA$2:$EA$1000,"Y",$J$2:$J$1000,J307,$ED$2:$ED$1000,"&lt;"&amp;ED307)=0,"Y","N"))</f>
        <v>N</v>
      </c>
      <c r="EC307" s="0" t="str">
        <f aca="false">IF(Y307="","N",IF(Y307&lt;=10,"Y","N"))</f>
        <v>N</v>
      </c>
      <c r="ED307" s="0" t="n">
        <f aca="false">ROW()-1</f>
        <v>306</v>
      </c>
    </row>
    <row r="308" customFormat="false" ht="15" hidden="false" customHeight="false" outlineLevel="0" collapsed="false">
      <c r="A308" s="0" t="s">
        <v>10811</v>
      </c>
      <c r="B308" s="0" t="s">
        <v>10812</v>
      </c>
      <c r="H308" s="5" t="s">
        <v>158</v>
      </c>
      <c r="I308" s="5"/>
      <c r="J308" s="0" t="n">
        <f aca="false">IF(AU308="pass",CM308+CN308+CO308+CP308+CQ308+CR308+CS308+CT308,0)</f>
        <v>0</v>
      </c>
      <c r="K308" s="0" t="s">
        <v>10052</v>
      </c>
      <c r="M308" s="0" t="s">
        <v>5291</v>
      </c>
      <c r="N308" s="0" t="s">
        <v>598</v>
      </c>
      <c r="R308" s="5" t="s">
        <v>162</v>
      </c>
      <c r="S308" s="0" t="s">
        <v>163</v>
      </c>
      <c r="T308" s="5" t="s">
        <v>162</v>
      </c>
      <c r="U308" s="5" t="s">
        <v>561</v>
      </c>
      <c r="V308" s="0" t="s">
        <v>10813</v>
      </c>
      <c r="W308" s="0" t="s">
        <v>166</v>
      </c>
      <c r="X308" s="0" t="s">
        <v>4585</v>
      </c>
      <c r="Y308" s="0" t="str">
        <f aca="false">IF(EB308&lt;&gt;"Y","",COUNTIFS($EB$2:$EB$1000,"Y",$J$2:$J$1000,"&gt;"&amp;J308)+COUNTIFS($EB$2:$EB$1000,"Y",$J$2:$J$1000,J308,$ED$2:$ED$1000,"&lt;"&amp;ED308)+1)</f>
        <v/>
      </c>
      <c r="AA308" s="0" t="s">
        <v>162</v>
      </c>
      <c r="AD308" s="0" t="s">
        <v>158</v>
      </c>
      <c r="AH308" s="0" t="s">
        <v>10814</v>
      </c>
      <c r="AI308" s="0" t="s">
        <v>4664</v>
      </c>
      <c r="AJ308" s="0" t="s">
        <v>163</v>
      </c>
      <c r="AL308" s="0" t="s">
        <v>168</v>
      </c>
      <c r="AM308" s="0" t="s">
        <v>10815</v>
      </c>
      <c r="AN308" s="0" t="s">
        <v>10811</v>
      </c>
      <c r="AO308" s="5" t="s">
        <v>162</v>
      </c>
      <c r="AR308" s="0" t="str">
        <f aca="false">IF(AND(AU308="pass",AO308&lt;&gt;"Y",C308&lt;&gt;""),"Y","N")</f>
        <v>N</v>
      </c>
      <c r="AS308" s="0" t="str">
        <f aca="false">_xlfn.TEXTJOIN("; ",TRUE(),IF(AU308&lt;&gt;"pass","gated out",""),IF(AO308="Y","on hold: "&amp;AP308,""),IF(C308="","no contact named on an opened page",""))</f>
        <v>gated out; no contact named on an opened page</v>
      </c>
      <c r="AU308" s="0" t="s">
        <v>3703</v>
      </c>
      <c r="AV308" s="0" t="s">
        <v>10056</v>
      </c>
      <c r="AW308" s="0" t="s">
        <v>10057</v>
      </c>
      <c r="AX308" s="0" t="s">
        <v>8541</v>
      </c>
      <c r="AY308" s="0" t="s">
        <v>10816</v>
      </c>
      <c r="AZ308" s="0" t="s">
        <v>163</v>
      </c>
      <c r="BA308" s="0" t="s">
        <v>163</v>
      </c>
      <c r="BB308" s="0" t="s">
        <v>10817</v>
      </c>
      <c r="BC308" s="0" t="s">
        <v>10813</v>
      </c>
      <c r="BD308" s="0" t="s">
        <v>263</v>
      </c>
      <c r="BE308" s="0" t="s">
        <v>10818</v>
      </c>
      <c r="BF308" s="0" t="s">
        <v>163</v>
      </c>
      <c r="BG308" s="0" t="s">
        <v>163</v>
      </c>
      <c r="BH308" s="0" t="s">
        <v>163</v>
      </c>
      <c r="BJ308" s="0" t="s">
        <v>163</v>
      </c>
      <c r="BK308" s="0" t="s">
        <v>162</v>
      </c>
      <c r="BL308" s="0" t="s">
        <v>162</v>
      </c>
      <c r="BO308" s="0" t="s">
        <v>162</v>
      </c>
      <c r="BP308" s="0" t="n">
        <v>0</v>
      </c>
      <c r="BS308" s="0" t="s">
        <v>10819</v>
      </c>
      <c r="BU308" s="0" t="s">
        <v>158</v>
      </c>
      <c r="CF308" s="0" t="s">
        <v>158</v>
      </c>
      <c r="CK308" s="0" t="s">
        <v>158</v>
      </c>
      <c r="CL308" s="0" t="n">
        <v>-12</v>
      </c>
      <c r="CM308" s="0" t="n">
        <v>0</v>
      </c>
      <c r="CN308" s="0" t="n">
        <v>4</v>
      </c>
      <c r="CO308" s="0" t="n">
        <v>0</v>
      </c>
      <c r="CP308" s="0" t="n">
        <v>5</v>
      </c>
      <c r="CQ308" s="0" t="n">
        <v>4</v>
      </c>
      <c r="CR308" s="0" t="n">
        <v>0</v>
      </c>
      <c r="CS308" s="0" t="n">
        <f aca="false">IF(R308="Y",10,0)</f>
        <v>0</v>
      </c>
      <c r="CT308" s="0" t="n">
        <v>-25</v>
      </c>
      <c r="CV308" s="0" t="s">
        <v>4703</v>
      </c>
      <c r="CW308" s="0" t="s">
        <v>10820</v>
      </c>
      <c r="CX308" s="0" t="s">
        <v>10821</v>
      </c>
      <c r="DA308" s="0" t="s">
        <v>6234</v>
      </c>
      <c r="DY308" s="0" t="str">
        <f aca="false">IF(ISNUMBER(MATCH(U308,{"queued","contacted","replied","call_booked","call_done","yes_in_principle","materials_sent"},0)),"Y","N")</f>
        <v>N</v>
      </c>
      <c r="DZ308" s="0" t="str">
        <f aca="false">IF(COUNTIFS($AN$2:$AN$1000,AN308,$DY$2:$DY$1000,"Y")+COUNTIFS($AN$2:$AN$1000,AN308,$T$2:$T$1000,"Y")&gt;0,"Y","N")</f>
        <v>N</v>
      </c>
      <c r="EA308" s="0" t="str">
        <f aca="false">IF(AND(U308="new",T308="N",AR308="Y",AQ308="",DZ308="N"),"Y","N")</f>
        <v>N</v>
      </c>
      <c r="EB308" s="0" t="str">
        <f aca="false">IF(EA308&lt;&gt;"Y","N",IF(COUNTIFS($AN$2:$AN$1000,AN308,$EA$2:$EA$1000,"Y",$J$2:$J$1000,"&gt;"&amp;J308)+COUNTIFS($AN$2:$AN$1000,AN308,$EA$2:$EA$1000,"Y",$J$2:$J$1000,J308,$ED$2:$ED$1000,"&lt;"&amp;ED308)=0,"Y","N"))</f>
        <v>N</v>
      </c>
      <c r="EC308" s="0" t="str">
        <f aca="false">IF(Y308="","N",IF(Y308&lt;=10,"Y","N"))</f>
        <v>N</v>
      </c>
      <c r="ED308" s="0" t="n">
        <f aca="false">ROW()-1</f>
        <v>307</v>
      </c>
    </row>
    <row r="309" customFormat="false" ht="15" hidden="false" customHeight="false" outlineLevel="0" collapsed="false">
      <c r="A309" s="0" t="s">
        <v>10822</v>
      </c>
      <c r="B309" s="0" t="s">
        <v>10823</v>
      </c>
      <c r="H309" s="5" t="s">
        <v>158</v>
      </c>
      <c r="I309" s="5"/>
      <c r="J309" s="0" t="n">
        <f aca="false">IF(AU309="pass",CM309+CN309+CO309+CP309+CQ309+CR309+CS309+CT309,0)</f>
        <v>0</v>
      </c>
      <c r="K309" s="0" t="s">
        <v>10824</v>
      </c>
      <c r="M309" s="0" t="s">
        <v>5291</v>
      </c>
      <c r="N309" s="0" t="s">
        <v>598</v>
      </c>
      <c r="R309" s="5" t="s">
        <v>162</v>
      </c>
      <c r="S309" s="0" t="s">
        <v>163</v>
      </c>
      <c r="T309" s="5" t="s">
        <v>162</v>
      </c>
      <c r="U309" s="5" t="s">
        <v>561</v>
      </c>
      <c r="V309" s="0" t="s">
        <v>10825</v>
      </c>
      <c r="W309" s="0" t="s">
        <v>166</v>
      </c>
      <c r="X309" s="0" t="s">
        <v>4585</v>
      </c>
      <c r="Y309" s="0" t="str">
        <f aca="false">IF(EB309&lt;&gt;"Y","",COUNTIFS($EB$2:$EB$1000,"Y",$J$2:$J$1000,"&gt;"&amp;J309)+COUNTIFS($EB$2:$EB$1000,"Y",$J$2:$J$1000,J309,$ED$2:$ED$1000,"&lt;"&amp;ED309)+1)</f>
        <v/>
      </c>
      <c r="AA309" s="0" t="s">
        <v>162</v>
      </c>
      <c r="AD309" s="0" t="s">
        <v>158</v>
      </c>
      <c r="AH309" s="0" t="s">
        <v>10826</v>
      </c>
      <c r="AI309" s="0" t="s">
        <v>4590</v>
      </c>
      <c r="AJ309" s="0" t="s">
        <v>163</v>
      </c>
      <c r="AK309" s="0" t="s">
        <v>10827</v>
      </c>
      <c r="AL309" s="0" t="s">
        <v>162</v>
      </c>
      <c r="AN309" s="0" t="s">
        <v>10822</v>
      </c>
      <c r="AO309" s="5" t="s">
        <v>162</v>
      </c>
      <c r="AR309" s="0" t="str">
        <f aca="false">IF(AND(AU309="pass",AO309&lt;&gt;"Y",C309&lt;&gt;""),"Y","N")</f>
        <v>N</v>
      </c>
      <c r="AS309" s="0" t="str">
        <f aca="false">_xlfn.TEXTJOIN("; ",TRUE(),IF(AU309&lt;&gt;"pass","gated out",""),IF(AO309="Y","on hold: "&amp;AP309,""),IF(C309="","no contact named on an opened page",""))</f>
        <v>gated out; no contact named on an opened page</v>
      </c>
      <c r="AU309" s="0" t="s">
        <v>3703</v>
      </c>
      <c r="AV309" s="0" t="s">
        <v>9762</v>
      </c>
      <c r="AW309" s="0" t="s">
        <v>10828</v>
      </c>
      <c r="AY309" s="0" t="s">
        <v>10827</v>
      </c>
      <c r="AZ309" s="0" t="s">
        <v>163</v>
      </c>
      <c r="BA309" s="0" t="s">
        <v>163</v>
      </c>
      <c r="BB309" s="0" t="s">
        <v>163</v>
      </c>
      <c r="BD309" s="0" t="s">
        <v>168</v>
      </c>
      <c r="BE309" s="0" t="s">
        <v>10829</v>
      </c>
      <c r="BF309" s="0" t="s">
        <v>168</v>
      </c>
      <c r="BG309" s="0" t="s">
        <v>168</v>
      </c>
      <c r="BH309" s="0" t="s">
        <v>163</v>
      </c>
      <c r="BJ309" s="0" t="s">
        <v>5549</v>
      </c>
      <c r="BK309" s="0" t="s">
        <v>168</v>
      </c>
      <c r="BL309" s="0" t="s">
        <v>168</v>
      </c>
      <c r="BM309" s="0" t="s">
        <v>10830</v>
      </c>
      <c r="BO309" s="0" t="s">
        <v>162</v>
      </c>
      <c r="BP309" s="0" t="n">
        <v>0</v>
      </c>
      <c r="BS309" s="0" t="s">
        <v>10831</v>
      </c>
      <c r="BU309" s="0" t="s">
        <v>158</v>
      </c>
      <c r="CF309" s="0" t="s">
        <v>158</v>
      </c>
      <c r="CK309" s="0" t="s">
        <v>158</v>
      </c>
      <c r="CL309" s="0" t="n">
        <v>25</v>
      </c>
      <c r="CM309" s="0" t="n">
        <v>6</v>
      </c>
      <c r="CN309" s="0" t="n">
        <v>4</v>
      </c>
      <c r="CO309" s="0" t="n">
        <v>0</v>
      </c>
      <c r="CP309" s="0" t="n">
        <v>5</v>
      </c>
      <c r="CQ309" s="0" t="n">
        <v>10</v>
      </c>
      <c r="CR309" s="0" t="n">
        <v>0</v>
      </c>
      <c r="CS309" s="0" t="n">
        <f aca="false">IF(R309="Y",10,0)</f>
        <v>0</v>
      </c>
      <c r="CT309" s="0" t="n">
        <v>0</v>
      </c>
      <c r="CU309" s="0" t="s">
        <v>10832</v>
      </c>
      <c r="CV309" s="0" t="s">
        <v>5562</v>
      </c>
      <c r="CW309" s="0" t="s">
        <v>10833</v>
      </c>
      <c r="CX309" s="0" t="s">
        <v>10834</v>
      </c>
      <c r="DA309" s="0" t="s">
        <v>6234</v>
      </c>
      <c r="DY309" s="0" t="str">
        <f aca="false">IF(ISNUMBER(MATCH(U309,{"queued","contacted","replied","call_booked","call_done","yes_in_principle","materials_sent"},0)),"Y","N")</f>
        <v>N</v>
      </c>
      <c r="DZ309" s="0" t="str">
        <f aca="false">IF(COUNTIFS($AN$2:$AN$1000,AN309,$DY$2:$DY$1000,"Y")+COUNTIFS($AN$2:$AN$1000,AN309,$T$2:$T$1000,"Y")&gt;0,"Y","N")</f>
        <v>N</v>
      </c>
      <c r="EA309" s="0" t="str">
        <f aca="false">IF(AND(U309="new",T309="N",AR309="Y",AQ309="",DZ309="N"),"Y","N")</f>
        <v>N</v>
      </c>
      <c r="EB309" s="0" t="str">
        <f aca="false">IF(EA309&lt;&gt;"Y","N",IF(COUNTIFS($AN$2:$AN$1000,AN309,$EA$2:$EA$1000,"Y",$J$2:$J$1000,"&gt;"&amp;J309)+COUNTIFS($AN$2:$AN$1000,AN309,$EA$2:$EA$1000,"Y",$J$2:$J$1000,J309,$ED$2:$ED$1000,"&lt;"&amp;ED309)=0,"Y","N"))</f>
        <v>N</v>
      </c>
      <c r="EC309" s="0" t="str">
        <f aca="false">IF(Y309="","N",IF(Y309&lt;=10,"Y","N"))</f>
        <v>N</v>
      </c>
      <c r="ED309" s="0" t="n">
        <f aca="false">ROW()-1</f>
        <v>308</v>
      </c>
    </row>
    <row r="310" customFormat="false" ht="15" hidden="false" customHeight="false" outlineLevel="0" collapsed="false">
      <c r="A310" s="0" t="s">
        <v>10835</v>
      </c>
      <c r="B310" s="0" t="s">
        <v>10836</v>
      </c>
      <c r="C310" s="0" t="s">
        <v>10837</v>
      </c>
      <c r="D310" s="0" t="s">
        <v>163</v>
      </c>
      <c r="E310" s="0" t="s">
        <v>4771</v>
      </c>
      <c r="H310" s="5" t="s">
        <v>158</v>
      </c>
      <c r="I310" s="5" t="s">
        <v>159</v>
      </c>
      <c r="J310" s="0" t="n">
        <f aca="false">IF(AU310="pass",CM310+CN310+CO310+CP310+CQ310+CR310+CS310+CT310,0)</f>
        <v>0</v>
      </c>
      <c r="K310" s="0" t="s">
        <v>10838</v>
      </c>
      <c r="M310" s="0" t="s">
        <v>5291</v>
      </c>
      <c r="N310" s="0" t="s">
        <v>598</v>
      </c>
      <c r="R310" s="5" t="s">
        <v>162</v>
      </c>
      <c r="S310" s="0" t="s">
        <v>163</v>
      </c>
      <c r="T310" s="5" t="s">
        <v>162</v>
      </c>
      <c r="U310" s="5" t="s">
        <v>561</v>
      </c>
      <c r="V310" s="0" t="s">
        <v>10839</v>
      </c>
      <c r="W310" s="0" t="s">
        <v>166</v>
      </c>
      <c r="X310" s="0" t="s">
        <v>4585</v>
      </c>
      <c r="Y310" s="0" t="str">
        <f aca="false">IF(EB310&lt;&gt;"Y","",COUNTIFS($EB$2:$EB$1000,"Y",$J$2:$J$1000,"&gt;"&amp;J310)+COUNTIFS($EB$2:$EB$1000,"Y",$J$2:$J$1000,J310,$ED$2:$ED$1000,"&lt;"&amp;ED310)+1)</f>
        <v/>
      </c>
      <c r="AA310" s="0" t="s">
        <v>162</v>
      </c>
      <c r="AC310" s="0" t="s">
        <v>4587</v>
      </c>
      <c r="AD310" s="0" t="s">
        <v>5008</v>
      </c>
      <c r="AE310" s="0" t="s">
        <v>172</v>
      </c>
      <c r="AF310" s="0" t="s">
        <v>10840</v>
      </c>
      <c r="AG310" s="0" t="s">
        <v>166</v>
      </c>
      <c r="AH310" s="0" t="s">
        <v>10841</v>
      </c>
      <c r="AI310" s="0" t="s">
        <v>5763</v>
      </c>
      <c r="AJ310" s="0" t="s">
        <v>163</v>
      </c>
      <c r="AK310" s="0" t="s">
        <v>10842</v>
      </c>
      <c r="AL310" s="0" t="s">
        <v>168</v>
      </c>
      <c r="AM310" s="0" t="s">
        <v>4690</v>
      </c>
      <c r="AN310" s="0" t="s">
        <v>10835</v>
      </c>
      <c r="AO310" s="5" t="s">
        <v>162</v>
      </c>
      <c r="AR310" s="0" t="str">
        <f aca="false">IF(AND(AU310="pass",AO310&lt;&gt;"Y",C310&lt;&gt;""),"Y","N")</f>
        <v>N</v>
      </c>
      <c r="AS310" s="0" t="str">
        <f aca="false">_xlfn.TEXTJOIN("; ",TRUE(),IF(AU310&lt;&gt;"pass","gated out",""),IF(AO310="Y","on hold: "&amp;AP310,""),IF(C310="","no contact named on an opened page",""))</f>
        <v>gated out</v>
      </c>
      <c r="AU310" s="0" t="s">
        <v>3703</v>
      </c>
      <c r="AV310" s="0" t="s">
        <v>9762</v>
      </c>
      <c r="AW310" s="0" t="s">
        <v>10843</v>
      </c>
      <c r="AY310" s="0" t="s">
        <v>10842</v>
      </c>
      <c r="AZ310" s="0" t="s">
        <v>163</v>
      </c>
      <c r="BA310" s="0" t="s">
        <v>163</v>
      </c>
      <c r="BB310" s="0" t="s">
        <v>163</v>
      </c>
      <c r="BD310" s="0" t="s">
        <v>163</v>
      </c>
      <c r="BE310" s="0" t="s">
        <v>8632</v>
      </c>
      <c r="BF310" s="0" t="s">
        <v>168</v>
      </c>
      <c r="BG310" s="0" t="s">
        <v>168</v>
      </c>
      <c r="BH310" s="0" t="s">
        <v>163</v>
      </c>
      <c r="BJ310" s="0" t="s">
        <v>5549</v>
      </c>
      <c r="BK310" s="0" t="s">
        <v>168</v>
      </c>
      <c r="BL310" s="0" t="s">
        <v>168</v>
      </c>
      <c r="BM310" s="0" t="s">
        <v>10844</v>
      </c>
      <c r="BO310" s="0" t="s">
        <v>162</v>
      </c>
      <c r="BP310" s="0" t="n">
        <v>0</v>
      </c>
      <c r="BS310" s="0" t="s">
        <v>7160</v>
      </c>
      <c r="BT310" s="0" t="s">
        <v>10845</v>
      </c>
      <c r="BU310" s="0" t="s">
        <v>158</v>
      </c>
      <c r="BX310" s="0" t="s">
        <v>10837</v>
      </c>
      <c r="CF310" s="0" t="s">
        <v>158</v>
      </c>
      <c r="CK310" s="0" t="s">
        <v>158</v>
      </c>
      <c r="CL310" s="0" t="n">
        <v>25</v>
      </c>
      <c r="CM310" s="0" t="n">
        <v>6</v>
      </c>
      <c r="CN310" s="0" t="n">
        <v>4</v>
      </c>
      <c r="CO310" s="0" t="n">
        <v>0</v>
      </c>
      <c r="CP310" s="0" t="n">
        <v>5</v>
      </c>
      <c r="CQ310" s="0" t="n">
        <v>7</v>
      </c>
      <c r="CR310" s="0" t="n">
        <v>3</v>
      </c>
      <c r="CS310" s="0" t="n">
        <f aca="false">IF(R310="Y",10,0)</f>
        <v>0</v>
      </c>
      <c r="CT310" s="0" t="n">
        <v>0</v>
      </c>
      <c r="CU310" s="0" t="s">
        <v>10846</v>
      </c>
      <c r="CV310" s="0" t="s">
        <v>5562</v>
      </c>
      <c r="CW310" s="0" t="s">
        <v>10847</v>
      </c>
      <c r="CX310" s="0" t="s">
        <v>10848</v>
      </c>
      <c r="DA310" s="0" t="s">
        <v>6234</v>
      </c>
      <c r="DY310" s="0" t="str">
        <f aca="false">IF(ISNUMBER(MATCH(U310,{"queued","contacted","replied","call_booked","call_done","yes_in_principle","materials_sent"},0)),"Y","N")</f>
        <v>N</v>
      </c>
      <c r="DZ310" s="0" t="str">
        <f aca="false">IF(COUNTIFS($AN$2:$AN$1000,AN310,$DY$2:$DY$1000,"Y")+COUNTIFS($AN$2:$AN$1000,AN310,$T$2:$T$1000,"Y")&gt;0,"Y","N")</f>
        <v>N</v>
      </c>
      <c r="EA310" s="0" t="str">
        <f aca="false">IF(AND(U310="new",T310="N",AR310="Y",AQ310="",DZ310="N"),"Y","N")</f>
        <v>N</v>
      </c>
      <c r="EB310" s="0" t="str">
        <f aca="false">IF(EA310&lt;&gt;"Y","N",IF(COUNTIFS($AN$2:$AN$1000,AN310,$EA$2:$EA$1000,"Y",$J$2:$J$1000,"&gt;"&amp;J310)+COUNTIFS($AN$2:$AN$1000,AN310,$EA$2:$EA$1000,"Y",$J$2:$J$1000,J310,$ED$2:$ED$1000,"&lt;"&amp;ED310)=0,"Y","N"))</f>
        <v>N</v>
      </c>
      <c r="EC310" s="0" t="str">
        <f aca="false">IF(Y310="","N",IF(Y310&lt;=10,"Y","N"))</f>
        <v>N</v>
      </c>
      <c r="ED310" s="0" t="n">
        <f aca="false">ROW()-1</f>
        <v>309</v>
      </c>
    </row>
    <row r="311" customFormat="false" ht="15" hidden="false" customHeight="false" outlineLevel="0" collapsed="false">
      <c r="A311" s="0" t="s">
        <v>10849</v>
      </c>
      <c r="B311" s="0" t="s">
        <v>10850</v>
      </c>
      <c r="C311" s="0" t="s">
        <v>10851</v>
      </c>
      <c r="D311" s="0" t="s">
        <v>10852</v>
      </c>
      <c r="E311" s="0" t="s">
        <v>10853</v>
      </c>
      <c r="H311" s="5" t="s">
        <v>158</v>
      </c>
      <c r="I311" s="5" t="s">
        <v>159</v>
      </c>
      <c r="J311" s="0" t="n">
        <f aca="false">IF(AU311="pass",CM311+CN311+CO311+CP311+CQ311+CR311+CS311+CT311,0)</f>
        <v>0</v>
      </c>
      <c r="K311" s="0" t="s">
        <v>10854</v>
      </c>
      <c r="M311" s="0" t="s">
        <v>5291</v>
      </c>
      <c r="N311" s="0" t="s">
        <v>598</v>
      </c>
      <c r="R311" s="5" t="s">
        <v>162</v>
      </c>
      <c r="S311" s="0" t="s">
        <v>163</v>
      </c>
      <c r="T311" s="5" t="s">
        <v>162</v>
      </c>
      <c r="U311" s="5" t="s">
        <v>561</v>
      </c>
      <c r="V311" s="0" t="s">
        <v>10855</v>
      </c>
      <c r="W311" s="0" t="s">
        <v>166</v>
      </c>
      <c r="X311" s="0" t="s">
        <v>4585</v>
      </c>
      <c r="Y311" s="0" t="str">
        <f aca="false">IF(EB311&lt;&gt;"Y","",COUNTIFS($EB$2:$EB$1000,"Y",$J$2:$J$1000,"&gt;"&amp;J311)+COUNTIFS($EB$2:$EB$1000,"Y",$J$2:$J$1000,J311,$ED$2:$ED$1000,"&lt;"&amp;ED311)+1)</f>
        <v/>
      </c>
      <c r="AA311" s="0" t="s">
        <v>162</v>
      </c>
      <c r="AC311" s="0" t="s">
        <v>4587</v>
      </c>
      <c r="AD311" s="0" t="s">
        <v>171</v>
      </c>
      <c r="AE311" s="0" t="s">
        <v>172</v>
      </c>
      <c r="AF311" s="0" t="s">
        <v>10855</v>
      </c>
      <c r="AG311" s="0" t="s">
        <v>166</v>
      </c>
      <c r="AH311" s="0" t="s">
        <v>10856</v>
      </c>
      <c r="AI311" s="0" t="s">
        <v>4633</v>
      </c>
      <c r="AJ311" s="0" t="s">
        <v>163</v>
      </c>
      <c r="AK311" s="0" t="s">
        <v>10857</v>
      </c>
      <c r="AL311" s="0" t="s">
        <v>162</v>
      </c>
      <c r="AN311" s="0" t="s">
        <v>10849</v>
      </c>
      <c r="AO311" s="5" t="s">
        <v>162</v>
      </c>
      <c r="AR311" s="0" t="str">
        <f aca="false">IF(AND(AU311="pass",AO311&lt;&gt;"Y",C311&lt;&gt;""),"Y","N")</f>
        <v>N</v>
      </c>
      <c r="AS311" s="0" t="str">
        <f aca="false">_xlfn.TEXTJOIN("; ",TRUE(),IF(AU311&lt;&gt;"pass","gated out",""),IF(AO311="Y","on hold: "&amp;AP311,""),IF(C311="","no contact named on an opened page",""))</f>
        <v>gated out</v>
      </c>
      <c r="AU311" s="0" t="s">
        <v>3703</v>
      </c>
      <c r="AV311" s="0" t="s">
        <v>9762</v>
      </c>
      <c r="AW311" s="0" t="s">
        <v>10858</v>
      </c>
      <c r="AY311" s="0" t="s">
        <v>10857</v>
      </c>
      <c r="AZ311" s="0" t="s">
        <v>163</v>
      </c>
      <c r="BA311" s="0" t="s">
        <v>163</v>
      </c>
      <c r="BB311" s="0" t="s">
        <v>163</v>
      </c>
      <c r="BD311" s="0" t="s">
        <v>168</v>
      </c>
      <c r="BE311" s="0" t="s">
        <v>10859</v>
      </c>
      <c r="BF311" s="0" t="s">
        <v>163</v>
      </c>
      <c r="BG311" s="0" t="s">
        <v>168</v>
      </c>
      <c r="BH311" s="0" t="s">
        <v>163</v>
      </c>
      <c r="BJ311" s="0" t="s">
        <v>163</v>
      </c>
      <c r="BK311" s="0" t="s">
        <v>168</v>
      </c>
      <c r="BL311" s="0" t="s">
        <v>168</v>
      </c>
      <c r="BM311" s="0" t="s">
        <v>10860</v>
      </c>
      <c r="BO311" s="0" t="s">
        <v>162</v>
      </c>
      <c r="BP311" s="0" t="n">
        <v>0</v>
      </c>
      <c r="BR311" s="0" t="s">
        <v>6762</v>
      </c>
      <c r="BS311" s="0" t="s">
        <v>6809</v>
      </c>
      <c r="BT311" s="0" t="s">
        <v>10861</v>
      </c>
      <c r="BU311" s="0" t="s">
        <v>158</v>
      </c>
      <c r="BX311" s="0" t="s">
        <v>10862</v>
      </c>
      <c r="CF311" s="0" t="s">
        <v>158</v>
      </c>
      <c r="CK311" s="0" t="s">
        <v>158</v>
      </c>
      <c r="CL311" s="0" t="n">
        <v>29</v>
      </c>
      <c r="CM311" s="0" t="n">
        <v>6</v>
      </c>
      <c r="CN311" s="0" t="n">
        <v>4</v>
      </c>
      <c r="CO311" s="0" t="n">
        <v>0</v>
      </c>
      <c r="CP311" s="0" t="n">
        <v>5</v>
      </c>
      <c r="CQ311" s="0" t="n">
        <v>8</v>
      </c>
      <c r="CR311" s="0" t="n">
        <v>6</v>
      </c>
      <c r="CS311" s="0" t="n">
        <f aca="false">IF(R311="Y",10,0)</f>
        <v>0</v>
      </c>
      <c r="CT311" s="0" t="n">
        <v>0</v>
      </c>
      <c r="CU311" s="0" t="s">
        <v>10863</v>
      </c>
      <c r="CV311" s="0" t="s">
        <v>4841</v>
      </c>
      <c r="CW311" s="0" t="s">
        <v>10864</v>
      </c>
      <c r="CX311" s="0" t="s">
        <v>10865</v>
      </c>
      <c r="DA311" s="0" t="s">
        <v>6234</v>
      </c>
      <c r="DY311" s="0" t="str">
        <f aca="false">IF(ISNUMBER(MATCH(U311,{"queued","contacted","replied","call_booked","call_done","yes_in_principle","materials_sent"},0)),"Y","N")</f>
        <v>N</v>
      </c>
      <c r="DZ311" s="0" t="str">
        <f aca="false">IF(COUNTIFS($AN$2:$AN$1000,AN311,$DY$2:$DY$1000,"Y")+COUNTIFS($AN$2:$AN$1000,AN311,$T$2:$T$1000,"Y")&gt;0,"Y","N")</f>
        <v>N</v>
      </c>
      <c r="EA311" s="0" t="str">
        <f aca="false">IF(AND(U311="new",T311="N",AR311="Y",AQ311="",DZ311="N"),"Y","N")</f>
        <v>N</v>
      </c>
      <c r="EB311" s="0" t="str">
        <f aca="false">IF(EA311&lt;&gt;"Y","N",IF(COUNTIFS($AN$2:$AN$1000,AN311,$EA$2:$EA$1000,"Y",$J$2:$J$1000,"&gt;"&amp;J311)+COUNTIFS($AN$2:$AN$1000,AN311,$EA$2:$EA$1000,"Y",$J$2:$J$1000,J311,$ED$2:$ED$1000,"&lt;"&amp;ED311)=0,"Y","N"))</f>
        <v>N</v>
      </c>
      <c r="EC311" s="0" t="str">
        <f aca="false">IF(Y311="","N",IF(Y311&lt;=10,"Y","N"))</f>
        <v>N</v>
      </c>
      <c r="ED311" s="0" t="n">
        <f aca="false">ROW()-1</f>
        <v>310</v>
      </c>
    </row>
    <row r="312" customFormat="false" ht="15" hidden="false" customHeight="false" outlineLevel="0" collapsed="false">
      <c r="A312" s="0" t="s">
        <v>10866</v>
      </c>
      <c r="B312" s="0" t="s">
        <v>10867</v>
      </c>
      <c r="C312" s="0" t="s">
        <v>1047</v>
      </c>
      <c r="D312" s="0" t="s">
        <v>10868</v>
      </c>
      <c r="E312" s="0" t="s">
        <v>4771</v>
      </c>
      <c r="H312" s="5" t="s">
        <v>158</v>
      </c>
      <c r="I312" s="5" t="s">
        <v>159</v>
      </c>
      <c r="J312" s="0" t="n">
        <f aca="false">IF(AU312="pass",CM312+CN312+CO312+CP312+CQ312+CR312+CS312+CT312,0)</f>
        <v>0</v>
      </c>
      <c r="K312" s="0" t="s">
        <v>10869</v>
      </c>
      <c r="M312" s="0" t="s">
        <v>5291</v>
      </c>
      <c r="N312" s="0" t="s">
        <v>598</v>
      </c>
      <c r="R312" s="5" t="s">
        <v>162</v>
      </c>
      <c r="S312" s="0" t="s">
        <v>163</v>
      </c>
      <c r="T312" s="5" t="s">
        <v>162</v>
      </c>
      <c r="U312" s="5" t="s">
        <v>561</v>
      </c>
      <c r="V312" s="0" t="s">
        <v>10870</v>
      </c>
      <c r="W312" s="0" t="s">
        <v>166</v>
      </c>
      <c r="X312" s="0" t="s">
        <v>4585</v>
      </c>
      <c r="Y312" s="0" t="str">
        <f aca="false">IF(EB312&lt;&gt;"Y","",COUNTIFS($EB$2:$EB$1000,"Y",$J$2:$J$1000,"&gt;"&amp;J312)+COUNTIFS($EB$2:$EB$1000,"Y",$J$2:$J$1000,J312,$ED$2:$ED$1000,"&lt;"&amp;ED312)+1)</f>
        <v/>
      </c>
      <c r="AA312" s="0" t="s">
        <v>162</v>
      </c>
      <c r="AC312" s="0" t="s">
        <v>4587</v>
      </c>
      <c r="AD312" s="0" t="s">
        <v>171</v>
      </c>
      <c r="AE312" s="0" t="s">
        <v>172</v>
      </c>
      <c r="AF312" s="0" t="s">
        <v>10870</v>
      </c>
      <c r="AG312" s="0" t="s">
        <v>166</v>
      </c>
      <c r="AH312" s="0" t="s">
        <v>10871</v>
      </c>
      <c r="AI312" s="0" t="s">
        <v>5763</v>
      </c>
      <c r="AJ312" s="0" t="s">
        <v>163</v>
      </c>
      <c r="AK312" s="0" t="s">
        <v>10872</v>
      </c>
      <c r="AL312" s="0" t="s">
        <v>168</v>
      </c>
      <c r="AM312" s="0" t="s">
        <v>4690</v>
      </c>
      <c r="AN312" s="0" t="s">
        <v>10866</v>
      </c>
      <c r="AO312" s="5" t="s">
        <v>162</v>
      </c>
      <c r="AR312" s="0" t="str">
        <f aca="false">IF(AND(AU312="pass",AO312&lt;&gt;"Y",C312&lt;&gt;""),"Y","N")</f>
        <v>N</v>
      </c>
      <c r="AS312" s="0" t="str">
        <f aca="false">_xlfn.TEXTJOIN("; ",TRUE(),IF(AU312&lt;&gt;"pass","gated out",""),IF(AO312="Y","on hold: "&amp;AP312,""),IF(C312="","no contact named on an opened page",""))</f>
        <v>gated out</v>
      </c>
      <c r="AU312" s="0" t="s">
        <v>3703</v>
      </c>
      <c r="AV312" s="0" t="s">
        <v>10402</v>
      </c>
      <c r="AW312" s="0" t="s">
        <v>10873</v>
      </c>
      <c r="AY312" s="0" t="s">
        <v>10872</v>
      </c>
      <c r="AZ312" s="0" t="s">
        <v>163</v>
      </c>
      <c r="BA312" s="0" t="s">
        <v>163</v>
      </c>
      <c r="BB312" s="0" t="s">
        <v>163</v>
      </c>
      <c r="BD312" s="0" t="s">
        <v>163</v>
      </c>
      <c r="BE312" s="0" t="s">
        <v>10554</v>
      </c>
      <c r="BF312" s="0" t="s">
        <v>168</v>
      </c>
      <c r="BG312" s="0" t="s">
        <v>168</v>
      </c>
      <c r="BH312" s="0" t="s">
        <v>163</v>
      </c>
      <c r="BJ312" s="0" t="s">
        <v>5549</v>
      </c>
      <c r="BK312" s="0" t="s">
        <v>168</v>
      </c>
      <c r="BL312" s="0" t="s">
        <v>168</v>
      </c>
      <c r="BM312" s="0" t="s">
        <v>10874</v>
      </c>
      <c r="BO312" s="0" t="s">
        <v>162</v>
      </c>
      <c r="BP312" s="0" t="n">
        <v>0</v>
      </c>
      <c r="BS312" s="0" t="s">
        <v>163</v>
      </c>
      <c r="BU312" s="0" t="s">
        <v>158</v>
      </c>
      <c r="BX312" s="0" t="s">
        <v>10875</v>
      </c>
      <c r="CF312" s="0" t="s">
        <v>158</v>
      </c>
      <c r="CK312" s="0" t="s">
        <v>158</v>
      </c>
      <c r="CL312" s="0" t="n">
        <v>28</v>
      </c>
      <c r="CM312" s="0" t="n">
        <v>6</v>
      </c>
      <c r="CN312" s="0" t="n">
        <v>4</v>
      </c>
      <c r="CO312" s="0" t="n">
        <v>0</v>
      </c>
      <c r="CP312" s="0" t="n">
        <v>5</v>
      </c>
      <c r="CQ312" s="0" t="n">
        <v>7</v>
      </c>
      <c r="CR312" s="0" t="n">
        <v>6</v>
      </c>
      <c r="CS312" s="0" t="n">
        <f aca="false">IF(R312="Y",10,0)</f>
        <v>0</v>
      </c>
      <c r="CT312" s="0" t="n">
        <v>0</v>
      </c>
      <c r="CU312" s="0" t="s">
        <v>10876</v>
      </c>
      <c r="CV312" s="0" t="s">
        <v>5562</v>
      </c>
      <c r="CW312" s="0" t="s">
        <v>10877</v>
      </c>
      <c r="CX312" s="0" t="s">
        <v>10878</v>
      </c>
      <c r="DA312" s="0" t="s">
        <v>6234</v>
      </c>
      <c r="DY312" s="0" t="str">
        <f aca="false">IF(ISNUMBER(MATCH(U312,{"queued","contacted","replied","call_booked","call_done","yes_in_principle","materials_sent"},0)),"Y","N")</f>
        <v>N</v>
      </c>
      <c r="DZ312" s="0" t="str">
        <f aca="false">IF(COUNTIFS($AN$2:$AN$1000,AN312,$DY$2:$DY$1000,"Y")+COUNTIFS($AN$2:$AN$1000,AN312,$T$2:$T$1000,"Y")&gt;0,"Y","N")</f>
        <v>N</v>
      </c>
      <c r="EA312" s="0" t="str">
        <f aca="false">IF(AND(U312="new",T312="N",AR312="Y",AQ312="",DZ312="N"),"Y","N")</f>
        <v>N</v>
      </c>
      <c r="EB312" s="0" t="str">
        <f aca="false">IF(EA312&lt;&gt;"Y","N",IF(COUNTIFS($AN$2:$AN$1000,AN312,$EA$2:$EA$1000,"Y",$J$2:$J$1000,"&gt;"&amp;J312)+COUNTIFS($AN$2:$AN$1000,AN312,$EA$2:$EA$1000,"Y",$J$2:$J$1000,J312,$ED$2:$ED$1000,"&lt;"&amp;ED312)=0,"Y","N"))</f>
        <v>N</v>
      </c>
      <c r="EC312" s="0" t="str">
        <f aca="false">IF(Y312="","N",IF(Y312&lt;=10,"Y","N"))</f>
        <v>N</v>
      </c>
      <c r="ED312" s="0" t="n">
        <f aca="false">ROW()-1</f>
        <v>311</v>
      </c>
    </row>
  </sheetData>
  <autoFilter ref="A1:ED312"/>
  <dataValidations count="7">
    <dataValidation allowBlank="true" errorStyle="stop" operator="between" showDropDown="false" showErrorMessage="false" showInputMessage="false" sqref="U2:U312" type="list">
      <formula1>"new,queued,contacted,replied,call_booked,call_done,yes_in_principle,materials_sent,paid,not_now,no,wrong_person,do_not_contact"</formula1>
      <formula2>0</formula2>
    </dataValidation>
    <dataValidation allowBlank="true" errorStyle="stop" operator="between" showDropDown="false" showErrorMessage="false" showInputMessage="false" sqref="T2:T312" type="list">
      <formula1>"Y,N"</formula1>
      <formula2>0</formula2>
    </dataValidation>
    <dataValidation allowBlank="true" errorStyle="stop" operator="between" showDropDown="false" showErrorMessage="false" showInputMessage="false" sqref="R2:R312" type="list">
      <formula1>"Y,N"</formula1>
      <formula2>0</formula2>
    </dataValidation>
    <dataValidation allowBlank="true" errorStyle="stop" operator="between" showDropDown="false" showErrorMessage="false" showInputMessage="false" sqref="AO2:AO312" type="list">
      <formula1>"Y,N"</formula1>
      <formula2>0</formula2>
    </dataValidation>
    <dataValidation allowBlank="true" errorStyle="stop" operator="between" showDropDown="false" showErrorMessage="false" showInputMessage="false" sqref="AT2:AT312" type="list">
      <formula1>"Y"</formula1>
      <formula2>0</formula2>
    </dataValidation>
    <dataValidation allowBlank="true" errorStyle="stop" operator="between" showDropDown="false" showErrorMessage="false" showInputMessage="false" sqref="H2:H312" type="list">
      <formula1>"verified,unverified,none"</formula1>
      <formula2>0</formula2>
    </dataValidation>
    <dataValidation allowBlank="true" errorStyle="stop" operator="between" showDropDown="false" showErrorMessage="false" showInputMessage="false" sqref="I2:I312" type="list">
      <formula1>"email,linkedin,warm-intro,walk-in"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10" min="3" style="0" width="16"/>
    <col collapsed="false" customWidth="true" hidden="false" outlineLevel="0" max="11" min="11" style="0" width="50"/>
    <col collapsed="false" customWidth="true" hidden="false" outlineLevel="0" max="27" min="12" style="0" width="16"/>
    <col collapsed="false" customWidth="true" hidden="false" outlineLevel="0" max="28" min="28" style="0" width="60"/>
    <col collapsed="false" customWidth="true" hidden="false" outlineLevel="0" max="45" min="29" style="0" width="16"/>
  </cols>
  <sheetData>
    <row r="1" customFormat="false" ht="15" hidden="false" customHeight="false" outlineLevel="0" collapsed="false">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c r="AR1" s="6" t="s">
        <v>43</v>
      </c>
      <c r="AS1" s="6" t="s">
        <v>44</v>
      </c>
    </row>
    <row r="2" customFormat="false" ht="15" hidden="false" customHeight="false" outlineLevel="0" collapsed="false">
      <c r="A2" s="0" t="str">
        <f aca="false" t="array" ref="A2:AS11">IFERROR(_xlfn._xlws.SORT(_xlfn._xlws.FILTER(Offices!$A$2:$AS$1000,Offices!$EV$2:$EV$1000="Y"),25,TRUE()),"No row is ready today: see the Routine tab")</f>
        <v>AO-C-013</v>
      </c>
      <c r="B2" s="0" t="str">
        <v>Rockwell Group</v>
      </c>
      <c r="C2" s="0" t="str">
        <v>Yazmin</v>
      </c>
      <c r="D2" s="0" t="str">
        <v>Ramirez</v>
      </c>
      <c r="E2" s="0" t="str">
        <v>Director of Human Resources</v>
      </c>
      <c r="F2" s="0" t="n">
        <v>0</v>
      </c>
      <c r="G2" s="0" t="n">
        <v>0</v>
      </c>
      <c r="H2" s="0" t="str">
        <v>none</v>
      </c>
      <c r="I2" s="0" t="str">
        <v>linkedin</v>
      </c>
      <c r="J2" s="0" t="n">
        <v>52.3</v>
      </c>
      <c r="K2" s="0" t="str">
        <v>Tuesday estimate 100 to 309 (low confidence), 501 to 1,000 staff company-wide, no attendance signal, occupied at a high-confidence address; adjacent contact named (Director of Human Resources).</v>
      </c>
      <c r="L2" s="0" t="str">
        <v>151-250</v>
      </c>
      <c r="M2" s="0" t="n">
        <v>0</v>
      </c>
      <c r="N2" s="0" t="n">
        <v>0</v>
      </c>
      <c r="O2" s="0" t="n">
        <v>0</v>
      </c>
      <c r="P2" s="0" t="n">
        <v>0</v>
      </c>
      <c r="Q2" s="0" t="n">
        <v>0</v>
      </c>
      <c r="R2" s="0" t="str">
        <v>N</v>
      </c>
      <c r="S2" s="0" t="str">
        <v>unknown</v>
      </c>
      <c r="T2" s="0" t="str">
        <v>N</v>
      </c>
      <c r="U2" s="0" t="str">
        <v>new</v>
      </c>
      <c r="V2" s="0" t="str">
        <v>https://www.rockwellgroup.com/about</v>
      </c>
      <c r="W2" s="0" t="str">
        <v>2026-10-23</v>
      </c>
      <c r="X2" s="0" t="str">
        <v>office</v>
      </c>
      <c r="Y2" s="0" t="n">
        <v>1</v>
      </c>
      <c r="Z2" s="0" t="n">
        <v>39</v>
      </c>
      <c r="AA2" s="0" t="str">
        <v>Y</v>
      </c>
      <c r="AB2" s="0" t="str">
        <v>find Yazmin Ramirez at Rockwell Group on LinkedIn and paste the profile URL; adjacent title: ask who runs the pantry</v>
      </c>
      <c r="AC2" s="0" t="str">
        <v>pantry or office lead (primary)</v>
      </c>
      <c r="AD2" s="0" t="str">
        <v>verified-page</v>
      </c>
      <c r="AE2" s="0" t="str">
        <v>employer's own site</v>
      </c>
      <c r="AF2" s="0" t="str">
        <v>https://www.rockwellgroup.com/people</v>
      </c>
      <c r="AG2" s="0" t="str">
        <v>2026-10-24</v>
      </c>
      <c r="AH2" s="0" t="str">
        <v>adjacent</v>
      </c>
      <c r="AI2" s="0" t="str">
        <v>5 Union Square West</v>
      </c>
      <c r="AJ2" s="0" t="str">
        <v>8</v>
      </c>
      <c r="AK2" s="0" t="str">
        <v>occupied</v>
      </c>
      <c r="AL2" s="0" t="n">
        <v>100</v>
      </c>
      <c r="AM2" s="0" t="n">
        <v>309</v>
      </c>
      <c r="AN2" s="0" t="str">
        <v>low</v>
      </c>
      <c r="AO2" s="0" t="str">
        <v>unknown</v>
      </c>
      <c r="AP2" s="0" t="str">
        <v>AO-C-013</v>
      </c>
      <c r="AQ2" s="0" t="str">
        <v>N</v>
      </c>
      <c r="AR2" s="0" t="n">
        <v>0</v>
      </c>
      <c r="AS2" s="0" t="n">
        <v>0</v>
      </c>
    </row>
    <row r="3" customFormat="false" ht="15" hidden="false" customHeight="false" outlineLevel="0" collapsed="false">
      <c r="A3" s="0" t="str">
        <v>AO-C-028</v>
      </c>
      <c r="B3" s="0" t="str">
        <v>Valon</v>
      </c>
      <c r="C3" s="0" t="str">
        <v>Marisa</v>
      </c>
      <c r="D3" s="0" t="str">
        <v>Rackson</v>
      </c>
      <c r="E3" s="0" t="str">
        <v>Head of People</v>
      </c>
      <c r="F3" s="0" t="n">
        <v>0</v>
      </c>
      <c r="G3" s="0" t="n">
        <v>0</v>
      </c>
      <c r="H3" s="0" t="str">
        <v>none</v>
      </c>
      <c r="I3" s="0" t="str">
        <v>linkedin</v>
      </c>
      <c r="J3" s="0" t="n">
        <v>51.7</v>
      </c>
      <c r="K3" s="0" t="str">
        <v>Tuesday estimate 142 to 302 (low confidence), 501 to 1,000 staff company-wide, hybrid (days not stated), occupied at a high-confidence address; adjacent contact named (Head of People).</v>
      </c>
      <c r="L3" s="0" t="str">
        <v>151-250</v>
      </c>
      <c r="M3" s="0" t="n">
        <v>0</v>
      </c>
      <c r="N3" s="0" t="n">
        <v>0</v>
      </c>
      <c r="O3" s="0" t="n">
        <v>0</v>
      </c>
      <c r="P3" s="0" t="n">
        <v>0</v>
      </c>
      <c r="Q3" s="0" t="n">
        <v>0</v>
      </c>
      <c r="R3" s="0" t="str">
        <v>N</v>
      </c>
      <c r="S3" s="0" t="str">
        <v>unknown</v>
      </c>
      <c r="T3" s="0" t="str">
        <v>N</v>
      </c>
      <c r="U3" s="0" t="str">
        <v>new</v>
      </c>
      <c r="V3" s="0" t="str">
        <v>https://commercialobserver.com/2026/08/selldorf-architects-renews-14k-sf-860-broadway-lease-for-10-years/</v>
      </c>
      <c r="W3" s="0" t="str">
        <v>2026-10-23</v>
      </c>
      <c r="X3" s="0" t="str">
        <v>office</v>
      </c>
      <c r="Y3" s="0" t="n">
        <v>2</v>
      </c>
      <c r="Z3" s="0" t="n">
        <v>42</v>
      </c>
      <c r="AA3" s="0" t="str">
        <v>Y</v>
      </c>
      <c r="AB3" s="0" t="str">
        <v>find Marisa Rackson at Valon on LinkedIn and paste the profile URL; adjacent title: ask who runs the pantry</v>
      </c>
      <c r="AC3" s="0" t="str">
        <v>pantry or office lead (primary)</v>
      </c>
      <c r="AD3" s="0" t="str">
        <v>verified-page</v>
      </c>
      <c r="AE3" s="0" t="str">
        <v>employer's own site</v>
      </c>
      <c r="AF3" s="0" t="str">
        <v>https://www.valon.ai/about</v>
      </c>
      <c r="AG3" s="0" t="str">
        <v>2026-10-24</v>
      </c>
      <c r="AH3" s="0" t="str">
        <v>adjacent</v>
      </c>
      <c r="AI3" s="0" t="str">
        <v>860 Broadway</v>
      </c>
      <c r="AJ3" s="0" t="str">
        <v>4</v>
      </c>
      <c r="AK3" s="0" t="str">
        <v>occupied</v>
      </c>
      <c r="AL3" s="0" t="n">
        <v>142</v>
      </c>
      <c r="AM3" s="0" t="n">
        <v>302</v>
      </c>
      <c r="AN3" s="0" t="str">
        <v>low</v>
      </c>
      <c r="AO3" s="0" t="str">
        <v>hybrid-unspecified</v>
      </c>
      <c r="AP3" s="0" t="str">
        <v>AO-C-028</v>
      </c>
      <c r="AQ3" s="0" t="str">
        <v>N</v>
      </c>
      <c r="AR3" s="0" t="n">
        <v>0</v>
      </c>
      <c r="AS3" s="0" t="n">
        <v>0</v>
      </c>
    </row>
    <row r="4" customFormat="false" ht="15" hidden="false" customHeight="false" outlineLevel="0" collapsed="false">
      <c r="A4" s="0" t="str">
        <v>AO-C-263</v>
      </c>
      <c r="B4" s="0" t="str">
        <v>PMG Worldwide</v>
      </c>
      <c r="C4" s="0" t="str">
        <v>Tina</v>
      </c>
      <c r="D4" s="0" t="str">
        <v>McCarthy</v>
      </c>
      <c r="E4" s="0" t="str">
        <v>New York Managing Director</v>
      </c>
      <c r="F4" s="0" t="n">
        <v>0</v>
      </c>
      <c r="G4" s="0" t="n">
        <v>0</v>
      </c>
      <c r="H4" s="0" t="str">
        <v>none</v>
      </c>
      <c r="I4" s="0" t="str">
        <v>linkedin</v>
      </c>
      <c r="J4" s="0" t="n">
        <v>51.2</v>
      </c>
      <c r="K4" s="0" t="str">
        <v>Tuesday estimate 28 to 570 (low confidence), 501 to 1,000 staff company-wide, hybrid 3 days, occupied at a high-confidence address; adjacent contact named (New York Managing Director).</v>
      </c>
      <c r="L4" s="0" t="str">
        <v>76-150</v>
      </c>
      <c r="M4" s="0" t="n">
        <v>0</v>
      </c>
      <c r="N4" s="0" t="n">
        <v>0</v>
      </c>
      <c r="O4" s="0" t="n">
        <v>0</v>
      </c>
      <c r="P4" s="0" t="n">
        <v>0</v>
      </c>
      <c r="Q4" s="0" t="n">
        <v>0</v>
      </c>
      <c r="R4" s="0" t="str">
        <v>N</v>
      </c>
      <c r="S4" s="0" t="str">
        <v>unknown</v>
      </c>
      <c r="T4" s="0" t="str">
        <v>N</v>
      </c>
      <c r="U4" s="0" t="str">
        <v>new</v>
      </c>
      <c r="V4" s="0" t="str">
        <v>https://commercialobserver.com/2026/08/hanover-park-lease-tf-cornerstone-387-park-avenue-south/</v>
      </c>
      <c r="W4" s="0" t="str">
        <v>2026-10-23</v>
      </c>
      <c r="X4" s="0" t="str">
        <v>office</v>
      </c>
      <c r="Y4" s="0" t="n">
        <v>3</v>
      </c>
      <c r="Z4" s="0" t="n">
        <v>44</v>
      </c>
      <c r="AA4" s="0" t="str">
        <v>Y</v>
      </c>
      <c r="AB4" s="0" t="str">
        <v>find Tina McCarthy at PMG Worldwide on LinkedIn and paste the profile URL; the source is dated 2022-04-29: check Tina still holds the role; adjacent title: ask who runs the pantry</v>
      </c>
      <c r="AC4" s="0" t="str">
        <v>pantry or office lead (primary)</v>
      </c>
      <c r="AD4" s="0" t="str">
        <v>verified-page</v>
      </c>
      <c r="AE4" s="0" t="str">
        <v>employer's own site</v>
      </c>
      <c r="AF4" s="0" t="str">
        <v>https://www.pmg.com/insights-and-news/tina-mccarthy-joins-pmg-as-new-york-managing-director</v>
      </c>
      <c r="AG4" s="0" t="str">
        <v>2026-10-24</v>
      </c>
      <c r="AH4" s="0" t="str">
        <v>adjacent</v>
      </c>
      <c r="AI4" s="0" t="str">
        <v>387 Park Avenue South</v>
      </c>
      <c r="AJ4" s="0" t="str">
        <v>2-3</v>
      </c>
      <c r="AK4" s="0" t="str">
        <v>occupied</v>
      </c>
      <c r="AL4" s="0" t="n">
        <v>28</v>
      </c>
      <c r="AM4" s="0" t="n">
        <v>570</v>
      </c>
      <c r="AN4" s="0" t="str">
        <v>low</v>
      </c>
      <c r="AO4" s="0" t="str">
        <v>hybrid-3</v>
      </c>
      <c r="AP4" s="0" t="str">
        <v>AO-C-263</v>
      </c>
      <c r="AQ4" s="0" t="str">
        <v>N</v>
      </c>
      <c r="AR4" s="0" t="n">
        <v>0</v>
      </c>
      <c r="AS4" s="0" t="n">
        <v>0</v>
      </c>
    </row>
    <row r="5" customFormat="false" ht="15" hidden="false" customHeight="false" outlineLevel="0" collapsed="false">
      <c r="A5" s="0" t="e">
        <v>#N/A</v>
      </c>
      <c r="B5" s="0" t="e">
        <v>#N/A</v>
      </c>
      <c r="C5" s="0" t="e">
        <v>#N/A</v>
      </c>
      <c r="D5" s="0" t="e">
        <v>#N/A</v>
      </c>
      <c r="E5" s="0" t="e">
        <v>#N/A</v>
      </c>
      <c r="F5" s="0" t="e">
        <v>#N/A</v>
      </c>
      <c r="G5" s="0" t="e">
        <v>#N/A</v>
      </c>
      <c r="H5" s="0" t="e">
        <v>#N/A</v>
      </c>
      <c r="I5" s="0" t="e">
        <v>#N/A</v>
      </c>
      <c r="J5" s="0" t="e">
        <v>#N/A</v>
      </c>
      <c r="K5" s="0" t="e">
        <v>#N/A</v>
      </c>
      <c r="L5" s="0" t="e">
        <v>#N/A</v>
      </c>
      <c r="M5" s="0" t="e">
        <v>#N/A</v>
      </c>
      <c r="N5" s="0" t="e">
        <v>#N/A</v>
      </c>
      <c r="O5" s="0" t="e">
        <v>#N/A</v>
      </c>
      <c r="P5" s="0" t="e">
        <v>#N/A</v>
      </c>
      <c r="Q5" s="0" t="e">
        <v>#N/A</v>
      </c>
      <c r="R5" s="0" t="e">
        <v>#N/A</v>
      </c>
      <c r="S5" s="0" t="e">
        <v>#N/A</v>
      </c>
      <c r="T5" s="0" t="e">
        <v>#N/A</v>
      </c>
      <c r="U5" s="0" t="e">
        <v>#N/A</v>
      </c>
      <c r="V5" s="0" t="e">
        <v>#N/A</v>
      </c>
      <c r="W5" s="0" t="e">
        <v>#N/A</v>
      </c>
      <c r="X5" s="0" t="e">
        <v>#N/A</v>
      </c>
      <c r="Y5" s="0" t="e">
        <v>#N/A</v>
      </c>
      <c r="Z5" s="0" t="e">
        <v>#N/A</v>
      </c>
      <c r="AA5" s="0" t="e">
        <v>#N/A</v>
      </c>
      <c r="AB5" s="0" t="e">
        <v>#N/A</v>
      </c>
      <c r="AC5" s="0" t="e">
        <v>#N/A</v>
      </c>
      <c r="AD5" s="0" t="e">
        <v>#N/A</v>
      </c>
      <c r="AE5" s="0" t="e">
        <v>#N/A</v>
      </c>
      <c r="AF5" s="0" t="e">
        <v>#N/A</v>
      </c>
      <c r="AG5" s="0" t="e">
        <v>#N/A</v>
      </c>
      <c r="AH5" s="0" t="e">
        <v>#N/A</v>
      </c>
      <c r="AI5" s="0" t="e">
        <v>#N/A</v>
      </c>
      <c r="AJ5" s="0" t="e">
        <v>#N/A</v>
      </c>
      <c r="AK5" s="0" t="e">
        <v>#N/A</v>
      </c>
      <c r="AL5" s="0" t="e">
        <v>#N/A</v>
      </c>
      <c r="AM5" s="0" t="e">
        <v>#N/A</v>
      </c>
      <c r="AN5" s="0" t="e">
        <v>#N/A</v>
      </c>
      <c r="AO5" s="0" t="e">
        <v>#N/A</v>
      </c>
      <c r="AP5" s="0" t="e">
        <v>#N/A</v>
      </c>
      <c r="AQ5" s="0" t="e">
        <v>#N/A</v>
      </c>
      <c r="AR5" s="0" t="e">
        <v>#N/A</v>
      </c>
      <c r="AS5" s="0" t="e">
        <v>#N/A</v>
      </c>
    </row>
    <row r="6" customFormat="false" ht="15" hidden="false" customHeight="false" outlineLevel="0" collapsed="false">
      <c r="A6" s="0" t="e">
        <v>#N/A</v>
      </c>
      <c r="B6" s="0" t="e">
        <v>#N/A</v>
      </c>
      <c r="C6" s="0" t="e">
        <v>#N/A</v>
      </c>
      <c r="D6" s="0" t="e">
        <v>#N/A</v>
      </c>
      <c r="E6" s="0" t="e">
        <v>#N/A</v>
      </c>
      <c r="F6" s="0" t="e">
        <v>#N/A</v>
      </c>
      <c r="G6" s="0" t="e">
        <v>#N/A</v>
      </c>
      <c r="H6" s="0" t="e">
        <v>#N/A</v>
      </c>
      <c r="I6" s="0" t="e">
        <v>#N/A</v>
      </c>
      <c r="J6" s="0" t="e">
        <v>#N/A</v>
      </c>
      <c r="K6" s="0" t="e">
        <v>#N/A</v>
      </c>
      <c r="L6" s="0" t="e">
        <v>#N/A</v>
      </c>
      <c r="M6" s="0" t="e">
        <v>#N/A</v>
      </c>
      <c r="N6" s="0" t="e">
        <v>#N/A</v>
      </c>
      <c r="O6" s="0" t="e">
        <v>#N/A</v>
      </c>
      <c r="P6" s="0" t="e">
        <v>#N/A</v>
      </c>
      <c r="Q6" s="0" t="e">
        <v>#N/A</v>
      </c>
      <c r="R6" s="0" t="e">
        <v>#N/A</v>
      </c>
      <c r="S6" s="0" t="e">
        <v>#N/A</v>
      </c>
      <c r="T6" s="0" t="e">
        <v>#N/A</v>
      </c>
      <c r="U6" s="0" t="e">
        <v>#N/A</v>
      </c>
      <c r="V6" s="0" t="e">
        <v>#N/A</v>
      </c>
      <c r="W6" s="0" t="e">
        <v>#N/A</v>
      </c>
      <c r="X6" s="0" t="e">
        <v>#N/A</v>
      </c>
      <c r="Y6" s="0" t="e">
        <v>#N/A</v>
      </c>
      <c r="Z6" s="0" t="e">
        <v>#N/A</v>
      </c>
      <c r="AA6" s="0" t="e">
        <v>#N/A</v>
      </c>
      <c r="AB6" s="0" t="e">
        <v>#N/A</v>
      </c>
      <c r="AC6" s="0" t="e">
        <v>#N/A</v>
      </c>
      <c r="AD6" s="0" t="e">
        <v>#N/A</v>
      </c>
      <c r="AE6" s="0" t="e">
        <v>#N/A</v>
      </c>
      <c r="AF6" s="0" t="e">
        <v>#N/A</v>
      </c>
      <c r="AG6" s="0" t="e">
        <v>#N/A</v>
      </c>
      <c r="AH6" s="0" t="e">
        <v>#N/A</v>
      </c>
      <c r="AI6" s="0" t="e">
        <v>#N/A</v>
      </c>
      <c r="AJ6" s="0" t="e">
        <v>#N/A</v>
      </c>
      <c r="AK6" s="0" t="e">
        <v>#N/A</v>
      </c>
      <c r="AL6" s="0" t="e">
        <v>#N/A</v>
      </c>
      <c r="AM6" s="0" t="e">
        <v>#N/A</v>
      </c>
      <c r="AN6" s="0" t="e">
        <v>#N/A</v>
      </c>
      <c r="AO6" s="0" t="e">
        <v>#N/A</v>
      </c>
      <c r="AP6" s="0" t="e">
        <v>#N/A</v>
      </c>
      <c r="AQ6" s="0" t="e">
        <v>#N/A</v>
      </c>
      <c r="AR6" s="0" t="e">
        <v>#N/A</v>
      </c>
      <c r="AS6" s="0" t="e">
        <v>#N/A</v>
      </c>
    </row>
    <row r="7" customFormat="false" ht="15" hidden="false" customHeight="false" outlineLevel="0" collapsed="false">
      <c r="A7" s="0" t="e">
        <v>#N/A</v>
      </c>
      <c r="B7" s="0" t="e">
        <v>#N/A</v>
      </c>
      <c r="C7" s="0" t="e">
        <v>#N/A</v>
      </c>
      <c r="D7" s="0" t="e">
        <v>#N/A</v>
      </c>
      <c r="E7" s="0" t="e">
        <v>#N/A</v>
      </c>
      <c r="F7" s="0" t="e">
        <v>#N/A</v>
      </c>
      <c r="G7" s="0" t="e">
        <v>#N/A</v>
      </c>
      <c r="H7" s="0" t="e">
        <v>#N/A</v>
      </c>
      <c r="I7" s="0" t="e">
        <v>#N/A</v>
      </c>
      <c r="J7" s="0" t="e">
        <v>#N/A</v>
      </c>
      <c r="K7" s="0" t="e">
        <v>#N/A</v>
      </c>
      <c r="L7" s="0" t="e">
        <v>#N/A</v>
      </c>
      <c r="M7" s="0" t="e">
        <v>#N/A</v>
      </c>
      <c r="N7" s="0" t="e">
        <v>#N/A</v>
      </c>
      <c r="O7" s="0" t="e">
        <v>#N/A</v>
      </c>
      <c r="P7" s="0" t="e">
        <v>#N/A</v>
      </c>
      <c r="Q7" s="0" t="e">
        <v>#N/A</v>
      </c>
      <c r="R7" s="0" t="e">
        <v>#N/A</v>
      </c>
      <c r="S7" s="0" t="e">
        <v>#N/A</v>
      </c>
      <c r="T7" s="0" t="e">
        <v>#N/A</v>
      </c>
      <c r="U7" s="0" t="e">
        <v>#N/A</v>
      </c>
      <c r="V7" s="0" t="e">
        <v>#N/A</v>
      </c>
      <c r="W7" s="0" t="e">
        <v>#N/A</v>
      </c>
      <c r="X7" s="0" t="e">
        <v>#N/A</v>
      </c>
      <c r="Y7" s="0" t="e">
        <v>#N/A</v>
      </c>
      <c r="Z7" s="0" t="e">
        <v>#N/A</v>
      </c>
      <c r="AA7" s="0" t="e">
        <v>#N/A</v>
      </c>
      <c r="AB7" s="0" t="e">
        <v>#N/A</v>
      </c>
      <c r="AC7" s="0" t="e">
        <v>#N/A</v>
      </c>
      <c r="AD7" s="0" t="e">
        <v>#N/A</v>
      </c>
      <c r="AE7" s="0" t="e">
        <v>#N/A</v>
      </c>
      <c r="AF7" s="0" t="e">
        <v>#N/A</v>
      </c>
      <c r="AG7" s="0" t="e">
        <v>#N/A</v>
      </c>
      <c r="AH7" s="0" t="e">
        <v>#N/A</v>
      </c>
      <c r="AI7" s="0" t="e">
        <v>#N/A</v>
      </c>
      <c r="AJ7" s="0" t="e">
        <v>#N/A</v>
      </c>
      <c r="AK7" s="0" t="e">
        <v>#N/A</v>
      </c>
      <c r="AL7" s="0" t="e">
        <v>#N/A</v>
      </c>
      <c r="AM7" s="0" t="e">
        <v>#N/A</v>
      </c>
      <c r="AN7" s="0" t="e">
        <v>#N/A</v>
      </c>
      <c r="AO7" s="0" t="e">
        <v>#N/A</v>
      </c>
      <c r="AP7" s="0" t="e">
        <v>#N/A</v>
      </c>
      <c r="AQ7" s="0" t="e">
        <v>#N/A</v>
      </c>
      <c r="AR7" s="0" t="e">
        <v>#N/A</v>
      </c>
      <c r="AS7" s="0" t="e">
        <v>#N/A</v>
      </c>
    </row>
    <row r="8" customFormat="false" ht="15" hidden="false" customHeight="false" outlineLevel="0" collapsed="false">
      <c r="A8" s="0" t="e">
        <v>#N/A</v>
      </c>
      <c r="B8" s="0" t="e">
        <v>#N/A</v>
      </c>
      <c r="C8" s="0" t="e">
        <v>#N/A</v>
      </c>
      <c r="D8" s="0" t="e">
        <v>#N/A</v>
      </c>
      <c r="E8" s="0" t="e">
        <v>#N/A</v>
      </c>
      <c r="F8" s="0" t="e">
        <v>#N/A</v>
      </c>
      <c r="G8" s="0" t="e">
        <v>#N/A</v>
      </c>
      <c r="H8" s="0" t="e">
        <v>#N/A</v>
      </c>
      <c r="I8" s="0" t="e">
        <v>#N/A</v>
      </c>
      <c r="J8" s="0" t="e">
        <v>#N/A</v>
      </c>
      <c r="K8" s="0" t="e">
        <v>#N/A</v>
      </c>
      <c r="L8" s="0" t="e">
        <v>#N/A</v>
      </c>
      <c r="M8" s="0" t="e">
        <v>#N/A</v>
      </c>
      <c r="N8" s="0" t="e">
        <v>#N/A</v>
      </c>
      <c r="O8" s="0" t="e">
        <v>#N/A</v>
      </c>
      <c r="P8" s="0" t="e">
        <v>#N/A</v>
      </c>
      <c r="Q8" s="0" t="e">
        <v>#N/A</v>
      </c>
      <c r="R8" s="0" t="e">
        <v>#N/A</v>
      </c>
      <c r="S8" s="0" t="e">
        <v>#N/A</v>
      </c>
      <c r="T8" s="0" t="e">
        <v>#N/A</v>
      </c>
      <c r="U8" s="0" t="e">
        <v>#N/A</v>
      </c>
      <c r="V8" s="0" t="e">
        <v>#N/A</v>
      </c>
      <c r="W8" s="0" t="e">
        <v>#N/A</v>
      </c>
      <c r="X8" s="0" t="e">
        <v>#N/A</v>
      </c>
      <c r="Y8" s="0" t="e">
        <v>#N/A</v>
      </c>
      <c r="Z8" s="0" t="e">
        <v>#N/A</v>
      </c>
      <c r="AA8" s="0" t="e">
        <v>#N/A</v>
      </c>
      <c r="AB8" s="0" t="e">
        <v>#N/A</v>
      </c>
      <c r="AC8" s="0" t="e">
        <v>#N/A</v>
      </c>
      <c r="AD8" s="0" t="e">
        <v>#N/A</v>
      </c>
      <c r="AE8" s="0" t="e">
        <v>#N/A</v>
      </c>
      <c r="AF8" s="0" t="e">
        <v>#N/A</v>
      </c>
      <c r="AG8" s="0" t="e">
        <v>#N/A</v>
      </c>
      <c r="AH8" s="0" t="e">
        <v>#N/A</v>
      </c>
      <c r="AI8" s="0" t="e">
        <v>#N/A</v>
      </c>
      <c r="AJ8" s="0" t="e">
        <v>#N/A</v>
      </c>
      <c r="AK8" s="0" t="e">
        <v>#N/A</v>
      </c>
      <c r="AL8" s="0" t="e">
        <v>#N/A</v>
      </c>
      <c r="AM8" s="0" t="e">
        <v>#N/A</v>
      </c>
      <c r="AN8" s="0" t="e">
        <v>#N/A</v>
      </c>
      <c r="AO8" s="0" t="e">
        <v>#N/A</v>
      </c>
      <c r="AP8" s="0" t="e">
        <v>#N/A</v>
      </c>
      <c r="AQ8" s="0" t="e">
        <v>#N/A</v>
      </c>
      <c r="AR8" s="0" t="e">
        <v>#N/A</v>
      </c>
      <c r="AS8" s="0" t="e">
        <v>#N/A</v>
      </c>
    </row>
    <row r="9" customFormat="false" ht="15" hidden="false" customHeight="false" outlineLevel="0" collapsed="false">
      <c r="A9" s="0" t="e">
        <v>#N/A</v>
      </c>
      <c r="B9" s="0" t="e">
        <v>#N/A</v>
      </c>
      <c r="C9" s="0" t="e">
        <v>#N/A</v>
      </c>
      <c r="D9" s="0" t="e">
        <v>#N/A</v>
      </c>
      <c r="E9" s="0" t="e">
        <v>#N/A</v>
      </c>
      <c r="F9" s="0" t="e">
        <v>#N/A</v>
      </c>
      <c r="G9" s="0" t="e">
        <v>#N/A</v>
      </c>
      <c r="H9" s="0" t="e">
        <v>#N/A</v>
      </c>
      <c r="I9" s="0" t="e">
        <v>#N/A</v>
      </c>
      <c r="J9" s="0" t="e">
        <v>#N/A</v>
      </c>
      <c r="K9" s="0" t="e">
        <v>#N/A</v>
      </c>
      <c r="L9" s="0" t="e">
        <v>#N/A</v>
      </c>
      <c r="M9" s="0" t="e">
        <v>#N/A</v>
      </c>
      <c r="N9" s="0" t="e">
        <v>#N/A</v>
      </c>
      <c r="O9" s="0" t="e">
        <v>#N/A</v>
      </c>
      <c r="P9" s="0" t="e">
        <v>#N/A</v>
      </c>
      <c r="Q9" s="0" t="e">
        <v>#N/A</v>
      </c>
      <c r="R9" s="0" t="e">
        <v>#N/A</v>
      </c>
      <c r="S9" s="0" t="e">
        <v>#N/A</v>
      </c>
      <c r="T9" s="0" t="e">
        <v>#N/A</v>
      </c>
      <c r="U9" s="0" t="e">
        <v>#N/A</v>
      </c>
      <c r="V9" s="0" t="e">
        <v>#N/A</v>
      </c>
      <c r="W9" s="0" t="e">
        <v>#N/A</v>
      </c>
      <c r="X9" s="0" t="e">
        <v>#N/A</v>
      </c>
      <c r="Y9" s="0" t="e">
        <v>#N/A</v>
      </c>
      <c r="Z9" s="0" t="e">
        <v>#N/A</v>
      </c>
      <c r="AA9" s="0" t="e">
        <v>#N/A</v>
      </c>
      <c r="AB9" s="0" t="e">
        <v>#N/A</v>
      </c>
      <c r="AC9" s="0" t="e">
        <v>#N/A</v>
      </c>
      <c r="AD9" s="0" t="e">
        <v>#N/A</v>
      </c>
      <c r="AE9" s="0" t="e">
        <v>#N/A</v>
      </c>
      <c r="AF9" s="0" t="e">
        <v>#N/A</v>
      </c>
      <c r="AG9" s="0" t="e">
        <v>#N/A</v>
      </c>
      <c r="AH9" s="0" t="e">
        <v>#N/A</v>
      </c>
      <c r="AI9" s="0" t="e">
        <v>#N/A</v>
      </c>
      <c r="AJ9" s="0" t="e">
        <v>#N/A</v>
      </c>
      <c r="AK9" s="0" t="e">
        <v>#N/A</v>
      </c>
      <c r="AL9" s="0" t="e">
        <v>#N/A</v>
      </c>
      <c r="AM9" s="0" t="e">
        <v>#N/A</v>
      </c>
      <c r="AN9" s="0" t="e">
        <v>#N/A</v>
      </c>
      <c r="AO9" s="0" t="e">
        <v>#N/A</v>
      </c>
      <c r="AP9" s="0" t="e">
        <v>#N/A</v>
      </c>
      <c r="AQ9" s="0" t="e">
        <v>#N/A</v>
      </c>
      <c r="AR9" s="0" t="e">
        <v>#N/A</v>
      </c>
      <c r="AS9" s="0" t="e">
        <v>#N/A</v>
      </c>
    </row>
    <row r="10" customFormat="false" ht="15" hidden="false" customHeight="false" outlineLevel="0" collapsed="false">
      <c r="A10" s="0" t="e">
        <v>#N/A</v>
      </c>
      <c r="B10" s="0" t="e">
        <v>#N/A</v>
      </c>
      <c r="C10" s="0" t="e">
        <v>#N/A</v>
      </c>
      <c r="D10" s="0" t="e">
        <v>#N/A</v>
      </c>
      <c r="E10" s="0" t="e">
        <v>#N/A</v>
      </c>
      <c r="F10" s="0" t="e">
        <v>#N/A</v>
      </c>
      <c r="G10" s="0" t="e">
        <v>#N/A</v>
      </c>
      <c r="H10" s="0" t="e">
        <v>#N/A</v>
      </c>
      <c r="I10" s="0" t="e">
        <v>#N/A</v>
      </c>
      <c r="J10" s="0" t="e">
        <v>#N/A</v>
      </c>
      <c r="K10" s="0" t="e">
        <v>#N/A</v>
      </c>
      <c r="L10" s="0" t="e">
        <v>#N/A</v>
      </c>
      <c r="M10" s="0" t="e">
        <v>#N/A</v>
      </c>
      <c r="N10" s="0" t="e">
        <v>#N/A</v>
      </c>
      <c r="O10" s="0" t="e">
        <v>#N/A</v>
      </c>
      <c r="P10" s="0" t="e">
        <v>#N/A</v>
      </c>
      <c r="Q10" s="0" t="e">
        <v>#N/A</v>
      </c>
      <c r="R10" s="0" t="e">
        <v>#N/A</v>
      </c>
      <c r="S10" s="0" t="e">
        <v>#N/A</v>
      </c>
      <c r="T10" s="0" t="e">
        <v>#N/A</v>
      </c>
      <c r="U10" s="0" t="e">
        <v>#N/A</v>
      </c>
      <c r="V10" s="0" t="e">
        <v>#N/A</v>
      </c>
      <c r="W10" s="0" t="e">
        <v>#N/A</v>
      </c>
      <c r="X10" s="0" t="e">
        <v>#N/A</v>
      </c>
      <c r="Y10" s="0" t="e">
        <v>#N/A</v>
      </c>
      <c r="Z10" s="0" t="e">
        <v>#N/A</v>
      </c>
      <c r="AA10" s="0" t="e">
        <v>#N/A</v>
      </c>
      <c r="AB10" s="0" t="e">
        <v>#N/A</v>
      </c>
      <c r="AC10" s="0" t="e">
        <v>#N/A</v>
      </c>
      <c r="AD10" s="0" t="e">
        <v>#N/A</v>
      </c>
      <c r="AE10" s="0" t="e">
        <v>#N/A</v>
      </c>
      <c r="AF10" s="0" t="e">
        <v>#N/A</v>
      </c>
      <c r="AG10" s="0" t="e">
        <v>#N/A</v>
      </c>
      <c r="AH10" s="0" t="e">
        <v>#N/A</v>
      </c>
      <c r="AI10" s="0" t="e">
        <v>#N/A</v>
      </c>
      <c r="AJ10" s="0" t="e">
        <v>#N/A</v>
      </c>
      <c r="AK10" s="0" t="e">
        <v>#N/A</v>
      </c>
      <c r="AL10" s="0" t="e">
        <v>#N/A</v>
      </c>
      <c r="AM10" s="0" t="e">
        <v>#N/A</v>
      </c>
      <c r="AN10" s="0" t="e">
        <v>#N/A</v>
      </c>
      <c r="AO10" s="0" t="e">
        <v>#N/A</v>
      </c>
      <c r="AP10" s="0" t="e">
        <v>#N/A</v>
      </c>
      <c r="AQ10" s="0" t="e">
        <v>#N/A</v>
      </c>
      <c r="AR10" s="0" t="e">
        <v>#N/A</v>
      </c>
      <c r="AS10" s="0" t="e">
        <v>#N/A</v>
      </c>
    </row>
    <row r="11" customFormat="false" ht="15" hidden="false" customHeight="false" outlineLevel="0" collapsed="false">
      <c r="A11" s="0" t="e">
        <v>#N/A</v>
      </c>
      <c r="B11" s="0" t="e">
        <v>#N/A</v>
      </c>
      <c r="C11" s="0" t="e">
        <v>#N/A</v>
      </c>
      <c r="D11" s="0" t="e">
        <v>#N/A</v>
      </c>
      <c r="E11" s="0" t="e">
        <v>#N/A</v>
      </c>
      <c r="F11" s="0" t="e">
        <v>#N/A</v>
      </c>
      <c r="G11" s="0" t="e">
        <v>#N/A</v>
      </c>
      <c r="H11" s="0" t="e">
        <v>#N/A</v>
      </c>
      <c r="I11" s="0" t="e">
        <v>#N/A</v>
      </c>
      <c r="J11" s="0" t="e">
        <v>#N/A</v>
      </c>
      <c r="K11" s="0" t="e">
        <v>#N/A</v>
      </c>
      <c r="L11" s="0" t="e">
        <v>#N/A</v>
      </c>
      <c r="M11" s="0" t="e">
        <v>#N/A</v>
      </c>
      <c r="N11" s="0" t="e">
        <v>#N/A</v>
      </c>
      <c r="O11" s="0" t="e">
        <v>#N/A</v>
      </c>
      <c r="P11" s="0" t="e">
        <v>#N/A</v>
      </c>
      <c r="Q11" s="0" t="e">
        <v>#N/A</v>
      </c>
      <c r="R11" s="0" t="e">
        <v>#N/A</v>
      </c>
      <c r="S11" s="0" t="e">
        <v>#N/A</v>
      </c>
      <c r="T11" s="0" t="e">
        <v>#N/A</v>
      </c>
      <c r="U11" s="0" t="e">
        <v>#N/A</v>
      </c>
      <c r="V11" s="0" t="e">
        <v>#N/A</v>
      </c>
      <c r="W11" s="0" t="e">
        <v>#N/A</v>
      </c>
      <c r="X11" s="0" t="e">
        <v>#N/A</v>
      </c>
      <c r="Y11" s="0" t="e">
        <v>#N/A</v>
      </c>
      <c r="Z11" s="0" t="e">
        <v>#N/A</v>
      </c>
      <c r="AA11" s="0" t="e">
        <v>#N/A</v>
      </c>
      <c r="AB11" s="0" t="e">
        <v>#N/A</v>
      </c>
      <c r="AC11" s="0" t="e">
        <v>#N/A</v>
      </c>
      <c r="AD11" s="0" t="e">
        <v>#N/A</v>
      </c>
      <c r="AE11" s="0" t="e">
        <v>#N/A</v>
      </c>
      <c r="AF11" s="0" t="e">
        <v>#N/A</v>
      </c>
      <c r="AG11" s="0" t="e">
        <v>#N/A</v>
      </c>
      <c r="AH11" s="0" t="e">
        <v>#N/A</v>
      </c>
      <c r="AI11" s="0" t="e">
        <v>#N/A</v>
      </c>
      <c r="AJ11" s="0" t="e">
        <v>#N/A</v>
      </c>
      <c r="AK11" s="0" t="e">
        <v>#N/A</v>
      </c>
      <c r="AL11" s="0" t="e">
        <v>#N/A</v>
      </c>
      <c r="AM11" s="0" t="e">
        <v>#N/A</v>
      </c>
      <c r="AN11" s="0" t="e">
        <v>#N/A</v>
      </c>
      <c r="AO11" s="0" t="e">
        <v>#N/A</v>
      </c>
      <c r="AP11" s="0" t="e">
        <v>#N/A</v>
      </c>
      <c r="AQ11" s="0" t="e">
        <v>#N/A</v>
      </c>
      <c r="AR11" s="0" t="e">
        <v>#N/A</v>
      </c>
      <c r="AS11" s="0" t="e">
        <v>#N/A</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10" min="3" style="0" width="16"/>
    <col collapsed="false" customWidth="true" hidden="false" outlineLevel="0" max="11" min="11" style="0" width="50"/>
    <col collapsed="false" customWidth="true" hidden="false" outlineLevel="0" max="27" min="12" style="0" width="16"/>
    <col collapsed="false" customWidth="true" hidden="false" outlineLevel="0" max="28" min="28" style="0" width="60"/>
    <col collapsed="false" customWidth="true" hidden="false" outlineLevel="0" max="43" min="29" style="0" width="16"/>
  </cols>
  <sheetData>
    <row r="1" customFormat="false" ht="15" hidden="false" customHeight="false" outlineLevel="0" collapsed="false">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4525</v>
      </c>
      <c r="AB1" s="6" t="s">
        <v>27</v>
      </c>
      <c r="AC1" s="6" t="s">
        <v>28</v>
      </c>
      <c r="AD1" s="6" t="s">
        <v>29</v>
      </c>
      <c r="AE1" s="6" t="s">
        <v>30</v>
      </c>
      <c r="AF1" s="6" t="s">
        <v>31</v>
      </c>
      <c r="AG1" s="6" t="s">
        <v>32</v>
      </c>
      <c r="AH1" s="6" t="s">
        <v>4526</v>
      </c>
      <c r="AI1" s="6" t="s">
        <v>4527</v>
      </c>
      <c r="AJ1" s="6" t="s">
        <v>63</v>
      </c>
      <c r="AK1" s="6" t="s">
        <v>4528</v>
      </c>
      <c r="AL1" s="6" t="s">
        <v>4529</v>
      </c>
      <c r="AM1" s="6" t="s">
        <v>4530</v>
      </c>
      <c r="AN1" s="6" t="s">
        <v>41</v>
      </c>
      <c r="AO1" s="6" t="s">
        <v>42</v>
      </c>
      <c r="AP1" s="6" t="s">
        <v>43</v>
      </c>
      <c r="AQ1" s="6" t="s">
        <v>44</v>
      </c>
    </row>
    <row r="2" customFormat="false" ht="15" hidden="false" customHeight="false" outlineLevel="0" collapsed="false">
      <c r="A2" s="0" t="str">
        <f aca="false" t="array" ref="A2:AQ11">IFERROR(_xlfn._xlws.SORT(_xlfn._xlws.FILTER(Brands!$A$2:$AQ$1000,Brands!$EC$2:$EC$1000="Y"),25,TRUE()),"No row is ready today: see the Routine tab")</f>
        <v>AB-219</v>
      </c>
      <c r="B2" s="0" t="str">
        <v>The Lucky Ox</v>
      </c>
      <c r="C2" s="0" t="str">
        <v>Fane</v>
      </c>
      <c r="D2" s="0" t="str">
        <v>He</v>
      </c>
      <c r="E2" s="0" t="str">
        <v>Co-founder and Chief Motion Officer</v>
      </c>
      <c r="F2" s="0" t="str">
        <v>https://www.linkedin.com/in/fane-he/</v>
      </c>
      <c r="G2" s="0" t="n">
        <v>0</v>
      </c>
      <c r="H2" s="0" t="str">
        <v>none</v>
      </c>
      <c r="I2" s="0" t="str">
        <v>linkedin</v>
      </c>
      <c r="J2" s="0" t="n">
        <v>81</v>
      </c>
      <c r="K2" s="0" t="str">
        <v>New York City brand, store page shows Whole Foods Market NoMad inside the cluster, news 176 days ago, revenue unknown, contact named plus a marketing lead; founder review: claim-borderline.</v>
      </c>
      <c r="L2" s="0" t="n">
        <v>0</v>
      </c>
      <c r="M2" s="0" t="str">
        <v>Whole Foods Market NoMad, 63 Madison Ave</v>
      </c>
      <c r="N2" s="0" t="str">
        <v>store_selector</v>
      </c>
      <c r="O2" s="0" t="str">
        <v>Launched in Whole Foods Market Northeast with a WFM-exclusive Mango Sticky Rice flavor; Pandan Coconut in WFM Discovery Program</v>
      </c>
      <c r="P2" s="0" t="str">
        <v>https://startupcpg.com/startup-cpg-newswire-the-lucky-ox-launches-into-whole-foods-across-the-northeast/</v>
      </c>
      <c r="Q2" s="0" t="str">
        <v>2026-05-01</v>
      </c>
      <c r="R2" s="0" t="str">
        <v>N</v>
      </c>
      <c r="S2" s="0" t="str">
        <v>Y</v>
      </c>
      <c r="T2" s="0" t="str">
        <v>N</v>
      </c>
      <c r="U2" s="0" t="str">
        <v>new</v>
      </c>
      <c r="V2" s="0" t="str">
        <v>https://luckyox.co/pages/about-us</v>
      </c>
      <c r="W2" s="0" t="str">
        <v>2026-10-23</v>
      </c>
      <c r="X2" s="0" t="str">
        <v>brand</v>
      </c>
      <c r="Y2" s="0" t="n">
        <v>1</v>
      </c>
      <c r="Z2" s="0" t="n">
        <v>1</v>
      </c>
      <c r="AA2" s="0" t="str">
        <v>Y</v>
      </c>
      <c r="AB2" s="0" t="str">
        <v>before using the retailer line, check Whole Foods Market NoMad still lists it: https://www.wholefoodsmarket.com/search?text=The%20Lucky%20Ox with your store set to NoMad (catalogs change daily); founder review (claim-borderline): read founder_review_reason first</v>
      </c>
      <c r="AC2" s="0" t="str">
        <v>founder</v>
      </c>
      <c r="AD2" s="0" t="str">
        <v>verified-page</v>
      </c>
      <c r="AE2" s="0" t="str">
        <v>The Org (crowd-edited org chart)</v>
      </c>
      <c r="AF2" s="0" t="str">
        <v>https://theorg.com/org/the-lucky-ox/person/fane-he</v>
      </c>
      <c r="AG2" s="0" t="str">
        <v>2026-10-24</v>
      </c>
      <c r="AH2" s="0" t="str">
        <v>Pandan Coconut Sparkler 12 fl oz can; Vietnamese Lemonade Sparkler</v>
      </c>
      <c r="AI2" s="0" t="str">
        <v>sparkling-soda</v>
      </c>
      <c r="AJ2" s="0" t="str">
        <v>New York (about page: 'Rooted in Culture, Born in NYC'; release datelined New York, NY)</v>
      </c>
      <c r="AK2" s="0" t="str">
        <v>https://luckyox.co</v>
      </c>
      <c r="AL2" s="0" t="str">
        <v>Y</v>
      </c>
      <c r="AM2" s="0" t="str">
        <v>Sparklers page mentions 'natural electrolytes' (nutrient wording, not a health claim)</v>
      </c>
      <c r="AN2" s="0" t="str">
        <v>AB-219</v>
      </c>
      <c r="AO2" s="0" t="str">
        <v>N</v>
      </c>
      <c r="AP2" s="0" t="n">
        <v>0</v>
      </c>
      <c r="AQ2" s="0" t="n">
        <v>0</v>
      </c>
    </row>
    <row r="3" customFormat="false" ht="15" hidden="false" customHeight="false" outlineLevel="0" collapsed="false">
      <c r="A3" s="0" t="str">
        <v>AB-216</v>
      </c>
      <c r="B3" s="0" t="str">
        <v>The Matzo Project</v>
      </c>
      <c r="C3" s="0" t="str">
        <v>Kevin</v>
      </c>
      <c r="D3" s="0" t="str">
        <v>Rodriguez</v>
      </c>
      <c r="E3" s="0" t="str">
        <v>Co-founder</v>
      </c>
      <c r="F3" s="0" t="n">
        <v>0</v>
      </c>
      <c r="G3" s="0" t="n">
        <v>0</v>
      </c>
      <c r="H3" s="0" t="str">
        <v>none</v>
      </c>
      <c r="I3" s="0" t="str">
        <v>linkedin</v>
      </c>
      <c r="J3" s="0" t="n">
        <v>78</v>
      </c>
      <c r="K3" s="0" t="str">
        <v>New York City brand, store page shows Whole Foods Market Union Square inside the cluster, news 248 days ago, revenue unknown, contact named plus a marketing lead.</v>
      </c>
      <c r="L3" s="0" t="n">
        <v>0</v>
      </c>
      <c r="M3" s="0" t="str">
        <v>Whole Foods Market Union Square, 4 Union Sq S</v>
      </c>
      <c r="N3" s="0" t="str">
        <v>store_selector</v>
      </c>
      <c r="O3" s="0" t="str">
        <v>Holiday Hanukkah set on Target.com and in select Target stores from Nov 1 (homepage); Passover Shmura matzo release (Feb 2026); Publix launch (Oct 2025)</v>
      </c>
      <c r="P3" s="0" t="str">
        <v>https://startupcpg.com/startup-cpg-newswire-the-matzo-project-does-something-unusual-for-passover-by-not-changing-a-thing/</v>
      </c>
      <c r="Q3" s="0" t="str">
        <v>2026-02-18</v>
      </c>
      <c r="R3" s="0" t="str">
        <v>N</v>
      </c>
      <c r="S3" s="0" t="str">
        <v>Y</v>
      </c>
      <c r="T3" s="0" t="str">
        <v>N</v>
      </c>
      <c r="U3" s="0" t="str">
        <v>new</v>
      </c>
      <c r="V3" s="0" t="str">
        <v>https://www.matzoproject.com/</v>
      </c>
      <c r="W3" s="0" t="str">
        <v>2026-10-23</v>
      </c>
      <c r="X3" s="0" t="str">
        <v>brand</v>
      </c>
      <c r="Y3" s="0" t="n">
        <v>2</v>
      </c>
      <c r="Z3" s="0" t="n">
        <v>2</v>
      </c>
      <c r="AA3" s="0" t="str">
        <v>Y</v>
      </c>
      <c r="AB3" s="0" t="str">
        <v>find Kevin Rodriguez at The Matzo Project on LinkedIn and paste the profile URL; before using the retailer line, check Whole Foods Market Union Square still lists it: https://www.wholefoodsmarket.com/search?text=The%20Matzo%20Project with your store set to Union Square (catalogs change daily)</v>
      </c>
      <c r="AC3" s="0" t="str">
        <v>founder</v>
      </c>
      <c r="AD3" s="0" t="str">
        <v>verified-page</v>
      </c>
      <c r="AE3" s="0" t="str">
        <v>press, event or podcast page</v>
      </c>
      <c r="AF3" s="0" t="str">
        <v>https://startupcpg.com/startup-cpg-newswire-the-matzo-project-does-something-unusual-for-passover-by-not-changing-a-thing/</v>
      </c>
      <c r="AG3" s="0" t="str">
        <v>2026-10-24</v>
      </c>
      <c r="AH3" s="0" t="str">
        <v>Everything Matzo Chips 6 oz bag (also Flats, Crumbs, soup kits)</v>
      </c>
      <c r="AI3" s="0" t="str">
        <v>crackers-pretzels</v>
      </c>
      <c r="AJ3" s="0" t="str">
        <v>Brooklyn</v>
      </c>
      <c r="AK3" s="0" t="str">
        <v>https://www.matzoproject.com</v>
      </c>
      <c r="AL3" s="0" t="str">
        <v>N</v>
      </c>
      <c r="AM3" s="0" t="n">
        <v>0</v>
      </c>
      <c r="AN3" s="0" t="str">
        <v>AB-216</v>
      </c>
      <c r="AO3" s="0" t="str">
        <v>N</v>
      </c>
      <c r="AP3" s="0" t="n">
        <v>0</v>
      </c>
      <c r="AQ3" s="0" t="n">
        <v>0</v>
      </c>
    </row>
    <row r="4" customFormat="false" ht="15" hidden="false" customHeight="false" outlineLevel="0" collapsed="false">
      <c r="A4" s="0" t="str">
        <v>AB-249</v>
      </c>
      <c r="B4" s="0" t="str">
        <v>Häppy Candy</v>
      </c>
      <c r="C4" s="0" t="str">
        <v>Maxi</v>
      </c>
      <c r="D4" s="0" t="str">
        <v>Heidenblut</v>
      </c>
      <c r="E4" s="0" t="str">
        <v>Founder and CEO</v>
      </c>
      <c r="F4" s="0" t="str">
        <v>https://www.linkedin.com/in/maxi-heidenblut-cfa-ab704024/</v>
      </c>
      <c r="G4" s="0" t="n">
        <v>0</v>
      </c>
      <c r="H4" s="0" t="str">
        <v>none</v>
      </c>
      <c r="I4" s="0" t="str">
        <v>linkedin</v>
      </c>
      <c r="J4" s="0" t="n">
        <v>77</v>
      </c>
      <c r="K4" s="0" t="str">
        <v>New York City brand, store page shows Whole Foods Market NoMad inside the cluster, news 44 days ago, revenue unknown, contact named; founder review: claim-borderline.</v>
      </c>
      <c r="L4" s="0" t="n">
        <v>0</v>
      </c>
      <c r="M4" s="0" t="str">
        <v>Whole Foods Market NoMad, 63 Madison Ave</v>
      </c>
      <c r="N4" s="0" t="str">
        <v>store_selector</v>
      </c>
      <c r="O4" s="0" t="str">
        <v>Launched nationwide at Target (~2,000 stores) with a limited Haunted Edition Halloween pack</v>
      </c>
      <c r="P4" s="0" t="str">
        <v>https://startupcpg.com/startup-cpg-newswire-happy-candy-launches-nationwide-at-target-with-limited-edition-haunted-edition-halloween-variety-pack/</v>
      </c>
      <c r="Q4" s="0" t="str">
        <v>2026-09-10</v>
      </c>
      <c r="R4" s="0" t="str">
        <v>N</v>
      </c>
      <c r="S4" s="0" t="str">
        <v>Y</v>
      </c>
      <c r="T4" s="0" t="str">
        <v>N</v>
      </c>
      <c r="U4" s="0" t="str">
        <v>new</v>
      </c>
      <c r="V4" s="0" t="str">
        <v>https://startupcpg.com/startup-cpg-newswire-happy-candy-launches-nationwide-at-target-with-limited-edition-haunted-edition-halloween-variety-pack/</v>
      </c>
      <c r="W4" s="0" t="str">
        <v>2026-10-23</v>
      </c>
      <c r="X4" s="0" t="str">
        <v>brand</v>
      </c>
      <c r="Y4" s="0" t="n">
        <v>3</v>
      </c>
      <c r="Z4" s="0" t="n">
        <v>3</v>
      </c>
      <c r="AA4" s="0" t="str">
        <v>Y</v>
      </c>
      <c r="AB4" s="0" t="str">
        <v>before using the retailer line, check Whole Foods Market NoMad still lists it: https://www.wholefoodsmarket.com/search?text=H%C3%A4ppy%20Candy with your store set to NoMad (catalogs change daily); founder review (claim-borderline): read founder_review_reason first</v>
      </c>
      <c r="AC4" s="0" t="str">
        <v>founder</v>
      </c>
      <c r="AD4" s="0" t="str">
        <v>verified-page</v>
      </c>
      <c r="AE4" s="0" t="str">
        <v>press, event or podcast page</v>
      </c>
      <c r="AF4" s="0" t="str">
        <v>https://startupcpg.com/startup-cpg-newswire-happy-candy-launches-nationwide-at-target-with-limited-edition-haunted-edition-halloween-variety-pack/</v>
      </c>
      <c r="AG4" s="0" t="str">
        <v>2026-10-24</v>
      </c>
      <c r="AH4" s="0" t="str">
        <v>The Big Apple gummies 1.8 oz bag (WFM); individually wrapped 0.7 oz bags in Target Haunted Edition pack</v>
      </c>
      <c r="AI4" s="0" t="str">
        <v>chocolate-candy</v>
      </c>
      <c r="AJ4" s="0" t="str">
        <v>New York (terms of service: P.O. Box 4, NYC, NY 10013; release datelined New York, NY)</v>
      </c>
      <c r="AK4" s="0" t="str">
        <v>https://eathappycandy.com</v>
      </c>
      <c r="AL4" s="0" t="str">
        <v>Y</v>
      </c>
      <c r="AM4" s="0" t="str">
        <v>Kids and classroom positioning; reduced-sugar wording ('significantly less' sugar) is a nutrient-content angle; national retail distribution in the why-now ('nationwide at Target'): check the revenue band at intake</v>
      </c>
      <c r="AN4" s="0" t="str">
        <v>AB-249</v>
      </c>
      <c r="AO4" s="0" t="str">
        <v>N</v>
      </c>
      <c r="AP4" s="0" t="n">
        <v>0</v>
      </c>
      <c r="AQ4" s="0" t="n">
        <v>0</v>
      </c>
    </row>
    <row r="5" customFormat="false" ht="15" hidden="false" customHeight="false" outlineLevel="0" collapsed="false">
      <c r="A5" s="0" t="str">
        <v>AB-097</v>
      </c>
      <c r="B5" s="0" t="str">
        <v>Beyond Good</v>
      </c>
      <c r="C5" s="0" t="str">
        <v>Tim</v>
      </c>
      <c r="D5" s="0" t="str">
        <v>McCollum</v>
      </c>
      <c r="E5" s="0" t="str">
        <v>Founder and CEO</v>
      </c>
      <c r="F5" s="0" t="n">
        <v>0</v>
      </c>
      <c r="G5" s="0" t="n">
        <v>0</v>
      </c>
      <c r="H5" s="0" t="str">
        <v>none</v>
      </c>
      <c r="I5" s="0" t="str">
        <v>linkedin</v>
      </c>
      <c r="J5" s="0" t="n">
        <v>76</v>
      </c>
      <c r="K5" s="0" t="str">
        <v>New York City brand, store page shows Whole Foods Market NoMad inside the cluster, a new store listing 22 days ago, revenue unknown, contact named plus a marketing lead; founder review: shelf life not stated.</v>
      </c>
      <c r="L5" s="0" t="n">
        <v>0</v>
      </c>
      <c r="M5" s="0" t="str">
        <v>Whole Foods Market NoMad, 63 Madison Ave</v>
      </c>
      <c r="N5" s="0" t="str">
        <v>store_selector</v>
      </c>
      <c r="O5" s="0" t="str">
        <v>Launched 70% Dark Chocolate Pistachio Crunch bar on brand store, Oct 2026</v>
      </c>
      <c r="P5" s="0" t="str">
        <v>https://beyondgood.com/</v>
      </c>
      <c r="Q5" s="0" t="str">
        <v>2026-10-02</v>
      </c>
      <c r="R5" s="0" t="str">
        <v>N</v>
      </c>
      <c r="S5" s="0" t="str">
        <v>unknown</v>
      </c>
      <c r="T5" s="0" t="str">
        <v>N</v>
      </c>
      <c r="U5" s="0" t="str">
        <v>new</v>
      </c>
      <c r="V5" s="0" t="str">
        <v>https://beyondgood.com/</v>
      </c>
      <c r="W5" s="0" t="str">
        <v>2026-10-23</v>
      </c>
      <c r="X5" s="0" t="str">
        <v>brand</v>
      </c>
      <c r="Y5" s="0" t="n">
        <v>4</v>
      </c>
      <c r="Z5" s="0" t="n">
        <v>4</v>
      </c>
      <c r="AA5" s="0" t="str">
        <v>Y</v>
      </c>
      <c r="AB5" s="0" t="str">
        <v>find Tim McCollum at Beyond Good on LinkedIn and paste the profile URL (this also confirms the name: The Org is crowd-edited); before using the retailer line, check Whole Foods Market NoMad still lists it: https://www.wholefoodsmarket.com/search?text=Beyond%20Good with your store set to NoMad (catalogs change daily); founder review (shelf life or online store): read founder_review_reason first</v>
      </c>
      <c r="AC5" s="0" t="str">
        <v>founder</v>
      </c>
      <c r="AD5" s="0" t="str">
        <v>verified-page</v>
      </c>
      <c r="AE5" s="0" t="str">
        <v>The Org (crowd-edited org chart)</v>
      </c>
      <c r="AF5" s="0" t="str">
        <v>https://theorg.com/org/beyond-good/person/tim-mccollum</v>
      </c>
      <c r="AG5" s="0" t="str">
        <v>2026-10-24</v>
      </c>
      <c r="AH5" s="0" t="str">
        <v>70% Cocoa Dark Chocolate Pistachio Crunch bar; Organic 92% Dark Chocolate Bar 2.64 oz</v>
      </c>
      <c r="AI5" s="0" t="str">
        <v>chocolate-candy</v>
      </c>
      <c r="AJ5" s="0" t="str">
        <v>Brooklyn</v>
      </c>
      <c r="AK5" s="0" t="str">
        <v>https://beyondgood.com</v>
      </c>
      <c r="AL5" s="0" t="str">
        <v>Y</v>
      </c>
      <c r="AM5" s="0" t="str">
        <v>60-day shelf life not stated</v>
      </c>
      <c r="AN5" s="0" t="str">
        <v>AB-097</v>
      </c>
      <c r="AO5" s="0" t="str">
        <v>N</v>
      </c>
      <c r="AP5" s="0" t="n">
        <v>0</v>
      </c>
      <c r="AQ5" s="0" t="n">
        <v>0</v>
      </c>
    </row>
    <row r="6" customFormat="false" ht="15" hidden="false" customHeight="false" outlineLevel="0" collapsed="false">
      <c r="A6" s="0" t="str">
        <v>AB-075</v>
      </c>
      <c r="B6" s="0" t="str">
        <v>Eleni's New York</v>
      </c>
      <c r="C6" s="0" t="str">
        <v>Eleni</v>
      </c>
      <c r="D6" s="0" t="str">
        <v>Gianopulos</v>
      </c>
      <c r="E6" s="0" t="str">
        <v>Founder and CEO</v>
      </c>
      <c r="F6" s="0" t="n">
        <v>0</v>
      </c>
      <c r="G6" s="0" t="n">
        <v>0</v>
      </c>
      <c r="H6" s="0" t="str">
        <v>none</v>
      </c>
      <c r="I6" s="0" t="str">
        <v>linkedin</v>
      </c>
      <c r="J6" s="0" t="n">
        <v>74</v>
      </c>
      <c r="K6" s="0" t="str">
        <v>New York City brand, store page shows Whole Foods Market NoMad inside the cluster, news 201 days ago, revenue unknown, contact named.</v>
      </c>
      <c r="L6" s="0" t="n">
        <v>0</v>
      </c>
      <c r="M6" s="0" t="str">
        <v>Whole Foods Market NoMad, 63 Madison Ave</v>
      </c>
      <c r="N6" s="0" t="str">
        <v>store_selector</v>
      </c>
      <c r="O6" s="0" t="str">
        <v>Moxie &amp; Co. and Eleni's launched licensed Chicka Chicka Boom Boom Alphabet Cookies (announced by Licensing International)</v>
      </c>
      <c r="P6" s="0" t="str">
        <v>https://licensinginternational.org/news/sweet-meets-storytime-moxie-co-and-elenis-cookies-launch-chicka-chicka-boom-boom-alphabet-cookies/</v>
      </c>
      <c r="Q6" s="0" t="str">
        <v>2026-04-06</v>
      </c>
      <c r="R6" s="0" t="str">
        <v>N</v>
      </c>
      <c r="S6" s="0" t="str">
        <v>unknown</v>
      </c>
      <c r="T6" s="0" t="str">
        <v>N</v>
      </c>
      <c r="U6" s="0" t="str">
        <v>new</v>
      </c>
      <c r="V6" s="0" t="str">
        <v>https://elenis.com/pages/about-us</v>
      </c>
      <c r="W6" s="0" t="str">
        <v>2026-10-23</v>
      </c>
      <c r="X6" s="0" t="str">
        <v>brand</v>
      </c>
      <c r="Y6" s="0" t="n">
        <v>5</v>
      </c>
      <c r="Z6" s="0" t="n">
        <v>5</v>
      </c>
      <c r="AA6" s="0" t="str">
        <v>Y</v>
      </c>
      <c r="AB6" s="0" t="str">
        <v>find Eleni Gianopulos at Eleni's New York on LinkedIn and paste the profile URL (this also confirms the name: The Org is crowd-edited); the source is dated 2024-10-17: check Eleni still holds the role; before using the retailer line, check Whole Foods Market NoMad still lists it: https://www.wholefoodsmarket.com/search?text=Eleni%27s%20New%20York with your store set to NoMad (catalogs change daily)</v>
      </c>
      <c r="AC6" s="0" t="str">
        <v>founder</v>
      </c>
      <c r="AD6" s="0" t="str">
        <v>verified-page</v>
      </c>
      <c r="AE6" s="0" t="str">
        <v>The Org (crowd-edited org chart)</v>
      </c>
      <c r="AF6" s="0" t="str">
        <v>https://theorg.com/org/elenis/person/eleni-gianopulos</v>
      </c>
      <c r="AG6" s="0" t="str">
        <v>2026-10-24</v>
      </c>
      <c r="AH6" s="0" t="str">
        <v>Crisp Chocolate Chip Cookie 3.5 oz; Mini Crisp cookie pouches 4.5 oz</v>
      </c>
      <c r="AI6" s="0" t="str">
        <v>cookies-baked</v>
      </c>
      <c r="AJ6" s="0" t="str">
        <v>New York</v>
      </c>
      <c r="AK6" s="0" t="str">
        <v>https://elenis.com</v>
      </c>
      <c r="AL6" s="0" t="str">
        <v>N</v>
      </c>
      <c r="AM6" s="0" t="n">
        <v>0</v>
      </c>
      <c r="AN6" s="0" t="str">
        <v>AB-075</v>
      </c>
      <c r="AO6" s="0" t="str">
        <v>N</v>
      </c>
      <c r="AP6" s="0" t="n">
        <v>0</v>
      </c>
      <c r="AQ6" s="0" t="n">
        <v>0</v>
      </c>
    </row>
    <row r="7" customFormat="false" ht="15" hidden="false" customHeight="false" outlineLevel="0" collapsed="false">
      <c r="A7" s="0" t="str">
        <v>AB-070</v>
      </c>
      <c r="B7" s="0" t="str">
        <v>Raaka Chocolate</v>
      </c>
      <c r="C7" s="0" t="str">
        <v>Nathan</v>
      </c>
      <c r="D7" s="0" t="str">
        <v>Hodge</v>
      </c>
      <c r="E7" s="0" t="str">
        <v>CEO and co-founder</v>
      </c>
      <c r="F7" s="0" t="n">
        <v>0</v>
      </c>
      <c r="G7" s="0" t="n">
        <v>0</v>
      </c>
      <c r="H7" s="0" t="str">
        <v>none</v>
      </c>
      <c r="I7" s="0" t="str">
        <v>linkedin</v>
      </c>
      <c r="J7" s="0" t="n">
        <v>74</v>
      </c>
      <c r="K7" s="0" t="str">
        <v>New York City brand, store page shows Whole Foods Market Union Square inside the cluster, a new store listing 2 days ago, revenue unknown, contact named plus a marketing lead; founder review: claim-borderline.</v>
      </c>
      <c r="L7" s="0" t="n">
        <v>0</v>
      </c>
      <c r="M7" s="0" t="str">
        <v>Whole Foods Market Union Square, 4 Union Sq S</v>
      </c>
      <c r="N7" s="0" t="str">
        <v>store_selector</v>
      </c>
      <c r="O7" s="0" t="str">
        <v>New limited-batch Chili Meltaways truffle box and Pumpkin Crunch Minis launched on brand site for fall 2026</v>
      </c>
      <c r="P7" s="0" t="str">
        <v>https://www.raakachocolate.com/</v>
      </c>
      <c r="Q7" s="0" t="str">
        <v>2026-10-22</v>
      </c>
      <c r="R7" s="0" t="str">
        <v>N</v>
      </c>
      <c r="S7" s="0" t="str">
        <v>unknown</v>
      </c>
      <c r="T7" s="0" t="str">
        <v>N</v>
      </c>
      <c r="U7" s="0" t="str">
        <v>new</v>
      </c>
      <c r="V7" s="0" t="str">
        <v>https://www.raakachocolate.com/pages/our-story-process</v>
      </c>
      <c r="W7" s="0" t="str">
        <v>2026-10-23</v>
      </c>
      <c r="X7" s="0" t="str">
        <v>brand</v>
      </c>
      <c r="Y7" s="0" t="n">
        <v>6</v>
      </c>
      <c r="Z7" s="0" t="n">
        <v>6</v>
      </c>
      <c r="AA7" s="0" t="str">
        <v>Y</v>
      </c>
      <c r="AB7" s="0" t="str">
        <v>find Nathan Hodge at Raaka Chocolate on LinkedIn and paste the profile URL (this also confirms the name: The Org is crowd-edited); the source is dated 2024-10-31: check Nathan still holds the role; before using the retailer line, check Whole Foods Market Union Square still lists it: https://www.wholefoodsmarket.com/search?text=Raaka%20Chocolate with your store set to Union Square (catalogs change daily); founder review (claim-borderline): read founder_review_reason first</v>
      </c>
      <c r="AC7" s="0" t="str">
        <v>founder</v>
      </c>
      <c r="AD7" s="0" t="str">
        <v>verified-page</v>
      </c>
      <c r="AE7" s="0" t="str">
        <v>The Org (crowd-edited org chart)</v>
      </c>
      <c r="AF7" s="0" t="str">
        <v>https://theorg.com/org/raaka-chocolate/person/nathan-hodge</v>
      </c>
      <c r="AG7" s="0" t="str">
        <v>2026-10-24</v>
      </c>
      <c r="AH7" s="0" t="str">
        <v>Organic Coconut Chocolate Bar 1.8 oz; Coco Milk Mini 0.28 oz</v>
      </c>
      <c r="AI7" s="0" t="str">
        <v>chocolate-candy</v>
      </c>
      <c r="AJ7" s="0" t="str">
        <v>Brooklyn (Red Hook factory, 64 Seabring St)</v>
      </c>
      <c r="AK7" s="0" t="str">
        <v>https://www.raakachocolate.com</v>
      </c>
      <c r="AL7" s="0" t="str">
        <v>Y</v>
      </c>
      <c r="AM7" s="0" t="str">
        <v>Sells a 'Functional' adaptogen and mushroom chocolate line (Day Break 'Focus &amp; Energy', Mellow Moon 'Rest &amp; Calm'); offer only the classic bars</v>
      </c>
      <c r="AN7" s="0" t="str">
        <v>AB-070</v>
      </c>
      <c r="AO7" s="0" t="str">
        <v>N</v>
      </c>
      <c r="AP7" s="0" t="n">
        <v>0</v>
      </c>
      <c r="AQ7" s="0" t="n">
        <v>0</v>
      </c>
    </row>
    <row r="8" customFormat="false" ht="15" hidden="false" customHeight="false" outlineLevel="0" collapsed="false">
      <c r="A8" s="0" t="str">
        <v>AB-071</v>
      </c>
      <c r="B8" s="0" t="str">
        <v>Fine &amp; Raw</v>
      </c>
      <c r="C8" s="0" t="str">
        <v>Daniel</v>
      </c>
      <c r="D8" s="0" t="str">
        <v>Sklaar</v>
      </c>
      <c r="E8" s="0" t="str">
        <v>Founder</v>
      </c>
      <c r="F8" s="0" t="n">
        <v>0</v>
      </c>
      <c r="G8" s="0" t="n">
        <v>0</v>
      </c>
      <c r="H8" s="0" t="str">
        <v>none</v>
      </c>
      <c r="I8" s="0" t="str">
        <v>linkedin</v>
      </c>
      <c r="J8" s="0" t="n">
        <v>72</v>
      </c>
      <c r="K8" s="0" t="str">
        <v>New York City brand, store page shows Whole Foods Market NoMad inside the cluster, a new store listing 9 days ago, revenue unknown, contact named; founder review: shelf life not stated.</v>
      </c>
      <c r="L8" s="0" t="n">
        <v>0</v>
      </c>
      <c r="M8" s="0" t="str">
        <v>Whole Foods Market NoMad, 63 Madison Ave</v>
      </c>
      <c r="N8" s="0" t="str">
        <v>store_selector</v>
      </c>
      <c r="O8" s="0" t="str">
        <v>Launched Josh Cellars x FINE &amp; RAW pairing collection and 2026 Halloween boxes on brand store (Oct 2026); note the pairing is with a wine brand</v>
      </c>
      <c r="P8" s="0" t="str">
        <v>https://www.fineandraw.com/</v>
      </c>
      <c r="Q8" s="0" t="str">
        <v>2026-10-15</v>
      </c>
      <c r="R8" s="0" t="str">
        <v>N</v>
      </c>
      <c r="S8" s="0" t="str">
        <v>unknown</v>
      </c>
      <c r="T8" s="0" t="str">
        <v>N</v>
      </c>
      <c r="U8" s="0" t="str">
        <v>new</v>
      </c>
      <c r="V8" s="0" t="str">
        <v>https://www.fineandraw.com/pages/about</v>
      </c>
      <c r="W8" s="0" t="str">
        <v>2026-10-23</v>
      </c>
      <c r="X8" s="0" t="str">
        <v>brand</v>
      </c>
      <c r="Y8" s="0" t="n">
        <v>7</v>
      </c>
      <c r="Z8" s="0" t="n">
        <v>7</v>
      </c>
      <c r="AA8" s="0" t="str">
        <v>Y</v>
      </c>
      <c r="AB8" s="0" t="str">
        <v>find Daniel Sklaar at Fine &amp; Raw on LinkedIn and paste the profile URL; before using the retailer line, check Whole Foods Market NoMad still lists it: https://www.wholefoodsmarket.com/search?text=Fine%20%26%20Raw with your store set to NoMad (catalogs change daily); founder review (shelf life or online store): read founder_review_reason first</v>
      </c>
      <c r="AC8" s="0" t="str">
        <v>founder</v>
      </c>
      <c r="AD8" s="0" t="str">
        <v>verified-page</v>
      </c>
      <c r="AE8" s="0" t="str">
        <v>employer's own site</v>
      </c>
      <c r="AF8" s="0" t="str">
        <v>https://www.fineandraw.com/pages/about</v>
      </c>
      <c r="AG8" s="0" t="str">
        <v>2026-10-24</v>
      </c>
      <c r="AH8" s="0" t="str">
        <v>Sea Salt Dark Chocolate Bar 2 oz; Almond Chunky 1.5 oz</v>
      </c>
      <c r="AI8" s="0" t="str">
        <v>chocolate-candy</v>
      </c>
      <c r="AJ8" s="0" t="str">
        <v>Brooklyn</v>
      </c>
      <c r="AK8" s="0" t="str">
        <v>https://www.fineandraw.com</v>
      </c>
      <c r="AL8" s="0" t="str">
        <v>Y</v>
      </c>
      <c r="AM8" s="0" t="str">
        <v>60-day shelf life not stated</v>
      </c>
      <c r="AN8" s="0" t="str">
        <v>AB-071</v>
      </c>
      <c r="AO8" s="0" t="str">
        <v>N</v>
      </c>
      <c r="AP8" s="0" t="n">
        <v>0</v>
      </c>
      <c r="AQ8" s="0" t="n">
        <v>0</v>
      </c>
    </row>
    <row r="9" customFormat="false" ht="15" hidden="false" customHeight="false" outlineLevel="0" collapsed="false">
      <c r="A9" s="0" t="str">
        <v>AB-082</v>
      </c>
      <c r="B9" s="0" t="str">
        <v>Steve &amp; Andy's</v>
      </c>
      <c r="C9" s="0" t="str">
        <v>Steve</v>
      </c>
      <c r="D9" s="0" t="str">
        <v>Marino</v>
      </c>
      <c r="E9" s="0" t="str">
        <v>Co-founder</v>
      </c>
      <c r="F9" s="0" t="n">
        <v>0</v>
      </c>
      <c r="G9" s="0" t="n">
        <v>0</v>
      </c>
      <c r="H9" s="0" t="str">
        <v>none</v>
      </c>
      <c r="I9" s="0" t="str">
        <v>linkedin</v>
      </c>
      <c r="J9" s="0" t="n">
        <v>72</v>
      </c>
      <c r="K9" s="0" t="str">
        <v>New York City brand, store page shows Whole Foods Market NoMad inside the cluster, a new store listing 36 days ago, revenue unknown, contact named.</v>
      </c>
      <c r="L9" s="0" t="n">
        <v>0</v>
      </c>
      <c r="M9" s="0" t="str">
        <v>Whole Foods Market NoMad, 63 Madison Ave</v>
      </c>
      <c r="N9" s="0" t="str">
        <v>store_selector</v>
      </c>
      <c r="O9" s="0" t="str">
        <v>New Ginger Snap cookies and soft-baked Chocolate Chip boxes added to brand store, Aug to Sept 2026</v>
      </c>
      <c r="P9" s="0" t="str">
        <v>https://steveandandys.com/</v>
      </c>
      <c r="Q9" s="0" t="str">
        <v>2026-09-18</v>
      </c>
      <c r="R9" s="0" t="str">
        <v>N</v>
      </c>
      <c r="S9" s="0" t="str">
        <v>unknown</v>
      </c>
      <c r="T9" s="0" t="str">
        <v>N</v>
      </c>
      <c r="U9" s="0" t="str">
        <v>new</v>
      </c>
      <c r="V9" s="0" t="str">
        <v>https://steveandandys.com/pages/about</v>
      </c>
      <c r="W9" s="0" t="str">
        <v>2026-10-23</v>
      </c>
      <c r="X9" s="0" t="str">
        <v>brand</v>
      </c>
      <c r="Y9" s="0" t="n">
        <v>8</v>
      </c>
      <c r="Z9" s="0" t="n">
        <v>8</v>
      </c>
      <c r="AA9" s="0" t="str">
        <v>Y</v>
      </c>
      <c r="AB9" s="0" t="str">
        <v>find Steve Marino at Steve &amp; Andy's on LinkedIn and paste the profile URL; before using the retailer line, check Whole Foods Market NoMad still lists it: https://www.wholefoodsmarket.com/search?text=Steve%20%26%20Andy%27s with your store set to NoMad (catalogs change daily)</v>
      </c>
      <c r="AC9" s="0" t="str">
        <v>founder</v>
      </c>
      <c r="AD9" s="0" t="str">
        <v>verified-page</v>
      </c>
      <c r="AE9" s="0" t="str">
        <v>employer's own site</v>
      </c>
      <c r="AF9" s="0" t="str">
        <v>https://steveandandys.com/pages/about</v>
      </c>
      <c r="AG9" s="0" t="str">
        <v>2026-10-24</v>
      </c>
      <c r="AH9" s="0" t="str">
        <v>Organic Chocolate Chip Cookies 5.5 oz (gluten-free)</v>
      </c>
      <c r="AI9" s="0" t="str">
        <v>cookies-baked</v>
      </c>
      <c r="AJ9" s="0" t="str">
        <v>New York</v>
      </c>
      <c r="AK9" s="0" t="str">
        <v>https://steveandandys.com</v>
      </c>
      <c r="AL9" s="0" t="str">
        <v>N</v>
      </c>
      <c r="AM9" s="0" t="n">
        <v>0</v>
      </c>
      <c r="AN9" s="0" t="str">
        <v>AB-082</v>
      </c>
      <c r="AO9" s="0" t="str">
        <v>N</v>
      </c>
      <c r="AP9" s="0" t="n">
        <v>0</v>
      </c>
      <c r="AQ9" s="0" t="n">
        <v>0</v>
      </c>
    </row>
    <row r="10" customFormat="false" ht="15" hidden="false" customHeight="false" outlineLevel="0" collapsed="false">
      <c r="A10" s="0" t="str">
        <v>AB-002</v>
      </c>
      <c r="B10" s="0" t="str">
        <v>Zack's Mighty</v>
      </c>
      <c r="C10" s="0" t="str">
        <v>Zack</v>
      </c>
      <c r="D10" s="0" t="str">
        <v>Gazzaniga</v>
      </c>
      <c r="E10" s="0" t="str">
        <v>Founder</v>
      </c>
      <c r="F10" s="0" t="n">
        <v>0</v>
      </c>
      <c r="G10" s="0" t="n">
        <v>0</v>
      </c>
      <c r="H10" s="0" t="str">
        <v>none</v>
      </c>
      <c r="I10" s="0" t="str">
        <v>linkedin</v>
      </c>
      <c r="J10" s="0" t="n">
        <v>71</v>
      </c>
      <c r="K10" s="0" t="str">
        <v>New York City brand, store page shows Whole Foods Market NoMad inside the cluster, a new store listing 12 days ago, revenue unknown, contact named plus a marketing lead; founder review: format.</v>
      </c>
      <c r="L10" s="0" t="n">
        <v>0</v>
      </c>
      <c r="M10" s="0" t="str">
        <v>Whole Foods Market NoMad, 63 Madison Ave</v>
      </c>
      <c r="N10" s="0" t="str">
        <v>store_selector</v>
      </c>
      <c r="O10" s="0" t="str">
        <v>Relaunched brand store with new variety packs (tortilla and rolled)</v>
      </c>
      <c r="P10" s="0" t="str">
        <v>https://zacksmighty.com/products/rolled-variety-pack</v>
      </c>
      <c r="Q10" s="0" t="str">
        <v>2026-10-12</v>
      </c>
      <c r="R10" s="0" t="str">
        <v>N</v>
      </c>
      <c r="S10" s="0" t="str">
        <v>unknown</v>
      </c>
      <c r="T10" s="0" t="str">
        <v>N</v>
      </c>
      <c r="U10" s="0" t="str">
        <v>new</v>
      </c>
      <c r="V10" s="0" t="str">
        <v>https://zacksmighty.com</v>
      </c>
      <c r="W10" s="0" t="str">
        <v>2026-10-23</v>
      </c>
      <c r="X10" s="0" t="str">
        <v>brand</v>
      </c>
      <c r="Y10" s="0" t="n">
        <v>9</v>
      </c>
      <c r="Z10" s="0" t="n">
        <v>9</v>
      </c>
      <c r="AA10" s="0" t="str">
        <v>Y</v>
      </c>
      <c r="AB10" s="0" t="str">
        <v>find Zack Gazzaniga at Zack's Mighty on LinkedIn and paste the profile URL; before using the retailer line, check Whole Foods Market NoMad still lists it: https://www.wholefoodsmarket.com/search?text=Zack%27s%20Mighty with your store set to NoMad (catalogs change daily); founder review (format): read founder_review_reason first</v>
      </c>
      <c r="AC10" s="0" t="str">
        <v>founder</v>
      </c>
      <c r="AD10" s="0" t="str">
        <v>verified-page</v>
      </c>
      <c r="AE10" s="0" t="str">
        <v>press, event or podcast page</v>
      </c>
      <c r="AF10" s="0" t="str">
        <v>https://www.snackandbakery.com/articles/110099-zacks-mighty-reveals-first-ever-non-gmo-rolled-tortilla-chips</v>
      </c>
      <c r="AG10" s="0" t="str">
        <v>2026-10-24</v>
      </c>
      <c r="AH10" s="0" t="str">
        <v>Zack's Mighty Chile Lime Rolled Tortilla Chips, 6 oz</v>
      </c>
      <c r="AI10" s="0" t="str">
        <v>chips-crisps</v>
      </c>
      <c r="AJ10" s="0" t="str">
        <v>Brooklyn</v>
      </c>
      <c r="AK10" s="0" t="str">
        <v>https://zacksmighty.com</v>
      </c>
      <c r="AL10" s="0" t="str">
        <v>Y</v>
      </c>
      <c r="AM10" s="0" t="str">
        <v>Only share-size bags (6 to 7.5 oz) found; no single-serve pack seen, so the 50-units-per-office format needs a pack-size check</v>
      </c>
      <c r="AN10" s="0" t="str">
        <v>AB-002</v>
      </c>
      <c r="AO10" s="0" t="str">
        <v>N</v>
      </c>
      <c r="AP10" s="0" t="n">
        <v>0</v>
      </c>
      <c r="AQ10" s="0" t="n">
        <v>0</v>
      </c>
    </row>
    <row r="11" customFormat="false" ht="15" hidden="false" customHeight="false" outlineLevel="0" collapsed="false">
      <c r="A11" s="0" t="str">
        <v>AB-233</v>
      </c>
      <c r="B11" s="0" t="str">
        <v>Simply Gum</v>
      </c>
      <c r="C11" s="0" t="str">
        <v>Caron</v>
      </c>
      <c r="D11" s="0" t="str">
        <v>Proschan</v>
      </c>
      <c r="E11" s="0" t="str">
        <v>Founder and CEO</v>
      </c>
      <c r="F11" s="0" t="n">
        <v>0</v>
      </c>
      <c r="G11" s="0" t="n">
        <v>0</v>
      </c>
      <c r="H11" s="0" t="str">
        <v>none</v>
      </c>
      <c r="I11" s="0" t="str">
        <v>linkedin</v>
      </c>
      <c r="J11" s="0" t="n">
        <v>70</v>
      </c>
      <c r="K11" s="0" t="str">
        <v>New York City brand, store page shows Whole Foods Market NoMad inside the cluster, a new store listing 241 days ago, revenue unknown, contact named plus a marketing lead; founder review: claim-borderline.</v>
      </c>
      <c r="L11" s="0" t="n">
        <v>0</v>
      </c>
      <c r="M11" s="0" t="str">
        <v>Whole Foods Market NoMad, 63 Madison Ave</v>
      </c>
      <c r="N11" s="0" t="str">
        <v>store_selector</v>
      </c>
      <c r="O11" s="0" t="str">
        <v>Launched Simply Sours, a sour hard candy line (Citrus Berry, Fruit Punch), announced 2026-02-25 and previewed at Natural Products Expo West; pouches added 2026-04-16 and a limited Halloween bundle 2026-09-09</v>
      </c>
      <c r="P11" s="0" t="str">
        <v>https://www.simplygum.com/blogs/news/introducing-simply-sours</v>
      </c>
      <c r="Q11" s="0" t="str">
        <v>2026-02-25</v>
      </c>
      <c r="R11" s="0" t="str">
        <v>N</v>
      </c>
      <c r="S11" s="0" t="str">
        <v>unknown</v>
      </c>
      <c r="T11" s="0" t="str">
        <v>N</v>
      </c>
      <c r="U11" s="0" t="str">
        <v>new</v>
      </c>
      <c r="V11" s="0" t="str">
        <v>https://www.simplygum.com/pages/about</v>
      </c>
      <c r="W11" s="0" t="str">
        <v>2026-10-23</v>
      </c>
      <c r="X11" s="0" t="str">
        <v>brand</v>
      </c>
      <c r="Y11" s="0" t="n">
        <v>10</v>
      </c>
      <c r="Z11" s="0" t="n">
        <v>10</v>
      </c>
      <c r="AA11" s="0" t="str">
        <v>Y</v>
      </c>
      <c r="AB11" s="0" t="str">
        <v>find Caron Proschan at Simply Gum on LinkedIn and paste the profile URL; before using the retailer line, check Whole Foods Market NoMad still lists it: https://www.wholefoodsmarket.com/search?text=Simply%20Gum with your store set to NoMad (catalogs change daily); founder review (claim-borderline): read founder_review_reason first</v>
      </c>
      <c r="AC11" s="0" t="str">
        <v>founder</v>
      </c>
      <c r="AD11" s="0" t="str">
        <v>verified-page</v>
      </c>
      <c r="AE11" s="0" t="str">
        <v>press, event or podcast page</v>
      </c>
      <c r="AF11" s="0" t="str">
        <v>https://www.snackandbakery.com/articles/112597-video-simply-on-vegan-candy-treats</v>
      </c>
      <c r="AG11" s="0" t="str">
        <v>2026-10-24</v>
      </c>
      <c r="AH11" s="0" t="str">
        <v>Peppermint Gum 15 ct pack; Peppermint Mints (tins and individually wrapped)</v>
      </c>
      <c r="AI11" s="0" t="str">
        <v>chocolate-candy</v>
      </c>
      <c r="AJ11" s="0" t="str">
        <v>Brooklyn (privacy policy: Simply Gum, 630 Flushing Ave, #16, Brooklyn NY 11206)</v>
      </c>
      <c r="AK11" s="0" t="str">
        <v>https://www.simplygum.com</v>
      </c>
      <c r="AL11" s="0" t="str">
        <v>Y</v>
      </c>
      <c r="AM11" s="0" t="str">
        <v>Gum and mints are a candy-adjacent fit for a snack drop; sugar-free line cites xylitol 'dental health benefits' on about page (check pack wording)</v>
      </c>
      <c r="AN11" s="0" t="str">
        <v>AB-233</v>
      </c>
      <c r="AO11" s="0" t="str">
        <v>N</v>
      </c>
      <c r="AP11" s="0" t="n">
        <v>0</v>
      </c>
      <c r="AQ11" s="0"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9"/>
    <col collapsed="false" customWidth="true" hidden="false" outlineLevel="0" max="3" min="3" style="0" width="22"/>
    <col collapsed="false" customWidth="true" hidden="false" outlineLevel="0" max="4" min="4" style="0" width="12"/>
    <col collapsed="false" customWidth="true" hidden="false" outlineLevel="0" max="5" min="5" style="0" width="40"/>
    <col collapsed="false" customWidth="true" hidden="false" outlineLevel="0" max="6" min="6" style="0" width="100"/>
  </cols>
  <sheetData>
    <row r="1" customFormat="false" ht="15" hidden="false" customHeight="false" outlineLevel="0" collapsed="false">
      <c r="A1" s="6" t="s">
        <v>10879</v>
      </c>
      <c r="B1" s="6" t="s">
        <v>10880</v>
      </c>
      <c r="C1" s="6" t="s">
        <v>10881</v>
      </c>
      <c r="D1" s="6" t="s">
        <v>10882</v>
      </c>
      <c r="E1" s="7" t="s">
        <v>10883</v>
      </c>
      <c r="F1" s="7" t="s">
        <v>10884</v>
      </c>
    </row>
    <row r="2" customFormat="false" ht="28.35" hidden="false" customHeight="false" outlineLevel="0" collapsed="false">
      <c r="A2" s="0" t="s">
        <v>0</v>
      </c>
      <c r="B2" s="0" t="s">
        <v>10885</v>
      </c>
      <c r="C2" s="0" t="s">
        <v>10886</v>
      </c>
      <c r="D2" s="0" t="s">
        <v>10887</v>
      </c>
      <c r="E2" s="8" t="s">
        <v>10888</v>
      </c>
      <c r="F2" s="8" t="s">
        <v>10889</v>
      </c>
    </row>
    <row r="3" customFormat="false" ht="15" hidden="false" customHeight="false" outlineLevel="0" collapsed="false">
      <c r="A3" s="0" t="s">
        <v>1</v>
      </c>
      <c r="B3" s="0" t="s">
        <v>10885</v>
      </c>
      <c r="C3" s="0" t="s">
        <v>10886</v>
      </c>
      <c r="D3" s="0" t="s">
        <v>10887</v>
      </c>
      <c r="E3" s="8" t="s">
        <v>10890</v>
      </c>
      <c r="F3" s="8" t="s">
        <v>10891</v>
      </c>
    </row>
    <row r="4" customFormat="false" ht="28.35" hidden="false" customHeight="false" outlineLevel="0" collapsed="false">
      <c r="A4" s="0" t="s">
        <v>2</v>
      </c>
      <c r="B4" s="0" t="s">
        <v>10885</v>
      </c>
      <c r="C4" s="0" t="s">
        <v>10886</v>
      </c>
      <c r="D4" s="0" t="s">
        <v>10887</v>
      </c>
      <c r="E4" s="8" t="s">
        <v>10892</v>
      </c>
      <c r="F4" s="8" t="s">
        <v>10893</v>
      </c>
    </row>
    <row r="5" customFormat="false" ht="15" hidden="false" customHeight="false" outlineLevel="0" collapsed="false">
      <c r="A5" s="0" t="s">
        <v>3</v>
      </c>
      <c r="B5" s="0" t="s">
        <v>10885</v>
      </c>
      <c r="C5" s="0" t="s">
        <v>10886</v>
      </c>
      <c r="D5" s="0" t="s">
        <v>10887</v>
      </c>
      <c r="E5" s="8" t="s">
        <v>10894</v>
      </c>
      <c r="F5" s="8" t="s">
        <v>10895</v>
      </c>
    </row>
    <row r="6" customFormat="false" ht="15" hidden="false" customHeight="false" outlineLevel="0" collapsed="false">
      <c r="A6" s="0" t="s">
        <v>4</v>
      </c>
      <c r="B6" s="0" t="s">
        <v>10885</v>
      </c>
      <c r="C6" s="0" t="s">
        <v>10886</v>
      </c>
      <c r="D6" s="0" t="s">
        <v>10887</v>
      </c>
      <c r="E6" s="8" t="s">
        <v>10892</v>
      </c>
      <c r="F6" s="8" t="s">
        <v>10896</v>
      </c>
    </row>
    <row r="7" customFormat="false" ht="28.35" hidden="false" customHeight="false" outlineLevel="0" collapsed="false">
      <c r="A7" s="0" t="s">
        <v>5</v>
      </c>
      <c r="B7" s="0" t="s">
        <v>10885</v>
      </c>
      <c r="C7" s="0" t="s">
        <v>10886</v>
      </c>
      <c r="D7" s="0" t="s">
        <v>4587</v>
      </c>
      <c r="E7" s="8" t="s">
        <v>10897</v>
      </c>
      <c r="F7" s="8" t="s">
        <v>10898</v>
      </c>
    </row>
    <row r="8" customFormat="false" ht="28.35" hidden="false" customHeight="false" outlineLevel="0" collapsed="false">
      <c r="A8" s="0" t="s">
        <v>6</v>
      </c>
      <c r="B8" s="0" t="s">
        <v>10885</v>
      </c>
      <c r="C8" s="0" t="s">
        <v>10886</v>
      </c>
      <c r="D8" s="0" t="s">
        <v>4587</v>
      </c>
      <c r="E8" s="8" t="s">
        <v>10899</v>
      </c>
      <c r="F8" s="8" t="s">
        <v>10900</v>
      </c>
    </row>
    <row r="9" customFormat="false" ht="28.35" hidden="false" customHeight="false" outlineLevel="0" collapsed="false">
      <c r="A9" s="0" t="s">
        <v>7</v>
      </c>
      <c r="B9" s="0" t="s">
        <v>10885</v>
      </c>
      <c r="C9" s="0" t="s">
        <v>10886</v>
      </c>
      <c r="D9" s="0" t="s">
        <v>4587</v>
      </c>
      <c r="E9" s="8" t="s">
        <v>10901</v>
      </c>
      <c r="F9" s="8" t="s">
        <v>10902</v>
      </c>
    </row>
    <row r="10" customFormat="false" ht="41.75" hidden="false" customHeight="false" outlineLevel="0" collapsed="false">
      <c r="A10" s="0" t="s">
        <v>8</v>
      </c>
      <c r="B10" s="0" t="s">
        <v>10885</v>
      </c>
      <c r="C10" s="0" t="s">
        <v>10886</v>
      </c>
      <c r="D10" s="0" t="s">
        <v>10887</v>
      </c>
      <c r="E10" s="8" t="s">
        <v>10903</v>
      </c>
      <c r="F10" s="8" t="s">
        <v>10904</v>
      </c>
    </row>
    <row r="11" customFormat="false" ht="28.35" hidden="false" customHeight="false" outlineLevel="0" collapsed="false">
      <c r="A11" s="0" t="s">
        <v>9</v>
      </c>
      <c r="B11" s="0" t="s">
        <v>10885</v>
      </c>
      <c r="C11" s="0" t="s">
        <v>10886</v>
      </c>
      <c r="D11" s="0" t="s">
        <v>10905</v>
      </c>
      <c r="E11" s="8" t="s">
        <v>10906</v>
      </c>
      <c r="F11" s="8" t="s">
        <v>10907</v>
      </c>
    </row>
    <row r="12" customFormat="false" ht="15" hidden="false" customHeight="false" outlineLevel="0" collapsed="false">
      <c r="A12" s="0" t="s">
        <v>10</v>
      </c>
      <c r="B12" s="0" t="s">
        <v>10885</v>
      </c>
      <c r="C12" s="0" t="s">
        <v>10886</v>
      </c>
      <c r="D12" s="0" t="s">
        <v>10887</v>
      </c>
      <c r="E12" s="8" t="s">
        <v>10908</v>
      </c>
      <c r="F12" s="8" t="s">
        <v>10909</v>
      </c>
    </row>
    <row r="13" customFormat="false" ht="28.35" hidden="false" customHeight="false" outlineLevel="0" collapsed="false">
      <c r="A13" s="0" t="s">
        <v>11</v>
      </c>
      <c r="B13" s="0" t="s">
        <v>10885</v>
      </c>
      <c r="C13" s="0" t="s">
        <v>10886</v>
      </c>
      <c r="D13" s="0" t="s">
        <v>10887</v>
      </c>
      <c r="E13" s="8" t="s">
        <v>10910</v>
      </c>
      <c r="F13" s="8" t="s">
        <v>10911</v>
      </c>
    </row>
    <row r="14" customFormat="false" ht="28.35" hidden="false" customHeight="false" outlineLevel="0" collapsed="false">
      <c r="A14" s="0" t="s">
        <v>12</v>
      </c>
      <c r="B14" s="0" t="s">
        <v>10885</v>
      </c>
      <c r="C14" s="0" t="s">
        <v>10886</v>
      </c>
      <c r="D14" s="0" t="s">
        <v>10887</v>
      </c>
      <c r="E14" s="8" t="s">
        <v>10912</v>
      </c>
      <c r="F14" s="8" t="s">
        <v>10913</v>
      </c>
    </row>
    <row r="15" customFormat="false" ht="28.35" hidden="false" customHeight="false" outlineLevel="0" collapsed="false">
      <c r="A15" s="0" t="s">
        <v>13</v>
      </c>
      <c r="B15" s="0" t="s">
        <v>10885</v>
      </c>
      <c r="C15" s="0" t="s">
        <v>10886</v>
      </c>
      <c r="D15" s="0" t="s">
        <v>10887</v>
      </c>
      <c r="E15" s="8" t="s">
        <v>10914</v>
      </c>
      <c r="F15" s="8" t="s">
        <v>10915</v>
      </c>
    </row>
    <row r="16" customFormat="false" ht="28.35" hidden="false" customHeight="false" outlineLevel="0" collapsed="false">
      <c r="A16" s="0" t="s">
        <v>14</v>
      </c>
      <c r="B16" s="0" t="s">
        <v>10885</v>
      </c>
      <c r="C16" s="0" t="s">
        <v>10886</v>
      </c>
      <c r="D16" s="0" t="s">
        <v>10887</v>
      </c>
      <c r="E16" s="8" t="s">
        <v>10892</v>
      </c>
      <c r="F16" s="8" t="s">
        <v>10916</v>
      </c>
    </row>
    <row r="17" customFormat="false" ht="15" hidden="false" customHeight="false" outlineLevel="0" collapsed="false">
      <c r="A17" s="0" t="s">
        <v>15</v>
      </c>
      <c r="B17" s="0" t="s">
        <v>10885</v>
      </c>
      <c r="C17" s="0" t="s">
        <v>10886</v>
      </c>
      <c r="D17" s="0" t="s">
        <v>10887</v>
      </c>
      <c r="E17" s="8" t="s">
        <v>10897</v>
      </c>
      <c r="F17" s="8" t="s">
        <v>10917</v>
      </c>
    </row>
    <row r="18" customFormat="false" ht="15" hidden="false" customHeight="false" outlineLevel="0" collapsed="false">
      <c r="A18" s="0" t="s">
        <v>16</v>
      </c>
      <c r="B18" s="0" t="s">
        <v>10885</v>
      </c>
      <c r="C18" s="0" t="s">
        <v>10886</v>
      </c>
      <c r="D18" s="0" t="s">
        <v>10887</v>
      </c>
      <c r="E18" s="8" t="s">
        <v>10918</v>
      </c>
      <c r="F18" s="8" t="s">
        <v>10919</v>
      </c>
    </row>
    <row r="19" customFormat="false" ht="28.35" hidden="false" customHeight="false" outlineLevel="0" collapsed="false">
      <c r="A19" s="0" t="s">
        <v>17</v>
      </c>
      <c r="B19" s="0" t="s">
        <v>10885</v>
      </c>
      <c r="C19" s="0" t="s">
        <v>10886</v>
      </c>
      <c r="D19" s="0" t="s">
        <v>4587</v>
      </c>
      <c r="E19" s="7" t="s">
        <v>10920</v>
      </c>
      <c r="F19" s="8" t="s">
        <v>10921</v>
      </c>
    </row>
    <row r="20" customFormat="false" ht="28.35" hidden="false" customHeight="false" outlineLevel="0" collapsed="false">
      <c r="A20" s="0" t="s">
        <v>18</v>
      </c>
      <c r="B20" s="0" t="s">
        <v>10885</v>
      </c>
      <c r="C20" s="0" t="s">
        <v>10886</v>
      </c>
      <c r="D20" s="0" t="s">
        <v>10887</v>
      </c>
      <c r="E20" s="8" t="s">
        <v>10922</v>
      </c>
      <c r="F20" s="8" t="s">
        <v>10923</v>
      </c>
    </row>
    <row r="21" customFormat="false" ht="28.35" hidden="false" customHeight="false" outlineLevel="0" collapsed="false">
      <c r="A21" s="0" t="s">
        <v>19</v>
      </c>
      <c r="B21" s="0" t="s">
        <v>10885</v>
      </c>
      <c r="C21" s="0" t="s">
        <v>10886</v>
      </c>
      <c r="D21" s="0" t="s">
        <v>10924</v>
      </c>
      <c r="E21" s="7" t="s">
        <v>10920</v>
      </c>
      <c r="F21" s="8" t="s">
        <v>10925</v>
      </c>
    </row>
    <row r="22" customFormat="false" ht="55.2" hidden="false" customHeight="false" outlineLevel="0" collapsed="false">
      <c r="A22" s="0" t="s">
        <v>20</v>
      </c>
      <c r="B22" s="0" t="s">
        <v>10885</v>
      </c>
      <c r="C22" s="0" t="s">
        <v>10886</v>
      </c>
      <c r="D22" s="0" t="s">
        <v>10924</v>
      </c>
      <c r="E22" s="8" t="s">
        <v>10926</v>
      </c>
      <c r="F22" s="8" t="s">
        <v>10927</v>
      </c>
    </row>
    <row r="23" customFormat="false" ht="15" hidden="false" customHeight="false" outlineLevel="0" collapsed="false">
      <c r="A23" s="0" t="s">
        <v>21</v>
      </c>
      <c r="B23" s="0" t="s">
        <v>10885</v>
      </c>
      <c r="C23" s="0" t="s">
        <v>10886</v>
      </c>
      <c r="D23" s="0" t="s">
        <v>10887</v>
      </c>
      <c r="E23" s="7" t="s">
        <v>10928</v>
      </c>
      <c r="F23" s="8" t="s">
        <v>10929</v>
      </c>
    </row>
    <row r="24" customFormat="false" ht="15" hidden="false" customHeight="false" outlineLevel="0" collapsed="false">
      <c r="A24" s="0" t="s">
        <v>22</v>
      </c>
      <c r="B24" s="0" t="s">
        <v>10885</v>
      </c>
      <c r="C24" s="0" t="s">
        <v>10886</v>
      </c>
      <c r="D24" s="0" t="s">
        <v>10887</v>
      </c>
      <c r="E24" s="7" t="s">
        <v>10930</v>
      </c>
      <c r="F24" s="8" t="s">
        <v>10931</v>
      </c>
    </row>
    <row r="25" customFormat="false" ht="15" hidden="false" customHeight="false" outlineLevel="0" collapsed="false">
      <c r="A25" s="0" t="s">
        <v>23</v>
      </c>
      <c r="B25" s="0" t="s">
        <v>10885</v>
      </c>
      <c r="C25" s="0" t="s">
        <v>10932</v>
      </c>
      <c r="D25" s="0" t="s">
        <v>10887</v>
      </c>
      <c r="E25" s="8" t="s">
        <v>10933</v>
      </c>
      <c r="F25" s="8" t="s">
        <v>10934</v>
      </c>
    </row>
    <row r="26" customFormat="false" ht="28.35" hidden="false" customHeight="false" outlineLevel="0" collapsed="false">
      <c r="A26" s="0" t="s">
        <v>24</v>
      </c>
      <c r="B26" s="0" t="s">
        <v>10885</v>
      </c>
      <c r="C26" s="0" t="s">
        <v>10932</v>
      </c>
      <c r="D26" s="0" t="s">
        <v>10905</v>
      </c>
      <c r="E26" s="8" t="s">
        <v>10935</v>
      </c>
      <c r="F26" s="8" t="s">
        <v>10936</v>
      </c>
    </row>
    <row r="27" customFormat="false" ht="15" hidden="false" customHeight="false" outlineLevel="0" collapsed="false">
      <c r="A27" s="0" t="s">
        <v>25</v>
      </c>
      <c r="B27" s="0" t="s">
        <v>10885</v>
      </c>
      <c r="C27" s="0" t="s">
        <v>10932</v>
      </c>
      <c r="D27" s="0" t="s">
        <v>10887</v>
      </c>
      <c r="E27" s="8" t="s">
        <v>10937</v>
      </c>
      <c r="F27" s="8" t="s">
        <v>10938</v>
      </c>
    </row>
    <row r="28" customFormat="false" ht="28.35" hidden="false" customHeight="false" outlineLevel="0" collapsed="false">
      <c r="A28" s="0" t="s">
        <v>26</v>
      </c>
      <c r="B28" s="0" t="s">
        <v>10939</v>
      </c>
      <c r="C28" s="0" t="s">
        <v>10932</v>
      </c>
      <c r="D28" s="0" t="s">
        <v>10887</v>
      </c>
      <c r="E28" s="7" t="s">
        <v>10920</v>
      </c>
      <c r="F28" s="8" t="s">
        <v>10940</v>
      </c>
    </row>
    <row r="29" customFormat="false" ht="28.35" hidden="false" customHeight="false" outlineLevel="0" collapsed="false">
      <c r="A29" s="0" t="s">
        <v>4525</v>
      </c>
      <c r="B29" s="0" t="s">
        <v>10941</v>
      </c>
      <c r="C29" s="0" t="s">
        <v>10932</v>
      </c>
      <c r="D29" s="0" t="s">
        <v>10887</v>
      </c>
      <c r="E29" s="7" t="s">
        <v>10920</v>
      </c>
      <c r="F29" s="8" t="s">
        <v>10942</v>
      </c>
    </row>
    <row r="30" customFormat="false" ht="28.35" hidden="false" customHeight="false" outlineLevel="0" collapsed="false">
      <c r="A30" s="0" t="s">
        <v>27</v>
      </c>
      <c r="B30" s="0" t="s">
        <v>10885</v>
      </c>
      <c r="C30" s="0" t="s">
        <v>10932</v>
      </c>
      <c r="D30" s="0" t="s">
        <v>10887</v>
      </c>
      <c r="E30" s="8" t="s">
        <v>10890</v>
      </c>
      <c r="F30" s="8" t="s">
        <v>10943</v>
      </c>
    </row>
    <row r="31" customFormat="false" ht="28.35" hidden="false" customHeight="false" outlineLevel="0" collapsed="false">
      <c r="A31" s="0" t="s">
        <v>28</v>
      </c>
      <c r="B31" s="0" t="s">
        <v>10885</v>
      </c>
      <c r="C31" s="0" t="s">
        <v>10932</v>
      </c>
      <c r="D31" s="0" t="s">
        <v>10887</v>
      </c>
      <c r="E31" s="8" t="s">
        <v>10890</v>
      </c>
      <c r="F31" s="8" t="s">
        <v>10944</v>
      </c>
    </row>
    <row r="32" customFormat="false" ht="28.35" hidden="false" customHeight="false" outlineLevel="0" collapsed="false">
      <c r="A32" s="0" t="s">
        <v>29</v>
      </c>
      <c r="B32" s="0" t="s">
        <v>10885</v>
      </c>
      <c r="C32" s="0" t="s">
        <v>10932</v>
      </c>
      <c r="D32" s="0" t="s">
        <v>10887</v>
      </c>
      <c r="E32" s="8" t="s">
        <v>10945</v>
      </c>
      <c r="F32" s="8" t="s">
        <v>10946</v>
      </c>
    </row>
    <row r="33" customFormat="false" ht="55.2" hidden="false" customHeight="false" outlineLevel="0" collapsed="false">
      <c r="A33" s="0" t="s">
        <v>30</v>
      </c>
      <c r="B33" s="0" t="s">
        <v>10885</v>
      </c>
      <c r="C33" s="0" t="s">
        <v>10932</v>
      </c>
      <c r="D33" s="0" t="s">
        <v>10887</v>
      </c>
      <c r="E33" s="8" t="s">
        <v>10947</v>
      </c>
      <c r="F33" s="8" t="s">
        <v>10948</v>
      </c>
    </row>
    <row r="34" customFormat="false" ht="15" hidden="false" customHeight="false" outlineLevel="0" collapsed="false">
      <c r="A34" s="0" t="s">
        <v>31</v>
      </c>
      <c r="B34" s="0" t="s">
        <v>10885</v>
      </c>
      <c r="C34" s="0" t="s">
        <v>10932</v>
      </c>
      <c r="D34" s="0" t="s">
        <v>10887</v>
      </c>
      <c r="E34" s="8" t="s">
        <v>10897</v>
      </c>
      <c r="F34" s="8" t="s">
        <v>10949</v>
      </c>
    </row>
    <row r="35" customFormat="false" ht="15" hidden="false" customHeight="false" outlineLevel="0" collapsed="false">
      <c r="A35" s="0" t="s">
        <v>32</v>
      </c>
      <c r="B35" s="0" t="s">
        <v>10885</v>
      </c>
      <c r="C35" s="0" t="s">
        <v>10932</v>
      </c>
      <c r="D35" s="0" t="s">
        <v>10887</v>
      </c>
      <c r="E35" s="7" t="s">
        <v>10930</v>
      </c>
      <c r="F35" s="8" t="s">
        <v>10950</v>
      </c>
    </row>
    <row r="36" customFormat="false" ht="55.2" hidden="false" customHeight="false" outlineLevel="0" collapsed="false">
      <c r="A36" s="0" t="s">
        <v>33</v>
      </c>
      <c r="B36" s="0" t="s">
        <v>10939</v>
      </c>
      <c r="C36" s="0" t="s">
        <v>10932</v>
      </c>
      <c r="D36" s="0" t="s">
        <v>4587</v>
      </c>
      <c r="E36" s="8" t="s">
        <v>10951</v>
      </c>
      <c r="F36" s="8" t="s">
        <v>10952</v>
      </c>
    </row>
    <row r="37" customFormat="false" ht="15" hidden="false" customHeight="false" outlineLevel="0" collapsed="false">
      <c r="A37" s="0" t="s">
        <v>34</v>
      </c>
      <c r="B37" s="0" t="s">
        <v>10939</v>
      </c>
      <c r="C37" s="0" t="s">
        <v>10932</v>
      </c>
      <c r="D37" s="0" t="s">
        <v>10887</v>
      </c>
      <c r="E37" s="8" t="s">
        <v>10890</v>
      </c>
      <c r="F37" s="8" t="s">
        <v>10953</v>
      </c>
    </row>
    <row r="38" customFormat="false" ht="15" hidden="false" customHeight="false" outlineLevel="0" collapsed="false">
      <c r="A38" s="0" t="s">
        <v>35</v>
      </c>
      <c r="B38" s="0" t="s">
        <v>10939</v>
      </c>
      <c r="C38" s="0" t="s">
        <v>10932</v>
      </c>
      <c r="D38" s="0" t="s">
        <v>10887</v>
      </c>
      <c r="E38" s="8" t="s">
        <v>10954</v>
      </c>
      <c r="F38" s="8" t="s">
        <v>10955</v>
      </c>
    </row>
    <row r="39" customFormat="false" ht="55.2" hidden="false" customHeight="false" outlineLevel="0" collapsed="false">
      <c r="A39" s="0" t="s">
        <v>36</v>
      </c>
      <c r="B39" s="0" t="s">
        <v>10939</v>
      </c>
      <c r="C39" s="0" t="s">
        <v>10932</v>
      </c>
      <c r="D39" s="0" t="s">
        <v>10887</v>
      </c>
      <c r="E39" s="8" t="s">
        <v>10956</v>
      </c>
      <c r="F39" s="8" t="s">
        <v>10957</v>
      </c>
    </row>
    <row r="40" customFormat="false" ht="15" hidden="false" customHeight="false" outlineLevel="0" collapsed="false">
      <c r="A40" s="0" t="s">
        <v>37</v>
      </c>
      <c r="B40" s="0" t="s">
        <v>10939</v>
      </c>
      <c r="C40" s="0" t="s">
        <v>10932</v>
      </c>
      <c r="D40" s="0" t="s">
        <v>10887</v>
      </c>
      <c r="E40" s="8" t="s">
        <v>10958</v>
      </c>
      <c r="F40" s="8" t="s">
        <v>10959</v>
      </c>
    </row>
    <row r="41" customFormat="false" ht="15" hidden="false" customHeight="false" outlineLevel="0" collapsed="false">
      <c r="A41" s="0" t="s">
        <v>38</v>
      </c>
      <c r="B41" s="0" t="s">
        <v>10939</v>
      </c>
      <c r="C41" s="0" t="s">
        <v>10932</v>
      </c>
      <c r="D41" s="0" t="s">
        <v>10887</v>
      </c>
      <c r="E41" s="8" t="s">
        <v>10958</v>
      </c>
      <c r="F41" s="8" t="s">
        <v>10960</v>
      </c>
    </row>
    <row r="42" customFormat="false" ht="28.35" hidden="false" customHeight="false" outlineLevel="0" collapsed="false">
      <c r="A42" s="0" t="s">
        <v>39</v>
      </c>
      <c r="B42" s="0" t="s">
        <v>10939</v>
      </c>
      <c r="C42" s="0" t="s">
        <v>10932</v>
      </c>
      <c r="D42" s="0" t="s">
        <v>10887</v>
      </c>
      <c r="E42" s="8" t="s">
        <v>10961</v>
      </c>
      <c r="F42" s="8" t="s">
        <v>10962</v>
      </c>
    </row>
    <row r="43" customFormat="false" ht="41.75" hidden="false" customHeight="false" outlineLevel="0" collapsed="false">
      <c r="A43" s="0" t="s">
        <v>40</v>
      </c>
      <c r="B43" s="0" t="s">
        <v>10939</v>
      </c>
      <c r="C43" s="0" t="s">
        <v>10932</v>
      </c>
      <c r="D43" s="0" t="s">
        <v>10887</v>
      </c>
      <c r="E43" s="8" t="s">
        <v>10963</v>
      </c>
      <c r="F43" s="8" t="s">
        <v>10964</v>
      </c>
    </row>
    <row r="44" customFormat="false" ht="28.35" hidden="false" customHeight="false" outlineLevel="0" collapsed="false">
      <c r="A44" s="0" t="s">
        <v>41</v>
      </c>
      <c r="B44" s="0" t="s">
        <v>10885</v>
      </c>
      <c r="C44" s="0" t="s">
        <v>10932</v>
      </c>
      <c r="D44" s="0" t="s">
        <v>10887</v>
      </c>
      <c r="E44" s="8" t="s">
        <v>10965</v>
      </c>
      <c r="F44" s="8" t="s">
        <v>10966</v>
      </c>
    </row>
    <row r="45" customFormat="false" ht="28.35" hidden="false" customHeight="false" outlineLevel="0" collapsed="false">
      <c r="A45" s="0" t="s">
        <v>42</v>
      </c>
      <c r="B45" s="0" t="s">
        <v>10885</v>
      </c>
      <c r="C45" s="0" t="s">
        <v>10932</v>
      </c>
      <c r="D45" s="0" t="s">
        <v>4587</v>
      </c>
      <c r="E45" s="7" t="s">
        <v>10920</v>
      </c>
      <c r="F45" s="8" t="s">
        <v>10967</v>
      </c>
    </row>
    <row r="46" customFormat="false" ht="15" hidden="false" customHeight="false" outlineLevel="0" collapsed="false">
      <c r="A46" s="0" t="s">
        <v>43</v>
      </c>
      <c r="B46" s="0" t="s">
        <v>10885</v>
      </c>
      <c r="C46" s="0" t="s">
        <v>10932</v>
      </c>
      <c r="D46" s="0" t="s">
        <v>10887</v>
      </c>
      <c r="E46" s="8" t="s">
        <v>10890</v>
      </c>
      <c r="F46" s="8" t="s">
        <v>10968</v>
      </c>
    </row>
    <row r="47" customFormat="false" ht="28.35" hidden="false" customHeight="false" outlineLevel="0" collapsed="false">
      <c r="A47" s="0" t="s">
        <v>44</v>
      </c>
      <c r="B47" s="0" t="s">
        <v>10885</v>
      </c>
      <c r="C47" s="0" t="s">
        <v>10932</v>
      </c>
      <c r="D47" s="0" t="s">
        <v>10924</v>
      </c>
      <c r="E47" s="8" t="s">
        <v>10969</v>
      </c>
      <c r="F47" s="8" t="s">
        <v>10970</v>
      </c>
    </row>
    <row r="48" customFormat="false" ht="15" hidden="false" customHeight="false" outlineLevel="0" collapsed="false">
      <c r="A48" s="0" t="s">
        <v>4526</v>
      </c>
      <c r="B48" s="0" t="s">
        <v>10941</v>
      </c>
      <c r="C48" s="0" t="s">
        <v>10932</v>
      </c>
      <c r="D48" s="0" t="s">
        <v>10887</v>
      </c>
      <c r="E48" s="8" t="s">
        <v>10890</v>
      </c>
      <c r="F48" s="8" t="s">
        <v>10971</v>
      </c>
    </row>
    <row r="49" customFormat="false" ht="15" hidden="false" customHeight="false" outlineLevel="0" collapsed="false">
      <c r="A49" s="0" t="s">
        <v>4527</v>
      </c>
      <c r="B49" s="0" t="s">
        <v>10941</v>
      </c>
      <c r="C49" s="0" t="s">
        <v>10932</v>
      </c>
      <c r="D49" s="0" t="s">
        <v>10887</v>
      </c>
      <c r="E49" s="8" t="s">
        <v>10972</v>
      </c>
      <c r="F49" s="8" t="s">
        <v>10973</v>
      </c>
    </row>
    <row r="50" customFormat="false" ht="15" hidden="false" customHeight="false" outlineLevel="0" collapsed="false">
      <c r="A50" s="0" t="s">
        <v>63</v>
      </c>
      <c r="B50" s="0" t="s">
        <v>10885</v>
      </c>
      <c r="C50" s="0" t="s">
        <v>10932</v>
      </c>
      <c r="D50" s="0" t="s">
        <v>10887</v>
      </c>
      <c r="E50" s="8" t="s">
        <v>10890</v>
      </c>
      <c r="F50" s="8" t="s">
        <v>10974</v>
      </c>
    </row>
    <row r="51" customFormat="false" ht="15" hidden="false" customHeight="false" outlineLevel="0" collapsed="false">
      <c r="A51" s="0" t="s">
        <v>4528</v>
      </c>
      <c r="B51" s="0" t="s">
        <v>10941</v>
      </c>
      <c r="C51" s="0" t="s">
        <v>10932</v>
      </c>
      <c r="D51" s="0" t="s">
        <v>10887</v>
      </c>
      <c r="E51" s="8" t="s">
        <v>10897</v>
      </c>
      <c r="F51" s="8" t="s">
        <v>10975</v>
      </c>
    </row>
    <row r="52" customFormat="false" ht="15" hidden="false" customHeight="false" outlineLevel="0" collapsed="false">
      <c r="A52" s="0" t="s">
        <v>4570</v>
      </c>
      <c r="B52" s="0" t="s">
        <v>10941</v>
      </c>
      <c r="C52" s="0" t="s">
        <v>10976</v>
      </c>
      <c r="D52" s="0" t="s">
        <v>10887</v>
      </c>
      <c r="E52" s="8" t="s">
        <v>10892</v>
      </c>
      <c r="F52" s="8" t="s">
        <v>10977</v>
      </c>
    </row>
    <row r="53" customFormat="false" ht="15" hidden="false" customHeight="false" outlineLevel="0" collapsed="false">
      <c r="A53" s="0" t="s">
        <v>4529</v>
      </c>
      <c r="B53" s="0" t="s">
        <v>10941</v>
      </c>
      <c r="C53" s="0" t="s">
        <v>10932</v>
      </c>
      <c r="D53" s="0" t="s">
        <v>10887</v>
      </c>
      <c r="E53" s="7" t="s">
        <v>10920</v>
      </c>
      <c r="F53" s="8" t="s">
        <v>10978</v>
      </c>
    </row>
    <row r="54" customFormat="false" ht="15" hidden="false" customHeight="false" outlineLevel="0" collapsed="false">
      <c r="A54" s="0" t="s">
        <v>4530</v>
      </c>
      <c r="B54" s="0" t="s">
        <v>10941</v>
      </c>
      <c r="C54" s="0" t="s">
        <v>10932</v>
      </c>
      <c r="D54" s="0" t="s">
        <v>10887</v>
      </c>
      <c r="E54" s="8" t="s">
        <v>10890</v>
      </c>
      <c r="F54" s="8" t="s">
        <v>10979</v>
      </c>
    </row>
    <row r="55" customFormat="false" ht="28.35" hidden="false" customHeight="false" outlineLevel="0" collapsed="false">
      <c r="A55" s="0" t="s">
        <v>45</v>
      </c>
      <c r="B55" s="0" t="s">
        <v>10885</v>
      </c>
      <c r="C55" s="0" t="s">
        <v>10980</v>
      </c>
      <c r="D55" s="0" t="s">
        <v>10905</v>
      </c>
      <c r="E55" s="7" t="s">
        <v>10920</v>
      </c>
      <c r="F55" s="8" t="s">
        <v>10981</v>
      </c>
    </row>
    <row r="56" customFormat="false" ht="15" hidden="false" customHeight="false" outlineLevel="0" collapsed="false">
      <c r="A56" s="0" t="s">
        <v>46</v>
      </c>
      <c r="B56" s="0" t="s">
        <v>10885</v>
      </c>
      <c r="C56" s="0" t="s">
        <v>10980</v>
      </c>
      <c r="D56" s="0" t="s">
        <v>10905</v>
      </c>
      <c r="E56" s="8" t="s">
        <v>10890</v>
      </c>
      <c r="F56" s="8" t="s">
        <v>10982</v>
      </c>
    </row>
    <row r="57" customFormat="false" ht="28.35" hidden="false" customHeight="false" outlineLevel="0" collapsed="false">
      <c r="A57" s="0" t="s">
        <v>47</v>
      </c>
      <c r="B57" s="0" t="s">
        <v>10885</v>
      </c>
      <c r="C57" s="0" t="s">
        <v>10980</v>
      </c>
      <c r="D57" s="0" t="s">
        <v>4587</v>
      </c>
      <c r="E57" s="8" t="s">
        <v>10983</v>
      </c>
      <c r="F57" s="8" t="s">
        <v>10984</v>
      </c>
    </row>
    <row r="58" customFormat="false" ht="15" hidden="false" customHeight="false" outlineLevel="0" collapsed="false">
      <c r="A58" s="0" t="s">
        <v>48</v>
      </c>
      <c r="B58" s="0" t="s">
        <v>10939</v>
      </c>
      <c r="C58" s="0" t="s">
        <v>10980</v>
      </c>
      <c r="D58" s="0" t="s">
        <v>10887</v>
      </c>
      <c r="E58" s="7" t="s">
        <v>10920</v>
      </c>
      <c r="F58" s="8" t="s">
        <v>10985</v>
      </c>
    </row>
    <row r="59" customFormat="false" ht="15" hidden="false" customHeight="false" outlineLevel="0" collapsed="false">
      <c r="A59" s="0" t="s">
        <v>49</v>
      </c>
      <c r="B59" s="0" t="s">
        <v>10885</v>
      </c>
      <c r="C59" s="0" t="s">
        <v>10986</v>
      </c>
      <c r="D59" s="0" t="s">
        <v>10887</v>
      </c>
      <c r="E59" s="8" t="s">
        <v>10987</v>
      </c>
      <c r="F59" s="8" t="s">
        <v>10988</v>
      </c>
    </row>
    <row r="60" customFormat="false" ht="15" hidden="false" customHeight="false" outlineLevel="0" collapsed="false">
      <c r="A60" s="0" t="s">
        <v>50</v>
      </c>
      <c r="B60" s="0" t="s">
        <v>10885</v>
      </c>
      <c r="C60" s="0" t="s">
        <v>10986</v>
      </c>
      <c r="D60" s="0" t="s">
        <v>10887</v>
      </c>
      <c r="E60" s="8" t="s">
        <v>10890</v>
      </c>
      <c r="F60" s="8" t="s">
        <v>10989</v>
      </c>
    </row>
    <row r="61" customFormat="false" ht="28.35" hidden="false" customHeight="false" outlineLevel="0" collapsed="false">
      <c r="A61" s="0" t="s">
        <v>4531</v>
      </c>
      <c r="B61" s="0" t="s">
        <v>10941</v>
      </c>
      <c r="C61" s="0" t="s">
        <v>10986</v>
      </c>
      <c r="D61" s="0" t="s">
        <v>10887</v>
      </c>
      <c r="E61" s="8" t="s">
        <v>10990</v>
      </c>
      <c r="F61" s="8" t="s">
        <v>10991</v>
      </c>
    </row>
    <row r="62" customFormat="false" ht="15" hidden="false" customHeight="false" outlineLevel="0" collapsed="false">
      <c r="A62" s="0" t="s">
        <v>97</v>
      </c>
      <c r="B62" s="0" t="s">
        <v>10885</v>
      </c>
      <c r="C62" s="0" t="s">
        <v>10986</v>
      </c>
      <c r="D62" s="0" t="s">
        <v>10887</v>
      </c>
      <c r="E62" s="8" t="s">
        <v>10992</v>
      </c>
      <c r="F62" s="8" t="s">
        <v>10993</v>
      </c>
    </row>
    <row r="63" customFormat="false" ht="28.35" hidden="false" customHeight="false" outlineLevel="0" collapsed="false">
      <c r="A63" s="0" t="s">
        <v>98</v>
      </c>
      <c r="B63" s="0" t="s">
        <v>10939</v>
      </c>
      <c r="C63" s="0" t="s">
        <v>10986</v>
      </c>
      <c r="D63" s="0" t="s">
        <v>10887</v>
      </c>
      <c r="E63" s="8" t="s">
        <v>10994</v>
      </c>
      <c r="F63" s="8" t="s">
        <v>10995</v>
      </c>
    </row>
    <row r="64" customFormat="false" ht="28.35" hidden="false" customHeight="false" outlineLevel="0" collapsed="false">
      <c r="A64" s="0" t="s">
        <v>99</v>
      </c>
      <c r="B64" s="0" t="s">
        <v>10939</v>
      </c>
      <c r="C64" s="0" t="s">
        <v>10986</v>
      </c>
      <c r="D64" s="0" t="s">
        <v>10887</v>
      </c>
      <c r="E64" s="8" t="s">
        <v>10996</v>
      </c>
      <c r="F64" s="8" t="s">
        <v>10997</v>
      </c>
    </row>
    <row r="65" customFormat="false" ht="28.35" hidden="false" customHeight="false" outlineLevel="0" collapsed="false">
      <c r="A65" s="0" t="s">
        <v>100</v>
      </c>
      <c r="B65" s="0" t="s">
        <v>10939</v>
      </c>
      <c r="C65" s="0" t="s">
        <v>10986</v>
      </c>
      <c r="D65" s="0" t="s">
        <v>10887</v>
      </c>
      <c r="E65" s="8" t="s">
        <v>10998</v>
      </c>
      <c r="F65" s="8" t="s">
        <v>10999</v>
      </c>
    </row>
    <row r="66" customFormat="false" ht="28.35" hidden="false" customHeight="false" outlineLevel="0" collapsed="false">
      <c r="A66" s="0" t="s">
        <v>101</v>
      </c>
      <c r="B66" s="0" t="s">
        <v>10939</v>
      </c>
      <c r="C66" s="0" t="s">
        <v>10986</v>
      </c>
      <c r="D66" s="0" t="s">
        <v>10887</v>
      </c>
      <c r="E66" s="8" t="s">
        <v>11000</v>
      </c>
      <c r="F66" s="8" t="s">
        <v>11001</v>
      </c>
    </row>
    <row r="67" customFormat="false" ht="15" hidden="false" customHeight="false" outlineLevel="0" collapsed="false">
      <c r="A67" s="0" t="s">
        <v>102</v>
      </c>
      <c r="B67" s="0" t="s">
        <v>10939</v>
      </c>
      <c r="C67" s="0" t="s">
        <v>10986</v>
      </c>
      <c r="D67" s="0" t="s">
        <v>10905</v>
      </c>
      <c r="E67" s="8" t="s">
        <v>11002</v>
      </c>
      <c r="F67" s="8" t="s">
        <v>11003</v>
      </c>
    </row>
    <row r="68" customFormat="false" ht="15" hidden="false" customHeight="false" outlineLevel="0" collapsed="false">
      <c r="A68" s="0" t="s">
        <v>103</v>
      </c>
      <c r="B68" s="0" t="s">
        <v>10885</v>
      </c>
      <c r="C68" s="0" t="s">
        <v>10986</v>
      </c>
      <c r="D68" s="0" t="s">
        <v>10905</v>
      </c>
      <c r="E68" s="8" t="s">
        <v>11004</v>
      </c>
      <c r="F68" s="8" t="s">
        <v>11005</v>
      </c>
    </row>
    <row r="69" customFormat="false" ht="28.35" hidden="false" customHeight="false" outlineLevel="0" collapsed="false">
      <c r="A69" s="0" t="s">
        <v>4558</v>
      </c>
      <c r="B69" s="0" t="s">
        <v>10941</v>
      </c>
      <c r="C69" s="0" t="s">
        <v>10986</v>
      </c>
      <c r="D69" s="0" t="s">
        <v>10887</v>
      </c>
      <c r="E69" s="8" t="s">
        <v>11006</v>
      </c>
      <c r="F69" s="8" t="s">
        <v>11007</v>
      </c>
    </row>
    <row r="70" customFormat="false" ht="28.35" hidden="false" customHeight="false" outlineLevel="0" collapsed="false">
      <c r="A70" s="0" t="s">
        <v>4559</v>
      </c>
      <c r="B70" s="0" t="s">
        <v>10941</v>
      </c>
      <c r="C70" s="0" t="s">
        <v>10986</v>
      </c>
      <c r="D70" s="0" t="s">
        <v>10887</v>
      </c>
      <c r="E70" s="8" t="s">
        <v>11008</v>
      </c>
      <c r="F70" s="8" t="s">
        <v>11009</v>
      </c>
    </row>
    <row r="71" customFormat="false" ht="15" hidden="false" customHeight="false" outlineLevel="0" collapsed="false">
      <c r="A71" s="0" t="s">
        <v>4560</v>
      </c>
      <c r="B71" s="0" t="s">
        <v>10941</v>
      </c>
      <c r="C71" s="0" t="s">
        <v>10986</v>
      </c>
      <c r="D71" s="0" t="s">
        <v>10887</v>
      </c>
      <c r="E71" s="8" t="s">
        <v>11000</v>
      </c>
      <c r="F71" s="8" t="s">
        <v>11010</v>
      </c>
    </row>
    <row r="72" customFormat="false" ht="15" hidden="false" customHeight="false" outlineLevel="0" collapsed="false">
      <c r="A72" s="0" t="s">
        <v>4561</v>
      </c>
      <c r="B72" s="0" t="s">
        <v>10941</v>
      </c>
      <c r="C72" s="0" t="s">
        <v>10986</v>
      </c>
      <c r="D72" s="0" t="s">
        <v>10887</v>
      </c>
      <c r="E72" s="8" t="s">
        <v>11011</v>
      </c>
      <c r="F72" s="8" t="s">
        <v>11012</v>
      </c>
    </row>
    <row r="73" customFormat="false" ht="15" hidden="false" customHeight="false" outlineLevel="0" collapsed="false">
      <c r="A73" s="0" t="s">
        <v>4562</v>
      </c>
      <c r="B73" s="0" t="s">
        <v>10941</v>
      </c>
      <c r="C73" s="0" t="s">
        <v>10986</v>
      </c>
      <c r="D73" s="0" t="s">
        <v>10887</v>
      </c>
      <c r="E73" s="8" t="s">
        <v>11011</v>
      </c>
      <c r="F73" s="8" t="s">
        <v>11013</v>
      </c>
    </row>
    <row r="74" customFormat="false" ht="28.35" hidden="false" customHeight="false" outlineLevel="0" collapsed="false">
      <c r="A74" s="0" t="s">
        <v>4563</v>
      </c>
      <c r="B74" s="0" t="s">
        <v>10941</v>
      </c>
      <c r="C74" s="0" t="s">
        <v>10986</v>
      </c>
      <c r="D74" s="0" t="s">
        <v>10887</v>
      </c>
      <c r="E74" s="8" t="s">
        <v>11011</v>
      </c>
      <c r="F74" s="8" t="s">
        <v>11014</v>
      </c>
    </row>
    <row r="75" customFormat="false" ht="41.75" hidden="false" customHeight="false" outlineLevel="0" collapsed="false">
      <c r="A75" s="0" t="s">
        <v>4564</v>
      </c>
      <c r="B75" s="0" t="s">
        <v>10941</v>
      </c>
      <c r="C75" s="0" t="s">
        <v>10986</v>
      </c>
      <c r="D75" s="0" t="s">
        <v>10887</v>
      </c>
      <c r="E75" s="8" t="s">
        <v>11015</v>
      </c>
      <c r="F75" s="8" t="s">
        <v>11016</v>
      </c>
    </row>
    <row r="76" customFormat="false" ht="55.2" hidden="false" customHeight="false" outlineLevel="0" collapsed="false">
      <c r="A76" s="0" t="s">
        <v>4532</v>
      </c>
      <c r="B76" s="0" t="s">
        <v>10941</v>
      </c>
      <c r="C76" s="0" t="s">
        <v>10986</v>
      </c>
      <c r="D76" s="0" t="s">
        <v>10887</v>
      </c>
      <c r="E76" s="8" t="s">
        <v>11017</v>
      </c>
      <c r="F76" s="8" t="s">
        <v>11018</v>
      </c>
    </row>
    <row r="77" customFormat="false" ht="15" hidden="false" customHeight="false" outlineLevel="0" collapsed="false">
      <c r="A77" s="0" t="s">
        <v>62</v>
      </c>
      <c r="B77" s="0" t="s">
        <v>10939</v>
      </c>
      <c r="C77" s="0" t="s">
        <v>10986</v>
      </c>
      <c r="D77" s="0" t="s">
        <v>10887</v>
      </c>
      <c r="E77" s="8" t="s">
        <v>11019</v>
      </c>
      <c r="F77" s="8" t="s">
        <v>11020</v>
      </c>
    </row>
    <row r="78" customFormat="false" ht="15" hidden="false" customHeight="false" outlineLevel="0" collapsed="false">
      <c r="A78" s="0" t="s">
        <v>92</v>
      </c>
      <c r="B78" s="0" t="s">
        <v>10939</v>
      </c>
      <c r="C78" s="0" t="s">
        <v>10986</v>
      </c>
      <c r="D78" s="0" t="s">
        <v>10887</v>
      </c>
      <c r="E78" s="8" t="s">
        <v>10958</v>
      </c>
      <c r="F78" s="8" t="s">
        <v>11021</v>
      </c>
    </row>
    <row r="79" customFormat="false" ht="28.35" hidden="false" customHeight="false" outlineLevel="0" collapsed="false">
      <c r="A79" s="0" t="s">
        <v>93</v>
      </c>
      <c r="B79" s="0" t="s">
        <v>10939</v>
      </c>
      <c r="C79" s="0" t="s">
        <v>10986</v>
      </c>
      <c r="D79" s="0" t="s">
        <v>10887</v>
      </c>
      <c r="E79" s="8" t="s">
        <v>10890</v>
      </c>
      <c r="F79" s="8" t="s">
        <v>11022</v>
      </c>
    </row>
    <row r="80" customFormat="false" ht="15" hidden="false" customHeight="false" outlineLevel="0" collapsed="false">
      <c r="A80" s="0" t="s">
        <v>94</v>
      </c>
      <c r="B80" s="0" t="s">
        <v>10939</v>
      </c>
      <c r="C80" s="0" t="s">
        <v>10986</v>
      </c>
      <c r="D80" s="0" t="s">
        <v>10887</v>
      </c>
      <c r="E80" s="8" t="s">
        <v>10890</v>
      </c>
      <c r="F80" s="8" t="s">
        <v>11023</v>
      </c>
    </row>
    <row r="81" customFormat="false" ht="15" hidden="false" customHeight="false" outlineLevel="0" collapsed="false">
      <c r="A81" s="0" t="s">
        <v>95</v>
      </c>
      <c r="B81" s="0" t="s">
        <v>10939</v>
      </c>
      <c r="C81" s="0" t="s">
        <v>10986</v>
      </c>
      <c r="D81" s="0" t="s">
        <v>10887</v>
      </c>
      <c r="E81" s="8" t="s">
        <v>10890</v>
      </c>
      <c r="F81" s="8" t="s">
        <v>11024</v>
      </c>
    </row>
    <row r="82" customFormat="false" ht="15" hidden="false" customHeight="false" outlineLevel="0" collapsed="false">
      <c r="A82" s="0" t="s">
        <v>96</v>
      </c>
      <c r="B82" s="0" t="s">
        <v>10939</v>
      </c>
      <c r="C82" s="0" t="s">
        <v>10986</v>
      </c>
      <c r="D82" s="0" t="s">
        <v>10887</v>
      </c>
      <c r="E82" s="8" t="s">
        <v>11025</v>
      </c>
      <c r="F82" s="8" t="s">
        <v>11026</v>
      </c>
    </row>
    <row r="83" customFormat="false" ht="15" hidden="false" customHeight="false" outlineLevel="0" collapsed="false">
      <c r="A83" s="0" t="s">
        <v>116</v>
      </c>
      <c r="B83" s="0" t="s">
        <v>10885</v>
      </c>
      <c r="C83" s="0" t="s">
        <v>11027</v>
      </c>
      <c r="D83" s="0" t="s">
        <v>10887</v>
      </c>
      <c r="E83" s="8" t="s">
        <v>10890</v>
      </c>
      <c r="F83" s="8" t="s">
        <v>11028</v>
      </c>
    </row>
    <row r="84" customFormat="false" ht="28.35" hidden="false" customHeight="false" outlineLevel="0" collapsed="false">
      <c r="A84" s="0" t="s">
        <v>117</v>
      </c>
      <c r="B84" s="0" t="s">
        <v>10885</v>
      </c>
      <c r="C84" s="0" t="s">
        <v>11027</v>
      </c>
      <c r="D84" s="0" t="s">
        <v>10887</v>
      </c>
      <c r="E84" s="8" t="s">
        <v>11029</v>
      </c>
      <c r="F84" s="8" t="s">
        <v>11030</v>
      </c>
    </row>
    <row r="85" customFormat="false" ht="15" hidden="false" customHeight="false" outlineLevel="0" collapsed="false">
      <c r="A85" s="0" t="s">
        <v>118</v>
      </c>
      <c r="B85" s="0" t="s">
        <v>10885</v>
      </c>
      <c r="C85" s="0" t="s">
        <v>11027</v>
      </c>
      <c r="D85" s="0" t="s">
        <v>10887</v>
      </c>
      <c r="E85" s="8" t="s">
        <v>10890</v>
      </c>
      <c r="F85" s="8" t="s">
        <v>11031</v>
      </c>
    </row>
    <row r="86" customFormat="false" ht="28.35" hidden="false" customHeight="false" outlineLevel="0" collapsed="false">
      <c r="A86" s="0" t="s">
        <v>128</v>
      </c>
      <c r="B86" s="0" t="s">
        <v>10939</v>
      </c>
      <c r="C86" s="0" t="s">
        <v>11027</v>
      </c>
      <c r="D86" s="0" t="s">
        <v>10887</v>
      </c>
      <c r="E86" s="8" t="s">
        <v>11032</v>
      </c>
      <c r="F86" s="8" t="s">
        <v>11033</v>
      </c>
    </row>
    <row r="87" customFormat="false" ht="15" hidden="false" customHeight="false" outlineLevel="0" collapsed="false">
      <c r="A87" s="0" t="s">
        <v>119</v>
      </c>
      <c r="B87" s="0" t="s">
        <v>10885</v>
      </c>
      <c r="C87" s="0" t="s">
        <v>11027</v>
      </c>
      <c r="D87" s="0" t="s">
        <v>10887</v>
      </c>
      <c r="E87" s="8" t="s">
        <v>10890</v>
      </c>
      <c r="F87" s="8" t="s">
        <v>11034</v>
      </c>
    </row>
    <row r="88" customFormat="false" ht="28.35" hidden="false" customHeight="false" outlineLevel="0" collapsed="false">
      <c r="A88" s="0" t="s">
        <v>127</v>
      </c>
      <c r="B88" s="0" t="s">
        <v>10885</v>
      </c>
      <c r="C88" s="0" t="s">
        <v>11027</v>
      </c>
      <c r="D88" s="0" t="s">
        <v>10887</v>
      </c>
      <c r="E88" s="8" t="s">
        <v>11035</v>
      </c>
      <c r="F88" s="8" t="s">
        <v>11036</v>
      </c>
    </row>
    <row r="89" customFormat="false" ht="15" hidden="false" customHeight="false" outlineLevel="0" collapsed="false">
      <c r="A89" s="0" t="s">
        <v>104</v>
      </c>
      <c r="B89" s="0" t="s">
        <v>10885</v>
      </c>
      <c r="C89" s="0" t="s">
        <v>11027</v>
      </c>
      <c r="D89" s="0" t="s">
        <v>10887</v>
      </c>
      <c r="E89" s="8" t="s">
        <v>10892</v>
      </c>
      <c r="F89" s="8" t="s">
        <v>11037</v>
      </c>
    </row>
    <row r="90" customFormat="false" ht="15" hidden="false" customHeight="false" outlineLevel="0" collapsed="false">
      <c r="A90" s="0" t="s">
        <v>105</v>
      </c>
      <c r="B90" s="0" t="s">
        <v>10885</v>
      </c>
      <c r="C90" s="0" t="s">
        <v>11027</v>
      </c>
      <c r="D90" s="0" t="s">
        <v>10887</v>
      </c>
      <c r="E90" s="8" t="s">
        <v>11038</v>
      </c>
      <c r="F90" s="8" t="s">
        <v>11039</v>
      </c>
    </row>
    <row r="91" customFormat="false" ht="15" hidden="false" customHeight="false" outlineLevel="0" collapsed="false">
      <c r="A91" s="0" t="s">
        <v>106</v>
      </c>
      <c r="B91" s="0" t="s">
        <v>10885</v>
      </c>
      <c r="C91" s="0" t="s">
        <v>11027</v>
      </c>
      <c r="D91" s="0" t="s">
        <v>10887</v>
      </c>
      <c r="E91" s="8" t="s">
        <v>10892</v>
      </c>
      <c r="F91" s="8" t="s">
        <v>11040</v>
      </c>
    </row>
    <row r="92" customFormat="false" ht="15" hidden="false" customHeight="false" outlineLevel="0" collapsed="false">
      <c r="A92" s="0" t="s">
        <v>107</v>
      </c>
      <c r="B92" s="0" t="s">
        <v>10885</v>
      </c>
      <c r="C92" s="0" t="s">
        <v>11027</v>
      </c>
      <c r="D92" s="0" t="s">
        <v>4587</v>
      </c>
      <c r="E92" s="8" t="s">
        <v>10897</v>
      </c>
      <c r="F92" s="8" t="s">
        <v>11041</v>
      </c>
    </row>
    <row r="93" customFormat="false" ht="15" hidden="false" customHeight="false" outlineLevel="0" collapsed="false">
      <c r="A93" s="0" t="s">
        <v>108</v>
      </c>
      <c r="B93" s="0" t="s">
        <v>10885</v>
      </c>
      <c r="C93" s="0" t="s">
        <v>11027</v>
      </c>
      <c r="D93" s="0" t="s">
        <v>4587</v>
      </c>
      <c r="E93" s="8" t="s">
        <v>10899</v>
      </c>
      <c r="F93" s="8" t="s">
        <v>11042</v>
      </c>
    </row>
    <row r="94" customFormat="false" ht="15" hidden="false" customHeight="false" outlineLevel="0" collapsed="false">
      <c r="A94" s="0" t="s">
        <v>109</v>
      </c>
      <c r="B94" s="0" t="s">
        <v>10885</v>
      </c>
      <c r="C94" s="0" t="s">
        <v>11027</v>
      </c>
      <c r="D94" s="0" t="s">
        <v>4587</v>
      </c>
      <c r="E94" s="8" t="s">
        <v>10901</v>
      </c>
      <c r="F94" s="8" t="s">
        <v>11043</v>
      </c>
    </row>
    <row r="95" customFormat="false" ht="15" hidden="false" customHeight="false" outlineLevel="0" collapsed="false">
      <c r="A95" s="0" t="s">
        <v>120</v>
      </c>
      <c r="B95" s="0" t="s">
        <v>10885</v>
      </c>
      <c r="C95" s="0" t="s">
        <v>11027</v>
      </c>
      <c r="D95" s="0" t="s">
        <v>10887</v>
      </c>
      <c r="E95" s="8" t="s">
        <v>10890</v>
      </c>
      <c r="F95" s="8" t="s">
        <v>11044</v>
      </c>
    </row>
    <row r="96" customFormat="false" ht="15" hidden="false" customHeight="false" outlineLevel="0" collapsed="false">
      <c r="A96" s="0" t="s">
        <v>121</v>
      </c>
      <c r="B96" s="0" t="s">
        <v>10885</v>
      </c>
      <c r="C96" s="0" t="s">
        <v>11027</v>
      </c>
      <c r="D96" s="0" t="s">
        <v>10887</v>
      </c>
      <c r="E96" s="8" t="s">
        <v>10890</v>
      </c>
      <c r="F96" s="8" t="s">
        <v>11045</v>
      </c>
    </row>
    <row r="97" customFormat="false" ht="28.35" hidden="false" customHeight="false" outlineLevel="0" collapsed="false">
      <c r="A97" s="0" t="s">
        <v>122</v>
      </c>
      <c r="B97" s="0" t="s">
        <v>10885</v>
      </c>
      <c r="C97" s="0" t="s">
        <v>11027</v>
      </c>
      <c r="D97" s="0" t="s">
        <v>10887</v>
      </c>
      <c r="E97" s="8" t="s">
        <v>10945</v>
      </c>
      <c r="F97" s="8" t="s">
        <v>11046</v>
      </c>
    </row>
    <row r="98" customFormat="false" ht="15" hidden="false" customHeight="false" outlineLevel="0" collapsed="false">
      <c r="A98" s="0" t="s">
        <v>123</v>
      </c>
      <c r="B98" s="0" t="s">
        <v>10885</v>
      </c>
      <c r="C98" s="0" t="s">
        <v>11027</v>
      </c>
      <c r="D98" s="0" t="s">
        <v>10887</v>
      </c>
      <c r="E98" s="8" t="s">
        <v>11047</v>
      </c>
      <c r="F98" s="8" t="s">
        <v>11048</v>
      </c>
    </row>
    <row r="99" customFormat="false" ht="15" hidden="false" customHeight="false" outlineLevel="0" collapsed="false">
      <c r="A99" s="0" t="s">
        <v>124</v>
      </c>
      <c r="B99" s="0" t="s">
        <v>10885</v>
      </c>
      <c r="C99" s="0" t="s">
        <v>11027</v>
      </c>
      <c r="D99" s="0" t="s">
        <v>10887</v>
      </c>
      <c r="E99" s="8" t="s">
        <v>10897</v>
      </c>
      <c r="F99" s="8" t="s">
        <v>11049</v>
      </c>
    </row>
    <row r="100" customFormat="false" ht="15" hidden="false" customHeight="false" outlineLevel="0" collapsed="false">
      <c r="A100" s="0" t="s">
        <v>125</v>
      </c>
      <c r="B100" s="0" t="s">
        <v>10885</v>
      </c>
      <c r="C100" s="0" t="s">
        <v>11027</v>
      </c>
      <c r="D100" s="0" t="s">
        <v>10887</v>
      </c>
      <c r="E100" s="8" t="s">
        <v>11050</v>
      </c>
      <c r="F100" s="8" t="s">
        <v>11051</v>
      </c>
    </row>
    <row r="101" customFormat="false" ht="15" hidden="false" customHeight="false" outlineLevel="0" collapsed="false">
      <c r="A101" s="0" t="s">
        <v>126</v>
      </c>
      <c r="B101" s="0" t="s">
        <v>10885</v>
      </c>
      <c r="C101" s="0" t="s">
        <v>11027</v>
      </c>
      <c r="D101" s="0" t="s">
        <v>10887</v>
      </c>
      <c r="E101" s="8" t="s">
        <v>10890</v>
      </c>
      <c r="F101" s="8" t="s">
        <v>11052</v>
      </c>
    </row>
    <row r="102" customFormat="false" ht="15" hidden="false" customHeight="false" outlineLevel="0" collapsed="false">
      <c r="A102" s="0" t="s">
        <v>4557</v>
      </c>
      <c r="B102" s="0" t="s">
        <v>10941</v>
      </c>
      <c r="C102" s="0" t="s">
        <v>11027</v>
      </c>
      <c r="D102" s="0" t="s">
        <v>10887</v>
      </c>
      <c r="E102" s="8" t="s">
        <v>10890</v>
      </c>
      <c r="F102" s="8" t="s">
        <v>11053</v>
      </c>
    </row>
    <row r="103" customFormat="false" ht="15" hidden="false" customHeight="false" outlineLevel="0" collapsed="false">
      <c r="A103" s="0" t="s">
        <v>129</v>
      </c>
      <c r="B103" s="0" t="s">
        <v>10885</v>
      </c>
      <c r="C103" s="0" t="s">
        <v>11027</v>
      </c>
      <c r="D103" s="0" t="s">
        <v>10887</v>
      </c>
      <c r="E103" s="8" t="s">
        <v>10890</v>
      </c>
      <c r="F103" s="8" t="s">
        <v>11054</v>
      </c>
    </row>
    <row r="104" customFormat="false" ht="15" hidden="false" customHeight="false" outlineLevel="0" collapsed="false">
      <c r="A104" s="0" t="s">
        <v>51</v>
      </c>
      <c r="B104" s="0" t="s">
        <v>10939</v>
      </c>
      <c r="C104" s="0" t="s">
        <v>11055</v>
      </c>
      <c r="D104" s="0" t="s">
        <v>10887</v>
      </c>
      <c r="E104" s="8" t="s">
        <v>11056</v>
      </c>
      <c r="F104" s="8" t="s">
        <v>11057</v>
      </c>
    </row>
    <row r="105" customFormat="false" ht="15" hidden="false" customHeight="false" outlineLevel="0" collapsed="false">
      <c r="A105" s="0" t="s">
        <v>52</v>
      </c>
      <c r="B105" s="0" t="s">
        <v>10939</v>
      </c>
      <c r="C105" s="0" t="s">
        <v>11055</v>
      </c>
      <c r="D105" s="0" t="s">
        <v>10887</v>
      </c>
      <c r="E105" s="8" t="s">
        <v>11058</v>
      </c>
      <c r="F105" s="8" t="s">
        <v>11059</v>
      </c>
    </row>
    <row r="106" customFormat="false" ht="15" hidden="false" customHeight="false" outlineLevel="0" collapsed="false">
      <c r="A106" s="0" t="s">
        <v>53</v>
      </c>
      <c r="B106" s="0" t="s">
        <v>10885</v>
      </c>
      <c r="C106" s="0" t="s">
        <v>11055</v>
      </c>
      <c r="D106" s="0" t="s">
        <v>10887</v>
      </c>
      <c r="E106" s="8" t="s">
        <v>11060</v>
      </c>
      <c r="F106" s="8" t="s">
        <v>11061</v>
      </c>
    </row>
    <row r="107" customFormat="false" ht="15" hidden="false" customHeight="false" outlineLevel="0" collapsed="false">
      <c r="A107" s="0" t="s">
        <v>54</v>
      </c>
      <c r="B107" s="0" t="s">
        <v>10939</v>
      </c>
      <c r="C107" s="0" t="s">
        <v>11055</v>
      </c>
      <c r="D107" s="0" t="s">
        <v>10887</v>
      </c>
      <c r="E107" s="8" t="s">
        <v>10890</v>
      </c>
      <c r="F107" s="8" t="s">
        <v>11062</v>
      </c>
    </row>
    <row r="108" customFormat="false" ht="15" hidden="false" customHeight="false" outlineLevel="0" collapsed="false">
      <c r="A108" s="0" t="s">
        <v>55</v>
      </c>
      <c r="B108" s="0" t="s">
        <v>10939</v>
      </c>
      <c r="C108" s="0" t="s">
        <v>11055</v>
      </c>
      <c r="D108" s="0" t="s">
        <v>10887</v>
      </c>
      <c r="E108" s="8" t="s">
        <v>11063</v>
      </c>
      <c r="F108" s="8" t="s">
        <v>11064</v>
      </c>
    </row>
    <row r="109" customFormat="false" ht="15" hidden="false" customHeight="false" outlineLevel="0" collapsed="false">
      <c r="A109" s="0" t="s">
        <v>56</v>
      </c>
      <c r="B109" s="0" t="s">
        <v>10939</v>
      </c>
      <c r="C109" s="0" t="s">
        <v>11055</v>
      </c>
      <c r="D109" s="0" t="s">
        <v>10887</v>
      </c>
      <c r="E109" s="8" t="s">
        <v>11065</v>
      </c>
      <c r="F109" s="8" t="s">
        <v>11066</v>
      </c>
    </row>
    <row r="110" customFormat="false" ht="41.75" hidden="false" customHeight="false" outlineLevel="0" collapsed="false">
      <c r="A110" s="0" t="s">
        <v>57</v>
      </c>
      <c r="B110" s="0" t="s">
        <v>10939</v>
      </c>
      <c r="C110" s="0" t="s">
        <v>11055</v>
      </c>
      <c r="D110" s="0" t="s">
        <v>10887</v>
      </c>
      <c r="E110" s="8" t="s">
        <v>11067</v>
      </c>
      <c r="F110" s="8" t="s">
        <v>11068</v>
      </c>
    </row>
    <row r="111" customFormat="false" ht="15" hidden="false" customHeight="false" outlineLevel="0" collapsed="false">
      <c r="A111" s="0" t="s">
        <v>58</v>
      </c>
      <c r="B111" s="0" t="s">
        <v>10939</v>
      </c>
      <c r="C111" s="0" t="s">
        <v>11055</v>
      </c>
      <c r="D111" s="0" t="s">
        <v>10887</v>
      </c>
      <c r="E111" s="8" t="s">
        <v>11069</v>
      </c>
      <c r="F111" s="8" t="s">
        <v>11070</v>
      </c>
    </row>
    <row r="112" customFormat="false" ht="55.2" hidden="false" customHeight="false" outlineLevel="0" collapsed="false">
      <c r="A112" s="0" t="s">
        <v>59</v>
      </c>
      <c r="B112" s="0" t="s">
        <v>10939</v>
      </c>
      <c r="C112" s="0" t="s">
        <v>11055</v>
      </c>
      <c r="D112" s="0" t="s">
        <v>10887</v>
      </c>
      <c r="E112" s="8" t="s">
        <v>11071</v>
      </c>
      <c r="F112" s="8" t="s">
        <v>11072</v>
      </c>
    </row>
    <row r="113" customFormat="false" ht="15" hidden="false" customHeight="false" outlineLevel="0" collapsed="false">
      <c r="A113" s="0" t="s">
        <v>60</v>
      </c>
      <c r="B113" s="0" t="s">
        <v>10939</v>
      </c>
      <c r="C113" s="0" t="s">
        <v>11055</v>
      </c>
      <c r="D113" s="0" t="s">
        <v>10887</v>
      </c>
      <c r="E113" s="7" t="s">
        <v>10928</v>
      </c>
      <c r="F113" s="8" t="s">
        <v>11073</v>
      </c>
    </row>
    <row r="114" customFormat="false" ht="28.35" hidden="false" customHeight="false" outlineLevel="0" collapsed="false">
      <c r="A114" s="0" t="s">
        <v>61</v>
      </c>
      <c r="B114" s="0" t="s">
        <v>10939</v>
      </c>
      <c r="C114" s="0" t="s">
        <v>11055</v>
      </c>
      <c r="D114" s="0" t="s">
        <v>10887</v>
      </c>
      <c r="E114" s="7" t="s">
        <v>10928</v>
      </c>
      <c r="F114" s="8" t="s">
        <v>11074</v>
      </c>
    </row>
    <row r="115" customFormat="false" ht="28.35" hidden="false" customHeight="false" outlineLevel="0" collapsed="false">
      <c r="A115" s="0" t="s">
        <v>64</v>
      </c>
      <c r="B115" s="0" t="s">
        <v>10939</v>
      </c>
      <c r="C115" s="0" t="s">
        <v>11055</v>
      </c>
      <c r="D115" s="0" t="s">
        <v>10887</v>
      </c>
      <c r="E115" s="8" t="s">
        <v>10922</v>
      </c>
      <c r="F115" s="8" t="s">
        <v>11075</v>
      </c>
    </row>
    <row r="116" customFormat="false" ht="41.75" hidden="false" customHeight="false" outlineLevel="0" collapsed="false">
      <c r="A116" s="0" t="s">
        <v>65</v>
      </c>
      <c r="B116" s="0" t="s">
        <v>10939</v>
      </c>
      <c r="C116" s="0" t="s">
        <v>11055</v>
      </c>
      <c r="D116" s="0" t="s">
        <v>10887</v>
      </c>
      <c r="E116" s="8" t="s">
        <v>10954</v>
      </c>
      <c r="F116" s="8" t="s">
        <v>11076</v>
      </c>
    </row>
    <row r="117" customFormat="false" ht="15" hidden="false" customHeight="false" outlineLevel="0" collapsed="false">
      <c r="A117" s="0" t="s">
        <v>66</v>
      </c>
      <c r="B117" s="0" t="s">
        <v>10939</v>
      </c>
      <c r="C117" s="0" t="s">
        <v>11055</v>
      </c>
      <c r="D117" s="0" t="s">
        <v>10887</v>
      </c>
      <c r="E117" s="8" t="s">
        <v>11060</v>
      </c>
      <c r="F117" s="8" t="s">
        <v>11077</v>
      </c>
    </row>
    <row r="118" customFormat="false" ht="15" hidden="false" customHeight="false" outlineLevel="0" collapsed="false">
      <c r="A118" s="0" t="s">
        <v>67</v>
      </c>
      <c r="B118" s="0" t="s">
        <v>10939</v>
      </c>
      <c r="C118" s="0" t="s">
        <v>11055</v>
      </c>
      <c r="D118" s="0" t="s">
        <v>10887</v>
      </c>
      <c r="E118" s="8" t="s">
        <v>11078</v>
      </c>
      <c r="F118" s="8" t="s">
        <v>11079</v>
      </c>
    </row>
    <row r="119" customFormat="false" ht="41.75" hidden="false" customHeight="false" outlineLevel="0" collapsed="false">
      <c r="A119" s="0" t="s">
        <v>68</v>
      </c>
      <c r="B119" s="0" t="s">
        <v>10939</v>
      </c>
      <c r="C119" s="0" t="s">
        <v>11055</v>
      </c>
      <c r="D119" s="0" t="s">
        <v>10887</v>
      </c>
      <c r="E119" s="8" t="s">
        <v>11080</v>
      </c>
      <c r="F119" s="8" t="s">
        <v>11081</v>
      </c>
    </row>
    <row r="120" customFormat="false" ht="15" hidden="false" customHeight="false" outlineLevel="0" collapsed="false">
      <c r="A120" s="0" t="s">
        <v>69</v>
      </c>
      <c r="B120" s="0" t="s">
        <v>10939</v>
      </c>
      <c r="C120" s="0" t="s">
        <v>11055</v>
      </c>
      <c r="D120" s="0" t="s">
        <v>10887</v>
      </c>
      <c r="E120" s="8" t="s">
        <v>11080</v>
      </c>
      <c r="F120" s="8" t="s">
        <v>11082</v>
      </c>
    </row>
    <row r="121" customFormat="false" ht="15" hidden="false" customHeight="false" outlineLevel="0" collapsed="false">
      <c r="A121" s="0" t="s">
        <v>70</v>
      </c>
      <c r="B121" s="0" t="s">
        <v>10939</v>
      </c>
      <c r="C121" s="0" t="s">
        <v>11055</v>
      </c>
      <c r="D121" s="0" t="s">
        <v>10887</v>
      </c>
      <c r="E121" s="7" t="s">
        <v>10920</v>
      </c>
      <c r="F121" s="8" t="s">
        <v>11083</v>
      </c>
    </row>
    <row r="122" customFormat="false" ht="28.35" hidden="false" customHeight="false" outlineLevel="0" collapsed="false">
      <c r="A122" s="0" t="s">
        <v>71</v>
      </c>
      <c r="B122" s="0" t="s">
        <v>10939</v>
      </c>
      <c r="C122" s="0" t="s">
        <v>11055</v>
      </c>
      <c r="D122" s="0" t="s">
        <v>10887</v>
      </c>
      <c r="E122" s="8" t="s">
        <v>10992</v>
      </c>
      <c r="F122" s="8" t="s">
        <v>11084</v>
      </c>
    </row>
    <row r="123" customFormat="false" ht="28.35" hidden="false" customHeight="false" outlineLevel="0" collapsed="false">
      <c r="A123" s="0" t="s">
        <v>72</v>
      </c>
      <c r="B123" s="0" t="s">
        <v>10939</v>
      </c>
      <c r="C123" s="0" t="s">
        <v>11055</v>
      </c>
      <c r="D123" s="0" t="s">
        <v>10887</v>
      </c>
      <c r="E123" s="8" t="s">
        <v>11085</v>
      </c>
      <c r="F123" s="8" t="s">
        <v>11086</v>
      </c>
    </row>
    <row r="124" customFormat="false" ht="15" hidden="false" customHeight="false" outlineLevel="0" collapsed="false">
      <c r="A124" s="0" t="s">
        <v>73</v>
      </c>
      <c r="B124" s="0" t="s">
        <v>10939</v>
      </c>
      <c r="C124" s="0" t="s">
        <v>11055</v>
      </c>
      <c r="D124" s="0" t="s">
        <v>10887</v>
      </c>
      <c r="E124" s="8" t="s">
        <v>10954</v>
      </c>
      <c r="F124" s="8" t="s">
        <v>11087</v>
      </c>
    </row>
    <row r="125" customFormat="false" ht="15" hidden="false" customHeight="false" outlineLevel="0" collapsed="false">
      <c r="A125" s="0" t="s">
        <v>74</v>
      </c>
      <c r="B125" s="0" t="s">
        <v>10939</v>
      </c>
      <c r="C125" s="0" t="s">
        <v>11055</v>
      </c>
      <c r="D125" s="0" t="s">
        <v>10887</v>
      </c>
      <c r="E125" s="7" t="s">
        <v>10928</v>
      </c>
      <c r="F125" s="8" t="s">
        <v>11088</v>
      </c>
    </row>
    <row r="126" customFormat="false" ht="15" hidden="false" customHeight="false" outlineLevel="0" collapsed="false">
      <c r="A126" s="0" t="s">
        <v>75</v>
      </c>
      <c r="B126" s="0" t="s">
        <v>10939</v>
      </c>
      <c r="C126" s="0" t="s">
        <v>11055</v>
      </c>
      <c r="D126" s="0" t="s">
        <v>10887</v>
      </c>
      <c r="E126" s="8" t="s">
        <v>11089</v>
      </c>
      <c r="F126" s="8" t="s">
        <v>11090</v>
      </c>
    </row>
    <row r="127" customFormat="false" ht="41.75" hidden="false" customHeight="false" outlineLevel="0" collapsed="false">
      <c r="A127" s="0" t="s">
        <v>76</v>
      </c>
      <c r="B127" s="0" t="s">
        <v>10939</v>
      </c>
      <c r="C127" s="0" t="s">
        <v>11055</v>
      </c>
      <c r="D127" s="0" t="s">
        <v>10887</v>
      </c>
      <c r="E127" s="8" t="s">
        <v>11091</v>
      </c>
      <c r="F127" s="8" t="s">
        <v>11092</v>
      </c>
    </row>
    <row r="128" customFormat="false" ht="28.35" hidden="false" customHeight="false" outlineLevel="0" collapsed="false">
      <c r="A128" s="0" t="s">
        <v>77</v>
      </c>
      <c r="B128" s="0" t="s">
        <v>10939</v>
      </c>
      <c r="C128" s="0" t="s">
        <v>11055</v>
      </c>
      <c r="D128" s="0" t="s">
        <v>10887</v>
      </c>
      <c r="E128" s="8" t="s">
        <v>10897</v>
      </c>
      <c r="F128" s="8" t="s">
        <v>11093</v>
      </c>
    </row>
    <row r="129" customFormat="false" ht="15" hidden="false" customHeight="false" outlineLevel="0" collapsed="false">
      <c r="A129" s="0" t="s">
        <v>78</v>
      </c>
      <c r="B129" s="0" t="s">
        <v>10939</v>
      </c>
      <c r="C129" s="0" t="s">
        <v>11055</v>
      </c>
      <c r="D129" s="0" t="s">
        <v>10887</v>
      </c>
      <c r="E129" s="8" t="s">
        <v>11050</v>
      </c>
      <c r="F129" s="8" t="s">
        <v>11094</v>
      </c>
    </row>
    <row r="130" customFormat="false" ht="15" hidden="false" customHeight="false" outlineLevel="0" collapsed="false">
      <c r="A130" s="0" t="s">
        <v>79</v>
      </c>
      <c r="B130" s="0" t="s">
        <v>10939</v>
      </c>
      <c r="C130" s="0" t="s">
        <v>11055</v>
      </c>
      <c r="D130" s="0" t="s">
        <v>10887</v>
      </c>
      <c r="E130" s="8" t="s">
        <v>10890</v>
      </c>
      <c r="F130" s="8" t="s">
        <v>11095</v>
      </c>
    </row>
    <row r="131" customFormat="false" ht="55.2" hidden="false" customHeight="false" outlineLevel="0" collapsed="false">
      <c r="A131" s="0" t="s">
        <v>80</v>
      </c>
      <c r="B131" s="0" t="s">
        <v>10939</v>
      </c>
      <c r="C131" s="0" t="s">
        <v>11055</v>
      </c>
      <c r="D131" s="0" t="s">
        <v>10887</v>
      </c>
      <c r="E131" s="8" t="s">
        <v>11096</v>
      </c>
      <c r="F131" s="8" t="s">
        <v>11097</v>
      </c>
    </row>
    <row r="132" customFormat="false" ht="28.35" hidden="false" customHeight="false" outlineLevel="0" collapsed="false">
      <c r="A132" s="0" t="s">
        <v>81</v>
      </c>
      <c r="B132" s="0" t="s">
        <v>10939</v>
      </c>
      <c r="C132" s="0" t="s">
        <v>11055</v>
      </c>
      <c r="D132" s="0" t="s">
        <v>10887</v>
      </c>
      <c r="E132" s="8" t="s">
        <v>11098</v>
      </c>
      <c r="F132" s="8" t="s">
        <v>11099</v>
      </c>
    </row>
    <row r="133" customFormat="false" ht="28.35" hidden="false" customHeight="false" outlineLevel="0" collapsed="false">
      <c r="A133" s="0" t="s">
        <v>82</v>
      </c>
      <c r="B133" s="0" t="s">
        <v>10939</v>
      </c>
      <c r="C133" s="0" t="s">
        <v>11055</v>
      </c>
      <c r="D133" s="0" t="s">
        <v>10887</v>
      </c>
      <c r="E133" s="7" t="s">
        <v>10920</v>
      </c>
      <c r="F133" s="8" t="s">
        <v>11100</v>
      </c>
    </row>
    <row r="134" customFormat="false" ht="28.35" hidden="false" customHeight="false" outlineLevel="0" collapsed="false">
      <c r="A134" s="0" t="s">
        <v>83</v>
      </c>
      <c r="B134" s="0" t="s">
        <v>10939</v>
      </c>
      <c r="C134" s="0" t="s">
        <v>11055</v>
      </c>
      <c r="D134" s="0" t="s">
        <v>10887</v>
      </c>
      <c r="E134" s="8" t="s">
        <v>11101</v>
      </c>
      <c r="F134" s="8" t="s">
        <v>11102</v>
      </c>
    </row>
    <row r="135" customFormat="false" ht="15" hidden="false" customHeight="false" outlineLevel="0" collapsed="false">
      <c r="A135" s="0" t="s">
        <v>84</v>
      </c>
      <c r="B135" s="0" t="s">
        <v>10939</v>
      </c>
      <c r="C135" s="0" t="s">
        <v>11055</v>
      </c>
      <c r="D135" s="0" t="s">
        <v>10887</v>
      </c>
      <c r="E135" s="8" t="s">
        <v>11103</v>
      </c>
      <c r="F135" s="8" t="s">
        <v>11104</v>
      </c>
    </row>
    <row r="136" customFormat="false" ht="28.35" hidden="false" customHeight="false" outlineLevel="0" collapsed="false">
      <c r="A136" s="0" t="s">
        <v>85</v>
      </c>
      <c r="B136" s="0" t="s">
        <v>10939</v>
      </c>
      <c r="C136" s="0" t="s">
        <v>11055</v>
      </c>
      <c r="D136" s="0" t="s">
        <v>10887</v>
      </c>
      <c r="E136" s="8" t="s">
        <v>11105</v>
      </c>
      <c r="F136" s="8" t="s">
        <v>11106</v>
      </c>
    </row>
    <row r="137" customFormat="false" ht="15" hidden="false" customHeight="false" outlineLevel="0" collapsed="false">
      <c r="A137" s="0" t="s">
        <v>86</v>
      </c>
      <c r="B137" s="0" t="s">
        <v>10939</v>
      </c>
      <c r="C137" s="0" t="s">
        <v>11055</v>
      </c>
      <c r="D137" s="0" t="s">
        <v>10887</v>
      </c>
      <c r="E137" s="8" t="s">
        <v>10897</v>
      </c>
      <c r="F137" s="8" t="s">
        <v>11107</v>
      </c>
    </row>
    <row r="138" customFormat="false" ht="28.35" hidden="false" customHeight="false" outlineLevel="0" collapsed="false">
      <c r="A138" s="0" t="s">
        <v>87</v>
      </c>
      <c r="B138" s="0" t="s">
        <v>10939</v>
      </c>
      <c r="C138" s="0" t="s">
        <v>11055</v>
      </c>
      <c r="D138" s="0" t="s">
        <v>10887</v>
      </c>
      <c r="E138" s="8" t="s">
        <v>11108</v>
      </c>
      <c r="F138" s="8" t="s">
        <v>11109</v>
      </c>
    </row>
    <row r="139" customFormat="false" ht="15" hidden="false" customHeight="false" outlineLevel="0" collapsed="false">
      <c r="A139" s="0" t="s">
        <v>88</v>
      </c>
      <c r="B139" s="0" t="s">
        <v>10939</v>
      </c>
      <c r="C139" s="0" t="s">
        <v>11055</v>
      </c>
      <c r="D139" s="0" t="s">
        <v>10887</v>
      </c>
      <c r="E139" s="7" t="s">
        <v>10920</v>
      </c>
      <c r="F139" s="8" t="s">
        <v>11110</v>
      </c>
    </row>
    <row r="140" customFormat="false" ht="15" hidden="false" customHeight="false" outlineLevel="0" collapsed="false">
      <c r="A140" s="0" t="s">
        <v>89</v>
      </c>
      <c r="B140" s="0" t="s">
        <v>10939</v>
      </c>
      <c r="C140" s="0" t="s">
        <v>11055</v>
      </c>
      <c r="D140" s="0" t="s">
        <v>10887</v>
      </c>
      <c r="E140" s="8" t="s">
        <v>10890</v>
      </c>
      <c r="F140" s="8" t="s">
        <v>11111</v>
      </c>
    </row>
    <row r="141" customFormat="false" ht="15" hidden="false" customHeight="false" outlineLevel="0" collapsed="false">
      <c r="A141" s="0" t="s">
        <v>90</v>
      </c>
      <c r="B141" s="0" t="s">
        <v>10939</v>
      </c>
      <c r="C141" s="0" t="s">
        <v>11055</v>
      </c>
      <c r="D141" s="0" t="s">
        <v>10887</v>
      </c>
      <c r="E141" s="7" t="s">
        <v>10928</v>
      </c>
      <c r="F141" s="8" t="s">
        <v>11112</v>
      </c>
    </row>
    <row r="142" customFormat="false" ht="15" hidden="false" customHeight="false" outlineLevel="0" collapsed="false">
      <c r="A142" s="0" t="s">
        <v>91</v>
      </c>
      <c r="B142" s="0" t="s">
        <v>10939</v>
      </c>
      <c r="C142" s="0" t="s">
        <v>11055</v>
      </c>
      <c r="D142" s="0" t="s">
        <v>10887</v>
      </c>
      <c r="E142" s="8" t="s">
        <v>11089</v>
      </c>
      <c r="F142" s="8" t="s">
        <v>11113</v>
      </c>
    </row>
    <row r="143" customFormat="false" ht="28.35" hidden="false" customHeight="false" outlineLevel="0" collapsed="false">
      <c r="A143" s="0" t="s">
        <v>110</v>
      </c>
      <c r="B143" s="0" t="s">
        <v>10939</v>
      </c>
      <c r="C143" s="0" t="s">
        <v>11055</v>
      </c>
      <c r="D143" s="0" t="s">
        <v>10887</v>
      </c>
      <c r="E143" s="8" t="s">
        <v>11114</v>
      </c>
      <c r="F143" s="8" t="s">
        <v>11115</v>
      </c>
    </row>
    <row r="144" customFormat="false" ht="28.35" hidden="false" customHeight="false" outlineLevel="0" collapsed="false">
      <c r="A144" s="0" t="s">
        <v>111</v>
      </c>
      <c r="B144" s="0" t="s">
        <v>10939</v>
      </c>
      <c r="C144" s="0" t="s">
        <v>11055</v>
      </c>
      <c r="D144" s="0" t="s">
        <v>10887</v>
      </c>
      <c r="E144" s="8" t="s">
        <v>10892</v>
      </c>
      <c r="F144" s="8" t="s">
        <v>11116</v>
      </c>
    </row>
    <row r="145" customFormat="false" ht="28.35" hidden="false" customHeight="false" outlineLevel="0" collapsed="false">
      <c r="A145" s="0" t="s">
        <v>112</v>
      </c>
      <c r="B145" s="0" t="s">
        <v>10939</v>
      </c>
      <c r="C145" s="0" t="s">
        <v>11055</v>
      </c>
      <c r="D145" s="0" t="s">
        <v>10887</v>
      </c>
      <c r="E145" s="8" t="s">
        <v>10983</v>
      </c>
      <c r="F145" s="8" t="s">
        <v>11117</v>
      </c>
    </row>
    <row r="146" customFormat="false" ht="15" hidden="false" customHeight="false" outlineLevel="0" collapsed="false">
      <c r="A146" s="0" t="s">
        <v>113</v>
      </c>
      <c r="B146" s="0" t="s">
        <v>10939</v>
      </c>
      <c r="C146" s="0" t="s">
        <v>11055</v>
      </c>
      <c r="D146" s="0" t="s">
        <v>10887</v>
      </c>
      <c r="E146" s="8" t="s">
        <v>11118</v>
      </c>
      <c r="F146" s="8" t="s">
        <v>11119</v>
      </c>
    </row>
    <row r="147" customFormat="false" ht="15" hidden="false" customHeight="false" outlineLevel="0" collapsed="false">
      <c r="A147" s="0" t="s">
        <v>114</v>
      </c>
      <c r="B147" s="0" t="s">
        <v>10939</v>
      </c>
      <c r="C147" s="0" t="s">
        <v>11055</v>
      </c>
      <c r="D147" s="0" t="s">
        <v>10887</v>
      </c>
      <c r="E147" s="8" t="s">
        <v>10890</v>
      </c>
      <c r="F147" s="8" t="s">
        <v>11120</v>
      </c>
    </row>
    <row r="148" customFormat="false" ht="15" hidden="false" customHeight="false" outlineLevel="0" collapsed="false">
      <c r="A148" s="0" t="s">
        <v>115</v>
      </c>
      <c r="B148" s="0" t="s">
        <v>10939</v>
      </c>
      <c r="C148" s="0" t="s">
        <v>11055</v>
      </c>
      <c r="D148" s="0" t="s">
        <v>10887</v>
      </c>
      <c r="E148" s="8" t="s">
        <v>10890</v>
      </c>
      <c r="F148" s="8" t="s">
        <v>11121</v>
      </c>
    </row>
    <row r="149" customFormat="false" ht="15" hidden="false" customHeight="false" outlineLevel="0" collapsed="false">
      <c r="A149" s="0" t="s">
        <v>4533</v>
      </c>
      <c r="B149" s="0" t="s">
        <v>10941</v>
      </c>
      <c r="C149" s="0" t="s">
        <v>10976</v>
      </c>
      <c r="D149" s="0" t="s">
        <v>10887</v>
      </c>
      <c r="E149" s="8" t="s">
        <v>11122</v>
      </c>
      <c r="F149" s="8" t="s">
        <v>11123</v>
      </c>
    </row>
    <row r="150" customFormat="false" ht="28.35" hidden="false" customHeight="false" outlineLevel="0" collapsed="false">
      <c r="A150" s="0" t="s">
        <v>4534</v>
      </c>
      <c r="B150" s="0" t="s">
        <v>10941</v>
      </c>
      <c r="C150" s="0" t="s">
        <v>10976</v>
      </c>
      <c r="D150" s="0" t="s">
        <v>10887</v>
      </c>
      <c r="E150" s="8" t="s">
        <v>11124</v>
      </c>
      <c r="F150" s="8" t="s">
        <v>11125</v>
      </c>
    </row>
    <row r="151" customFormat="false" ht="15" hidden="false" customHeight="false" outlineLevel="0" collapsed="false">
      <c r="A151" s="0" t="s">
        <v>4535</v>
      </c>
      <c r="B151" s="0" t="s">
        <v>10941</v>
      </c>
      <c r="C151" s="0" t="s">
        <v>10976</v>
      </c>
      <c r="D151" s="0" t="s">
        <v>10887</v>
      </c>
      <c r="E151" s="8" t="s">
        <v>10954</v>
      </c>
      <c r="F151" s="8" t="s">
        <v>11126</v>
      </c>
    </row>
    <row r="152" customFormat="false" ht="15" hidden="false" customHeight="false" outlineLevel="0" collapsed="false">
      <c r="A152" s="0" t="s">
        <v>4536</v>
      </c>
      <c r="B152" s="0" t="s">
        <v>10941</v>
      </c>
      <c r="C152" s="0" t="s">
        <v>10976</v>
      </c>
      <c r="D152" s="0" t="s">
        <v>10887</v>
      </c>
      <c r="E152" s="8" t="s">
        <v>10897</v>
      </c>
      <c r="F152" s="8" t="s">
        <v>11127</v>
      </c>
    </row>
    <row r="153" customFormat="false" ht="28.35" hidden="false" customHeight="false" outlineLevel="0" collapsed="false">
      <c r="A153" s="0" t="s">
        <v>4537</v>
      </c>
      <c r="B153" s="0" t="s">
        <v>10941</v>
      </c>
      <c r="C153" s="0" t="s">
        <v>10976</v>
      </c>
      <c r="D153" s="0" t="s">
        <v>10887</v>
      </c>
      <c r="E153" s="8" t="s">
        <v>11128</v>
      </c>
      <c r="F153" s="8" t="s">
        <v>11129</v>
      </c>
    </row>
    <row r="154" customFormat="false" ht="15" hidden="false" customHeight="false" outlineLevel="0" collapsed="false">
      <c r="A154" s="0" t="s">
        <v>4538</v>
      </c>
      <c r="B154" s="0" t="s">
        <v>10941</v>
      </c>
      <c r="C154" s="0" t="s">
        <v>10976</v>
      </c>
      <c r="D154" s="0" t="s">
        <v>10887</v>
      </c>
      <c r="E154" s="8" t="s">
        <v>10890</v>
      </c>
      <c r="F154" s="8" t="s">
        <v>11130</v>
      </c>
    </row>
    <row r="155" customFormat="false" ht="15" hidden="false" customHeight="false" outlineLevel="0" collapsed="false">
      <c r="A155" s="0" t="s">
        <v>4539</v>
      </c>
      <c r="B155" s="0" t="s">
        <v>10941</v>
      </c>
      <c r="C155" s="0" t="s">
        <v>10976</v>
      </c>
      <c r="D155" s="0" t="s">
        <v>10887</v>
      </c>
      <c r="E155" s="8" t="s">
        <v>11131</v>
      </c>
      <c r="F155" s="8" t="s">
        <v>11132</v>
      </c>
    </row>
    <row r="156" customFormat="false" ht="15" hidden="false" customHeight="false" outlineLevel="0" collapsed="false">
      <c r="A156" s="0" t="s">
        <v>4540</v>
      </c>
      <c r="B156" s="0" t="s">
        <v>10941</v>
      </c>
      <c r="C156" s="0" t="s">
        <v>10976</v>
      </c>
      <c r="D156" s="0" t="s">
        <v>10887</v>
      </c>
      <c r="E156" s="8" t="s">
        <v>10922</v>
      </c>
      <c r="F156" s="8" t="s">
        <v>11133</v>
      </c>
    </row>
    <row r="157" customFormat="false" ht="15" hidden="false" customHeight="false" outlineLevel="0" collapsed="false">
      <c r="A157" s="0" t="s">
        <v>4541</v>
      </c>
      <c r="B157" s="0" t="s">
        <v>10941</v>
      </c>
      <c r="C157" s="0" t="s">
        <v>10976</v>
      </c>
      <c r="D157" s="0" t="s">
        <v>10887</v>
      </c>
      <c r="E157" s="8" t="s">
        <v>11134</v>
      </c>
      <c r="F157" s="8" t="s">
        <v>11135</v>
      </c>
    </row>
    <row r="158" customFormat="false" ht="15" hidden="false" customHeight="false" outlineLevel="0" collapsed="false">
      <c r="A158" s="0" t="s">
        <v>4542</v>
      </c>
      <c r="B158" s="0" t="s">
        <v>10941</v>
      </c>
      <c r="C158" s="0" t="s">
        <v>10976</v>
      </c>
      <c r="D158" s="0" t="s">
        <v>10887</v>
      </c>
      <c r="E158" s="8" t="s">
        <v>10890</v>
      </c>
      <c r="F158" s="8" t="s">
        <v>11136</v>
      </c>
    </row>
    <row r="159" customFormat="false" ht="15" hidden="false" customHeight="false" outlineLevel="0" collapsed="false">
      <c r="A159" s="0" t="s">
        <v>4543</v>
      </c>
      <c r="B159" s="0" t="s">
        <v>10941</v>
      </c>
      <c r="C159" s="0" t="s">
        <v>10976</v>
      </c>
      <c r="D159" s="0" t="s">
        <v>10887</v>
      </c>
      <c r="E159" s="8" t="s">
        <v>10890</v>
      </c>
      <c r="F159" s="8" t="s">
        <v>11137</v>
      </c>
    </row>
    <row r="160" customFormat="false" ht="28.35" hidden="false" customHeight="false" outlineLevel="0" collapsed="false">
      <c r="A160" s="0" t="s">
        <v>4544</v>
      </c>
      <c r="B160" s="0" t="s">
        <v>10941</v>
      </c>
      <c r="C160" s="0" t="s">
        <v>10976</v>
      </c>
      <c r="D160" s="0" t="s">
        <v>10887</v>
      </c>
      <c r="E160" s="8" t="s">
        <v>10890</v>
      </c>
      <c r="F160" s="8" t="s">
        <v>11138</v>
      </c>
    </row>
    <row r="161" customFormat="false" ht="15" hidden="false" customHeight="false" outlineLevel="0" collapsed="false">
      <c r="A161" s="0" t="s">
        <v>4545</v>
      </c>
      <c r="B161" s="0" t="s">
        <v>10941</v>
      </c>
      <c r="C161" s="0" t="s">
        <v>10976</v>
      </c>
      <c r="D161" s="0" t="s">
        <v>10887</v>
      </c>
      <c r="E161" s="7" t="s">
        <v>10920</v>
      </c>
      <c r="F161" s="8" t="s">
        <v>11139</v>
      </c>
    </row>
    <row r="162" customFormat="false" ht="15" hidden="false" customHeight="false" outlineLevel="0" collapsed="false">
      <c r="A162" s="0" t="s">
        <v>4546</v>
      </c>
      <c r="B162" s="0" t="s">
        <v>10941</v>
      </c>
      <c r="C162" s="0" t="s">
        <v>10976</v>
      </c>
      <c r="D162" s="0" t="s">
        <v>10887</v>
      </c>
      <c r="E162" s="8" t="s">
        <v>10890</v>
      </c>
      <c r="F162" s="8" t="s">
        <v>11140</v>
      </c>
    </row>
    <row r="163" customFormat="false" ht="15" hidden="false" customHeight="false" outlineLevel="0" collapsed="false">
      <c r="A163" s="0" t="s">
        <v>4547</v>
      </c>
      <c r="B163" s="0" t="s">
        <v>10941</v>
      </c>
      <c r="C163" s="0" t="s">
        <v>10976</v>
      </c>
      <c r="D163" s="0" t="s">
        <v>10887</v>
      </c>
      <c r="E163" s="8" t="s">
        <v>11065</v>
      </c>
      <c r="F163" s="8" t="s">
        <v>11141</v>
      </c>
    </row>
    <row r="164" customFormat="false" ht="15" hidden="false" customHeight="false" outlineLevel="0" collapsed="false">
      <c r="A164" s="0" t="s">
        <v>4548</v>
      </c>
      <c r="B164" s="0" t="s">
        <v>10941</v>
      </c>
      <c r="C164" s="0" t="s">
        <v>10976</v>
      </c>
      <c r="D164" s="0" t="s">
        <v>10887</v>
      </c>
      <c r="E164" s="7" t="s">
        <v>10920</v>
      </c>
      <c r="F164" s="8" t="s">
        <v>11142</v>
      </c>
    </row>
    <row r="165" customFormat="false" ht="15" hidden="false" customHeight="false" outlineLevel="0" collapsed="false">
      <c r="A165" s="0" t="s">
        <v>4549</v>
      </c>
      <c r="B165" s="0" t="s">
        <v>10941</v>
      </c>
      <c r="C165" s="0" t="s">
        <v>10976</v>
      </c>
      <c r="D165" s="0" t="s">
        <v>10887</v>
      </c>
      <c r="E165" s="8" t="s">
        <v>10992</v>
      </c>
      <c r="F165" s="8" t="s">
        <v>11143</v>
      </c>
    </row>
    <row r="166" customFormat="false" ht="15" hidden="false" customHeight="false" outlineLevel="0" collapsed="false">
      <c r="A166" s="0" t="s">
        <v>4550</v>
      </c>
      <c r="B166" s="0" t="s">
        <v>10941</v>
      </c>
      <c r="C166" s="0" t="s">
        <v>10976</v>
      </c>
      <c r="D166" s="0" t="s">
        <v>10887</v>
      </c>
      <c r="E166" s="8" t="s">
        <v>11144</v>
      </c>
      <c r="F166" s="8" t="s">
        <v>11145</v>
      </c>
    </row>
    <row r="167" customFormat="false" ht="15" hidden="false" customHeight="false" outlineLevel="0" collapsed="false">
      <c r="A167" s="0" t="s">
        <v>4551</v>
      </c>
      <c r="B167" s="0" t="s">
        <v>10941</v>
      </c>
      <c r="C167" s="0" t="s">
        <v>10976</v>
      </c>
      <c r="D167" s="0" t="s">
        <v>10887</v>
      </c>
      <c r="E167" s="8" t="s">
        <v>11144</v>
      </c>
      <c r="F167" s="8" t="s">
        <v>11146</v>
      </c>
    </row>
    <row r="168" customFormat="false" ht="15" hidden="false" customHeight="false" outlineLevel="0" collapsed="false">
      <c r="A168" s="0" t="s">
        <v>4552</v>
      </c>
      <c r="B168" s="0" t="s">
        <v>10941</v>
      </c>
      <c r="C168" s="0" t="s">
        <v>10976</v>
      </c>
      <c r="D168" s="0" t="s">
        <v>10887</v>
      </c>
      <c r="E168" s="8" t="s">
        <v>10890</v>
      </c>
      <c r="F168" s="8" t="s">
        <v>11147</v>
      </c>
    </row>
    <row r="169" customFormat="false" ht="15" hidden="false" customHeight="false" outlineLevel="0" collapsed="false">
      <c r="A169" s="0" t="s">
        <v>4553</v>
      </c>
      <c r="B169" s="0" t="s">
        <v>10941</v>
      </c>
      <c r="C169" s="0" t="s">
        <v>10976</v>
      </c>
      <c r="D169" s="0" t="s">
        <v>10887</v>
      </c>
      <c r="E169" s="8" t="s">
        <v>11148</v>
      </c>
      <c r="F169" s="8" t="s">
        <v>11149</v>
      </c>
    </row>
    <row r="170" customFormat="false" ht="28.35" hidden="false" customHeight="false" outlineLevel="0" collapsed="false">
      <c r="A170" s="0" t="s">
        <v>4554</v>
      </c>
      <c r="B170" s="0" t="s">
        <v>10941</v>
      </c>
      <c r="C170" s="0" t="s">
        <v>10976</v>
      </c>
      <c r="D170" s="0" t="s">
        <v>10887</v>
      </c>
      <c r="E170" s="8" t="s">
        <v>11150</v>
      </c>
      <c r="F170" s="8" t="s">
        <v>11151</v>
      </c>
    </row>
    <row r="171" customFormat="false" ht="15" hidden="false" customHeight="false" outlineLevel="0" collapsed="false">
      <c r="A171" s="0" t="s">
        <v>4555</v>
      </c>
      <c r="B171" s="0" t="s">
        <v>10941</v>
      </c>
      <c r="C171" s="0" t="s">
        <v>10976</v>
      </c>
      <c r="D171" s="0" t="s">
        <v>10887</v>
      </c>
      <c r="E171" s="8" t="s">
        <v>10992</v>
      </c>
      <c r="F171" s="8" t="s">
        <v>11152</v>
      </c>
    </row>
    <row r="172" customFormat="false" ht="15" hidden="false" customHeight="false" outlineLevel="0" collapsed="false">
      <c r="A172" s="0" t="s">
        <v>4556</v>
      </c>
      <c r="B172" s="0" t="s">
        <v>10941</v>
      </c>
      <c r="C172" s="0" t="s">
        <v>10976</v>
      </c>
      <c r="D172" s="0" t="s">
        <v>10887</v>
      </c>
      <c r="E172" s="8" t="s">
        <v>10897</v>
      </c>
      <c r="F172" s="8" t="s">
        <v>11153</v>
      </c>
    </row>
    <row r="173" customFormat="false" ht="15" hidden="false" customHeight="false" outlineLevel="0" collapsed="false">
      <c r="A173" s="0" t="s">
        <v>4565</v>
      </c>
      <c r="B173" s="0" t="s">
        <v>10941</v>
      </c>
      <c r="C173" s="0" t="s">
        <v>10976</v>
      </c>
      <c r="D173" s="0" t="s">
        <v>10887</v>
      </c>
      <c r="E173" s="8" t="s">
        <v>10897</v>
      </c>
      <c r="F173" s="8" t="s">
        <v>11154</v>
      </c>
    </row>
    <row r="174" customFormat="false" ht="15" hidden="false" customHeight="false" outlineLevel="0" collapsed="false">
      <c r="A174" s="0" t="s">
        <v>4566</v>
      </c>
      <c r="B174" s="0" t="s">
        <v>10941</v>
      </c>
      <c r="C174" s="0" t="s">
        <v>10976</v>
      </c>
      <c r="D174" s="0" t="s">
        <v>10887</v>
      </c>
      <c r="E174" s="8" t="s">
        <v>11155</v>
      </c>
      <c r="F174" s="8" t="s">
        <v>11156</v>
      </c>
    </row>
    <row r="175" customFormat="false" ht="15" hidden="false" customHeight="false" outlineLevel="0" collapsed="false">
      <c r="A175" s="0" t="s">
        <v>4567</v>
      </c>
      <c r="B175" s="0" t="s">
        <v>10941</v>
      </c>
      <c r="C175" s="0" t="s">
        <v>10976</v>
      </c>
      <c r="D175" s="0" t="s">
        <v>10887</v>
      </c>
      <c r="E175" s="8" t="s">
        <v>11157</v>
      </c>
      <c r="F175" s="8" t="s">
        <v>11158</v>
      </c>
    </row>
    <row r="176" customFormat="false" ht="15" hidden="false" customHeight="false" outlineLevel="0" collapsed="false">
      <c r="A176" s="0" t="s">
        <v>4568</v>
      </c>
      <c r="B176" s="0" t="s">
        <v>10941</v>
      </c>
      <c r="C176" s="0" t="s">
        <v>10976</v>
      </c>
      <c r="D176" s="0" t="s">
        <v>10887</v>
      </c>
      <c r="E176" s="8" t="s">
        <v>10890</v>
      </c>
      <c r="F176" s="8" t="s">
        <v>11159</v>
      </c>
    </row>
    <row r="177" customFormat="false" ht="15" hidden="false" customHeight="false" outlineLevel="0" collapsed="false">
      <c r="A177" s="0" t="s">
        <v>4569</v>
      </c>
      <c r="B177" s="0" t="s">
        <v>10941</v>
      </c>
      <c r="C177" s="0" t="s">
        <v>10976</v>
      </c>
      <c r="D177" s="0" t="s">
        <v>10887</v>
      </c>
      <c r="E177" s="8" t="s">
        <v>10890</v>
      </c>
      <c r="F177" s="8" t="s">
        <v>11160</v>
      </c>
    </row>
    <row r="178" customFormat="false" ht="28.35" hidden="false" customHeight="false" outlineLevel="0" collapsed="false">
      <c r="A178" s="0" t="s">
        <v>130</v>
      </c>
      <c r="B178" s="0" t="s">
        <v>10885</v>
      </c>
      <c r="C178" s="0" t="s">
        <v>11161</v>
      </c>
      <c r="D178" s="0" t="s">
        <v>10924</v>
      </c>
      <c r="E178" s="8" t="s">
        <v>11162</v>
      </c>
      <c r="F178" s="8" t="s">
        <v>11163</v>
      </c>
    </row>
    <row r="179" customFormat="false" ht="15" hidden="false" customHeight="false" outlineLevel="0" collapsed="false">
      <c r="A179" s="0" t="s">
        <v>131</v>
      </c>
      <c r="B179" s="0" t="s">
        <v>10885</v>
      </c>
      <c r="C179" s="0" t="s">
        <v>11161</v>
      </c>
      <c r="D179" s="0" t="s">
        <v>10924</v>
      </c>
      <c r="E179" s="7" t="s">
        <v>10930</v>
      </c>
      <c r="F179" s="8" t="s">
        <v>11164</v>
      </c>
    </row>
    <row r="180" customFormat="false" ht="15" hidden="false" customHeight="false" outlineLevel="0" collapsed="false">
      <c r="A180" s="0" t="s">
        <v>132</v>
      </c>
      <c r="B180" s="0" t="s">
        <v>10885</v>
      </c>
      <c r="C180" s="0" t="s">
        <v>11161</v>
      </c>
      <c r="D180" s="0" t="s">
        <v>10924</v>
      </c>
      <c r="E180" s="7" t="s">
        <v>10930</v>
      </c>
      <c r="F180" s="8" t="s">
        <v>11165</v>
      </c>
    </row>
    <row r="181" customFormat="false" ht="15" hidden="false" customHeight="false" outlineLevel="0" collapsed="false">
      <c r="A181" s="0" t="s">
        <v>133</v>
      </c>
      <c r="B181" s="0" t="s">
        <v>10885</v>
      </c>
      <c r="C181" s="0" t="s">
        <v>11161</v>
      </c>
      <c r="D181" s="0" t="s">
        <v>10924</v>
      </c>
      <c r="E181" s="7" t="s">
        <v>10930</v>
      </c>
      <c r="F181" s="8" t="s">
        <v>11166</v>
      </c>
    </row>
    <row r="182" customFormat="false" ht="15" hidden="false" customHeight="false" outlineLevel="0" collapsed="false">
      <c r="A182" s="0" t="s">
        <v>134</v>
      </c>
      <c r="B182" s="0" t="s">
        <v>10885</v>
      </c>
      <c r="C182" s="0" t="s">
        <v>11161</v>
      </c>
      <c r="D182" s="0" t="s">
        <v>10924</v>
      </c>
      <c r="E182" s="7" t="s">
        <v>10930</v>
      </c>
      <c r="F182" s="8" t="s">
        <v>11167</v>
      </c>
    </row>
    <row r="183" customFormat="false" ht="15" hidden="false" customHeight="false" outlineLevel="0" collapsed="false">
      <c r="A183" s="0" t="s">
        <v>135</v>
      </c>
      <c r="B183" s="0" t="s">
        <v>10885</v>
      </c>
      <c r="C183" s="0" t="s">
        <v>11161</v>
      </c>
      <c r="D183" s="0" t="s">
        <v>10924</v>
      </c>
      <c r="E183" s="8" t="s">
        <v>11168</v>
      </c>
      <c r="F183" s="8" t="s">
        <v>11169</v>
      </c>
    </row>
    <row r="184" customFormat="false" ht="15" hidden="false" customHeight="false" outlineLevel="0" collapsed="false">
      <c r="A184" s="0" t="s">
        <v>136</v>
      </c>
      <c r="B184" s="0" t="s">
        <v>10885</v>
      </c>
      <c r="C184" s="0" t="s">
        <v>11161</v>
      </c>
      <c r="D184" s="0" t="s">
        <v>10924</v>
      </c>
      <c r="E184" s="7" t="s">
        <v>10930</v>
      </c>
      <c r="F184" s="8" t="s">
        <v>11170</v>
      </c>
    </row>
    <row r="185" customFormat="false" ht="15" hidden="false" customHeight="false" outlineLevel="0" collapsed="false">
      <c r="A185" s="0" t="s">
        <v>137</v>
      </c>
      <c r="B185" s="0" t="s">
        <v>10885</v>
      </c>
      <c r="C185" s="0" t="s">
        <v>11161</v>
      </c>
      <c r="D185" s="0" t="s">
        <v>10924</v>
      </c>
      <c r="E185" s="8" t="s">
        <v>11171</v>
      </c>
      <c r="F185" s="8" t="s">
        <v>11172</v>
      </c>
    </row>
    <row r="186" customFormat="false" ht="15" hidden="false" customHeight="false" outlineLevel="0" collapsed="false">
      <c r="A186" s="0" t="s">
        <v>138</v>
      </c>
      <c r="B186" s="0" t="s">
        <v>10885</v>
      </c>
      <c r="C186" s="0" t="s">
        <v>11161</v>
      </c>
      <c r="D186" s="0" t="s">
        <v>10924</v>
      </c>
      <c r="E186" s="7" t="s">
        <v>10920</v>
      </c>
      <c r="F186" s="8" t="s">
        <v>11173</v>
      </c>
    </row>
    <row r="187" customFormat="false" ht="15" hidden="false" customHeight="false" outlineLevel="0" collapsed="false">
      <c r="A187" s="0" t="s">
        <v>139</v>
      </c>
      <c r="B187" s="0" t="s">
        <v>10885</v>
      </c>
      <c r="C187" s="0" t="s">
        <v>11161</v>
      </c>
      <c r="D187" s="0" t="s">
        <v>10924</v>
      </c>
      <c r="E187" s="8" t="s">
        <v>11168</v>
      </c>
      <c r="F187" s="8" t="s">
        <v>11174</v>
      </c>
    </row>
    <row r="188" customFormat="false" ht="15" hidden="false" customHeight="false" outlineLevel="0" collapsed="false">
      <c r="A188" s="0" t="s">
        <v>140</v>
      </c>
      <c r="B188" s="0" t="s">
        <v>10885</v>
      </c>
      <c r="C188" s="0" t="s">
        <v>11161</v>
      </c>
      <c r="D188" s="0" t="s">
        <v>10924</v>
      </c>
      <c r="E188" s="7" t="s">
        <v>10930</v>
      </c>
      <c r="F188" s="8" t="s">
        <v>11175</v>
      </c>
    </row>
    <row r="189" customFormat="false" ht="15" hidden="false" customHeight="false" outlineLevel="0" collapsed="false">
      <c r="A189" s="0" t="s">
        <v>141</v>
      </c>
      <c r="B189" s="0" t="s">
        <v>10885</v>
      </c>
      <c r="C189" s="0" t="s">
        <v>11161</v>
      </c>
      <c r="D189" s="0" t="s">
        <v>10924</v>
      </c>
      <c r="E189" s="8" t="s">
        <v>0</v>
      </c>
      <c r="F189" s="8" t="s">
        <v>11176</v>
      </c>
    </row>
    <row r="190" customFormat="false" ht="15" hidden="false" customHeight="false" outlineLevel="0" collapsed="false">
      <c r="A190" s="0" t="s">
        <v>142</v>
      </c>
      <c r="B190" s="0" t="s">
        <v>10939</v>
      </c>
      <c r="C190" s="0" t="s">
        <v>11161</v>
      </c>
      <c r="D190" s="0" t="s">
        <v>10924</v>
      </c>
      <c r="E190" s="8" t="s">
        <v>10890</v>
      </c>
      <c r="F190" s="8" t="s">
        <v>11177</v>
      </c>
    </row>
    <row r="191" customFormat="false" ht="15" hidden="false" customHeight="false" outlineLevel="0" collapsed="false">
      <c r="A191" s="0" t="s">
        <v>143</v>
      </c>
      <c r="B191" s="0" t="s">
        <v>10885</v>
      </c>
      <c r="C191" s="0" t="s">
        <v>11161</v>
      </c>
      <c r="D191" s="0" t="s">
        <v>10924</v>
      </c>
      <c r="E191" s="8" t="s">
        <v>10908</v>
      </c>
      <c r="F191" s="8" t="s">
        <v>11178</v>
      </c>
    </row>
    <row r="192" customFormat="false" ht="15" hidden="false" customHeight="false" outlineLevel="0" collapsed="false">
      <c r="A192" s="0" t="s">
        <v>4571</v>
      </c>
      <c r="B192" s="0" t="s">
        <v>10941</v>
      </c>
      <c r="C192" s="0" t="s">
        <v>11161</v>
      </c>
      <c r="D192" s="0" t="s">
        <v>10924</v>
      </c>
      <c r="E192" s="8" t="s">
        <v>11179</v>
      </c>
      <c r="F192" s="8" t="s">
        <v>11180</v>
      </c>
    </row>
    <row r="193" customFormat="false" ht="15" hidden="false" customHeight="false" outlineLevel="0" collapsed="false">
      <c r="A193" s="0" t="s">
        <v>144</v>
      </c>
      <c r="B193" s="0" t="s">
        <v>10885</v>
      </c>
      <c r="C193" s="0" t="s">
        <v>11161</v>
      </c>
      <c r="D193" s="0" t="s">
        <v>10924</v>
      </c>
      <c r="E193" s="8" t="s">
        <v>11181</v>
      </c>
      <c r="F193" s="8" t="s">
        <v>11182</v>
      </c>
    </row>
    <row r="194" customFormat="false" ht="15" hidden="false" customHeight="false" outlineLevel="0" collapsed="false">
      <c r="A194" s="0" t="s">
        <v>145</v>
      </c>
      <c r="B194" s="0" t="s">
        <v>10885</v>
      </c>
      <c r="C194" s="0" t="s">
        <v>11161</v>
      </c>
      <c r="D194" s="0" t="s">
        <v>10924</v>
      </c>
      <c r="E194" s="8" t="s">
        <v>11183</v>
      </c>
      <c r="F194" s="8" t="s">
        <v>11184</v>
      </c>
    </row>
    <row r="195" customFormat="false" ht="15" hidden="false" customHeight="false" outlineLevel="0" collapsed="false">
      <c r="A195" s="0" t="s">
        <v>146</v>
      </c>
      <c r="B195" s="0" t="s">
        <v>10885</v>
      </c>
      <c r="C195" s="0" t="s">
        <v>11161</v>
      </c>
      <c r="D195" s="0" t="s">
        <v>10924</v>
      </c>
      <c r="E195" s="7" t="s">
        <v>10920</v>
      </c>
      <c r="F195" s="8" t="s">
        <v>11185</v>
      </c>
    </row>
    <row r="196" customFormat="false" ht="15" hidden="false" customHeight="false" outlineLevel="0" collapsed="false">
      <c r="A196" s="0" t="s">
        <v>4572</v>
      </c>
      <c r="B196" s="0" t="s">
        <v>10941</v>
      </c>
      <c r="C196" s="0" t="s">
        <v>11161</v>
      </c>
      <c r="D196" s="0" t="s">
        <v>10924</v>
      </c>
      <c r="E196" s="7" t="s">
        <v>10920</v>
      </c>
      <c r="F196" s="8" t="s">
        <v>11186</v>
      </c>
    </row>
    <row r="197" customFormat="false" ht="15" hidden="false" customHeight="false" outlineLevel="0" collapsed="false">
      <c r="A197" s="0" t="s">
        <v>147</v>
      </c>
      <c r="B197" s="0" t="s">
        <v>10885</v>
      </c>
      <c r="C197" s="0" t="s">
        <v>11187</v>
      </c>
      <c r="D197" s="0" t="s">
        <v>10905</v>
      </c>
      <c r="E197" s="7" t="s">
        <v>10920</v>
      </c>
      <c r="F197" s="8" t="s">
        <v>11188</v>
      </c>
    </row>
    <row r="198" customFormat="false" ht="15" hidden="false" customHeight="false" outlineLevel="0" collapsed="false">
      <c r="A198" s="0" t="s">
        <v>148</v>
      </c>
      <c r="B198" s="0" t="s">
        <v>10885</v>
      </c>
      <c r="C198" s="0" t="s">
        <v>11187</v>
      </c>
      <c r="D198" s="0" t="s">
        <v>10905</v>
      </c>
      <c r="E198" s="7" t="s">
        <v>10920</v>
      </c>
      <c r="F198" s="8" t="s">
        <v>11189</v>
      </c>
    </row>
    <row r="199" customFormat="false" ht="15" hidden="false" customHeight="false" outlineLevel="0" collapsed="false">
      <c r="A199" s="0" t="s">
        <v>149</v>
      </c>
      <c r="B199" s="0" t="s">
        <v>10885</v>
      </c>
      <c r="C199" s="0" t="s">
        <v>11187</v>
      </c>
      <c r="D199" s="0" t="s">
        <v>10905</v>
      </c>
      <c r="E199" s="7" t="s">
        <v>10920</v>
      </c>
      <c r="F199" s="8" t="s">
        <v>11190</v>
      </c>
    </row>
    <row r="200" customFormat="false" ht="15" hidden="false" customHeight="false" outlineLevel="0" collapsed="false">
      <c r="A200" s="0" t="s">
        <v>150</v>
      </c>
      <c r="B200" s="0" t="s">
        <v>10885</v>
      </c>
      <c r="C200" s="0" t="s">
        <v>11187</v>
      </c>
      <c r="D200" s="0" t="s">
        <v>10905</v>
      </c>
      <c r="E200" s="7" t="s">
        <v>10920</v>
      </c>
      <c r="F200" s="8" t="s">
        <v>11191</v>
      </c>
    </row>
    <row r="201" customFormat="false" ht="15" hidden="false" customHeight="false" outlineLevel="0" collapsed="false">
      <c r="A201" s="0" t="s">
        <v>151</v>
      </c>
      <c r="B201" s="0" t="s">
        <v>10885</v>
      </c>
      <c r="C201" s="0" t="s">
        <v>11187</v>
      </c>
      <c r="D201" s="0" t="s">
        <v>10905</v>
      </c>
      <c r="E201" s="7" t="s">
        <v>10920</v>
      </c>
      <c r="F201" s="8" t="s">
        <v>11192</v>
      </c>
    </row>
    <row r="202" customFormat="false" ht="15" hidden="false" customHeight="false" outlineLevel="0" collapsed="false">
      <c r="A202" s="0" t="s">
        <v>152</v>
      </c>
      <c r="B202" s="0" t="s">
        <v>10885</v>
      </c>
      <c r="C202" s="0" t="s">
        <v>11187</v>
      </c>
      <c r="D202" s="0" t="s">
        <v>10905</v>
      </c>
      <c r="E202" s="8" t="s">
        <v>10992</v>
      </c>
      <c r="F202" s="8" t="s">
        <v>11193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20"/>
    <col collapsed="false" customWidth="true" hidden="false" outlineLevel="0" max="3" min="3" style="0" width="10"/>
    <col collapsed="false" customWidth="true" hidden="false" outlineLevel="0" max="4" min="4" style="0" width="140"/>
  </cols>
  <sheetData>
    <row r="1" customFormat="false" ht="15" hidden="false" customHeight="false" outlineLevel="0" collapsed="false">
      <c r="A1" s="6" t="s">
        <v>11194</v>
      </c>
      <c r="B1" s="6" t="s">
        <v>11195</v>
      </c>
      <c r="C1" s="6" t="s">
        <v>11196</v>
      </c>
      <c r="D1" s="7" t="s">
        <v>11197</v>
      </c>
    </row>
    <row r="2" customFormat="false" ht="15" hidden="false" customHeight="false" outlineLevel="0" collapsed="false">
      <c r="A2" s="0" t="s">
        <v>11198</v>
      </c>
      <c r="B2" s="6" t="s">
        <v>11199</v>
      </c>
      <c r="D2" s="8" t="s">
        <v>11200</v>
      </c>
    </row>
    <row r="3" customFormat="false" ht="15" hidden="false" customHeight="false" outlineLevel="0" collapsed="false">
      <c r="A3" s="0" t="s">
        <v>11198</v>
      </c>
      <c r="B3" s="0" t="s">
        <v>11201</v>
      </c>
      <c r="C3" s="0" t="s">
        <v>3703</v>
      </c>
      <c r="D3" s="8" t="s">
        <v>11202</v>
      </c>
    </row>
    <row r="4" customFormat="false" ht="15" hidden="false" customHeight="false" outlineLevel="0" collapsed="false">
      <c r="A4" s="0" t="s">
        <v>11198</v>
      </c>
      <c r="B4" s="0" t="s">
        <v>11201</v>
      </c>
      <c r="C4" s="0" t="s">
        <v>3703</v>
      </c>
      <c r="D4" s="8" t="s">
        <v>11203</v>
      </c>
    </row>
    <row r="5" customFormat="false" ht="15" hidden="false" customHeight="false" outlineLevel="0" collapsed="false">
      <c r="A5" s="0" t="s">
        <v>11198</v>
      </c>
      <c r="B5" s="0" t="s">
        <v>11201</v>
      </c>
      <c r="C5" s="0" t="s">
        <v>3703</v>
      </c>
      <c r="D5" s="8" t="s">
        <v>11204</v>
      </c>
    </row>
    <row r="6" customFormat="false" ht="15" hidden="false" customHeight="false" outlineLevel="0" collapsed="false">
      <c r="A6" s="0" t="s">
        <v>11198</v>
      </c>
      <c r="B6" s="0" t="s">
        <v>11201</v>
      </c>
      <c r="C6" s="0" t="s">
        <v>3703</v>
      </c>
      <c r="D6" s="8" t="s">
        <v>11205</v>
      </c>
    </row>
    <row r="7" customFormat="false" ht="15" hidden="false" customHeight="false" outlineLevel="0" collapsed="false">
      <c r="A7" s="0" t="s">
        <v>11198</v>
      </c>
      <c r="B7" s="6" t="s">
        <v>11206</v>
      </c>
      <c r="C7" s="0" t="s">
        <v>10906</v>
      </c>
      <c r="D7" s="8" t="s">
        <v>11207</v>
      </c>
    </row>
    <row r="8" customFormat="false" ht="15" hidden="false" customHeight="false" outlineLevel="0" collapsed="false">
      <c r="A8" s="0" t="s">
        <v>11198</v>
      </c>
      <c r="B8" s="0" t="s">
        <v>98</v>
      </c>
      <c r="C8" s="0" t="s">
        <v>10994</v>
      </c>
      <c r="D8" s="8" t="s">
        <v>11208</v>
      </c>
    </row>
    <row r="9" customFormat="false" ht="15" hidden="false" customHeight="false" outlineLevel="0" collapsed="false">
      <c r="A9" s="0" t="s">
        <v>11198</v>
      </c>
      <c r="B9" s="0" t="s">
        <v>99</v>
      </c>
      <c r="C9" s="0" t="s">
        <v>10996</v>
      </c>
      <c r="D9" s="8" t="s">
        <v>11209</v>
      </c>
    </row>
    <row r="10" customFormat="false" ht="15" hidden="false" customHeight="false" outlineLevel="0" collapsed="false">
      <c r="A10" s="0" t="s">
        <v>11198</v>
      </c>
      <c r="B10" s="0" t="s">
        <v>100</v>
      </c>
      <c r="C10" s="0" t="s">
        <v>10998</v>
      </c>
      <c r="D10" s="8" t="s">
        <v>10999</v>
      </c>
    </row>
    <row r="11" customFormat="false" ht="15" hidden="false" customHeight="false" outlineLevel="0" collapsed="false">
      <c r="A11" s="0" t="s">
        <v>11198</v>
      </c>
      <c r="B11" s="0" t="s">
        <v>101</v>
      </c>
      <c r="C11" s="0" t="s">
        <v>11000</v>
      </c>
      <c r="D11" s="8" t="s">
        <v>11210</v>
      </c>
    </row>
    <row r="12" customFormat="false" ht="15" hidden="false" customHeight="false" outlineLevel="0" collapsed="false">
      <c r="A12" s="0" t="s">
        <v>11198</v>
      </c>
      <c r="B12" s="0" t="s">
        <v>102</v>
      </c>
      <c r="C12" s="0" t="s">
        <v>11011</v>
      </c>
      <c r="D12" s="8" t="s">
        <v>11211</v>
      </c>
    </row>
    <row r="13" customFormat="false" ht="15" hidden="false" customHeight="false" outlineLevel="0" collapsed="false">
      <c r="A13" s="0" t="s">
        <v>11198</v>
      </c>
      <c r="B13" s="0" t="s">
        <v>103</v>
      </c>
      <c r="C13" s="0" t="s">
        <v>11212</v>
      </c>
      <c r="D13" s="8" t="s">
        <v>11213</v>
      </c>
    </row>
    <row r="14" customFormat="false" ht="15" hidden="false" customHeight="false" outlineLevel="0" collapsed="false">
      <c r="A14" s="0" t="s">
        <v>11198</v>
      </c>
      <c r="B14" s="0" t="s">
        <v>11214</v>
      </c>
      <c r="D14" s="8" t="s">
        <v>11215</v>
      </c>
    </row>
    <row r="15" customFormat="false" ht="41.75" hidden="false" customHeight="false" outlineLevel="0" collapsed="false">
      <c r="A15" s="0" t="s">
        <v>11198</v>
      </c>
      <c r="B15" s="0" t="s">
        <v>11216</v>
      </c>
      <c r="D15" s="8" t="s">
        <v>11217</v>
      </c>
    </row>
    <row r="16" customFormat="false" ht="15" hidden="false" customHeight="false" outlineLevel="0" collapsed="false">
      <c r="A16" s="0" t="s">
        <v>11218</v>
      </c>
      <c r="B16" s="6" t="s">
        <v>11199</v>
      </c>
      <c r="D16" s="8" t="s">
        <v>11219</v>
      </c>
    </row>
    <row r="17" customFormat="false" ht="15" hidden="false" customHeight="false" outlineLevel="0" collapsed="false">
      <c r="A17" s="0" t="s">
        <v>11218</v>
      </c>
      <c r="B17" s="0" t="s">
        <v>11201</v>
      </c>
      <c r="C17" s="0" t="s">
        <v>3703</v>
      </c>
      <c r="D17" s="8" t="s">
        <v>11220</v>
      </c>
    </row>
    <row r="18" customFormat="false" ht="15" hidden="false" customHeight="false" outlineLevel="0" collapsed="false">
      <c r="A18" s="0" t="s">
        <v>11218</v>
      </c>
      <c r="B18" s="0" t="s">
        <v>11201</v>
      </c>
      <c r="C18" s="0" t="s">
        <v>3703</v>
      </c>
      <c r="D18" s="8" t="s">
        <v>11221</v>
      </c>
    </row>
    <row r="19" customFormat="false" ht="15" hidden="false" customHeight="false" outlineLevel="0" collapsed="false">
      <c r="A19" s="0" t="s">
        <v>11218</v>
      </c>
      <c r="B19" s="0" t="s">
        <v>11201</v>
      </c>
      <c r="C19" s="0" t="s">
        <v>3703</v>
      </c>
      <c r="D19" s="8" t="s">
        <v>11222</v>
      </c>
    </row>
    <row r="20" customFormat="false" ht="15" hidden="false" customHeight="false" outlineLevel="0" collapsed="false">
      <c r="A20" s="0" t="s">
        <v>11218</v>
      </c>
      <c r="B20" s="0" t="s">
        <v>11201</v>
      </c>
      <c r="C20" s="0" t="s">
        <v>3703</v>
      </c>
      <c r="D20" s="8" t="s">
        <v>11223</v>
      </c>
    </row>
    <row r="21" customFormat="false" ht="15" hidden="false" customHeight="false" outlineLevel="0" collapsed="false">
      <c r="A21" s="0" t="s">
        <v>11218</v>
      </c>
      <c r="B21" s="6" t="s">
        <v>11206</v>
      </c>
      <c r="C21" s="0" t="s">
        <v>10906</v>
      </c>
      <c r="D21" s="8" t="s">
        <v>11224</v>
      </c>
    </row>
    <row r="22" customFormat="false" ht="15" hidden="false" customHeight="false" outlineLevel="0" collapsed="false">
      <c r="A22" s="0" t="s">
        <v>11218</v>
      </c>
      <c r="B22" s="0" t="s">
        <v>4558</v>
      </c>
      <c r="C22" s="0" t="s">
        <v>11006</v>
      </c>
      <c r="D22" s="8" t="s">
        <v>11225</v>
      </c>
    </row>
    <row r="23" customFormat="false" ht="15" hidden="false" customHeight="false" outlineLevel="0" collapsed="false">
      <c r="A23" s="0" t="s">
        <v>11218</v>
      </c>
      <c r="B23" s="0" t="s">
        <v>4559</v>
      </c>
      <c r="C23" s="0" t="s">
        <v>11008</v>
      </c>
      <c r="D23" s="8" t="s">
        <v>11226</v>
      </c>
    </row>
    <row r="24" customFormat="false" ht="15" hidden="false" customHeight="false" outlineLevel="0" collapsed="false">
      <c r="A24" s="0" t="s">
        <v>11218</v>
      </c>
      <c r="B24" s="0" t="s">
        <v>4560</v>
      </c>
      <c r="C24" s="0" t="s">
        <v>11000</v>
      </c>
      <c r="D24" s="8" t="s">
        <v>11227</v>
      </c>
    </row>
    <row r="25" customFormat="false" ht="15" hidden="false" customHeight="false" outlineLevel="0" collapsed="false">
      <c r="A25" s="0" t="s">
        <v>11218</v>
      </c>
      <c r="B25" s="0" t="s">
        <v>4561</v>
      </c>
      <c r="C25" s="0" t="s">
        <v>11011</v>
      </c>
      <c r="D25" s="8" t="s">
        <v>11228</v>
      </c>
    </row>
    <row r="26" customFormat="false" ht="15" hidden="false" customHeight="false" outlineLevel="0" collapsed="false">
      <c r="A26" s="0" t="s">
        <v>11218</v>
      </c>
      <c r="B26" s="0" t="s">
        <v>4562</v>
      </c>
      <c r="C26" s="0" t="s">
        <v>11011</v>
      </c>
      <c r="D26" s="8" t="s">
        <v>11013</v>
      </c>
    </row>
    <row r="27" customFormat="false" ht="15" hidden="false" customHeight="false" outlineLevel="0" collapsed="false">
      <c r="A27" s="0" t="s">
        <v>11218</v>
      </c>
      <c r="B27" s="0" t="s">
        <v>4563</v>
      </c>
      <c r="C27" s="0" t="s">
        <v>11011</v>
      </c>
      <c r="D27" s="8" t="s">
        <v>11229</v>
      </c>
    </row>
    <row r="28" customFormat="false" ht="15" hidden="false" customHeight="false" outlineLevel="0" collapsed="false">
      <c r="A28" s="0" t="s">
        <v>11218</v>
      </c>
      <c r="B28" s="0" t="s">
        <v>103</v>
      </c>
      <c r="C28" s="0" t="s">
        <v>11230</v>
      </c>
      <c r="D28" s="8" t="s">
        <v>11213</v>
      </c>
    </row>
    <row r="29" customFormat="false" ht="28.35" hidden="false" customHeight="false" outlineLevel="0" collapsed="false">
      <c r="A29" s="0" t="s">
        <v>11218</v>
      </c>
      <c r="B29" s="0" t="s">
        <v>4564</v>
      </c>
      <c r="C29" s="0" t="s">
        <v>11015</v>
      </c>
      <c r="D29" s="8" t="s">
        <v>11231</v>
      </c>
    </row>
    <row r="30" customFormat="false" ht="15" hidden="false" customHeight="false" outlineLevel="0" collapsed="false">
      <c r="A30" s="0" t="s">
        <v>11218</v>
      </c>
      <c r="B30" s="0" t="s">
        <v>11214</v>
      </c>
      <c r="D30" s="8" t="s">
        <v>11232</v>
      </c>
    </row>
    <row r="31" customFormat="false" ht="28.35" hidden="false" customHeight="false" outlineLevel="0" collapsed="false">
      <c r="A31" s="0" t="s">
        <v>11233</v>
      </c>
      <c r="B31" s="6" t="s">
        <v>11234</v>
      </c>
      <c r="D31" s="8" t="s">
        <v>11235</v>
      </c>
    </row>
    <row r="32" customFormat="false" ht="15" hidden="false" customHeight="false" outlineLevel="0" collapsed="false">
      <c r="A32" s="0" t="s">
        <v>11233</v>
      </c>
      <c r="B32" s="0" t="s">
        <v>45</v>
      </c>
      <c r="C32" s="6" t="s">
        <v>11236</v>
      </c>
      <c r="D32" s="8" t="s">
        <v>11237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30"/>
    <col collapsed="false" customWidth="true" hidden="false" outlineLevel="0" max="3" min="3" style="0" width="34"/>
    <col collapsed="false" customWidth="true" hidden="false" outlineLevel="0" max="4" min="4" style="0" width="120"/>
  </cols>
  <sheetData>
    <row r="1" customFormat="false" ht="15" hidden="false" customHeight="false" outlineLevel="0" collapsed="false">
      <c r="A1" s="6" t="s">
        <v>11238</v>
      </c>
      <c r="B1" s="6" t="s">
        <v>11239</v>
      </c>
      <c r="C1" s="6"/>
      <c r="D1" s="7" t="s">
        <v>11240</v>
      </c>
    </row>
    <row r="2" customFormat="false" ht="15" hidden="false" customHeight="false" outlineLevel="0" collapsed="false">
      <c r="A2" s="6" t="s">
        <v>11241</v>
      </c>
      <c r="B2" s="0" t="s">
        <v>11242</v>
      </c>
      <c r="D2" s="8"/>
    </row>
    <row r="3" customFormat="false" ht="15" hidden="false" customHeight="false" outlineLevel="0" collapsed="false">
      <c r="D3" s="8"/>
    </row>
    <row r="4" customFormat="false" ht="15" hidden="false" customHeight="false" outlineLevel="0" collapsed="false">
      <c r="A4" s="6" t="str">
        <f aca="false">"15-minute morning routine, "&amp;B1&amp;" outreach tables"</f>
        <v>15-minute morning routine, Desk Drop outreach tables</v>
      </c>
      <c r="D4" s="8"/>
    </row>
    <row r="5" customFormat="false" ht="15" hidden="false" customHeight="false" outlineLevel="0" collapsed="false">
      <c r="A5" s="6" t="s">
        <v>11243</v>
      </c>
      <c r="B5" s="6" t="s">
        <v>11244</v>
      </c>
      <c r="C5" s="6" t="s">
        <v>11245</v>
      </c>
      <c r="D5" s="7" t="s">
        <v>11246</v>
      </c>
    </row>
    <row r="6" customFormat="false" ht="41.75" hidden="false" customHeight="false" outlineLevel="0" collapsed="false">
      <c r="A6" s="0" t="s">
        <v>11247</v>
      </c>
      <c r="B6" s="0" t="s">
        <v>11248</v>
      </c>
      <c r="C6" s="0" t="s">
        <v>11249</v>
      </c>
      <c r="D6" s="8" t="s">
        <v>11250</v>
      </c>
    </row>
    <row r="7" customFormat="false" ht="28.35" hidden="false" customHeight="false" outlineLevel="0" collapsed="false">
      <c r="A7" s="0" t="s">
        <v>11251</v>
      </c>
      <c r="B7" s="0" t="s">
        <v>11252</v>
      </c>
      <c r="C7" s="0" t="s">
        <v>11253</v>
      </c>
      <c r="D7" s="8" t="s">
        <v>11254</v>
      </c>
    </row>
    <row r="8" customFormat="false" ht="15" hidden="false" customHeight="false" outlineLevel="0" collapsed="false">
      <c r="A8" s="0" t="s">
        <v>11255</v>
      </c>
      <c r="B8" s="0" t="s">
        <v>11256</v>
      </c>
      <c r="C8" s="0" t="s">
        <v>11257</v>
      </c>
      <c r="D8" s="8" t="s">
        <v>11258</v>
      </c>
    </row>
    <row r="9" customFormat="false" ht="41.75" hidden="false" customHeight="false" outlineLevel="0" collapsed="false">
      <c r="A9" s="0" t="s">
        <v>11259</v>
      </c>
      <c r="B9" s="0" t="s">
        <v>11260</v>
      </c>
      <c r="C9" s="0" t="s">
        <v>11261</v>
      </c>
      <c r="D9" s="8" t="s">
        <v>11262</v>
      </c>
    </row>
    <row r="10" customFormat="false" ht="41.75" hidden="false" customHeight="false" outlineLevel="0" collapsed="false">
      <c r="A10" s="0" t="s">
        <v>11263</v>
      </c>
      <c r="B10" s="0" t="s">
        <v>11264</v>
      </c>
      <c r="C10" s="0" t="s">
        <v>11265</v>
      </c>
      <c r="D10" s="8" t="s">
        <v>11266</v>
      </c>
    </row>
    <row r="11" customFormat="false" ht="28.35" hidden="false" customHeight="false" outlineLevel="0" collapsed="false">
      <c r="A11" s="0" t="s">
        <v>11267</v>
      </c>
      <c r="B11" s="0" t="s">
        <v>11268</v>
      </c>
      <c r="C11" s="0" t="s">
        <v>11269</v>
      </c>
      <c r="D11" s="8" t="s">
        <v>11270</v>
      </c>
    </row>
    <row r="12" customFormat="false" ht="15" hidden="false" customHeight="false" outlineLevel="0" collapsed="false">
      <c r="D12" s="8"/>
    </row>
    <row r="13" customFormat="false" ht="15" hidden="false" customHeight="false" outlineLevel="0" collapsed="false">
      <c r="A13" s="6" t="s">
        <v>11271</v>
      </c>
      <c r="D13" s="8"/>
    </row>
    <row r="14" customFormat="false" ht="41.75" hidden="false" customHeight="false" outlineLevel="0" collapsed="false">
      <c r="A14" s="0" t="s">
        <v>11272</v>
      </c>
      <c r="B14" s="0" t="s">
        <v>11273</v>
      </c>
      <c r="C14" s="0" t="s">
        <v>11274</v>
      </c>
      <c r="D14" s="8" t="s">
        <v>11275</v>
      </c>
    </row>
    <row r="15" customFormat="false" ht="15" hidden="false" customHeight="false" outlineLevel="0" collapsed="false">
      <c r="D15" s="8"/>
    </row>
    <row r="16" customFormat="false" ht="15" hidden="false" customHeight="false" outlineLevel="0" collapsed="false">
      <c r="A16" s="6" t="s">
        <v>11276</v>
      </c>
      <c r="D16" s="8"/>
    </row>
    <row r="17" customFormat="false" ht="28.35" hidden="false" customHeight="false" outlineLevel="0" collapsed="false">
      <c r="A17" s="0" t="s">
        <v>11277</v>
      </c>
      <c r="B17" s="0" t="s">
        <v>11278</v>
      </c>
      <c r="D17" s="8" t="s">
        <v>11279</v>
      </c>
    </row>
    <row r="18" customFormat="false" ht="15" hidden="false" customHeight="false" outlineLevel="0" collapsed="false">
      <c r="A18" s="0" t="s">
        <v>11280</v>
      </c>
      <c r="B18" s="0" t="s">
        <v>11281</v>
      </c>
      <c r="D18" s="8" t="s">
        <v>11282</v>
      </c>
    </row>
    <row r="19" customFormat="false" ht="15" hidden="false" customHeight="false" outlineLevel="0" collapsed="false">
      <c r="A19" s="0" t="s">
        <v>11283</v>
      </c>
      <c r="B19" s="0" t="s">
        <v>10905</v>
      </c>
      <c r="D19" s="8" t="s">
        <v>11284</v>
      </c>
    </row>
    <row r="20" customFormat="false" ht="15" hidden="false" customHeight="false" outlineLevel="0" collapsed="false">
      <c r="A20" s="0" t="s">
        <v>11285</v>
      </c>
      <c r="B20" s="0" t="s">
        <v>10887</v>
      </c>
      <c r="D20" s="8" t="s">
        <v>11286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LibreOffice/25.8.7.3$Linux_X86_64 LibreOffice_project/30742500f2d3eb4366ac312fa33d3dcabdb3eba5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2026-10-24T09:27:53Z</dcterms:created>
  <dc:creator>openpyxl</dc:creator>
  <dc:description/>
  <dc:language>en-US</dc:language>
  <cp:lastModifiedBy/>
  <dcterms:modified xsi:type="dcterms:W3CDTF">2026-10-24T09:52:55Z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